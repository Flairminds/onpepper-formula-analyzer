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19" firstSheet="0" activeTab="1" autoFilterDateGrouping="1"/>
  </bookViews>
  <sheets>
    <sheet xmlns:r="http://schemas.openxmlformats.org/officeDocument/2006/relationships" name="Borrowing Base" sheetId="1" state="visible" r:id="rId1"/>
    <sheet xmlns:r="http://schemas.openxmlformats.org/officeDocument/2006/relationships" name="Loan List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</externalReferences>
  <definedNames>
    <definedName name="__123Graph_A" hidden="1">[1]rates!#REF!</definedName>
    <definedName name="__123Graph_B" hidden="1">[1]rates!#REF!</definedName>
    <definedName name="__123Graph_C" hidden="1">[1]rates!#REF!</definedName>
    <definedName name="__123Graph_CCURRENT" hidden="1">[2]recv!#REF!</definedName>
    <definedName name="__123Graph_D" hidden="1">[1]rates!#REF!</definedName>
    <definedName name="__123Graph_DCURRENT" hidden="1">[2]recv!#REF!</definedName>
    <definedName name="__123Graph_E" hidden="1">[1]rates!#REF!</definedName>
    <definedName name="__123Graph_F" hidden="1">[1]rates!#REF!</definedName>
    <definedName name="_1__123Graph_ACHART_1A" hidden="1">[1]rates!#REF!</definedName>
    <definedName name="_2__123Graph_BCHART_1A" hidden="1">[1]rates!#REF!</definedName>
    <definedName name="_3__123Graph_CCHART_1A" hidden="1">[1]rates!#REF!</definedName>
    <definedName name="_4__123Graph_DCHART_1A" hidden="1">[1]rates!#REF!</definedName>
    <definedName name="_5__123Graph_ECHART_1A" hidden="1">[1]rates!#REF!</definedName>
    <definedName name="_6__123Graph_FCHART_1A" hidden="1">[1]rates!#REF!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">#REF!</definedName>
    <definedName name="AS2DocOpenMode" hidden="1">"AS2DocumentEdit"</definedName>
    <definedName name="AUGUST">#REF!</definedName>
    <definedName name="CAPSTOCK">#REF!</definedName>
    <definedName name="CASHREC">#REF!</definedName>
    <definedName name="check1">#REF!</definedName>
    <definedName name="CHECKLIST">#REF!</definedName>
    <definedName name="CIQWBGuid" hidden="1">"c8ce311b-1abd-4d5d-beb8-f07073ed7c25"</definedName>
    <definedName name="CIQWBInfo" hidden="1">"{ ""CIQVersion"":""9.47.1108.4092"" }"</definedName>
    <definedName name="cklst">[3]Chklst!$A$1:$C$26</definedName>
    <definedName name="CLASSEXP">#REF!</definedName>
    <definedName name="COST">#REF!</definedName>
    <definedName name="COST2">#REF!</definedName>
    <definedName name="DAYAN" hidden="1">{"LIBOR",#N/A,TRUE,"Model";"Caps",#N/A,TRUE,"Model";"Assets",#N/A,TRUE,"Model";"Liabilities",#N/A,TRUE,"Model";"Tests",#N/A,TRUE,"Model";"Results",#N/A,TRUE,"Model"}</definedName>
    <definedName name="Days">'[4]Cost Rollforward - PTO'!$C$45</definedName>
    <definedName name="Days_2">'[5]Cost Roll'!$C$52</definedName>
    <definedName name="DERIVATIVE">#REF!</definedName>
    <definedName name="DETAIL">#REF!</definedName>
    <definedName name="DISTREC">#REF!</definedName>
    <definedName name="DISTRIBUTION">#REF!</definedName>
    <definedName name="DVD">#REF!</definedName>
    <definedName name="DVDII">#REF!</definedName>
    <definedName name="EntityNames">[6]EntityLookup!$A$3:$A$5</definedName>
    <definedName name="EXPENSES">#REF!</definedName>
    <definedName name="Facility_Name">'[7]PAR Settled'!$B:$B</definedName>
    <definedName name="fadfs">'[8]Cost Roll'!$C$24</definedName>
    <definedName name="FAX">#REF!</definedName>
    <definedName name="foursixtythree">#REF!</definedName>
    <definedName name="GAIN">#REF!</definedName>
    <definedName name="Gain_Loss_01">#REF!</definedName>
    <definedName name="Gain_Loss_02">#REF!</definedName>
    <definedName name="Gain_Loss_03">#REF!</definedName>
    <definedName name="Gain_Loss_04">#REF!</definedName>
    <definedName name="Gain_Loss_05">#REF!</definedName>
    <definedName name="Gain_Loss_06">#REF!</definedName>
    <definedName name="Gain_Loss_07">#REF!</definedName>
    <definedName name="Gain_Loss_08">#REF!</definedName>
    <definedName name="Gain_Loss_09">#REF!</definedName>
    <definedName name="Gain_Loss_10">#REF!</definedName>
    <definedName name="Gain_Loss_11">#REF!</definedName>
    <definedName name="Gain_Loss_12">#REF!</definedName>
    <definedName name="GAINLOSS">#REF!</definedName>
    <definedName name="INT">#REF!</definedName>
    <definedName name="INTEREST">#REF!</definedName>
    <definedName name="INTEREST2">#REF!</definedName>
    <definedName name="IO_14">'[9]501773CG8sold'!$A$59:$L$80</definedName>
    <definedName name="IO_15">'[9]23322BFC7soldoff'!$A$45:$L$67</definedName>
    <definedName name="IO_16">'[9]3133TKAB6Sold Off'!$A$42:$L$63</definedName>
    <definedName name="IO_17">'[9]3133TGQG7 paid off'!$A$40:$L$61</definedName>
    <definedName name="IO_18">'[9]3133TKT91Sold Off'!$A$40:$L$61</definedName>
    <definedName name="IO_19">'[9]3133t2wf3- paid off'!$A$37:$L$58</definedName>
    <definedName name="IO_20">'[9]3133TKYZ7PaidOff'!$A$39:$L$60</definedName>
    <definedName name="IO_6">'[9]312915gc9paidoff'!$A$298:$T$320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TRACTS_OTHER_COMMODITIES_EQUITIES._FDIC" hidden="1">"c6522"</definedName>
    <definedName name="IQ_CONV_RATE" hidden="1">"c2192"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Q" hidden="1">5000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XPENSE_CODE_" hidden="1">1223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OREIGN_BRANCHES_U.S._BANKS_LOANS_FDIC" hidden="1">"c6438"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ONTH" hidden="1">15000</definedName>
    <definedName name="IQ_MTD" hidden="1">800000</definedName>
    <definedName name="IQ_NAMES_REVISION_DATE_" hidden="1">42619.7757986111</definedName>
    <definedName name="IQ_NET_DEBT_ISSUED_BR" hidden="1">"c753"</definedName>
    <definedName name="IQ_NET_INT_INC_BR" hidden="1">"c765"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TM" hidden="1">6000</definedName>
    <definedName name="IQ_OG_TOTAL_OIL_PRODUCTON" hidden="1">"c2059"</definedName>
    <definedName name="IQ_OPENED55" hidden="1">1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REF_ISSUED_BR" hidden="1">"c1047"</definedName>
    <definedName name="IQ_PREF_OTHER_BR" hidden="1">"c1055"</definedName>
    <definedName name="IQ_PREF_REP_BR" hidden="1">"c1062"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Issuer_Name">'[7]PAR Settled'!$A:$A</definedName>
    <definedName name="JULY">#REF!</definedName>
    <definedName name="JUNE">#REF!</definedName>
    <definedName name="limcount" hidden="1">1</definedName>
    <definedName name="LOAN">#REF!</definedName>
    <definedName name="Marketing_Explanation">'[6]Sponsor Due Dillig Explan'!$A$3:$A$110</definedName>
    <definedName name="MgmtDealLIst">'[6]Deal_Expense Lookup'!$A$1:$A$106</definedName>
    <definedName name="MISCADJ">#REF!</definedName>
    <definedName name="MISCADJ2">#REF!</definedName>
    <definedName name="MKTVALUE">#REF!</definedName>
    <definedName name="MKTVALUE2">#REF!</definedName>
    <definedName name="MMINT">#REF!</definedName>
    <definedName name="MMINTEREST">#REF!</definedName>
    <definedName name="MMSEGINT">#REF!</definedName>
    <definedName name="Month1">'[10]7.0.1'!$C$9:$H$109</definedName>
    <definedName name="MTDEXP">'[11]Expense Sheet'!#REF!</definedName>
    <definedName name="NAV">#REF!</definedName>
    <definedName name="nnnnnnnnnnnnnnnnnnn" hidden="1">{"LIBOR",#N/A,TRUE,"Model";"Caps",#N/A,TRUE,"Model";"Assets",#N/A,TRUE,"Model";"Liabilities",#N/A,TRUE,"Model";"Tests",#N/A,TRUE,"Model";"Results",#N/A,TRUE,"Model"}</definedName>
    <definedName name="OCT_ROR">#REF!</definedName>
    <definedName name="OPTIONS">#REF!</definedName>
    <definedName name="Paydowns">'[12]PNC Cost Roll'!$I$23</definedName>
    <definedName name="PIK_Divs">'[13]PNC Cost Roll'!$E$23</definedName>
    <definedName name="port">'[14]Port Turn'!$A$1:$G$28</definedName>
    <definedName name="PORT_TURN">#REF!</definedName>
    <definedName name="portva">'[14]Port Turn'!$A$1:$G$28</definedName>
    <definedName name="Print_Area_MI">#REF!</definedName>
    <definedName name="Purchases">#REF!</definedName>
    <definedName name="Purchases_2">'[12]PNC Cost Roll'!$C$23</definedName>
    <definedName name="Question_Type">[15]Values!$B$3:$B$10</definedName>
    <definedName name="RATE">#REF!</definedName>
    <definedName name="rect10">"Rectangle 10"</definedName>
    <definedName name="regsaergsafd">'[6]Deal_Expense Lookup'!$A$1:$A$109</definedName>
    <definedName name="RESET">#REF!</definedName>
    <definedName name="ROUNDING">#REF!</definedName>
    <definedName name="Sales">#REF!</definedName>
    <definedName name="Sales_2">'[16]Cost Roll'!$E$24</definedName>
    <definedName name="sencount" hidden="1">1</definedName>
    <definedName name="SEPT_ROR">#REF!</definedName>
    <definedName name="SHARES">#REF!</definedName>
    <definedName name="SHORT_TERM">#REF!</definedName>
    <definedName name="STI1998A">#REF!</definedName>
    <definedName name="STI1998B">#REF!</definedName>
    <definedName name="SUMMARY">#REF!</definedName>
    <definedName name="table1">'[17]1'!#REF!</definedName>
    <definedName name="TEST">#REF!</definedName>
    <definedName name="TNA">#REF!</definedName>
    <definedName name="TR">#REF!</definedName>
    <definedName name="TRADES">#REF!</definedName>
    <definedName name="Value">'[4]Cost Rollforward - PTO'!$G$47</definedName>
    <definedName name="Value2">'[12]PNC Cost Roll'!$G$53</definedName>
    <definedName name="VARRATES">#REF!</definedName>
    <definedName name="VendorNameList">'[6]Vendor Lookup'!$A$1:$A$115</definedName>
    <definedName name="wrn.Assumptions." hidden="1">{"Assumptions",#N/A,FALSE,"Model"}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w" hidden="1">{"Assumptions",#N/A,FALSE,"Model"}</definedName>
    <definedName name="x">'[14]Total Gains Losses'!$A$1:$N$32</definedName>
    <definedName name="xyz">[14]Loan!$A$1:$D$25</definedName>
    <definedName name="YIELDCHECK">#REF!</definedName>
    <definedName name="YTDEXP">'[11]Expense Sheet'!#REF!</definedName>
    <definedName name="_xlnm.Print_Area" localSheetId="0">'Borrowing Base'!$A$1:$J$76,'Borrowing Base'!$N$1:$Q$76</definedName>
    <definedName name="_xlnm._FilterDatabase" localSheetId="1" hidden="1">'Loan List'!$B$9:$ID$116</definedName>
    <definedName name="_xlnm.Print_Titles" localSheetId="1">'Loan List'!$9:$9</definedName>
    <definedName name="_xlnm.Print_Area" localSheetId="1">'Loan List'!$B$1:$IC$117</definedName>
  </definedNames>
  <calcPr calcId="191029" fullCalcOnLoad="1"/>
</workbook>
</file>

<file path=xl/styles.xml><?xml version="1.0" encoding="utf-8"?>
<styleSheet xmlns="http://schemas.openxmlformats.org/spreadsheetml/2006/main">
  <numFmts count="155">
    <numFmt numFmtId="164" formatCode="m/d/yy;@"/>
    <numFmt numFmtId="165" formatCode="&quot;$&quot;#,##0"/>
    <numFmt numFmtId="166" formatCode="0.000000"/>
    <numFmt numFmtId="167" formatCode="&quot;$&quot;#,##0_);\(&quot;$&quot;#,##0\)"/>
    <numFmt numFmtId="168" formatCode="&quot;$&quot;#,##0.00_);\(&quot;$&quot;#,##0.00\)"/>
    <numFmt numFmtId="169" formatCode="_(* #,##0_);_(* \(#,##0\);_(* &quot;-&quot;??_);_(@_)"/>
    <numFmt numFmtId="170" formatCode="_(&quot;$&quot;* #,##0.00_);_(&quot;$&quot;* \(#,##0.00\);_(&quot;$&quot;* &quot;-&quot;??_);_(@_)"/>
    <numFmt numFmtId="171" formatCode="#,##0.0%_);\(#,##0.0%\)"/>
    <numFmt numFmtId="172" formatCode="_(&quot;$&quot;* #,##0_);_(&quot;$&quot;* \(#,##0\);_(&quot;$&quot;* &quot;-&quot;??_);_(@_)"/>
    <numFmt numFmtId="173" formatCode="0.0000%"/>
    <numFmt numFmtId="174" formatCode="0.00\ \x"/>
    <numFmt numFmtId="175" formatCode="0.000%"/>
    <numFmt numFmtId="176" formatCode="[$-409]mmmm\ d\,\ yyyy;@"/>
    <numFmt numFmtId="177" formatCode="0.00\ &quot;yrs&quot;"/>
    <numFmt numFmtId="178" formatCode="_(* #,##0.0_);_(* \(#,##0.0\);_(* &quot;-&quot;??_);_(@_)"/>
    <numFmt numFmtId="179" formatCode="0;[Red]0"/>
    <numFmt numFmtId="180" formatCode="_(&quot;$&quot;* #,##0.00_);_(&quot;$&quot;* \(#,##0.00\);_(&quot;$&quot;* &quot;-&quot;_);_(@_)"/>
    <numFmt numFmtId="181" formatCode="_(&quot;$&quot;* #,##0.000_);_(&quot;$&quot;* \(#,##0.000\);_(&quot;$&quot;* &quot;-&quot;???_);_(@_)"/>
    <numFmt numFmtId="182" formatCode="&quot;$&quot;#,##0.0"/>
    <numFmt numFmtId="183" formatCode="&quot;$&quot;#,##0.00"/>
    <numFmt numFmtId="184" formatCode="0.0000000"/>
    <numFmt numFmtId="185" formatCode="0.0"/>
    <numFmt numFmtId="186" formatCode="#,##0.00000000_);\(#,##0.00000000\)"/>
    <numFmt numFmtId="187" formatCode="General_)"/>
    <numFmt numFmtId="188" formatCode="0_%_);\(0\)_%;0_%_);@_%_)"/>
    <numFmt numFmtId="189" formatCode="mmm\-yyyy"/>
    <numFmt numFmtId="190" formatCode="_(* #,##0.0_);[Red]_(* \(#,##0.0\);&quot;nm &quot;"/>
    <numFmt numFmtId="191" formatCode="&quot;$&quot;#,##0.0_);\(&quot;$&quot;#,##0.0\)"/>
    <numFmt numFmtId="192" formatCode="0.0%;\(0.0\)%"/>
    <numFmt numFmtId="193" formatCode="0.00%;\(0.00\)%"/>
    <numFmt numFmtId="194" formatCode="0.00%_);[Red]\(0.00%\)"/>
    <numFmt numFmtId="195" formatCode="0.00%;[Red]\(0.00%\)"/>
    <numFmt numFmtId="196" formatCode="&quot;$&quot;#,##0.0;\(&quot;$&quot;#,##0.0\)"/>
    <numFmt numFmtId="197" formatCode="0%;\(0\)%"/>
    <numFmt numFmtId="198" formatCode="0%;\-0%;;"/>
    <numFmt numFmtId="199" formatCode="&quot;£&quot;#,##0.00;\-&quot;£&quot;#,##0.00"/>
    <numFmt numFmtId="200" formatCode="0.0_)\%;\(0.0\)\%;0.0_)\%;@_)_%"/>
    <numFmt numFmtId="201" formatCode="#,##0.0_)_%;\(#,##0.0\)_%;0.0_)_%;@_)_%"/>
    <numFmt numFmtId="202" formatCode="#,##0.0_);\(#,##0.0\);#,##0.0_);@_)"/>
    <numFmt numFmtId="203" formatCode="#,##0.0_);\(#,##0.0\)"/>
    <numFmt numFmtId="204" formatCode="#,##0.000\x;&quot;NM&quot;_x"/>
    <numFmt numFmtId="205" formatCode="&quot;$&quot;_(#,##0.00_);&quot;$&quot;\(#,##0.00\);&quot;$&quot;_(0.00_);@_)"/>
    <numFmt numFmtId="206" formatCode="&quot;£&quot;_(#,##0.00_);&quot;£&quot;\(#,##0.00\)"/>
    <numFmt numFmtId="207" formatCode="#,##0.0_x;&quot;NM&quot;_x"/>
    <numFmt numFmtId="208" formatCode="#,##0.00_);\(#,##0.00\);0.00_);@_)"/>
    <numFmt numFmtId="209" formatCode="\€_(#,##0.00_);\€\(#,##0.00\);\€_(0.00_);@_)"/>
    <numFmt numFmtId="210" formatCode="#,##0_)\x;\(#,##0\)\x;0_)\x;@_)_x"/>
    <numFmt numFmtId="211" formatCode="#,##0.0_)\x;\(#,##0.0\)\x"/>
    <numFmt numFmtId="212" formatCode="#,##0_)_x;\(#,##0\)_x;0_)_x;@_)_x"/>
    <numFmt numFmtId="213" formatCode="#,##0.0_)_x;\(#,##0.0\)_x"/>
    <numFmt numFmtId="214" formatCode="0.0_)\%;\(0.0\)\%"/>
    <numFmt numFmtId="215" formatCode="#,##0.0_)_%;\(#,##0.0\)_%"/>
    <numFmt numFmtId="216" formatCode="0.0&quot;x&quot;"/>
    <numFmt numFmtId="217" formatCode="0.00&quot;x&quot;"/>
    <numFmt numFmtId="218" formatCode="0.00\ ;\(0.00\)"/>
    <numFmt numFmtId="219" formatCode="_(* #,##0.0_);_(* \(#,##0.0\);_(* &quot;--- &quot;_)"/>
    <numFmt numFmtId="220" formatCode="m\-d\-yy"/>
    <numFmt numFmtId="221" formatCode="&quot;Volunteer&quot;;[Red]&quot;Error&quot;;&quot;Management&quot;"/>
    <numFmt numFmtId="222" formatCode="\C&quot;$&quot;#,##0_);[Red]\(\C&quot;$&quot;#,##0\)"/>
    <numFmt numFmtId="223" formatCode="#,##0.0_);[Red]\(#,##0.0\)"/>
    <numFmt numFmtId="224" formatCode="mmm"/>
    <numFmt numFmtId="225" formatCode="0&quot; bp&quot;"/>
    <numFmt numFmtId="226" formatCode="\£#,##0_);\(\£#,##0\)"/>
    <numFmt numFmtId="227" formatCode="_ * #,##0.0000000_ ;_ * \-#,##0.0000000_ ;_ * &quot;-&quot;??_ ;_ @_ "/>
    <numFmt numFmtId="228" formatCode="_ * #,##0.0000_ ;_ * \-#,##0.0000_ ;_ * &quot;-&quot;??_ ;_ @_ "/>
    <numFmt numFmtId="229" formatCode="#,##0.000000;\(#,##0.000000\)"/>
    <numFmt numFmtId="230" formatCode="#,##0.0000_);\(#,##0.0000\)"/>
    <numFmt numFmtId="231" formatCode="&quot;$&quot;#,##0.00;\(&quot;$&quot;#,##0.00\)"/>
    <numFmt numFmtId="232" formatCode="#,##0_%_);\(#,##0\)_%;#,##0_%_);@_%_)"/>
    <numFmt numFmtId="233" formatCode="#,##0_%_);\(#,##0\)_%;**;@_%_)"/>
    <numFmt numFmtId="234" formatCode="#,##0.00_%_);\(#,##0.00\)_%;#,##0.00_%_);@_%_)"/>
    <numFmt numFmtId="235" formatCode="&quot;$&quot;#,##0.00000"/>
    <numFmt numFmtId="236" formatCode="#,##0.000000_);\(#,##0.000000\)"/>
    <numFmt numFmtId="237" formatCode="#,##0;\(#,##0\)"/>
    <numFmt numFmtId="238" formatCode="[&gt;=1000000]#,###,,&quot; m&quot;;[&gt;=1000]#,###,&quot; k&quot;;#,##0"/>
    <numFmt numFmtId="239" formatCode="#,##0.0000000000_);\(#,##0.0000000000\)"/>
    <numFmt numFmtId="240" formatCode="0.000000%"/>
    <numFmt numFmtId="241" formatCode="&quot;$&quot;#,##0.00_);[Red]\(&quot;$&quot;#,##0.00\);&quot;--  &quot;;_(@_)"/>
    <numFmt numFmtId="242" formatCode="&quot;$&quot;#,##0_%_);\(&quot;$&quot;#,##0\)_%;&quot;$&quot;#,##0_%_);@_%_)"/>
    <numFmt numFmtId="243" formatCode="&quot;$&quot;#,##0.00_%_);\(&quot;$&quot;#,##0.00\)_%;&quot;$&quot;#,##0.00_%_);@_%_)"/>
    <numFmt numFmtId="244" formatCode="&quot;$&quot;0.00\ ;\(&quot;$&quot;0.00\)"/>
    <numFmt numFmtId="245" formatCode="m/d/yy_%_)"/>
    <numFmt numFmtId="246" formatCode="yyyy"/>
    <numFmt numFmtId="247" formatCode="_-* #,##0\ _€_-;\-* #,##0\ _€_-;_-* &quot;-&quot;\ _€_-;_-@_-"/>
    <numFmt numFmtId="248" formatCode="_-* #,##0.00\ _€_-;\-* #,##0.00\ _€_-;_-* &quot;-&quot;??\ _€_-;_-@_-"/>
    <numFmt numFmtId="249" formatCode="&quot;C&quot;&quot;$&quot;#,##0.00_);[Red]\(&quot;C&quot;&quot;$&quot;#,##0.00\)"/>
    <numFmt numFmtId="250" formatCode="\$#,##0;\(\$#,##0\)"/>
    <numFmt numFmtId="251" formatCode="0.0%"/>
    <numFmt numFmtId="252" formatCode="#,##0.0"/>
    <numFmt numFmtId="253" formatCode="0.00\x"/>
    <numFmt numFmtId="254" formatCode="_(* #,##0_);_(* \(#,##0\);_(* &quot;-&quot;_)"/>
    <numFmt numFmtId="255" formatCode="0&quot;est&quot;"/>
    <numFmt numFmtId="256" formatCode="0_);[Red]\(0\)"/>
    <numFmt numFmtId="257" formatCode="0.0%_);[Red]\(0.0%\)"/>
    <numFmt numFmtId="258" formatCode="0.00%_);\(0.00%\)"/>
    <numFmt numFmtId="259" formatCode="0.0\%_);\(0.0\%\);0.0\%_);@_%_)"/>
    <numFmt numFmtId="260" formatCode=";;;"/>
    <numFmt numFmtId="261" formatCode="0.0%;[Red]\(0.0%\)"/>
    <numFmt numFmtId="262" formatCode="#,##0.0##;[Red]\-#,##0.0##"/>
    <numFmt numFmtId="263" formatCode="0.00000000"/>
    <numFmt numFmtId="264" formatCode="#,##0.0\ _]"/>
    <numFmt numFmtId="265" formatCode="_-* #,##0\ _F_-;\-* #,##0\ _F_-;_-* &quot;-&quot;\ _F_-;_-@_-"/>
    <numFmt numFmtId="266" formatCode="_-* #,##0.00\ _F_-;\-* #,##0.00\ _F_-;_-* &quot;-&quot;??\ _F_-;_-@_-"/>
    <numFmt numFmtId="267" formatCode="_-* #,##0\ &quot;F&quot;_-;\-* #,##0\ &quot;F&quot;_-;_-* &quot;-&quot;\ &quot;F&quot;_-;_-@_-"/>
    <numFmt numFmtId="268" formatCode="_-* #,##0.00\ &quot;F&quot;_-;\-* #,##0.00\ &quot;F&quot;_-;_-* &quot;-&quot;??\ &quot;F&quot;_-;_-@_-"/>
    <numFmt numFmtId="269" formatCode="0.0\x_)_);&quot;NM&quot;_x_)_);0.0\x_)_);@_%_)"/>
    <numFmt numFmtId="270" formatCode="#,##0.00\X"/>
    <numFmt numFmtId="271" formatCode="#,##0.0\X"/>
    <numFmt numFmtId="272" formatCode="#\ ##0_-;\-#\ ##0_-;_-0_-;_-@_ "/>
    <numFmt numFmtId="273" formatCode="#\ ##0.00_-;\-#\ ##0.00_-;_-0.00_-;_-@_ "/>
    <numFmt numFmtId="274" formatCode="#,##0.0_);[Red]\(#,##0.0\);&quot;--  &quot;"/>
    <numFmt numFmtId="275" formatCode="0.00_)"/>
    <numFmt numFmtId="276" formatCode="0.0%;\(0.0%\)"/>
    <numFmt numFmtId="277" formatCode="#,##0.00&quot;x&quot;;[Red]\(#,##0.00&quot;x&quot;\)"/>
    <numFmt numFmtId="278" formatCode="#,##0.00_)&quot; &quot;;[Red]\(#,##0.00\)&quot; &quot;"/>
    <numFmt numFmtId="279" formatCode="_(* #,##0.0_);_(* \(#,##0.0\);_(* &quot;-&quot;?_);_(@_)"/>
    <numFmt numFmtId="280" formatCode="#,##0.0\ ;\(#,##0.0\)"/>
    <numFmt numFmtId="281" formatCode="0.000_]"/>
    <numFmt numFmtId="282" formatCode="_ * #,##0_ ;\ \(#,##0\)_ ;_ * &quot;-&quot;_ ;_ @_ "/>
    <numFmt numFmtId="283" formatCode="0.0%;[Red]\(0.0%\);&quot;--  &quot;"/>
    <numFmt numFmtId="284" formatCode="0.000%;[Red]\(0.000%\)"/>
    <numFmt numFmtId="285" formatCode="0.000%;;&quot;-- &quot;"/>
    <numFmt numFmtId="286" formatCode="&quot;£&quot;#,##0_);[Red]\(&quot;£&quot;#,##0\)"/>
    <numFmt numFmtId="287" formatCode="0.00%;\(0.00%\)"/>
    <numFmt numFmtId="288" formatCode="0.00000%"/>
    <numFmt numFmtId="289" formatCode="#,##0.000_);[Red]\(#,##0.000\)"/>
    <numFmt numFmtId="290" formatCode="&quot;Proj &quot;0;;"/>
    <numFmt numFmtId="291" formatCode="0.00000000000000000%"/>
    <numFmt numFmtId="292" formatCode="0.000"/>
    <numFmt numFmtId="293" formatCode="#####0"/>
    <numFmt numFmtId="294" formatCode="0.0_)"/>
    <numFmt numFmtId="295" formatCode="&quot;$&quot;#,##0.000_);[Red]\(&quot;$&quot;#,##0.000\)"/>
    <numFmt numFmtId="296" formatCode="0_);\(0\)"/>
    <numFmt numFmtId="297" formatCode="#,##0.00\ ;\(#,##0.00\)"/>
    <numFmt numFmtId="298" formatCode="_-&quot;$&quot;* #,##0.00_-;\-&quot;$&quot;* #,##0.00_-;_-&quot;$&quot;* &quot;-&quot;??_-;_-@_-"/>
    <numFmt numFmtId="299" formatCode="0.00\ "/>
    <numFmt numFmtId="300" formatCode="[&gt;9999]#,;[&gt;0]#0.0,;\-;"/>
    <numFmt numFmtId="301" formatCode="[&gt;9.9]#;[&gt;0]#0.0;\-;"/>
    <numFmt numFmtId="302" formatCode="_-* #,##0\ &quot;€&quot;_-;\-* #,##0\ &quot;€&quot;_-;_-* &quot;-&quot;\ &quot;€&quot;_-;_-@_-"/>
    <numFmt numFmtId="303" formatCode="_-* #,##0.00\ &quot;€&quot;_-;\-* #,##0.00\ &quot;€&quot;_-;_-* &quot;-&quot;??\ &quot;€&quot;_-;_-@_-"/>
    <numFmt numFmtId="304" formatCode="\¥#,##0_);\(\¥#,##0\)"/>
    <numFmt numFmtId="305" formatCode="_(#,##0.0_);_(\(#,##0.0\);\-??_);_(@_)_)"/>
    <numFmt numFmtId="306" formatCode="_-* #,##0.00_-;\-* #,##0.00_-;_-* &quot;-&quot;??_-;_-@_-"/>
    <numFmt numFmtId="307" formatCode="\1"/>
    <numFmt numFmtId="308" formatCode="#,##0_);\(#,##0\);&quot;-&quot;_);@_)"/>
    <numFmt numFmtId="309" formatCode="#,##0_);\(#,##0\);&quot; - &quot;_);@_)"/>
    <numFmt numFmtId="310" formatCode="#,##0;\(#,##0\);&quot;-&quot;"/>
    <numFmt numFmtId="311" formatCode="\ #,##0.0_);\(#,##0.0\);&quot; - &quot;_);@_)"/>
    <numFmt numFmtId="312" formatCode="[$$-409]#,##0.0_);\([$$-409]#,##0.0\);[$$-409]#,##0.0_);@_)"/>
    <numFmt numFmtId="313" formatCode="[$$-409]#,##0_);\([$$-409]#,##0\);[$$-409]#,##0_);@_)"/>
    <numFmt numFmtId="314" formatCode="[$$-409]#,##0.0"/>
    <numFmt numFmtId="315" formatCode="_(&quot;$&quot;\ #,##0_);_(\(&quot;$&quot;\ #,##0\);_(&quot;$&quot;\ &quot;-&quot;_);_(@_)"/>
    <numFmt numFmtId="316" formatCode="_(&quot;$&quot;\ #,##0.0_);_(&quot;$&quot;\ \(#,##0.0\);_(&quot;$&quot;\ &quot;-&quot;??_);_(@_)"/>
    <numFmt numFmtId="317" formatCode="[$-409]mmm\-yy;@"/>
    <numFmt numFmtId="318" formatCode="[$-F800]dddd\,\ mmmm\ dd\,\ yyyy"/>
  </numFmts>
  <fonts count="3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color theme="1"/>
      <sz val="9"/>
    </font>
    <font>
      <name val="Arial"/>
      <family val="2"/>
      <b val="1"/>
      <sz val="12"/>
    </font>
    <font>
      <name val="Arial"/>
      <family val="2"/>
      <b val="1"/>
      <color rgb="FFFF0000"/>
      <sz val="14"/>
    </font>
    <font>
      <name val="Arial"/>
      <family val="2"/>
      <i val="1"/>
      <color theme="0" tint="-0.3499862666707358"/>
      <sz val="9"/>
    </font>
    <font>
      <name val="Arial"/>
      <family val="2"/>
      <b val="1"/>
      <color theme="1"/>
      <sz val="9"/>
    </font>
    <font>
      <name val="Arial"/>
      <family val="2"/>
      <sz val="9"/>
    </font>
    <font>
      <name val="Arial"/>
      <family val="2"/>
      <color rgb="FF0000FF"/>
      <sz val="9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color indexed="9"/>
      <sz val="9"/>
    </font>
    <font>
      <name val="Arial"/>
      <family val="2"/>
      <color theme="1"/>
      <sz val="10"/>
    </font>
    <font>
      <name val="Arial"/>
      <family val="2"/>
      <color indexed="22"/>
      <sz val="9"/>
    </font>
    <font>
      <name val="Arial"/>
      <family val="2"/>
      <color theme="0" tint="-0.3499862666707358"/>
      <sz val="9"/>
    </font>
    <font>
      <name val="Arial"/>
      <family val="2"/>
      <b val="1"/>
      <color rgb="FFFF0000"/>
      <sz val="9"/>
    </font>
    <font>
      <name val="Arial"/>
      <family val="2"/>
      <b val="1"/>
      <sz val="10"/>
      <u val="singleAccounting"/>
    </font>
    <font>
      <name val="Arial"/>
      <family val="2"/>
      <color indexed="12"/>
      <sz val="9"/>
    </font>
    <font>
      <name val="Arial"/>
      <family val="2"/>
      <color indexed="55"/>
      <sz val="9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Arial"/>
      <family val="2"/>
      <b val="1"/>
      <color indexed="55"/>
      <sz val="9"/>
    </font>
    <font>
      <name val="Arial"/>
      <family val="2"/>
      <i val="1"/>
      <sz val="9"/>
    </font>
    <font>
      <name val="Arial"/>
      <family val="2"/>
      <b val="1"/>
      <sz val="10"/>
    </font>
    <font>
      <name val="Arial"/>
      <family val="2"/>
      <color rgb="FFFF0000"/>
      <sz val="9"/>
    </font>
    <font>
      <name val="Arial"/>
      <family val="2"/>
      <color rgb="FF0070C0"/>
      <sz val="10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000000"/>
      <sz val="9"/>
    </font>
    <font>
      <name val="Arial"/>
      <family val="2"/>
      <b val="1"/>
      <sz val="16"/>
    </font>
    <font>
      <name val="Arial"/>
      <family val="2"/>
      <b val="1"/>
      <color rgb="FF0070C0"/>
      <sz val="9"/>
    </font>
    <font>
      <name val="Arial"/>
      <family val="2"/>
      <b val="1"/>
      <color rgb="FFFF0000"/>
      <sz val="11"/>
    </font>
    <font>
      <name val="Arial"/>
      <family val="2"/>
      <color theme="0" tint="-0.1499984740745262"/>
      <sz val="8"/>
    </font>
    <font>
      <name val="Arial"/>
      <family val="2"/>
      <color rgb="FF000000"/>
      <sz val="9"/>
    </font>
    <font>
      <name val="Tahoma"/>
      <family val="2"/>
      <color indexed="81"/>
      <sz val="9"/>
    </font>
    <font>
      <name val="Arial"/>
      <family val="2"/>
      <color rgb="FFFFFFFF"/>
      <sz val="9"/>
    </font>
    <font>
      <name val="Arial"/>
      <family val="2"/>
      <color theme="0"/>
      <sz val="9"/>
    </font>
    <font>
      <name val="Arial"/>
      <family val="2"/>
      <b val="1"/>
      <sz val="9"/>
      <u val="single"/>
    </font>
    <font>
      <name val="Calibri"/>
      <family val="2"/>
      <i val="1"/>
      <color theme="2" tint="-0.249977111117893"/>
      <sz val="11"/>
      <scheme val="minor"/>
    </font>
    <font>
      <name val="Arial"/>
      <family val="2"/>
      <i val="1"/>
      <color theme="1"/>
      <sz val="9"/>
    </font>
    <font>
      <name val="Calibri"/>
      <family val="2"/>
      <i val="1"/>
      <color theme="2" tint="-0.249977111117893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i val="1"/>
      <color theme="2" tint="-0.249977111117893"/>
      <sz val="9"/>
      <scheme val="minor"/>
    </font>
    <font>
      <name val="Arial"/>
      <family val="2"/>
      <b val="1"/>
      <color rgb="FF0000FF"/>
      <sz val="9"/>
    </font>
    <font>
      <name val="Arial"/>
      <family val="2"/>
      <b val="1"/>
      <sz val="8"/>
    </font>
    <font>
      <name val="Arial"/>
      <family val="2"/>
      <color theme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theme="1"/>
      <sz val="10"/>
      <scheme val="minor"/>
    </font>
    <font>
      <name val="Cg times"/>
      <sz val="9"/>
    </font>
    <font>
      <name val="Cg times"/>
      <b val="1"/>
      <sz val="9"/>
    </font>
    <font>
      <name val="Cg times"/>
      <color rgb="FFFF0000"/>
      <sz val="9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rgb="FFFF0000"/>
      <sz val="10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</font>
    <font>
      <name val="Times New Roman"/>
      <family val="1"/>
      <b val="1"/>
      <sz val="8"/>
    </font>
    <font>
      <name val="Times New Roman"/>
      <family val="1"/>
      <sz val="8"/>
    </font>
    <font>
      <name val="Book Antiqua"/>
      <family val="1"/>
      <sz val="8"/>
    </font>
    <font>
      <name val="Garamond"/>
      <family val="1"/>
      <sz val="12"/>
    </font>
    <font>
      <name val="Arial"/>
      <family val="2"/>
      <color indexed="12"/>
      <sz val="8"/>
    </font>
    <font>
      <name val="Arial Narrow"/>
      <family val="2"/>
      <sz val="10"/>
    </font>
    <font>
      <name val="Helv"/>
      <sz val="10"/>
    </font>
    <font>
      <name val="Times New Roman"/>
      <family val="1"/>
      <color indexed="17"/>
      <sz val="8"/>
    </font>
    <font>
      <name val="MS Serif"/>
      <family val="1"/>
      <sz val="8"/>
    </font>
    <font>
      <name val="Times New Roman"/>
      <family val="1"/>
      <color indexed="18"/>
      <sz val="8"/>
    </font>
    <font>
      <name val="Helv"/>
      <sz val="8"/>
    </font>
    <font>
      <name val="MS Sans Serif"/>
      <family val="2"/>
      <color indexed="8"/>
      <sz val="10"/>
    </font>
    <font>
      <name val="Arial"/>
      <family val="2"/>
      <color indexed="12"/>
      <sz val="8.4"/>
      <u val="single"/>
    </font>
    <font>
      <name val="MS ??"/>
      <charset val="128"/>
      <family val="1"/>
      <sz val="12"/>
    </font>
    <font>
      <name val="Arial"/>
      <family val="2"/>
      <b val="1"/>
      <color indexed="18"/>
      <sz val="22"/>
    </font>
    <font>
      <name val="Helv"/>
      <charset val="204"/>
      <sz val="10"/>
    </font>
    <font>
      <name val="Arial"/>
      <family val="2"/>
      <b val="1"/>
      <color indexed="18"/>
      <sz val="14"/>
    </font>
    <font>
      <name val="Arial"/>
      <family val="2"/>
      <color indexed="8"/>
      <sz val="9"/>
    </font>
    <font>
      <name val="Arial"/>
      <family val="2"/>
      <b val="1"/>
      <color indexed="18"/>
      <sz val="10"/>
    </font>
    <font>
      <name val="Arial"/>
      <family val="2"/>
      <b val="1"/>
      <color indexed="18"/>
      <sz val="10"/>
      <u val="singleAccounting"/>
    </font>
    <font>
      <name val="Times New Roman"/>
      <family val="1"/>
      <sz val="12"/>
    </font>
    <font>
      <name val="‚l‚r ƒSƒVƒbƒN"/>
      <charset val="128"/>
      <sz val="11"/>
    </font>
    <font>
      <name val="Arial"/>
      <family val="2"/>
      <sz val="10"/>
      <u val="single"/>
    </font>
    <font>
      <name val="MS Sans Serif"/>
      <family val="2"/>
      <sz val="10"/>
    </font>
    <font>
      <name val="Palatino"/>
      <sz val="10"/>
    </font>
    <font>
      <name val="Tms Rmn"/>
      <sz val="14"/>
    </font>
    <font>
      <name val="Arial MT"/>
      <sz val="12"/>
    </font>
    <font>
      <name val="Helv"/>
      <sz val="12"/>
    </font>
    <font>
      <name val="Times New Roman"/>
      <family val="1"/>
      <color indexed="12"/>
      <sz val="9"/>
    </font>
    <font>
      <name val="Times"/>
      <family val="1"/>
      <sz val="8"/>
    </font>
    <font>
      <name val="Arial"/>
      <family val="2"/>
      <sz val="12"/>
    </font>
    <font>
      <name val="Arial"/>
      <family val="2"/>
      <i val="1"/>
      <sz val="8"/>
    </font>
    <font>
      <name val="Helv"/>
      <color indexed="12"/>
      <sz val="8"/>
    </font>
    <font>
      <name val="Geneva"/>
      <sz val="10"/>
    </font>
    <font>
      <name val="Arial"/>
      <family val="2"/>
      <color indexed="13"/>
      <sz val="8"/>
    </font>
    <font>
      <name val="Times New Roman"/>
      <family val="1"/>
      <b val="1"/>
      <color indexed="9"/>
      <sz val="8"/>
    </font>
    <font>
      <name val="Tms Rmn"/>
      <color indexed="8"/>
      <sz val="10"/>
    </font>
    <font>
      <name val="Times New Roman"/>
      <family val="1"/>
      <color indexed="12"/>
      <sz val="10"/>
    </font>
    <font>
      <name val="Palatino"/>
      <b val="1"/>
      <sz val="12"/>
    </font>
    <font>
      <name val="Times New Roman"/>
      <family val="1"/>
      <b val="1"/>
      <sz val="12"/>
    </font>
    <font>
      <name val="MS Sans Serif"/>
      <family val="2"/>
      <b val="1"/>
      <sz val="10"/>
    </font>
    <font>
      <name val="Arial"/>
      <family val="2"/>
      <i val="1"/>
      <color indexed="12"/>
      <sz val="8"/>
    </font>
    <font>
      <name val="Arial"/>
      <family val="2"/>
      <sz val="10"/>
      <u val="singleAccounting"/>
    </font>
    <font>
      <name val="?? ?????"/>
      <charset val="128"/>
      <family val="3"/>
      <sz val="11"/>
    </font>
    <font>
      <name val="Times New Roman"/>
      <family val="1"/>
      <b val="1"/>
      <i val="1"/>
      <sz val="18"/>
    </font>
    <font>
      <name val="MS Serif"/>
      <family val="1"/>
      <b val="1"/>
      <sz val="10"/>
    </font>
    <font>
      <name val="Tms Rmn"/>
      <sz val="8"/>
    </font>
    <font>
      <name val="Times New Roman"/>
      <family val="1"/>
      <color indexed="18"/>
      <sz val="10"/>
    </font>
    <font>
      <name val="Arial"/>
      <family val="2"/>
      <b val="1"/>
      <i val="1"/>
      <sz val="8"/>
    </font>
    <font>
      <name val="Times New Roman"/>
      <family val="1"/>
      <color indexed="12"/>
      <sz val="8"/>
      <u val="single"/>
    </font>
    <font>
      <name val="Tms Rmn"/>
      <family val="1"/>
      <sz val="11"/>
    </font>
    <font>
      <name val="Palatino"/>
      <family val="1"/>
      <sz val="8"/>
    </font>
    <font>
      <name val="Arial"/>
      <family val="2"/>
      <color indexed="24"/>
      <sz val="10"/>
    </font>
    <font>
      <name val="MS Sans Serif"/>
      <family val="2"/>
      <i val="1"/>
      <sz val="9"/>
    </font>
    <font>
      <name val="Arial"/>
      <family val="2"/>
      <sz val="24"/>
    </font>
    <font>
      <name val="Times New Roman"/>
      <family val="1"/>
      <b val="1"/>
      <sz val="11"/>
    </font>
    <font>
      <name val="Arial"/>
      <family val="2"/>
      <sz val="7"/>
    </font>
    <font>
      <name val="Palatino"/>
      <family val="1"/>
      <color indexed="16"/>
      <sz val="8"/>
    </font>
    <font>
      <name val="Helv"/>
      <family val="2"/>
      <sz val="10"/>
    </font>
    <font>
      <name val="Times New Roman"/>
      <family val="1"/>
      <color indexed="12"/>
      <sz val="8"/>
    </font>
    <font>
      <name val="Arial MT"/>
      <color indexed="8"/>
      <sz val="10"/>
    </font>
    <font>
      <name val="Courier"/>
      <family val="3"/>
      <sz val="10"/>
    </font>
    <font>
      <name val="Arial"/>
      <family val="2"/>
      <color indexed="8"/>
      <sz val="10"/>
    </font>
    <font>
      <name val="Arial"/>
      <family val="2"/>
      <sz val="10"/>
      <u val="doubleAccounting"/>
    </font>
    <font>
      <name val="Arial Narrow"/>
      <family val="2"/>
      <b val="1"/>
      <color indexed="8"/>
      <sz val="14"/>
    </font>
    <font>
      <name val="Arial Narrow"/>
      <family val="2"/>
      <b val="1"/>
      <color indexed="8"/>
      <sz val="10"/>
    </font>
    <font>
      <name val="Arial Narrow"/>
      <family val="2"/>
      <b val="1"/>
      <sz val="10"/>
    </font>
    <font>
      <name val="Arial Narrow"/>
      <family val="2"/>
      <sz val="9"/>
    </font>
    <font>
      <name val="GoudyOlSt BT"/>
      <family val="1"/>
      <color indexed="8"/>
      <sz val="8"/>
    </font>
    <font>
      <name val="Arial Narrow"/>
      <family val="2"/>
      <i val="1"/>
      <sz val="9"/>
    </font>
    <font>
      <name val="Arial Narrow"/>
      <family val="2"/>
      <i val="1"/>
      <sz val="10"/>
    </font>
    <font>
      <name val="Arial"/>
      <family val="2"/>
      <i val="1"/>
      <color indexed="8"/>
      <sz val="9"/>
    </font>
    <font>
      <name val="Times New Roman"/>
      <family val="1"/>
      <sz val="14"/>
    </font>
    <font>
      <name val="Times New Roman"/>
      <family val="1"/>
      <sz val="22"/>
    </font>
    <font>
      <name val="HelveticaNeue Condensed"/>
      <b val="1"/>
      <i val="1"/>
      <color indexed="12"/>
      <sz val="9"/>
    </font>
    <font>
      <name val="SWISS"/>
      <color indexed="13"/>
      <sz val="24"/>
    </font>
    <font>
      <name val="Arial Narrow"/>
      <family val="2"/>
      <b val="1"/>
      <sz val="12"/>
      <u val="single"/>
    </font>
    <font>
      <name val="SWISS"/>
      <sz val="10"/>
    </font>
    <font>
      <name val="Tahoma"/>
      <family val="2"/>
      <color indexed="2"/>
      <sz val="10"/>
    </font>
    <font>
      <name val="Arial"/>
      <family val="2"/>
      <b val="1"/>
      <color indexed="12"/>
      <sz val="7"/>
    </font>
    <font>
      <name val="Times New Roman"/>
      <family val="1"/>
      <color indexed="32"/>
      <sz val="14"/>
    </font>
    <font>
      <name val="Tahoma"/>
      <family val="2"/>
      <b val="1"/>
      <color indexed="0"/>
      <sz val="10"/>
    </font>
    <font>
      <name val="Arial"/>
      <family val="2"/>
      <b val="1"/>
      <sz val="18"/>
    </font>
    <font>
      <name val="Arial"/>
      <family val="2"/>
      <sz val="6"/>
    </font>
    <font>
      <name val="Palatino"/>
      <family val="1"/>
      <sz val="7"/>
    </font>
    <font>
      <name val="SWISS"/>
      <b val="1"/>
      <sz val="14"/>
    </font>
    <font>
      <name val="Times New Roman"/>
      <family val="1"/>
      <color indexed="17"/>
      <sz val="10"/>
    </font>
    <font>
      <name val="Times New Roman"/>
      <family val="1"/>
      <color indexed="17"/>
      <sz val="7"/>
    </font>
    <font>
      <name val="Times New Roman"/>
      <family val="1"/>
      <sz val="7"/>
    </font>
    <font>
      <name val="Futura UBS Bk"/>
      <family val="2"/>
      <sz val="9"/>
    </font>
    <font>
      <name val="Palatino"/>
      <family val="1"/>
      <color indexed="16"/>
      <sz val="6"/>
    </font>
    <font>
      <name val="Helv"/>
      <b val="1"/>
      <sz val="10"/>
    </font>
    <font>
      <name val="Palatino"/>
      <b val="1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0"/>
    </font>
    <font>
      <name val="Times New Roman"/>
      <family val="1"/>
      <b val="1"/>
      <sz val="9"/>
    </font>
    <font>
      <name val="Times New Roman"/>
      <family val="1"/>
      <b val="1"/>
      <sz val="9"/>
      <u val="single"/>
    </font>
    <font>
      <name val="Times New Roman"/>
      <family val="1"/>
      <b val="1"/>
      <i val="1"/>
      <sz val="22"/>
    </font>
    <font>
      <name val="Helv"/>
      <color indexed="12"/>
      <sz val="7"/>
    </font>
    <font>
      <name val="Arial"/>
      <family val="2"/>
      <color indexed="12"/>
      <sz val="10"/>
    </font>
    <font>
      <name val="Arial"/>
      <family val="2"/>
      <color indexed="39"/>
      <sz val="8"/>
    </font>
    <font>
      <name val="Arial"/>
      <family val="2"/>
      <color indexed="17"/>
      <sz val="10"/>
    </font>
    <font>
      <name val="Times New Roman"/>
      <family val="1"/>
      <b val="1"/>
      <color indexed="12"/>
      <sz val="8"/>
    </font>
    <font>
      <name val="Times New Roman"/>
      <family val="1"/>
      <b val="1"/>
      <color indexed="8"/>
      <sz val="8"/>
    </font>
    <font>
      <name val="Helv"/>
      <color indexed="10"/>
      <sz val="8"/>
    </font>
    <font>
      <name val="Arial"/>
      <family val="2"/>
      <b val="1"/>
      <i val="1"/>
      <color indexed="8"/>
      <sz val="20"/>
    </font>
    <font>
      <name val="Arial"/>
      <family val="2"/>
      <color indexed="16"/>
      <sz val="8"/>
    </font>
    <font>
      <name val="MS Sans Serif"/>
      <family val="2"/>
      <color indexed="16"/>
      <sz val="10"/>
    </font>
    <font>
      <name val="Century Gothic"/>
      <family val="2"/>
      <sz val="10"/>
    </font>
    <font>
      <name val="Helv"/>
      <color indexed="8"/>
      <sz val="8"/>
    </font>
    <font>
      <name val="Arial"/>
      <family val="2"/>
      <color indexed="8"/>
      <sz val="8"/>
    </font>
    <font>
      <name val="Times New Roman"/>
      <family val="1"/>
      <b val="1"/>
      <sz val="36"/>
    </font>
    <font>
      <name val="Tahoma"/>
      <family val="2"/>
      <b val="1"/>
      <i val="1"/>
      <color indexed="4"/>
      <sz val="10"/>
    </font>
    <font>
      <name val="Tahoma"/>
      <family val="2"/>
      <color indexed="4"/>
      <sz val="10"/>
    </font>
    <font>
      <name val="Times New Roman"/>
      <family val="1"/>
      <color indexed="20"/>
      <sz val="10"/>
    </font>
    <font>
      <name val="Architecture"/>
      <family val="2"/>
      <sz val="14"/>
    </font>
    <font>
      <name val="Century Schoolbook"/>
      <family val="1"/>
      <sz val="7.5"/>
    </font>
    <font>
      <name val="Arial"/>
      <family val="2"/>
      <b val="1"/>
      <color indexed="17"/>
      <sz val="10"/>
    </font>
    <font>
      <name val="CG Times (WN)"/>
      <sz val="10"/>
    </font>
    <font>
      <name val="Times New Roman"/>
      <family val="1"/>
      <sz val="9"/>
    </font>
    <font>
      <name val="Small Fonts"/>
      <family val="2"/>
      <sz val="7"/>
    </font>
    <font>
      <name val="Helv"/>
      <b val="1"/>
      <i val="1"/>
      <sz val="16"/>
    </font>
    <font>
      <name val="Credit Suisse Type Roman"/>
      <family val="2"/>
      <color indexed="16"/>
      <sz val="10"/>
    </font>
    <font>
      <name val="Garamond"/>
      <family val="1"/>
      <sz val="10"/>
    </font>
    <font>
      <name val="Tahoma"/>
      <family val="2"/>
      <sz val="10"/>
    </font>
    <font>
      <name val="Helv"/>
      <family val="2"/>
      <color indexed="8"/>
      <sz val="8"/>
    </font>
    <font>
      <name val="Palatino"/>
      <family val="1"/>
      <sz val="10"/>
    </font>
    <font>
      <name val="Times New Roman"/>
      <family val="1"/>
      <b val="1"/>
      <i val="1"/>
      <color indexed="8"/>
      <sz val="24"/>
    </font>
    <font>
      <name val="Arial"/>
      <family val="2"/>
      <color indexed="12"/>
      <sz val="7"/>
    </font>
    <font>
      <name val="Times New Roman"/>
      <family val="1"/>
      <color indexed="8"/>
      <sz val="8"/>
    </font>
    <font>
      <name val="Century Gothic"/>
      <family val="2"/>
      <b val="1"/>
      <color indexed="10"/>
      <sz val="12"/>
    </font>
    <font>
      <name val="Arial"/>
      <family val="2"/>
      <b val="1"/>
      <color indexed="72"/>
      <sz val="10"/>
    </font>
    <font>
      <name val="MS Sans Serif"/>
      <family val="2"/>
      <b val="1"/>
      <sz val="13.5"/>
    </font>
    <font>
      <name val="Arial"/>
      <family val="2"/>
      <b val="1"/>
      <i val="1"/>
      <color indexed="8"/>
      <sz val="10"/>
    </font>
    <font>
      <name val="Arial"/>
      <family val="2"/>
      <b val="1"/>
      <color indexed="9"/>
      <sz val="10"/>
    </font>
    <font>
      <name val="Times New Roman"/>
      <family val="1"/>
      <b val="1"/>
      <color indexed="18"/>
      <sz val="22"/>
    </font>
    <font>
      <name val="Arial"/>
      <family val="2"/>
      <color indexed="39"/>
      <sz val="10"/>
    </font>
    <font>
      <name val="Times New Roman"/>
      <family val="1"/>
      <b val="1"/>
      <sz val="26"/>
    </font>
    <font>
      <name val="Helvetica-Black"/>
      <color indexed="16"/>
      <sz val="10"/>
    </font>
    <font>
      <name val="Times New Roman"/>
      <family val="1"/>
      <b val="1"/>
      <sz val="10"/>
    </font>
    <font>
      <name val="GillSans"/>
      <family val="2"/>
      <color indexed="13"/>
      <sz val="9"/>
    </font>
    <font>
      <name val="Times New Roman"/>
      <family val="1"/>
      <b val="1"/>
      <color indexed="18"/>
      <sz val="8"/>
    </font>
    <font>
      <name val="Times New Roman"/>
      <family val="1"/>
      <b val="1"/>
      <sz val="14"/>
    </font>
    <font>
      <name val="Arial"/>
      <family val="2"/>
      <color indexed="32"/>
      <sz val="8"/>
    </font>
    <font>
      <name val="Arial"/>
      <family val="2"/>
      <color indexed="10"/>
      <sz val="8"/>
    </font>
    <font>
      <name val="MS Sans Serif"/>
      <family val="2"/>
      <color indexed="10"/>
      <sz val="10"/>
    </font>
    <font>
      <name val="Helvetica"/>
      <family val="2"/>
      <color indexed="12"/>
      <sz val="8"/>
    </font>
    <font>
      <name val="COUR"/>
      <sz val="8"/>
    </font>
    <font>
      <name val="Helvetica-Black"/>
      <color indexed="23"/>
      <sz val="9.5"/>
    </font>
    <font>
      <name val="Arial"/>
      <family val="2"/>
      <b val="1"/>
      <color indexed="8"/>
      <sz val="8"/>
    </font>
    <font>
      <name val="Arial"/>
      <family val="2"/>
      <b val="1"/>
      <i val="1"/>
      <color indexed="8"/>
      <sz val="12"/>
    </font>
    <font>
      <name val="Arial"/>
      <family val="2"/>
      <b val="1"/>
      <color indexed="8"/>
      <sz val="10"/>
    </font>
    <font>
      <name val="Arial"/>
      <family val="2"/>
      <color indexed="8"/>
      <sz val="12"/>
    </font>
    <font>
      <name val="Arial"/>
      <family val="2"/>
      <b val="1"/>
      <color indexed="8"/>
      <sz val="12"/>
    </font>
    <font>
      <name val="Arial"/>
      <family val="2"/>
      <i val="1"/>
      <color indexed="8"/>
      <sz val="12"/>
    </font>
    <font>
      <name val="Arial"/>
      <family val="2"/>
      <color indexed="48"/>
      <sz val="19"/>
    </font>
    <font>
      <name val="Arial"/>
      <family val="2"/>
      <color indexed="14"/>
      <sz val="12"/>
    </font>
    <font>
      <name val="Tms Rmn"/>
      <sz val="10"/>
    </font>
    <font>
      <name val="Arial"/>
      <family val="2"/>
      <color indexed="9"/>
      <sz val="10"/>
    </font>
    <font>
      <name val="Arial MT"/>
      <sz val="10"/>
    </font>
    <font>
      <name val="Times New Roman"/>
      <family val="1"/>
      <sz val="11"/>
    </font>
    <font>
      <name val="Arial"/>
      <family val="2"/>
      <b val="1"/>
      <color indexed="10"/>
      <sz val="10"/>
    </font>
    <font>
      <name val="Times New Roman"/>
      <family val="1"/>
      <b val="1"/>
      <color indexed="16"/>
      <sz val="8"/>
    </font>
    <font>
      <name val="Times New Roman"/>
      <family val="1"/>
      <color indexed="18"/>
      <sz val="7"/>
    </font>
    <font>
      <name val="Times New Roman"/>
      <family val="1"/>
      <i val="1"/>
      <color indexed="12"/>
      <sz val="12"/>
    </font>
    <font>
      <name val="Arial Narrow"/>
      <family val="2"/>
      <sz val="8.5"/>
    </font>
    <font>
      <name val="Palatino"/>
      <family val="1"/>
      <b val="1"/>
      <sz val="9"/>
    </font>
    <font>
      <name val="Helvetica-Black"/>
      <color indexed="21"/>
      <sz val="9"/>
    </font>
    <font>
      <name val="Palatino"/>
      <family val="1"/>
      <b val="1"/>
      <sz val="10"/>
    </font>
    <font>
      <name val="Arial"/>
      <family val="2"/>
      <b val="1"/>
      <sz val="7"/>
    </font>
    <font>
      <name val="Helvetica-Black"/>
      <sz val="9"/>
    </font>
    <font>
      <name val="Palatino"/>
      <family val="1"/>
      <color indexed="8"/>
      <sz val="12"/>
    </font>
    <font>
      <name val="Helvetica-Black"/>
      <color indexed="8"/>
      <sz val="11"/>
    </font>
    <font>
      <name val="Times New Roman"/>
      <family val="1"/>
      <b val="1"/>
      <color indexed="8"/>
      <sz val="10"/>
    </font>
    <font>
      <name val="Arial"/>
      <family val="2"/>
      <sz val="11"/>
    </font>
    <font>
      <name val="Helv"/>
      <b val="1"/>
      <sz val="14"/>
    </font>
    <font>
      <name val="Palatino"/>
      <b val="1"/>
      <sz val="14"/>
    </font>
    <font>
      <name val="Arial Black"/>
      <family val="2"/>
      <color indexed="9"/>
      <sz val="8"/>
    </font>
    <font>
      <name val="Helv"/>
      <b val="1"/>
      <sz val="8"/>
    </font>
    <font>
      <name val="Arial"/>
      <family val="2"/>
      <b val="1"/>
      <i val="1"/>
      <sz val="24"/>
    </font>
    <font>
      <name val="Times New Roman"/>
      <family val="1"/>
      <i val="1"/>
      <sz val="8"/>
    </font>
    <font>
      <name val="Helv"/>
      <color indexed="16"/>
      <sz val="8"/>
    </font>
    <font>
      <name val="Arial"/>
      <family val="2"/>
      <b val="1"/>
      <i val="1"/>
      <sz val="10"/>
    </font>
    <font>
      <name val="Arial"/>
      <family val="2"/>
      <color indexed="9"/>
      <sz val="8"/>
    </font>
    <font>
      <name val="Times New Roman"/>
      <family val="1"/>
      <b val="1"/>
      <i val="1"/>
      <sz val="12"/>
    </font>
    <font>
      <name val="Palatino"/>
      <sz val="10"/>
      <u val="single"/>
    </font>
    <font>
      <name val="CG Times (WN)"/>
      <b val="1"/>
      <color indexed="18"/>
      <sz val="10"/>
    </font>
    <font>
      <name val="ＭＳ Ｐゴシック"/>
      <charset val="128"/>
      <family val="3"/>
      <color indexed="12"/>
      <sz val="11"/>
      <u val="single"/>
    </font>
    <font>
      <name val="Book Antiqua"/>
      <family val="1"/>
      <sz val="11"/>
    </font>
    <font>
      <name val="Arial"/>
      <family val="2"/>
      <color rgb="FF000000"/>
      <sz val="10"/>
    </font>
    <font>
      <name val="Tms Rmn"/>
      <family val="1"/>
      <color indexed="12"/>
      <sz val="8"/>
    </font>
    <font>
      <name val="Times New Roman"/>
      <family val="2"/>
      <color theme="1"/>
      <sz val="10"/>
    </font>
    <font>
      <name val="Calibri"/>
      <family val="2"/>
      <color indexed="8"/>
      <sz val="11"/>
      <scheme val="minor"/>
    </font>
    <font>
      <name val="Arial Narrow"/>
      <family val="2"/>
      <i val="1"/>
      <color rgb="FF7F7E82"/>
      <sz val="10"/>
    </font>
    <font>
      <name val="Arial Narrow"/>
      <family val="2"/>
      <b val="1"/>
      <color rgb="FF7F7E82"/>
      <sz val="10"/>
    </font>
    <font>
      <name val="Arial Narrow"/>
      <family val="2"/>
      <color rgb="FF7F7E82"/>
      <sz val="8"/>
    </font>
    <font>
      <name val="Calibri"/>
      <family val="2"/>
      <b val="1"/>
      <color theme="1" tint="0.0499893185216834"/>
      <sz val="8"/>
    </font>
    <font>
      <name val="Microsoft Sans Serif"/>
      <family val="2"/>
      <color rgb="FF000000"/>
      <sz val="8.25"/>
    </font>
    <font>
      <name val="Calibri Light"/>
      <family val="2"/>
      <b val="1"/>
      <color theme="3"/>
      <sz val="18"/>
      <scheme val="major"/>
    </font>
    <font>
      <name val="Calibri"/>
      <family val="2"/>
      <color rgb="FF9C6500"/>
      <sz val="11"/>
      <scheme val="minor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 Narrow"/>
      <family val="2"/>
      <color theme="1"/>
      <sz val="11"/>
    </font>
    <font>
      <name val="Arial"/>
      <family val="2"/>
      <color theme="10"/>
      <sz val="10"/>
      <u val="single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Geneva"/>
      <family val="2"/>
      <sz val="10"/>
    </font>
    <font>
      <name val="Palatino"/>
      <family val="1"/>
      <b val="1"/>
      <sz val="12"/>
    </font>
    <font>
      <name val="Palatino"/>
      <family val="1"/>
      <b val="1"/>
      <sz val="14"/>
    </font>
    <font>
      <name val="Palatino"/>
      <family val="1"/>
      <sz val="10"/>
      <u val="single"/>
    </font>
    <font>
      <name val="Calibri"/>
      <family val="2"/>
      <color theme="1"/>
      <sz val="12"/>
      <scheme val="minor"/>
    </font>
    <font>
      <name val="HelveticaNeueLT Std"/>
      <family val="2"/>
      <color theme="1"/>
      <sz val="10"/>
    </font>
    <font>
      <name val="Calibri"/>
      <family val="2"/>
      <color theme="1"/>
      <sz val="14"/>
      <scheme val="minor"/>
    </font>
    <font>
      <name val="Times New Roman"/>
      <family val="2"/>
      <color theme="1"/>
      <sz val="11"/>
    </font>
    <font>
      <name val="Arial"/>
      <family val="2"/>
      <color rgb="FF000000"/>
      <sz val="8.85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Calibri"/>
      <family val="2"/>
      <color theme="10"/>
      <sz val="8"/>
      <u val="single"/>
      <scheme val="minor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</fonts>
  <fills count="12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  <fill>
      <patternFill patternType="solid">
        <fgColor indexed="32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lightGray">
        <fgColor indexed="8"/>
      </patternFill>
    </fill>
    <fill>
      <patternFill patternType="solid">
        <fgColor indexed="24"/>
        <bgColor indexed="64"/>
      </patternFill>
    </fill>
    <fill>
      <patternFill patternType="solid">
        <fgColor indexed="12"/>
        <bgColor indexed="12"/>
      </patternFill>
    </fill>
    <fill>
      <patternFill patternType="solid">
        <fgColor indexed="8"/>
      </patternFill>
    </fill>
    <fill>
      <patternFill patternType="solid">
        <fgColor indexed="35"/>
        <bgColor indexed="64"/>
      </patternFill>
    </fill>
    <fill>
      <patternFill patternType="solid">
        <fgColor indexed="48"/>
      </patternFill>
    </fill>
    <fill>
      <patternFill patternType="solid">
        <fgColor indexed="13"/>
        <bgColor indexed="13"/>
      </patternFill>
    </fill>
    <fill>
      <patternFill patternType="lightGray">
        <fgColor indexed="13"/>
      </patternFill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lightGray">
        <fgColor indexed="10"/>
      </patternFill>
    </fill>
    <fill>
      <patternFill patternType="mediumGray">
        <f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0"/>
        <bgColor indexed="64"/>
      </patternFill>
    </fill>
    <fill>
      <patternFill patternType="gray0625">
        <fgColor indexed="15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mediumGray">
        <fgColor indexed="11"/>
      </patternFill>
    </fill>
    <fill>
      <patternFill patternType="lightGray">
        <fgColor indexed="1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808080"/>
        <bgColor indexed="64"/>
      </patternFill>
    </fill>
  </fills>
  <borders count="73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4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3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thick">
        <color indexed="17"/>
      </top>
      <bottom/>
      <diagonal/>
    </border>
    <border>
      <left/>
      <right/>
      <top/>
      <bottom style="thick">
        <color indexed="18"/>
      </bottom>
      <diagonal/>
    </border>
    <border>
      <left/>
      <right/>
      <top/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tted">
        <color indexed="64"/>
      </right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double">
        <color indexed="45"/>
      </bottom>
      <diagonal/>
    </border>
    <border>
      <left/>
      <right/>
      <top/>
      <bottom style="thin">
        <color indexed="1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4250">
    <xf numFmtId="0" fontId="1" fillId="0" borderId="0"/>
    <xf numFmtId="43" fontId="1" fillId="0" borderId="0"/>
    <xf numFmtId="44" fontId="1" fillId="0" borderId="0"/>
    <xf numFmtId="9" fontId="1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9" fontId="50" fillId="0" borderId="0"/>
    <xf numFmtId="43" fontId="50" fillId="0" borderId="0"/>
    <xf numFmtId="0" fontId="12" fillId="0" borderId="0"/>
    <xf numFmtId="0" fontId="59" fillId="0" borderId="0"/>
    <xf numFmtId="0" fontId="60" fillId="0" borderId="28"/>
    <xf numFmtId="0" fontId="61" fillId="0" borderId="29"/>
    <xf numFmtId="0" fontId="62" fillId="0" borderId="30"/>
    <xf numFmtId="0" fontId="62" fillId="0" borderId="0"/>
    <xf numFmtId="0" fontId="63" fillId="20" borderId="0"/>
    <xf numFmtId="0" fontId="64" fillId="21" borderId="0"/>
    <xf numFmtId="0" fontId="65" fillId="22" borderId="0"/>
    <xf numFmtId="0" fontId="66" fillId="23" borderId="31"/>
    <xf numFmtId="0" fontId="67" fillId="24" borderId="32"/>
    <xf numFmtId="0" fontId="68" fillId="24" borderId="31"/>
    <xf numFmtId="0" fontId="69" fillId="0" borderId="33"/>
    <xf numFmtId="0" fontId="70" fillId="25" borderId="34"/>
    <xf numFmtId="0" fontId="57" fillId="0" borderId="0"/>
    <xf numFmtId="0" fontId="1" fillId="26" borderId="35"/>
    <xf numFmtId="0" fontId="71" fillId="0" borderId="0"/>
    <xf numFmtId="0" fontId="49" fillId="0" borderId="36"/>
    <xf numFmtId="0" fontId="72" fillId="27" borderId="0"/>
    <xf numFmtId="0" fontId="1" fillId="28" borderId="0"/>
    <xf numFmtId="0" fontId="1" fillId="29" borderId="0"/>
    <xf numFmtId="0" fontId="1" fillId="30" borderId="0"/>
    <xf numFmtId="0" fontId="72" fillId="31" borderId="0"/>
    <xf numFmtId="0" fontId="1" fillId="32" borderId="0"/>
    <xf numFmtId="0" fontId="1" fillId="33" borderId="0"/>
    <xf numFmtId="0" fontId="1" fillId="34" borderId="0"/>
    <xf numFmtId="0" fontId="72" fillId="35" borderId="0"/>
    <xf numFmtId="0" fontId="1" fillId="36" borderId="0"/>
    <xf numFmtId="0" fontId="1" fillId="37" borderId="0"/>
    <xf numFmtId="0" fontId="1" fillId="38" borderId="0"/>
    <xf numFmtId="0" fontId="72" fillId="39" borderId="0"/>
    <xf numFmtId="0" fontId="1" fillId="40" borderId="0"/>
    <xf numFmtId="0" fontId="1" fillId="41" borderId="0"/>
    <xf numFmtId="0" fontId="1" fillId="42" borderId="0"/>
    <xf numFmtId="0" fontId="72" fillId="43" borderId="0"/>
    <xf numFmtId="0" fontId="1" fillId="44" borderId="0"/>
    <xf numFmtId="0" fontId="1" fillId="45" borderId="0"/>
    <xf numFmtId="0" fontId="1" fillId="46" borderId="0"/>
    <xf numFmtId="0" fontId="72" fillId="47" borderId="0"/>
    <xf numFmtId="0" fontId="1" fillId="48" borderId="0"/>
    <xf numFmtId="0" fontId="1" fillId="49" borderId="0"/>
    <xf numFmtId="0" fontId="1" fillId="50" borderId="0"/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187" fontId="250" fillId="0" borderId="7347" applyAlignment="1">
      <alignment horizontal="center"/>
    </xf>
    <xf numFmtId="0" fontId="315" fillId="22" borderId="0"/>
    <xf numFmtId="0" fontId="101" fillId="0" borderId="7347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2" fillId="0" borderId="7352"/>
    <xf numFmtId="189" fontId="46" fillId="0" borderId="7347"/>
    <xf numFmtId="189" fontId="46" fillId="0" borderId="7347"/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0" fontId="165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0" fontId="49" fillId="0" borderId="36"/>
    <xf numFmtId="0" fontId="25" fillId="10" borderId="7354" applyAlignment="1">
      <alignment horizontal="left" vertical="top"/>
    </xf>
    <xf numFmtId="0" fontId="1" fillId="26" borderId="35"/>
    <xf numFmtId="185" fontId="146" fillId="3" borderId="7347" applyAlignment="1">
      <alignment horizontal="left" vertical="center"/>
    </xf>
    <xf numFmtId="0" fontId="12" fillId="0" borderId="0"/>
    <xf numFmtId="43" fontId="73" fillId="0" borderId="0"/>
    <xf numFmtId="0" fontId="1" fillId="0" borderId="0"/>
    <xf numFmtId="9" fontId="1" fillId="0" borderId="0"/>
    <xf numFmtId="9" fontId="73" fillId="0" borderId="0"/>
    <xf numFmtId="0" fontId="1" fillId="0" borderId="0"/>
    <xf numFmtId="43" fontId="12" fillId="0" borderId="0"/>
    <xf numFmtId="0" fontId="1" fillId="0" borderId="0"/>
    <xf numFmtId="9" fontId="1" fillId="0" borderId="0"/>
    <xf numFmtId="0" fontId="12" fillId="0" borderId="0"/>
    <xf numFmtId="9" fontId="12" fillId="0" borderId="0"/>
    <xf numFmtId="0" fontId="12" fillId="0" borderId="0"/>
    <xf numFmtId="44" fontId="12" fillId="0" borderId="0"/>
    <xf numFmtId="0" fontId="12" fillId="0" borderId="0"/>
    <xf numFmtId="0" fontId="1" fillId="0" borderId="0"/>
    <xf numFmtId="9" fontId="1" fillId="0" borderId="0"/>
    <xf numFmtId="9" fontId="78" fillId="0" borderId="0" applyAlignment="1">
      <alignment horizontal="right"/>
    </xf>
    <xf numFmtId="14" fontId="79" fillId="0" borderId="0" applyAlignment="1">
      <alignment horizontal="right"/>
    </xf>
    <xf numFmtId="5" fontId="80" fillId="0" borderId="0"/>
    <xf numFmtId="191" fontId="80" fillId="0" borderId="0"/>
    <xf numFmtId="7" fontId="80" fillId="0" borderId="0"/>
    <xf numFmtId="0" fontId="12" fillId="0" borderId="0"/>
    <xf numFmtId="192" fontId="80" fillId="0" borderId="0"/>
    <xf numFmtId="193" fontId="80" fillId="0" borderId="0"/>
    <xf numFmtId="194" fontId="81" fillId="0" borderId="0"/>
    <xf numFmtId="9" fontId="82" fillId="51" borderId="38" applyAlignment="1">
      <alignment horizontal="right" vertical="center"/>
    </xf>
    <xf numFmtId="195" fontId="83" fillId="0" borderId="0"/>
    <xf numFmtId="0" fontId="75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196" fontId="80" fillId="0" borderId="0"/>
    <xf numFmtId="197" fontId="80" fillId="0" borderId="0"/>
    <xf numFmtId="196" fontId="80" fillId="0" borderId="0"/>
    <xf numFmtId="197" fontId="80" fillId="0" borderId="0"/>
    <xf numFmtId="197" fontId="80" fillId="0" borderId="0"/>
    <xf numFmtId="197" fontId="80" fillId="0" borderId="0"/>
    <xf numFmtId="196" fontId="80" fillId="0" borderId="0"/>
    <xf numFmtId="197" fontId="80" fillId="0" borderId="0"/>
    <xf numFmtId="197" fontId="80" fillId="0" borderId="0"/>
    <xf numFmtId="197" fontId="80" fillId="0" borderId="0"/>
    <xf numFmtId="196" fontId="80" fillId="0" borderId="0"/>
    <xf numFmtId="197" fontId="80" fillId="0" borderId="0"/>
    <xf numFmtId="197" fontId="80" fillId="0" borderId="0"/>
    <xf numFmtId="197" fontId="80" fillId="0" borderId="0"/>
    <xf numFmtId="196" fontId="80" fillId="0" borderId="0"/>
    <xf numFmtId="197" fontId="80" fillId="0" borderId="0"/>
    <xf numFmtId="197" fontId="80" fillId="0" borderId="0"/>
    <xf numFmtId="197" fontId="80" fillId="0" borderId="0"/>
    <xf numFmtId="196" fontId="80" fillId="0" borderId="0"/>
    <xf numFmtId="197" fontId="80" fillId="0" borderId="0"/>
    <xf numFmtId="197" fontId="80" fillId="0" borderId="0"/>
    <xf numFmtId="197" fontId="80" fillId="0" borderId="0"/>
    <xf numFmtId="196" fontId="80" fillId="0" borderId="0"/>
    <xf numFmtId="197" fontId="80" fillId="0" borderId="0"/>
    <xf numFmtId="197" fontId="80" fillId="0" borderId="0"/>
    <xf numFmtId="0" fontId="80" fillId="0" borderId="0"/>
    <xf numFmtId="197" fontId="80" fillId="0" borderId="0"/>
    <xf numFmtId="197" fontId="80" fillId="0" borderId="0"/>
    <xf numFmtId="197" fontId="80" fillId="0" borderId="0"/>
    <xf numFmtId="198" fontId="84" fillId="0" borderId="0"/>
    <xf numFmtId="0" fontId="85" fillId="0" borderId="0"/>
    <xf numFmtId="0" fontId="12" fillId="0" borderId="0"/>
    <xf numFmtId="0" fontId="12" fillId="0" borderId="0"/>
    <xf numFmtId="0" fontId="2" fillId="0" borderId="0"/>
    <xf numFmtId="199" fontId="12" fillId="0" borderId="0"/>
    <xf numFmtId="0" fontId="12" fillId="0" borderId="0"/>
    <xf numFmtId="0" fontId="86" fillId="0" borderId="0" applyAlignment="1" applyProtection="1">
      <alignment vertical="top"/>
      <protection locked="0" hidden="0"/>
    </xf>
    <xf numFmtId="0" fontId="87" fillId="0" borderId="0"/>
    <xf numFmtId="200" fontId="12" fillId="0" borderId="0"/>
    <xf numFmtId="201" fontId="12" fillId="0" borderId="0"/>
    <xf numFmtId="0" fontId="12" fillId="0" borderId="0"/>
    <xf numFmtId="0" fontId="12" fillId="0" borderId="0"/>
    <xf numFmtId="0" fontId="85" fillId="0" borderId="0"/>
    <xf numFmtId="202" fontId="12" fillId="0" borderId="0"/>
    <xf numFmtId="202" fontId="12" fillId="0" borderId="0"/>
    <xf numFmtId="203" fontId="12" fillId="0" borderId="0"/>
    <xf numFmtId="203" fontId="12" fillId="0" borderId="0"/>
    <xf numFmtId="203" fontId="12" fillId="0" borderId="0"/>
    <xf numFmtId="202" fontId="12" fillId="0" borderId="0"/>
    <xf numFmtId="204" fontId="12" fillId="0" borderId="0"/>
    <xf numFmtId="205" fontId="12" fillId="0" borderId="0"/>
    <xf numFmtId="206" fontId="12" fillId="0" borderId="0"/>
    <xf numFmtId="206" fontId="12" fillId="0" borderId="0"/>
    <xf numFmtId="206" fontId="12" fillId="0" borderId="0"/>
    <xf numFmtId="205" fontId="12" fillId="0" borderId="0"/>
    <xf numFmtId="205" fontId="12" fillId="0" borderId="0"/>
    <xf numFmtId="205" fontId="12" fillId="0" borderId="0"/>
    <xf numFmtId="205" fontId="12" fillId="0" borderId="0"/>
    <xf numFmtId="205" fontId="12" fillId="0" borderId="0"/>
    <xf numFmtId="205" fontId="12" fillId="0" borderId="0"/>
    <xf numFmtId="205" fontId="12" fillId="0" borderId="0"/>
    <xf numFmtId="205" fontId="12" fillId="0" borderId="0"/>
    <xf numFmtId="204" fontId="12" fillId="0" borderId="0"/>
    <xf numFmtId="207" fontId="12" fillId="0" borderId="0"/>
    <xf numFmtId="208" fontId="12" fillId="0" borderId="0"/>
    <xf numFmtId="39" fontId="12" fillId="0" borderId="0"/>
    <xf numFmtId="39" fontId="12" fillId="0" borderId="0"/>
    <xf numFmtId="39" fontId="12" fillId="0" borderId="0"/>
    <xf numFmtId="39" fontId="12" fillId="0" borderId="0"/>
    <xf numFmtId="208" fontId="12" fillId="0" borderId="0"/>
    <xf numFmtId="39" fontId="12" fillId="0" borderId="0"/>
    <xf numFmtId="208" fontId="12" fillId="0" borderId="0"/>
    <xf numFmtId="39" fontId="12" fillId="0" borderId="0"/>
    <xf numFmtId="39" fontId="12" fillId="0" borderId="0"/>
    <xf numFmtId="208" fontId="12" fillId="0" borderId="0"/>
    <xf numFmtId="208" fontId="12" fillId="0" borderId="0"/>
    <xf numFmtId="208" fontId="12" fillId="0" borderId="0"/>
    <xf numFmtId="208" fontId="12" fillId="0" borderId="0"/>
    <xf numFmtId="208" fontId="12" fillId="0" borderId="0"/>
    <xf numFmtId="208" fontId="12" fillId="0" borderId="0"/>
    <xf numFmtId="207" fontId="12" fillId="0" borderId="0"/>
    <xf numFmtId="209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8" fillId="0" borderId="0"/>
    <xf numFmtId="0" fontId="12" fillId="52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210" fontId="12" fillId="0" borderId="0"/>
    <xf numFmtId="210" fontId="12" fillId="0" borderId="0"/>
    <xf numFmtId="211" fontId="12" fillId="0" borderId="0"/>
    <xf numFmtId="211" fontId="12" fillId="0" borderId="0"/>
    <xf numFmtId="211" fontId="12" fillId="0" borderId="0"/>
    <xf numFmtId="210" fontId="12" fillId="0" borderId="0"/>
    <xf numFmtId="212" fontId="12" fillId="0" borderId="0" applyAlignment="1">
      <alignment horizontal="right"/>
    </xf>
    <xf numFmtId="212" fontId="12" fillId="0" borderId="0" applyAlignment="1">
      <alignment horizontal="right"/>
    </xf>
    <xf numFmtId="213" fontId="12" fillId="0" borderId="0"/>
    <xf numFmtId="213" fontId="12" fillId="0" borderId="0"/>
    <xf numFmtId="213" fontId="12" fillId="0" borderId="0"/>
    <xf numFmtId="212" fontId="12" fillId="0" borderId="0" applyAlignment="1">
      <alignment horizontal="right"/>
    </xf>
    <xf numFmtId="0" fontId="12" fillId="0" borderId="0"/>
    <xf numFmtId="0" fontId="12" fillId="0" borderId="0"/>
    <xf numFmtId="214" fontId="12" fillId="0" borderId="0"/>
    <xf numFmtId="215" fontId="12" fillId="0" borderId="0"/>
    <xf numFmtId="0" fontId="12" fillId="0" borderId="0"/>
    <xf numFmtId="0" fontId="89" fillId="0" borderId="0"/>
    <xf numFmtId="0" fontId="90" fillId="0" borderId="0" applyAlignment="1">
      <alignment vertical="top"/>
    </xf>
    <xf numFmtId="0" fontId="91" fillId="0" borderId="39"/>
    <xf numFmtId="0" fontId="92" fillId="0" borderId="40" applyAlignment="1">
      <alignment horizontal="center"/>
    </xf>
    <xf numFmtId="0" fontId="92" fillId="0" borderId="0" applyAlignment="1">
      <alignment horizontal="left"/>
    </xf>
    <xf numFmtId="0" fontId="93" fillId="0" borderId="0" applyAlignment="1">
      <alignment horizontal="centerContinuous"/>
    </xf>
    <xf numFmtId="37" fontId="79" fillId="0" borderId="0" applyAlignment="1">
      <alignment horizontal="right"/>
    </xf>
    <xf numFmtId="0" fontId="12" fillId="0" borderId="0"/>
    <xf numFmtId="44" fontId="2" fillId="0" borderId="0"/>
    <xf numFmtId="42" fontId="2" fillId="0" borderId="0"/>
    <xf numFmtId="0" fontId="12" fillId="0" borderId="0"/>
    <xf numFmtId="0" fontId="94" fillId="0" borderId="0"/>
    <xf numFmtId="0" fontId="94" fillId="0" borderId="0"/>
    <xf numFmtId="0" fontId="2" fillId="0" borderId="0"/>
    <xf numFmtId="0" fontId="95" fillId="0" borderId="0"/>
    <xf numFmtId="1" fontId="96" fillId="0" borderId="0"/>
    <xf numFmtId="9" fontId="12" fillId="0" borderId="0"/>
    <xf numFmtId="0" fontId="97" fillId="0" borderId="0"/>
    <xf numFmtId="216" fontId="98" fillId="0" borderId="0"/>
    <xf numFmtId="0" fontId="97" fillId="0" borderId="0"/>
    <xf numFmtId="2" fontId="97" fillId="0" borderId="0"/>
    <xf numFmtId="217" fontId="98" fillId="0" borderId="0"/>
    <xf numFmtId="10" fontId="97" fillId="0" borderId="0"/>
    <xf numFmtId="0" fontId="97" fillId="0" borderId="0"/>
    <xf numFmtId="38" fontId="2" fillId="0" borderId="24"/>
    <xf numFmtId="0" fontId="2" fillId="0" borderId="0"/>
    <xf numFmtId="203" fontId="12" fillId="0" borderId="0"/>
    <xf numFmtId="185" fontId="75" fillId="0" borderId="0"/>
    <xf numFmtId="218" fontId="99" fillId="0" borderId="0"/>
    <xf numFmtId="0" fontId="75" fillId="0" borderId="0"/>
    <xf numFmtId="40" fontId="75" fillId="0" borderId="0"/>
    <xf numFmtId="37" fontId="100" fillId="0" borderId="0" applyAlignment="1">
      <alignment horizontal="center"/>
    </xf>
    <xf numFmtId="0" fontId="12" fillId="0" borderId="0"/>
    <xf numFmtId="0" fontId="101" fillId="0" borderId="7347"/>
    <xf numFmtId="218" fontId="48" fillId="0" borderId="0"/>
    <xf numFmtId="219" fontId="102" fillId="0" borderId="0"/>
    <xf numFmtId="220" fontId="25" fillId="53" borderId="41" applyAlignment="1">
      <alignment horizontal="center" vertical="center"/>
    </xf>
    <xf numFmtId="221" fontId="79" fillId="0" borderId="8"/>
    <xf numFmtId="0" fontId="103" fillId="0" borderId="0"/>
    <xf numFmtId="186" fontId="79" fillId="0" borderId="685"/>
    <xf numFmtId="0" fontId="12" fillId="54" borderId="0"/>
    <xf numFmtId="0" fontId="12" fillId="0" borderId="0"/>
    <xf numFmtId="0" fontId="104" fillId="0" borderId="0"/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106" fillId="0" borderId="182" applyProtection="1">
      <protection locked="1" hidden="1"/>
    </xf>
    <xf numFmtId="0" fontId="107" fillId="55" borderId="182" applyProtection="1">
      <protection locked="1" hidden="1"/>
    </xf>
    <xf numFmtId="222" fontId="2" fillId="0" borderId="0"/>
    <xf numFmtId="194" fontId="83" fillId="0" borderId="0"/>
    <xf numFmtId="223" fontId="75" fillId="0" borderId="0"/>
    <xf numFmtId="1" fontId="108" fillId="56" borderId="7" applyAlignment="1" applyProtection="1">
      <alignment horizontal="center" vertical="top" wrapText="1"/>
      <protection locked="1" hidden="1"/>
    </xf>
    <xf numFmtId="224" fontId="109" fillId="57" borderId="25" applyAlignment="1">
      <alignment horizontal="center"/>
    </xf>
    <xf numFmtId="0" fontId="110" fillId="0" borderId="0"/>
    <xf numFmtId="0" fontId="12" fillId="0" borderId="0"/>
    <xf numFmtId="37" fontId="111" fillId="0" borderId="0"/>
    <xf numFmtId="7" fontId="111" fillId="0" borderId="0" applyAlignment="1" applyProtection="1">
      <alignment horizontal="right"/>
      <protection locked="0" hidden="0"/>
    </xf>
    <xf numFmtId="0" fontId="112" fillId="0" borderId="0"/>
    <xf numFmtId="0" fontId="113" fillId="0" borderId="7347"/>
    <xf numFmtId="5" fontId="114" fillId="0" borderId="7359"/>
    <xf numFmtId="0" fontId="75" fillId="0" borderId="15"/>
    <xf numFmtId="0" fontId="75" fillId="0" borderId="7348"/>
    <xf numFmtId="0" fontId="12" fillId="0" borderId="7359"/>
    <xf numFmtId="225" fontId="115" fillId="54" borderId="0"/>
    <xf numFmtId="226" fontId="116" fillId="0" borderId="0"/>
    <xf numFmtId="0" fontId="94" fillId="0" borderId="0"/>
    <xf numFmtId="37" fontId="111" fillId="0" borderId="0" applyAlignment="1" applyProtection="1">
      <alignment vertical="center"/>
      <protection locked="0" hidden="0"/>
    </xf>
    <xf numFmtId="0" fontId="48" fillId="0" borderId="0"/>
    <xf numFmtId="203" fontId="19" fillId="0" borderId="0" applyProtection="1">
      <protection locked="0" hidden="0"/>
    </xf>
    <xf numFmtId="0" fontId="117" fillId="0" borderId="0"/>
    <xf numFmtId="227" fontId="12" fillId="0" borderId="0"/>
    <xf numFmtId="228" fontId="12" fillId="0" borderId="0"/>
    <xf numFmtId="229" fontId="12" fillId="0" borderId="0"/>
    <xf numFmtId="230" fontId="12" fillId="0" borderId="0"/>
    <xf numFmtId="0" fontId="117" fillId="0" borderId="0"/>
    <xf numFmtId="0" fontId="117" fillId="0" borderId="0"/>
    <xf numFmtId="227" fontId="12" fillId="0" borderId="0"/>
    <xf numFmtId="208" fontId="111" fillId="0" borderId="0"/>
    <xf numFmtId="0" fontId="118" fillId="58" borderId="0"/>
    <xf numFmtId="0" fontId="75" fillId="0" borderId="0"/>
    <xf numFmtId="223" fontId="74" fillId="0" borderId="0"/>
    <xf numFmtId="0" fontId="119" fillId="59" borderId="1"/>
    <xf numFmtId="0" fontId="120" fillId="0" borderId="0" applyAlignment="1">
      <alignment horizontal="right"/>
    </xf>
    <xf numFmtId="231" fontId="120" fillId="0" borderId="0"/>
    <xf numFmtId="1" fontId="121" fillId="0" borderId="0"/>
    <xf numFmtId="0" fontId="48" fillId="0" borderId="0"/>
    <xf numFmtId="0" fontId="122" fillId="0" borderId="0"/>
    <xf numFmtId="0" fontId="48" fillId="0" borderId="0"/>
    <xf numFmtId="0" fontId="12" fillId="0" borderId="7347" applyAlignment="1">
      <alignment horizontal="center"/>
    </xf>
    <xf numFmtId="0" fontId="113" fillId="0" borderId="7347" applyAlignment="1">
      <alignment horizontal="left" vertical="center"/>
    </xf>
    <xf numFmtId="0" fontId="12" fillId="0" borderId="0" applyAlignment="1" applyProtection="1">
      <alignment horizontal="center" wrapText="1"/>
      <protection locked="1" hidden="1"/>
    </xf>
    <xf numFmtId="0" fontId="123" fillId="0" borderId="0" applyAlignment="1" applyProtection="1">
      <alignment vertical="top"/>
      <protection locked="0" hidden="0"/>
    </xf>
    <xf numFmtId="185" fontId="46" fillId="0" borderId="0" applyAlignment="1">
      <alignment horizontal="right"/>
    </xf>
    <xf numFmtId="185" fontId="46" fillId="0" borderId="15" applyAlignment="1">
      <alignment horizontal="right"/>
    </xf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223" fontId="2" fillId="0" borderId="0"/>
    <xf numFmtId="0" fontId="117" fillId="0" borderId="0"/>
    <xf numFmtId="203" fontId="80" fillId="0" borderId="0"/>
    <xf numFmtId="39" fontId="80" fillId="0" borderId="0"/>
    <xf numFmtId="232" fontId="125" fillId="0" borderId="0" applyAlignment="1">
      <alignment horizontal="right"/>
    </xf>
    <xf numFmtId="233" fontId="125" fillId="0" borderId="0"/>
    <xf numFmtId="234" fontId="125" fillId="0" borderId="0" applyAlignment="1">
      <alignment horizontal="right"/>
    </xf>
    <xf numFmtId="235" fontId="94" fillId="0" borderId="0"/>
    <xf numFmtId="43" fontId="1" fillId="0" borderId="0"/>
    <xf numFmtId="236" fontId="94" fillId="0" borderId="0"/>
    <xf numFmtId="237" fontId="2" fillId="0" borderId="0"/>
    <xf numFmtId="39" fontId="12" fillId="0" borderId="0"/>
    <xf numFmtId="3" fontId="126" fillId="0" borderId="0"/>
    <xf numFmtId="0" fontId="107" fillId="0" borderId="0"/>
    <xf numFmtId="238" fontId="12" fillId="0" borderId="0"/>
    <xf numFmtId="0" fontId="127" fillId="0" borderId="0"/>
    <xf numFmtId="0" fontId="128" fillId="60" borderId="0" applyAlignment="1">
      <alignment horizontal="center" vertical="center" wrapText="1"/>
    </xf>
    <xf numFmtId="0" fontId="129" fillId="0" borderId="0" applyAlignment="1">
      <alignment horizontal="left"/>
    </xf>
    <xf numFmtId="239" fontId="79" fillId="0" borderId="0"/>
    <xf numFmtId="240" fontId="79" fillId="0" borderId="0" applyAlignment="1" applyProtection="1">
      <alignment horizontal="right"/>
      <protection locked="0" hidden="0"/>
    </xf>
    <xf numFmtId="241" fontId="48" fillId="0" borderId="100"/>
    <xf numFmtId="0" fontId="75" fillId="0" borderId="0"/>
    <xf numFmtId="5" fontId="130" fillId="0" borderId="0" applyAlignment="1">
      <alignment horizontal="center"/>
    </xf>
    <xf numFmtId="39" fontId="12" fillId="0" borderId="0"/>
    <xf numFmtId="0" fontId="48" fillId="0" borderId="0"/>
    <xf numFmtId="7" fontId="12" fillId="0" borderId="0"/>
    <xf numFmtId="242" fontId="125" fillId="0" borderId="0" applyAlignment="1">
      <alignment horizontal="right"/>
    </xf>
    <xf numFmtId="196" fontId="84" fillId="0" borderId="182"/>
    <xf numFmtId="243" fontId="125" fillId="0" borderId="0" applyAlignment="1">
      <alignment horizontal="right"/>
    </xf>
    <xf numFmtId="187" fontId="131" fillId="0" borderId="0"/>
    <xf numFmtId="187" fontId="131" fillId="0" borderId="0"/>
    <xf numFmtId="8" fontId="82" fillId="61" borderId="38" applyAlignment="1">
      <alignment horizontal="right"/>
    </xf>
    <xf numFmtId="0" fontId="126" fillId="0" borderId="0"/>
    <xf numFmtId="191" fontId="132" fillId="61" borderId="0" applyAlignment="1">
      <alignment horizontal="right"/>
    </xf>
    <xf numFmtId="191" fontId="133" fillId="0" borderId="0"/>
    <xf numFmtId="244" fontId="99" fillId="0" borderId="0" applyAlignment="1">
      <alignment horizontal="right"/>
    </xf>
    <xf numFmtId="7" fontId="48" fillId="0" borderId="0"/>
    <xf numFmtId="0" fontId="134" fillId="62" borderId="0"/>
    <xf numFmtId="0" fontId="94" fillId="0" borderId="0"/>
    <xf numFmtId="0" fontId="12" fillId="0" borderId="0" applyAlignment="1">
      <alignment horizontal="right"/>
    </xf>
    <xf numFmtId="0" fontId="135" fillId="0" borderId="0"/>
    <xf numFmtId="15" fontId="12" fillId="0" borderId="0"/>
    <xf numFmtId="15" fontId="46" fillId="0" borderId="0"/>
    <xf numFmtId="0" fontId="46" fillId="14" borderId="0"/>
    <xf numFmtId="0" fontId="78" fillId="14" borderId="7349"/>
    <xf numFmtId="0" fontId="48" fillId="14" borderId="0"/>
    <xf numFmtId="17" fontId="46" fillId="0" borderId="0" applyAlignment="1">
      <alignment horizontal="right"/>
    </xf>
    <xf numFmtId="189" fontId="46" fillId="0" borderId="7347"/>
    <xf numFmtId="245" fontId="125" fillId="0" borderId="0"/>
    <xf numFmtId="14" fontId="74" fillId="0" borderId="0" applyAlignment="1">
      <alignment horizontal="center"/>
    </xf>
    <xf numFmtId="14" fontId="48" fillId="0" borderId="0"/>
    <xf numFmtId="14" fontId="136" fillId="0" borderId="0"/>
    <xf numFmtId="246" fontId="74" fillId="0" borderId="0" applyAlignment="1">
      <alignment horizontal="center"/>
    </xf>
    <xf numFmtId="15" fontId="12" fillId="0" borderId="0"/>
    <xf numFmtId="14" fontId="2" fillId="0" borderId="0" applyAlignment="1" applyProtection="1">
      <alignment horizontal="right"/>
      <protection locked="0" hidden="0"/>
    </xf>
    <xf numFmtId="0" fontId="2" fillId="0" borderId="0"/>
    <xf numFmtId="17" fontId="12" fillId="0" borderId="0" applyAlignment="1">
      <alignment horizontal="center"/>
    </xf>
    <xf numFmtId="0" fontId="74" fillId="0" borderId="0" applyAlignment="1">
      <alignment horizontal="center"/>
    </xf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75" fillId="0" borderId="0"/>
    <xf numFmtId="0" fontId="135" fillId="0" borderId="0"/>
    <xf numFmtId="37" fontId="113" fillId="59" borderId="47" applyAlignment="1">
      <alignment horizontal="left"/>
    </xf>
    <xf numFmtId="247" fontId="12" fillId="0" borderId="0"/>
    <xf numFmtId="248" fontId="12" fillId="0" borderId="0"/>
    <xf numFmtId="38" fontId="75" fillId="3" borderId="0" applyAlignment="1">
      <alignment horizontal="right"/>
    </xf>
    <xf numFmtId="8" fontId="75" fillId="0" borderId="0"/>
    <xf numFmtId="249" fontId="74" fillId="0" borderId="0"/>
    <xf numFmtId="250" fontId="2" fillId="0" borderId="0"/>
    <xf numFmtId="6" fontId="75" fillId="0" borderId="0"/>
    <xf numFmtId="0" fontId="120" fillId="0" borderId="0"/>
    <xf numFmtId="0" fontId="75" fillId="0" borderId="0"/>
    <xf numFmtId="0" fontId="133" fillId="0" borderId="0" applyProtection="1">
      <protection locked="0" hidden="0"/>
    </xf>
    <xf numFmtId="7" fontId="75" fillId="0" borderId="0"/>
    <xf numFmtId="7" fontId="48" fillId="0" borderId="0"/>
    <xf numFmtId="6" fontId="75" fillId="0" borderId="0"/>
    <xf numFmtId="188" fontId="125" fillId="0" borderId="48"/>
    <xf numFmtId="42" fontId="137" fillId="0" borderId="0"/>
    <xf numFmtId="38" fontId="48" fillId="61" borderId="0"/>
    <xf numFmtId="185" fontId="79" fillId="63" borderId="0" applyAlignment="1">
      <alignment vertical="center"/>
    </xf>
    <xf numFmtId="185" fontId="5" fillId="0" borderId="0" applyAlignment="1">
      <alignment vertical="center"/>
    </xf>
    <xf numFmtId="185" fontId="3" fillId="0" borderId="0" applyAlignment="1">
      <alignment vertical="center"/>
    </xf>
    <xf numFmtId="185" fontId="138" fillId="3" borderId="49" applyAlignment="1">
      <alignment horizontal="center" vertical="center"/>
    </xf>
    <xf numFmtId="185" fontId="139" fillId="3" borderId="0" applyAlignment="1">
      <alignment horizontal="center" vertical="center"/>
    </xf>
    <xf numFmtId="14" fontId="140" fillId="3" borderId="0" applyAlignment="1">
      <alignment horizontal="center" vertical="center"/>
    </xf>
    <xf numFmtId="17" fontId="141" fillId="3" borderId="0" applyAlignment="1">
      <alignment horizontal="center" vertical="center"/>
    </xf>
    <xf numFmtId="185" fontId="48" fillId="0" borderId="0" applyAlignment="1">
      <alignment vertical="center"/>
    </xf>
    <xf numFmtId="185" fontId="142" fillId="3" borderId="0" applyAlignment="1">
      <alignment vertical="center"/>
    </xf>
    <xf numFmtId="185" fontId="143" fillId="3" borderId="0" applyAlignment="1">
      <alignment vertical="center"/>
    </xf>
    <xf numFmtId="251" fontId="144" fillId="3" borderId="50" applyAlignment="1">
      <alignment vertical="center"/>
    </xf>
    <xf numFmtId="0" fontId="79" fillId="3" borderId="50" applyAlignment="1">
      <alignment vertical="center"/>
    </xf>
    <xf numFmtId="37" fontId="141" fillId="3" borderId="0" applyAlignment="1">
      <alignment horizontal="left" vertical="center"/>
    </xf>
    <xf numFmtId="185" fontId="141" fillId="3" borderId="0" applyAlignment="1">
      <alignment horizontal="center" vertical="center"/>
    </xf>
    <xf numFmtId="182" fontId="91" fillId="3" borderId="0" applyAlignment="1">
      <alignment horizontal="right" vertical="center"/>
    </xf>
    <xf numFmtId="183" fontId="91" fillId="3" borderId="0" applyAlignment="1">
      <alignment horizontal="right" vertical="center"/>
    </xf>
    <xf numFmtId="251" fontId="145" fillId="3" borderId="0" applyAlignment="1">
      <alignment horizontal="right" vertical="center"/>
    </xf>
    <xf numFmtId="251" fontId="145" fillId="3" borderId="7359" applyAlignment="1">
      <alignment horizontal="right" vertical="center"/>
    </xf>
    <xf numFmtId="183" fontId="9" fillId="3" borderId="50" applyAlignment="1">
      <alignment horizontal="right" vertical="center"/>
    </xf>
    <xf numFmtId="252" fontId="91" fillId="3" borderId="0" applyAlignment="1">
      <alignment horizontal="right" vertical="center"/>
    </xf>
    <xf numFmtId="4" fontId="91" fillId="3" borderId="0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3" fontId="11" fillId="3" borderId="0" applyAlignment="1">
      <alignment horizontal="right" vertical="center"/>
    </xf>
    <xf numFmtId="253" fontId="9" fillId="3" borderId="0" applyAlignment="1">
      <alignment horizontal="right" vertical="center"/>
    </xf>
    <xf numFmtId="185" fontId="79" fillId="0" borderId="0" applyAlignment="1">
      <alignment vertical="center"/>
    </xf>
    <xf numFmtId="185" fontId="146" fillId="3" borderId="7347" applyAlignment="1">
      <alignment horizontal="left" vertical="center"/>
    </xf>
    <xf numFmtId="185" fontId="147" fillId="3" borderId="0" applyAlignment="1">
      <alignment horizontal="left" vertical="center"/>
    </xf>
    <xf numFmtId="185" fontId="146" fillId="3" borderId="7350" applyAlignment="1">
      <alignment horizontal="left"/>
    </xf>
    <xf numFmtId="185" fontId="48" fillId="3" borderId="52" applyAlignment="1">
      <alignment vertical="center"/>
    </xf>
    <xf numFmtId="185" fontId="48" fillId="3" borderId="53" applyAlignment="1">
      <alignment vertical="center"/>
    </xf>
    <xf numFmtId="185" fontId="48" fillId="3" borderId="7359" applyAlignment="1">
      <alignment vertical="center"/>
    </xf>
    <xf numFmtId="185" fontId="140" fillId="3" borderId="7351" applyAlignment="1">
      <alignment horizontal="center" vertical="center"/>
    </xf>
    <xf numFmtId="185" fontId="25" fillId="0" borderId="0" applyAlignment="1">
      <alignment vertical="center"/>
    </xf>
    <xf numFmtId="185" fontId="25" fillId="0" borderId="0" applyAlignment="1">
      <alignment vertical="center"/>
    </xf>
    <xf numFmtId="185" fontId="25" fillId="0" borderId="0" applyAlignment="1">
      <alignment vertical="center"/>
    </xf>
    <xf numFmtId="0" fontId="135" fillId="0" borderId="7002"/>
    <xf numFmtId="0" fontId="135" fillId="0" borderId="7002"/>
    <xf numFmtId="251" fontId="148" fillId="0" borderId="56" applyAlignment="1">
      <alignment vertical="top"/>
    </xf>
    <xf numFmtId="0" fontId="48" fillId="54" borderId="0"/>
    <xf numFmtId="0" fontId="149" fillId="64" borderId="0"/>
    <xf numFmtId="0" fontId="117" fillId="0" borderId="0"/>
    <xf numFmtId="227" fontId="12" fillId="0" borderId="0"/>
    <xf numFmtId="254" fontId="78" fillId="0" borderId="0" applyProtection="1">
      <protection locked="0" hidden="0"/>
    </xf>
    <xf numFmtId="0" fontId="117" fillId="0" borderId="0"/>
    <xf numFmtId="0" fontId="117" fillId="0" borderId="0"/>
    <xf numFmtId="227" fontId="12" fillId="0" borderId="0"/>
    <xf numFmtId="17" fontId="109" fillId="65" borderId="0" applyAlignment="1">
      <alignment horizontal="left"/>
    </xf>
    <xf numFmtId="8" fontId="150" fillId="0" borderId="0"/>
    <xf numFmtId="251" fontId="150" fillId="0" borderId="0"/>
    <xf numFmtId="203" fontId="150" fillId="0" borderId="0"/>
    <xf numFmtId="255" fontId="151" fillId="0" borderId="0"/>
    <xf numFmtId="0" fontId="135" fillId="0" borderId="0"/>
    <xf numFmtId="0" fontId="152" fillId="0" borderId="0"/>
    <xf numFmtId="3" fontId="153" fillId="0" borderId="0" applyAlignment="1">
      <alignment horizontal="left"/>
    </xf>
    <xf numFmtId="1" fontId="154" fillId="66" borderId="5" applyAlignment="1" applyProtection="1">
      <alignment horizontal="centerContinuous" vertical="center"/>
      <protection locked="0" hidden="0"/>
    </xf>
    <xf numFmtId="0" fontId="155" fillId="67" borderId="0"/>
    <xf numFmtId="2" fontId="126" fillId="0" borderId="0"/>
    <xf numFmtId="0" fontId="75" fillId="0" borderId="0"/>
    <xf numFmtId="256" fontId="48" fillId="0" borderId="0"/>
    <xf numFmtId="0" fontId="120" fillId="0" borderId="0"/>
    <xf numFmtId="0" fontId="12" fillId="0" borderId="0"/>
    <xf numFmtId="0" fontId="25" fillId="0" borderId="0"/>
    <xf numFmtId="0" fontId="104" fillId="0" borderId="0"/>
    <xf numFmtId="0" fontId="5" fillId="0" borderId="0"/>
    <xf numFmtId="0" fontId="3" fillId="0" borderId="0"/>
    <xf numFmtId="0" fontId="156" fillId="0" borderId="0"/>
    <xf numFmtId="0" fontId="157" fillId="0" borderId="0"/>
    <xf numFmtId="0" fontId="46" fillId="0" borderId="0"/>
    <xf numFmtId="0" fontId="158" fillId="0" borderId="0" applyAlignment="1">
      <alignment horizontal="left"/>
    </xf>
    <xf numFmtId="0" fontId="12" fillId="0" borderId="0"/>
    <xf numFmtId="0" fontId="159" fillId="0" borderId="57"/>
    <xf numFmtId="0" fontId="159" fillId="0" borderId="7002"/>
    <xf numFmtId="0" fontId="159" fillId="68" borderId="7002"/>
    <xf numFmtId="0" fontId="12" fillId="0" borderId="0"/>
    <xf numFmtId="49" fontId="48" fillId="0" borderId="0"/>
    <xf numFmtId="49" fontId="12" fillId="0" borderId="0"/>
    <xf numFmtId="49" fontId="12" fillId="0" borderId="0" applyAlignment="1">
      <alignment horizontal="right" vertical="center"/>
    </xf>
    <xf numFmtId="49" fontId="12" fillId="0" borderId="0" applyAlignment="1">
      <alignment horizontal="right" vertical="center"/>
    </xf>
    <xf numFmtId="223" fontId="75" fillId="0" borderId="0" applyProtection="1">
      <protection locked="0" hidden="0"/>
    </xf>
    <xf numFmtId="2" fontId="12" fillId="14" borderId="12" applyAlignment="1">
      <alignment horizontal="center"/>
    </xf>
    <xf numFmtId="37" fontId="25" fillId="0" borderId="14"/>
    <xf numFmtId="9" fontId="160" fillId="0" borderId="0"/>
    <xf numFmtId="38" fontId="48" fillId="61" borderId="0"/>
    <xf numFmtId="0" fontId="48" fillId="0" borderId="0" applyAlignment="1">
      <alignment horizontal="right"/>
    </xf>
    <xf numFmtId="195" fontId="81" fillId="0" borderId="0"/>
    <xf numFmtId="10" fontId="75" fillId="3" borderId="0" applyAlignment="1">
      <alignment horizontal="right"/>
    </xf>
    <xf numFmtId="0" fontId="48" fillId="0" borderId="0"/>
    <xf numFmtId="257" fontId="161" fillId="0" borderId="0" applyAlignment="1" applyProtection="1">
      <alignment horizontal="left"/>
      <protection locked="0" hidden="0"/>
    </xf>
    <xf numFmtId="258" fontId="162" fillId="3" borderId="0" applyAlignment="1">
      <alignment horizontal="right"/>
    </xf>
    <xf numFmtId="251" fontId="12" fillId="10" borderId="1"/>
    <xf numFmtId="197" fontId="94" fillId="14" borderId="1"/>
    <xf numFmtId="259" fontId="125" fillId="0" borderId="0" applyAlignment="1">
      <alignment horizontal="right"/>
    </xf>
    <xf numFmtId="203" fontId="163" fillId="10" borderId="0"/>
    <xf numFmtId="0" fontId="164" fillId="0" borderId="0" applyAlignment="1">
      <alignment horizontal="right"/>
    </xf>
    <xf numFmtId="0" fontId="5" fillId="0" borderId="37" applyAlignment="1">
      <alignment horizontal="left" vertical="center"/>
    </xf>
    <xf numFmtId="0" fontId="5" fillId="0" borderId="4" applyAlignment="1">
      <alignment horizontal="left" vertical="center"/>
    </xf>
    <xf numFmtId="0" fontId="12" fillId="0" borderId="0" applyAlignment="1">
      <alignment horizontal="center"/>
    </xf>
    <xf numFmtId="0" fontId="12" fillId="0" borderId="0" applyAlignment="1">
      <alignment horizont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7" fontId="167" fillId="0" borderId="0" applyAlignment="1">
      <alignment horizontal="right"/>
    </xf>
    <xf numFmtId="187" fontId="167" fillId="0" borderId="0" applyAlignment="1">
      <alignment horizontal="left"/>
    </xf>
    <xf numFmtId="37" fontId="167" fillId="0" borderId="0" applyAlignment="1">
      <alignment horizontal="left"/>
    </xf>
    <xf numFmtId="37" fontId="168" fillId="0" borderId="0" applyAlignment="1">
      <alignment horizontal="left"/>
    </xf>
    <xf numFmtId="37" fontId="113" fillId="0" borderId="0" applyAlignment="1">
      <alignment horizontal="left"/>
    </xf>
    <xf numFmtId="0" fontId="169" fillId="0" borderId="0" applyAlignment="1">
      <alignment horizontal="center"/>
    </xf>
    <xf numFmtId="0" fontId="170" fillId="0" borderId="0" applyAlignment="1">
      <alignment horizontal="center"/>
    </xf>
    <xf numFmtId="0" fontId="171" fillId="0" borderId="58" applyAlignment="1">
      <alignment horizontal="left"/>
    </xf>
    <xf numFmtId="0" fontId="2" fillId="0" borderId="0"/>
    <xf numFmtId="260" fontId="172" fillId="0" borderId="0" applyProtection="1">
      <protection locked="0" hidden="0"/>
    </xf>
    <xf numFmtId="0" fontId="173" fillId="0" borderId="59"/>
    <xf numFmtId="0" fontId="12" fillId="3" borderId="0"/>
    <xf numFmtId="38" fontId="75" fillId="0" borderId="0"/>
    <xf numFmtId="0" fontId="75" fillId="0" borderId="0"/>
    <xf numFmtId="10" fontId="48" fillId="14" borderId="1"/>
    <xf numFmtId="37" fontId="12" fillId="0" borderId="0"/>
    <xf numFmtId="8" fontId="48" fillId="14" borderId="0" applyProtection="1">
      <protection locked="0" hidden="0"/>
    </xf>
    <xf numFmtId="0" fontId="48" fillId="14" borderId="0" applyProtection="1">
      <protection locked="0" hidden="0"/>
    </xf>
    <xf numFmtId="0" fontId="48" fillId="14" borderId="0" applyProtection="1">
      <protection locked="0" hidden="0"/>
    </xf>
    <xf numFmtId="0" fontId="48" fillId="14" borderId="0" applyProtection="1">
      <protection locked="0" hidden="0"/>
    </xf>
    <xf numFmtId="0" fontId="48" fillId="14" borderId="0" applyProtection="1">
      <protection locked="0" hidden="0"/>
    </xf>
    <xf numFmtId="10" fontId="48" fillId="14" borderId="0" applyProtection="1">
      <protection locked="0" hidden="0"/>
    </xf>
    <xf numFmtId="261" fontId="48" fillId="14" borderId="0" applyProtection="1">
      <protection locked="0" hidden="0"/>
    </xf>
    <xf numFmtId="0" fontId="174" fillId="14" borderId="0" applyProtection="1">
      <protection locked="0" hidden="0"/>
    </xf>
    <xf numFmtId="0" fontId="111" fillId="0" borderId="0" applyProtection="1">
      <protection locked="0" hidden="0"/>
    </xf>
    <xf numFmtId="0" fontId="48" fillId="14" borderId="0" applyAlignment="1" applyProtection="1">
      <alignment horizontal="center"/>
      <protection locked="0" hidden="0"/>
    </xf>
    <xf numFmtId="0" fontId="175" fillId="0" borderId="0" applyProtection="1">
      <protection locked="0" hidden="0"/>
    </xf>
    <xf numFmtId="0" fontId="12" fillId="0" borderId="0" applyAlignment="1" applyProtection="1">
      <alignment horizontal="right"/>
      <protection locked="0" hidden="0"/>
    </xf>
    <xf numFmtId="262" fontId="176" fillId="69" borderId="1" applyAlignment="1">
      <alignment horizontal="right"/>
    </xf>
    <xf numFmtId="262" fontId="177" fillId="69" borderId="1" applyAlignment="1">
      <alignment horizontal="right"/>
    </xf>
    <xf numFmtId="262" fontId="176" fillId="69" borderId="1" applyAlignment="1">
      <alignment horizontal="right"/>
    </xf>
    <xf numFmtId="263" fontId="79" fillId="0" borderId="0" applyAlignment="1" applyProtection="1">
      <alignment horizontal="right"/>
      <protection locked="0" hidden="0"/>
    </xf>
    <xf numFmtId="0" fontId="25" fillId="70" borderId="7002" applyAlignment="1">
      <alignment horizontal="left" vertical="center" wrapText="1"/>
    </xf>
    <xf numFmtId="191" fontId="104" fillId="61" borderId="0" applyAlignment="1">
      <alignment horizontal="center"/>
    </xf>
    <xf numFmtId="1" fontId="178" fillId="1" borderId="38" applyProtection="1">
      <protection locked="0" hidden="0"/>
    </xf>
    <xf numFmtId="0" fontId="94" fillId="0" borderId="0" applyAlignment="1">
      <alignment horizontal="left" vertical="center"/>
    </xf>
    <xf numFmtId="0" fontId="75" fillId="0" borderId="0" applyAlignment="1">
      <alignment horizontal="left"/>
    </xf>
    <xf numFmtId="223" fontId="179" fillId="0" borderId="0"/>
    <xf numFmtId="0" fontId="12" fillId="0" borderId="0"/>
    <xf numFmtId="2" fontId="12" fillId="0" borderId="0" applyAlignment="1">
      <alignment horizontal="left"/>
    </xf>
    <xf numFmtId="37" fontId="12" fillId="0" borderId="0"/>
    <xf numFmtId="0" fontId="117" fillId="0" borderId="0"/>
    <xf numFmtId="227" fontId="12" fillId="0" borderId="0"/>
    <xf numFmtId="0" fontId="117" fillId="0" borderId="0"/>
    <xf numFmtId="0" fontId="117" fillId="0" borderId="0"/>
    <xf numFmtId="227" fontId="12" fillId="0" borderId="0"/>
    <xf numFmtId="37" fontId="180" fillId="0" borderId="0"/>
    <xf numFmtId="37" fontId="181" fillId="0" borderId="0" applyAlignment="1">
      <alignment horizontal="right"/>
    </xf>
    <xf numFmtId="37" fontId="12" fillId="0" borderId="0"/>
    <xf numFmtId="0" fontId="182" fillId="0" borderId="0"/>
    <xf numFmtId="0" fontId="134" fillId="62" borderId="0"/>
    <xf numFmtId="14" fontId="80" fillId="0" borderId="0"/>
    <xf numFmtId="0" fontId="183" fillId="0" borderId="60" applyAlignment="1" applyProtection="1">
      <alignment horizontal="left"/>
      <protection locked="0" hidden="0"/>
    </xf>
    <xf numFmtId="190" fontId="12" fillId="14" borderId="7347" applyAlignment="1">
      <alignment horizontal="right"/>
    </xf>
    <xf numFmtId="0" fontId="184" fillId="0" borderId="7003" applyAlignment="1">
      <alignment horizontal="left" wrapText="1"/>
    </xf>
    <xf numFmtId="0" fontId="2" fillId="0" borderId="0"/>
    <xf numFmtId="0" fontId="2" fillId="0" borderId="0"/>
    <xf numFmtId="0" fontId="185" fillId="0" borderId="0"/>
    <xf numFmtId="6" fontId="75" fillId="0" borderId="0" applyAlignment="1">
      <alignment horizontal="left"/>
    </xf>
    <xf numFmtId="0" fontId="48" fillId="0" borderId="0"/>
    <xf numFmtId="0" fontId="155" fillId="0" borderId="0"/>
    <xf numFmtId="0" fontId="186" fillId="0" borderId="0"/>
    <xf numFmtId="0" fontId="187" fillId="0" borderId="0"/>
    <xf numFmtId="38" fontId="117" fillId="0" borderId="0"/>
    <xf numFmtId="40" fontId="117" fillId="0" borderId="0"/>
    <xf numFmtId="0" fontId="188" fillId="0" borderId="0"/>
    <xf numFmtId="264" fontId="2" fillId="0" borderId="0"/>
    <xf numFmtId="265" fontId="12" fillId="0" borderId="0"/>
    <xf numFmtId="266" fontId="12" fillId="0" borderId="0"/>
    <xf numFmtId="203" fontId="25" fillId="0" borderId="4" applyAlignment="1">
      <alignment horizontal="center"/>
    </xf>
    <xf numFmtId="191" fontId="130" fillId="0" borderId="0" applyAlignment="1">
      <alignment horizontal="right"/>
    </xf>
    <xf numFmtId="3" fontId="130" fillId="0" borderId="0" applyAlignment="1">
      <alignment horizontal="center"/>
    </xf>
    <xf numFmtId="267" fontId="12" fillId="0" borderId="0"/>
    <xf numFmtId="268" fontId="12" fillId="0" borderId="0"/>
    <xf numFmtId="17" fontId="80" fillId="0" borderId="0"/>
    <xf numFmtId="189" fontId="48" fillId="14" borderId="0" applyAlignment="1">
      <alignment horizontal="center"/>
    </xf>
    <xf numFmtId="0" fontId="189" fillId="0" borderId="0"/>
    <xf numFmtId="269" fontId="125" fillId="0" borderId="0" applyAlignment="1">
      <alignment horizontal="right"/>
    </xf>
    <xf numFmtId="0" fontId="98" fillId="0" borderId="0"/>
    <xf numFmtId="40" fontId="75" fillId="0" borderId="0" applyAlignment="1">
      <alignment horizontal="left"/>
    </xf>
    <xf numFmtId="269" fontId="125" fillId="0" borderId="0" applyAlignment="1">
      <alignment horizontal="right"/>
    </xf>
    <xf numFmtId="270" fontId="79" fillId="0" borderId="0"/>
    <xf numFmtId="271" fontId="79" fillId="0" borderId="0" applyAlignment="1">
      <alignment horizontal="right"/>
    </xf>
    <xf numFmtId="272" fontId="190" fillId="0" borderId="62" applyAlignment="1">
      <alignment horizontal="right" vertical="center"/>
    </xf>
    <xf numFmtId="273" fontId="190" fillId="0" borderId="0" applyAlignment="1">
      <alignment horizontal="right" vertical="center"/>
    </xf>
    <xf numFmtId="178" fontId="48" fillId="61" borderId="0" applyAlignment="1" applyProtection="1">
      <alignment horizontal="right"/>
      <protection locked="1" hidden="1"/>
    </xf>
    <xf numFmtId="0" fontId="191" fillId="0" borderId="0" applyAlignment="1">
      <alignment horizontal="right"/>
    </xf>
    <xf numFmtId="0" fontId="12" fillId="0" borderId="0"/>
    <xf numFmtId="40" fontId="25" fillId="0" borderId="0" applyAlignment="1">
      <alignment horizontal="center"/>
    </xf>
    <xf numFmtId="0" fontId="175" fillId="0" borderId="63"/>
    <xf numFmtId="0" fontId="192" fillId="0" borderId="0"/>
    <xf numFmtId="0" fontId="193" fillId="0" borderId="0"/>
    <xf numFmtId="37" fontId="194" fillId="0" borderId="0"/>
    <xf numFmtId="0" fontId="134" fillId="65" borderId="0"/>
    <xf numFmtId="274" fontId="48" fillId="0" borderId="0" applyAlignment="1">
      <alignment horizontal="right"/>
    </xf>
    <xf numFmtId="275" fontId="195" fillId="0" borderId="0"/>
    <xf numFmtId="38" fontId="48" fillId="0" borderId="0"/>
    <xf numFmtId="0" fontId="12" fillId="0" borderId="0"/>
    <xf numFmtId="40" fontId="48" fillId="0" borderId="0"/>
    <xf numFmtId="0" fontId="48" fillId="0" borderId="0"/>
    <xf numFmtId="185" fontId="84" fillId="0" borderId="182"/>
    <xf numFmtId="0" fontId="77" fillId="0" borderId="0"/>
    <xf numFmtId="0" fontId="77" fillId="0" borderId="0"/>
    <xf numFmtId="0" fontId="12" fillId="0" borderId="0"/>
    <xf numFmtId="0" fontId="196" fillId="0" borderId="0"/>
    <xf numFmtId="0" fontId="1" fillId="0" borderId="0"/>
    <xf numFmtId="0" fontId="46" fillId="0" borderId="0"/>
    <xf numFmtId="0" fontId="48" fillId="0" borderId="0"/>
    <xf numFmtId="0" fontId="2" fillId="0" borderId="0"/>
    <xf numFmtId="0" fontId="12" fillId="0" borderId="0" applyAlignment="1">
      <alignment horizontal="right"/>
    </xf>
    <xf numFmtId="40" fontId="46" fillId="0" borderId="0" applyAlignment="1">
      <alignment horizontal="left"/>
    </xf>
    <xf numFmtId="0" fontId="198" fillId="0" borderId="0"/>
    <xf numFmtId="275" fontId="199" fillId="0" borderId="0" applyAlignment="1">
      <alignment horizontal="right"/>
    </xf>
    <xf numFmtId="0" fontId="200" fillId="0" borderId="0"/>
    <xf numFmtId="0" fontId="201" fillId="0" borderId="64"/>
    <xf numFmtId="223" fontId="48" fillId="0" borderId="0"/>
    <xf numFmtId="276" fontId="197" fillId="3" borderId="0" applyAlignment="1">
      <alignment vertical="center"/>
    </xf>
    <xf numFmtId="40" fontId="12" fillId="0" borderId="0" applyAlignment="1">
      <alignment horizontal="right"/>
    </xf>
    <xf numFmtId="277" fontId="48" fillId="0" borderId="0"/>
    <xf numFmtId="278" fontId="48" fillId="0" borderId="0"/>
    <xf numFmtId="37" fontId="202" fillId="0" borderId="0"/>
    <xf numFmtId="0" fontId="48" fillId="0" borderId="0"/>
    <xf numFmtId="1" fontId="133" fillId="0" borderId="0" applyAlignment="1" applyProtection="1">
      <alignment horizontal="right"/>
      <protection locked="0" hidden="0"/>
    </xf>
    <xf numFmtId="185" fontId="203" fillId="0" borderId="0" applyAlignment="1" applyProtection="1">
      <alignment horizontal="right"/>
      <protection locked="0" hidden="0"/>
    </xf>
    <xf numFmtId="0" fontId="133" fillId="0" borderId="0" applyProtection="1">
      <protection locked="0" hidden="0"/>
    </xf>
    <xf numFmtId="2" fontId="203" fillId="0" borderId="0" applyAlignment="1" applyProtection="1">
      <alignment horizontal="right"/>
      <protection locked="0" hidden="0"/>
    </xf>
    <xf numFmtId="2" fontId="133" fillId="0" borderId="0" applyAlignment="1" applyProtection="1">
      <alignment horizontal="right"/>
      <protection locked="0" hidden="0"/>
    </xf>
    <xf numFmtId="279" fontId="78" fillId="0" borderId="0" applyAlignment="1">
      <alignment horizontal="right"/>
    </xf>
    <xf numFmtId="40" fontId="12" fillId="0" borderId="0" applyAlignment="1">
      <alignment horizontal="center"/>
    </xf>
    <xf numFmtId="0" fontId="12" fillId="0" borderId="0"/>
    <xf numFmtId="280" fontId="122" fillId="0" borderId="0"/>
    <xf numFmtId="0" fontId="46" fillId="0" borderId="0"/>
    <xf numFmtId="0" fontId="76" fillId="0" borderId="0"/>
    <xf numFmtId="203" fontId="79" fillId="70" borderId="0" applyAlignment="1">
      <alignment horizontal="right"/>
    </xf>
    <xf numFmtId="0" fontId="48" fillId="0" borderId="0"/>
    <xf numFmtId="43" fontId="2" fillId="0" borderId="0"/>
    <xf numFmtId="41" fontId="2" fillId="0" borderId="0"/>
    <xf numFmtId="0" fontId="204" fillId="3" borderId="1" applyAlignment="1">
      <alignment horizontal="center" vertical="center"/>
    </xf>
    <xf numFmtId="185" fontId="12" fillId="0" borderId="0"/>
    <xf numFmtId="223" fontId="75" fillId="0" borderId="0"/>
    <xf numFmtId="0" fontId="205" fillId="0" borderId="0" applyAlignment="1" applyProtection="1">
      <alignment horizontal="left" vertical="top"/>
      <protection locked="0" hidden="0"/>
    </xf>
    <xf numFmtId="195" fontId="83" fillId="0" borderId="0"/>
    <xf numFmtId="0" fontId="206" fillId="0" borderId="0" applyAlignment="1">
      <alignment horizontal="left"/>
    </xf>
    <xf numFmtId="40" fontId="136" fillId="3" borderId="0" applyAlignment="1">
      <alignment horizontal="right"/>
    </xf>
    <xf numFmtId="0" fontId="207" fillId="61" borderId="0" applyAlignment="1">
      <alignment horizontal="right"/>
    </xf>
    <xf numFmtId="0" fontId="208" fillId="71" borderId="0"/>
    <xf numFmtId="0" fontId="2" fillId="0" borderId="0" applyAlignment="1">
      <alignment horizontal="centerContinuous"/>
    </xf>
    <xf numFmtId="0" fontId="209" fillId="0" borderId="0" applyAlignment="1">
      <alignment horizontal="centerContinuous"/>
    </xf>
    <xf numFmtId="37" fontId="79" fillId="3" borderId="0"/>
    <xf numFmtId="0" fontId="210" fillId="0" borderId="7347" applyProtection="1">
      <protection locked="0" hidden="0"/>
    </xf>
    <xf numFmtId="281" fontId="2" fillId="0" borderId="0"/>
    <xf numFmtId="0" fontId="211" fillId="0" borderId="0" applyAlignment="1">
      <alignment horizontal="left"/>
    </xf>
    <xf numFmtId="0" fontId="12" fillId="0" borderId="0" applyAlignment="1">
      <alignment horizontal="left"/>
    </xf>
    <xf numFmtId="0" fontId="12" fillId="0" borderId="0" applyAlignment="1">
      <alignment horizontal="left"/>
    </xf>
    <xf numFmtId="0" fontId="197" fillId="0" borderId="0" applyAlignment="1">
      <alignment horizontal="left"/>
    </xf>
    <xf numFmtId="1" fontId="212" fillId="0" borderId="0" applyAlignment="1">
      <alignment horizontal="right" vertical="center"/>
    </xf>
    <xf numFmtId="0" fontId="187" fillId="0" borderId="0"/>
    <xf numFmtId="0" fontId="213" fillId="0" borderId="65"/>
    <xf numFmtId="0" fontId="48" fillId="11" borderId="182" applyAlignment="1">
      <alignment horizontal="center"/>
    </xf>
    <xf numFmtId="0" fontId="2" fillId="0" borderId="7352"/>
    <xf numFmtId="0" fontId="213" fillId="0" borderId="67"/>
    <xf numFmtId="0" fontId="48" fillId="0" borderId="0"/>
    <xf numFmtId="251" fontId="75" fillId="0" borderId="0" applyAlignment="1">
      <alignment horizontal="right"/>
    </xf>
    <xf numFmtId="251" fontId="193" fillId="0" borderId="0"/>
    <xf numFmtId="0" fontId="12" fillId="0" borderId="0"/>
    <xf numFmtId="282" fontId="12" fillId="0" borderId="0"/>
    <xf numFmtId="0" fontId="48" fillId="0" borderId="0"/>
    <xf numFmtId="283" fontId="105" fillId="0" borderId="0"/>
    <xf numFmtId="261" fontId="105" fillId="0" borderId="0"/>
    <xf numFmtId="10" fontId="12" fillId="0" borderId="0"/>
    <xf numFmtId="284" fontId="105" fillId="0" borderId="0"/>
    <xf numFmtId="285" fontId="105" fillId="72" borderId="0"/>
    <xf numFmtId="0" fontId="84" fillId="0" borderId="182"/>
    <xf numFmtId="9" fontId="77" fillId="0" borderId="0"/>
    <xf numFmtId="9" fontId="1" fillId="0" borderId="0"/>
    <xf numFmtId="286" fontId="151" fillId="0" borderId="0" applyAlignment="1">
      <alignment horizontal="right"/>
    </xf>
    <xf numFmtId="287" fontId="79" fillId="70" borderId="0" applyAlignment="1">
      <alignment horizontal="right"/>
    </xf>
    <xf numFmtId="9" fontId="2" fillId="0" borderId="0"/>
    <xf numFmtId="0" fontId="75" fillId="0" borderId="0"/>
    <xf numFmtId="0" fontId="133" fillId="0" borderId="0"/>
    <xf numFmtId="10" fontId="75" fillId="0" borderId="0"/>
    <xf numFmtId="10" fontId="133" fillId="0" borderId="0" applyProtection="1">
      <protection locked="0" hidden="0"/>
    </xf>
    <xf numFmtId="0" fontId="12" fillId="0" borderId="0"/>
    <xf numFmtId="288" fontId="79" fillId="0" borderId="0" applyAlignment="1" applyProtection="1">
      <alignment horizontal="right"/>
      <protection locked="0" hidden="0"/>
    </xf>
    <xf numFmtId="257" fontId="75" fillId="0" borderId="0"/>
    <xf numFmtId="0" fontId="48" fillId="0" borderId="0"/>
    <xf numFmtId="39" fontId="79" fillId="0" borderId="0" applyAlignment="1">
      <alignment horizontal="right"/>
    </xf>
    <xf numFmtId="0" fontId="214" fillId="0" borderId="7353"/>
    <xf numFmtId="38" fontId="48" fillId="0" borderId="0" applyAlignment="1">
      <alignment horizontal="right"/>
    </xf>
    <xf numFmtId="289" fontId="75" fillId="0" borderId="0" applyAlignment="1">
      <alignment horizontal="left"/>
    </xf>
    <xf numFmtId="0" fontId="117" fillId="0" borderId="0"/>
    <xf numFmtId="227" fontId="12" fillId="0" borderId="0"/>
    <xf numFmtId="0" fontId="117" fillId="0" borderId="0"/>
    <xf numFmtId="0" fontId="117" fillId="0" borderId="0"/>
    <xf numFmtId="227" fontId="12" fillId="0" borderId="0"/>
    <xf numFmtId="38" fontId="75" fillId="0" borderId="0"/>
    <xf numFmtId="8" fontId="215" fillId="0" borderId="25" applyAlignment="1">
      <alignment horizontal="right"/>
    </xf>
    <xf numFmtId="231" fontId="133" fillId="0" borderId="0" applyAlignment="1" applyProtection="1">
      <alignment horizontal="right"/>
      <protection locked="0" hidden="0"/>
    </xf>
    <xf numFmtId="37" fontId="104" fillId="73" borderId="0"/>
    <xf numFmtId="290" fontId="46" fillId="0" borderId="0" applyAlignment="1">
      <alignment horizontal="right"/>
    </xf>
    <xf numFmtId="0" fontId="216" fillId="0" borderId="0"/>
    <xf numFmtId="0" fontId="216" fillId="0" borderId="58" applyAlignment="1">
      <alignment horizontal="right"/>
    </xf>
    <xf numFmtId="252" fontId="176" fillId="74" borderId="1" applyAlignment="1">
      <alignment horizontal="right"/>
    </xf>
    <xf numFmtId="0" fontId="12" fillId="0" borderId="0" applyProtection="1">
      <protection locked="1" hidden="1"/>
    </xf>
    <xf numFmtId="1" fontId="217" fillId="61" borderId="0" applyAlignment="1">
      <alignment horizontal="center"/>
    </xf>
    <xf numFmtId="44" fontId="2" fillId="0" borderId="0" applyAlignment="1">
      <alignment horizontal="center"/>
    </xf>
    <xf numFmtId="0" fontId="97" fillId="0" borderId="0" applyAlignment="1">
      <alignment horizontal="left"/>
    </xf>
    <xf numFmtId="15" fontId="97" fillId="0" borderId="0"/>
    <xf numFmtId="4" fontId="97" fillId="0" borderId="0"/>
    <xf numFmtId="0" fontId="114" fillId="0" borderId="15" applyAlignment="1">
      <alignment horizontal="center"/>
    </xf>
    <xf numFmtId="3" fontId="97" fillId="0" borderId="0"/>
    <xf numFmtId="0" fontId="97" fillId="75" borderId="0"/>
    <xf numFmtId="1" fontId="12" fillId="0" borderId="182" applyAlignment="1">
      <alignment horizontal="center" vertical="center"/>
    </xf>
    <xf numFmtId="0" fontId="2" fillId="0" borderId="0" applyAlignment="1">
      <alignment vertical="top"/>
    </xf>
    <xf numFmtId="166" fontId="79" fillId="0" borderId="0" applyAlignment="1" applyProtection="1">
      <alignment horizontal="right"/>
      <protection locked="0" hidden="0"/>
    </xf>
    <xf numFmtId="291" fontId="48" fillId="0" borderId="0"/>
    <xf numFmtId="0" fontId="218" fillId="0" borderId="0" applyAlignment="1">
      <alignment horizontal="left"/>
    </xf>
    <xf numFmtId="0" fontId="219" fillId="0" borderId="182" applyProtection="1">
      <protection locked="1" hidden="1"/>
    </xf>
    <xf numFmtId="0" fontId="135" fillId="0" borderId="0"/>
    <xf numFmtId="0" fontId="220" fillId="0" borderId="0"/>
    <xf numFmtId="0" fontId="94" fillId="0" borderId="0" applyAlignment="1">
      <alignment horizontal="right" vertical="center"/>
    </xf>
    <xf numFmtId="0" fontId="221" fillId="73" borderId="0"/>
    <xf numFmtId="0" fontId="2" fillId="0" borderId="0" applyAlignment="1">
      <alignment horizontal="left" indent="1"/>
    </xf>
    <xf numFmtId="1" fontId="151" fillId="73" borderId="0"/>
    <xf numFmtId="1" fontId="151" fillId="73" borderId="0"/>
    <xf numFmtId="1" fontId="151" fillId="73" borderId="0"/>
    <xf numFmtId="1" fontId="151" fillId="73" borderId="0"/>
    <xf numFmtId="0" fontId="222" fillId="0" borderId="69" applyAlignment="1">
      <alignment vertic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184" fillId="76" borderId="0" applyAlignment="1">
      <alignment horizontal="left" vertical="center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7" fillId="84" borderId="71" applyAlignment="1">
      <alignment horizontal="left" vertical="center" indent="1"/>
    </xf>
    <xf numFmtId="4" fontId="227" fillId="53" borderId="0" applyAlignment="1">
      <alignment horizontal="left" vertical="center" indent="1"/>
    </xf>
    <xf numFmtId="4" fontId="227" fillId="76" borderId="0" applyAlignment="1">
      <alignment horizontal="left" vertical="center" indent="1"/>
    </xf>
    <xf numFmtId="4" fontId="184" fillId="53" borderId="7004" applyAlignment="1">
      <alignment horizontal="right" vertical="center"/>
    </xf>
    <xf numFmtId="4" fontId="136" fillId="53" borderId="0" applyAlignment="1">
      <alignment horizontal="left" vertical="center" indent="1"/>
    </xf>
    <xf numFmtId="4" fontId="136" fillId="76" borderId="0" applyAlignment="1">
      <alignment horizontal="left" vertical="center" indent="1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31" fillId="0" borderId="17"/>
    <xf numFmtId="0" fontId="5" fillId="60" borderId="1" applyAlignment="1" applyProtection="1">
      <alignment horizontal="center" vertical="center" wrapText="1"/>
      <protection locked="1" hidden="1"/>
    </xf>
    <xf numFmtId="0" fontId="2" fillId="86" borderId="0"/>
    <xf numFmtId="0" fontId="2" fillId="87" borderId="0"/>
    <xf numFmtId="292" fontId="2" fillId="0" borderId="0"/>
    <xf numFmtId="37" fontId="12" fillId="0" borderId="1" applyAlignment="1" applyProtection="1">
      <alignment horizontal="right"/>
      <protection locked="0" hidden="0"/>
    </xf>
    <xf numFmtId="42" fontId="116" fillId="0" borderId="0"/>
    <xf numFmtId="1" fontId="2" fillId="0" borderId="0" applyAlignment="1">
      <alignment horizontal="left" vertical="top" wrapText="1"/>
    </xf>
    <xf numFmtId="0" fontId="232" fillId="88" borderId="0"/>
    <xf numFmtId="0" fontId="12" fillId="0" borderId="0"/>
    <xf numFmtId="0" fontId="232" fillId="89" borderId="0"/>
    <xf numFmtId="0" fontId="232" fillId="89" borderId="0"/>
    <xf numFmtId="3" fontId="12" fillId="0" borderId="0"/>
    <xf numFmtId="0" fontId="232" fillId="90" borderId="0"/>
    <xf numFmtId="0" fontId="232" fillId="90" borderId="0"/>
    <xf numFmtId="3" fontId="12" fillId="0" borderId="0"/>
    <xf numFmtId="0" fontId="12" fillId="91" borderId="0"/>
    <xf numFmtId="0" fontId="232" fillId="91" borderId="0"/>
    <xf numFmtId="3" fontId="12" fillId="0" borderId="0"/>
    <xf numFmtId="3" fontId="232" fillId="92" borderId="0"/>
    <xf numFmtId="3" fontId="232" fillId="92" borderId="0"/>
    <xf numFmtId="3" fontId="12" fillId="0" borderId="0"/>
    <xf numFmtId="3" fontId="232" fillId="79" borderId="0"/>
    <xf numFmtId="3" fontId="232" fillId="79" borderId="0"/>
    <xf numFmtId="0" fontId="12" fillId="0" borderId="0"/>
    <xf numFmtId="3" fontId="12" fillId="0" borderId="0"/>
    <xf numFmtId="0" fontId="12" fillId="79" borderId="0"/>
    <xf numFmtId="4" fontId="12" fillId="0" borderId="0"/>
    <xf numFmtId="3" fontId="12" fillId="61" borderId="7006"/>
    <xf numFmtId="4" fontId="12" fillId="61" borderId="7006"/>
    <xf numFmtId="289" fontId="12" fillId="61" borderId="7006"/>
    <xf numFmtId="223" fontId="12" fillId="61" borderId="74"/>
    <xf numFmtId="10" fontId="12" fillId="61" borderId="7006"/>
    <xf numFmtId="9" fontId="12" fillId="61" borderId="7006"/>
    <xf numFmtId="2" fontId="12" fillId="61" borderId="7006"/>
    <xf numFmtId="0" fontId="97" fillId="0" borderId="0"/>
    <xf numFmtId="0" fontId="12" fillId="0" borderId="0"/>
    <xf numFmtId="6" fontId="82" fillId="0" borderId="0" applyAlignment="1">
      <alignment horizontal="right" vertical="center"/>
    </xf>
    <xf numFmtId="37" fontId="82" fillId="51" borderId="38" applyAlignment="1">
      <alignment horizontal="right" vertical="center"/>
    </xf>
    <xf numFmtId="38" fontId="82" fillId="0" borderId="0" applyAlignment="1">
      <alignment horizontal="right" vertical="center"/>
    </xf>
    <xf numFmtId="9" fontId="82" fillId="0" borderId="0" applyAlignment="1">
      <alignment horizontal="right" vertical="center"/>
    </xf>
    <xf numFmtId="0" fontId="82" fillId="0" borderId="0"/>
    <xf numFmtId="0" fontId="48" fillId="10" borderId="0" applyProtection="1">
      <protection locked="1" hidden="1"/>
    </xf>
    <xf numFmtId="0" fontId="233" fillId="65" borderId="0"/>
    <xf numFmtId="0" fontId="233" fillId="0" borderId="0"/>
    <xf numFmtId="0" fontId="233" fillId="0" borderId="0"/>
    <xf numFmtId="0" fontId="233" fillId="62" borderId="0"/>
    <xf numFmtId="0" fontId="233" fillId="62" borderId="0"/>
    <xf numFmtId="0" fontId="12" fillId="0" borderId="0"/>
    <xf numFmtId="0" fontId="12" fillId="0" borderId="0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93" fontId="234" fillId="61" borderId="75" applyAlignment="1">
      <alignment horizontal="right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293" fontId="234" fillId="3" borderId="76"/>
    <xf numFmtId="293" fontId="234" fillId="10" borderId="76"/>
    <xf numFmtId="0" fontId="25" fillId="61" borderId="1" applyAlignment="1">
      <alignment horizontal="center" vertical="top"/>
    </xf>
    <xf numFmtId="0" fontId="25" fillId="61" borderId="1" applyAlignment="1">
      <alignment horizontal="center" vertical="top"/>
    </xf>
    <xf numFmtId="0" fontId="25" fillId="0" borderId="0" applyAlignment="1">
      <alignment horizontal="left" vertical="top"/>
    </xf>
    <xf numFmtId="0" fontId="235" fillId="93" borderId="38" applyAlignment="1">
      <alignment horizontal="left" vertical="top"/>
    </xf>
    <xf numFmtId="0" fontId="12" fillId="3" borderId="7002"/>
    <xf numFmtId="0" fontId="12" fillId="10" borderId="7002"/>
    <xf numFmtId="0" fontId="12" fillId="10" borderId="7002"/>
    <xf numFmtId="0" fontId="235" fillId="93" borderId="77" applyAlignment="1">
      <alignment horizontal="center" vertical="center"/>
    </xf>
    <xf numFmtId="0" fontId="25" fillId="10" borderId="0" applyAlignment="1">
      <alignment horizontal="left"/>
    </xf>
    <xf numFmtId="0" fontId="25" fillId="10" borderId="7007" applyAlignment="1">
      <alignment horizontal="left"/>
    </xf>
    <xf numFmtId="0" fontId="25" fillId="10" borderId="79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84" applyAlignment="1">
      <alignment horizontal="left" vertical="top"/>
    </xf>
    <xf numFmtId="0" fontId="25" fillId="10" borderId="85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294" fontId="48" fillId="0" borderId="0" applyAlignment="1">
      <alignment horizontal="right"/>
    </xf>
    <xf numFmtId="0" fontId="48" fillId="0" borderId="0" applyAlignment="1">
      <alignment horizontal="left" vertical="top" wrapText="1"/>
    </xf>
    <xf numFmtId="295" fontId="162" fillId="0" borderId="0"/>
    <xf numFmtId="194" fontId="161" fillId="0" borderId="0" applyAlignment="1" applyProtection="1">
      <alignment horizontal="left"/>
      <protection locked="0" hidden="0"/>
    </xf>
    <xf numFmtId="194" fontId="161" fillId="0" borderId="0"/>
    <xf numFmtId="0" fontId="113" fillId="0" borderId="0" applyAlignment="1">
      <alignment horizontal="left" vertical="center"/>
    </xf>
    <xf numFmtId="0" fontId="236" fillId="0" borderId="0"/>
    <xf numFmtId="0" fontId="213" fillId="0" borderId="0" applyAlignment="1">
      <alignment horizontal="left"/>
    </xf>
    <xf numFmtId="194" fontId="237" fillId="0" borderId="0" applyAlignment="1" applyProtection="1">
      <alignment horizontal="left"/>
      <protection locked="0" hidden="0"/>
    </xf>
    <xf numFmtId="0" fontId="75" fillId="0" borderId="0"/>
    <xf numFmtId="0" fontId="238" fillId="0" borderId="0"/>
    <xf numFmtId="0" fontId="113" fillId="0" borderId="4" applyAlignment="1">
      <alignment horizontal="left" vertical="center"/>
    </xf>
    <xf numFmtId="223" fontId="162" fillId="0" borderId="0"/>
    <xf numFmtId="169" fontId="2" fillId="0" borderId="0"/>
    <xf numFmtId="0" fontId="12" fillId="0" borderId="7001"/>
    <xf numFmtId="0" fontId="239" fillId="0" borderId="92"/>
    <xf numFmtId="0" fontId="11" fillId="0" borderId="0" applyAlignment="1">
      <alignment horizontal="center" vertical="center"/>
    </xf>
    <xf numFmtId="0" fontId="240" fillId="0" borderId="0" applyAlignment="1">
      <alignment vertical="center"/>
    </xf>
    <xf numFmtId="188" fontId="240" fillId="0" borderId="7347" applyAlignment="1">
      <alignment horizontal="right" vertical="center"/>
    </xf>
    <xf numFmtId="0" fontId="241" fillId="94" borderId="0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242" fillId="0" borderId="0"/>
    <xf numFmtId="0" fontId="243" fillId="0" borderId="0"/>
    <xf numFmtId="0" fontId="200" fillId="0" borderId="0"/>
    <xf numFmtId="0" fontId="244" fillId="0" borderId="0" applyAlignment="1">
      <alignment horizontal="left"/>
    </xf>
    <xf numFmtId="0" fontId="158" fillId="0" borderId="7" applyAlignment="1">
      <alignment horizontal="left" vertical="top"/>
    </xf>
    <xf numFmtId="296" fontId="46" fillId="0" borderId="0" applyAlignment="1">
      <alignment horizontal="centerContinuous"/>
    </xf>
    <xf numFmtId="0" fontId="184" fillId="0" borderId="0"/>
    <xf numFmtId="296" fontId="12" fillId="0" borderId="0"/>
    <xf numFmtId="296" fontId="11" fillId="0" borderId="0" applyAlignment="1">
      <alignment horizontal="centerContinuous"/>
    </xf>
    <xf numFmtId="0" fontId="12" fillId="96" borderId="0"/>
    <xf numFmtId="0" fontId="245" fillId="0" borderId="0"/>
    <xf numFmtId="187" fontId="133" fillId="0" borderId="0" applyAlignment="1" applyProtection="1">
      <alignment horizontal="left"/>
      <protection locked="0" hidden="0"/>
    </xf>
    <xf numFmtId="0" fontId="246" fillId="0" borderId="0"/>
    <xf numFmtId="49" fontId="136" fillId="0" borderId="0"/>
    <xf numFmtId="0" fontId="136" fillId="0" borderId="0"/>
    <xf numFmtId="0" fontId="136" fillId="0" borderId="0"/>
    <xf numFmtId="37" fontId="79" fillId="0" borderId="0" applyAlignment="1">
      <alignment horizontal="left"/>
    </xf>
    <xf numFmtId="0" fontId="247" fillId="0" borderId="0" applyAlignment="1">
      <alignment vertical="center"/>
    </xf>
    <xf numFmtId="0" fontId="130" fillId="0" borderId="0" applyAlignment="1">
      <alignment horizontal="right"/>
    </xf>
    <xf numFmtId="39" fontId="12" fillId="14" borderId="1" applyAlignment="1" applyProtection="1">
      <alignment horizontal="center"/>
      <protection locked="0" hidden="0"/>
    </xf>
    <xf numFmtId="0" fontId="12" fillId="0" borderId="0" applyAlignment="1">
      <alignment horizontal="right"/>
    </xf>
    <xf numFmtId="1" fontId="74" fillId="0" borderId="4" applyAlignment="1">
      <alignment horizontal="right"/>
    </xf>
    <xf numFmtId="0" fontId="2" fillId="0" borderId="0"/>
    <xf numFmtId="0" fontId="94" fillId="0" borderId="0"/>
    <xf numFmtId="0" fontId="248" fillId="0" borderId="0"/>
    <xf numFmtId="0" fontId="5" fillId="0" borderId="0"/>
    <xf numFmtId="0" fontId="12" fillId="0" borderId="0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223" fontId="74" fillId="0" borderId="0"/>
    <xf numFmtId="0" fontId="251" fillId="88" borderId="0" applyAlignment="1">
      <alignment vertical="center"/>
    </xf>
    <xf numFmtId="0" fontId="213" fillId="0" borderId="0" applyAlignment="1">
      <alignment horizontal="centerContinuous"/>
    </xf>
    <xf numFmtId="0" fontId="251" fillId="82" borderId="0" applyAlignment="1">
      <alignment vertical="center"/>
    </xf>
    <xf numFmtId="0" fontId="74" fillId="0" borderId="0" applyAlignment="1" applyProtection="1">
      <alignment horizontal="centerContinuous"/>
      <protection locked="0" hidden="0"/>
    </xf>
    <xf numFmtId="0" fontId="74" fillId="0" borderId="0" applyAlignment="1">
      <alignment horizontal="left"/>
    </xf>
    <xf numFmtId="187" fontId="252" fillId="0" borderId="0" applyAlignment="1">
      <alignment horizontal="center"/>
    </xf>
    <xf numFmtId="0" fontId="215" fillId="0" borderId="0"/>
    <xf numFmtId="187" fontId="252" fillId="0" borderId="0" applyAlignment="1">
      <alignment horizontal="left"/>
    </xf>
    <xf numFmtId="0" fontId="12" fillId="0" borderId="0"/>
    <xf numFmtId="0" fontId="243" fillId="0" borderId="0"/>
    <xf numFmtId="0" fontId="12" fillId="0" borderId="0"/>
    <xf numFmtId="185" fontId="11" fillId="0" borderId="0"/>
    <xf numFmtId="0" fontId="48" fillId="0" borderId="0" applyAlignment="1">
      <alignment horizontal="left"/>
    </xf>
    <xf numFmtId="0" fontId="84" fillId="55" borderId="60"/>
    <xf numFmtId="0" fontId="253" fillId="0" borderId="0"/>
    <xf numFmtId="185" fontId="46" fillId="0" borderId="93"/>
    <xf numFmtId="196" fontId="75" fillId="0" borderId="0" applyAlignment="1">
      <alignment horizontal="right"/>
    </xf>
    <xf numFmtId="297" fontId="48" fillId="0" borderId="0" applyAlignment="1">
      <alignment horizontal="right"/>
    </xf>
    <xf numFmtId="252" fontId="12" fillId="0" borderId="0"/>
    <xf numFmtId="187" fontId="153" fillId="0" borderId="0" applyAlignment="1" applyProtection="1">
      <alignment horizontal="left"/>
      <protection locked="0" hidden="0"/>
    </xf>
    <xf numFmtId="298" fontId="137" fillId="0" borderId="0"/>
    <xf numFmtId="289" fontId="254" fillId="0" borderId="0"/>
    <xf numFmtId="10" fontId="12" fillId="3" borderId="7014" applyProtection="1">
      <protection locked="0" hidden="0"/>
    </xf>
    <xf numFmtId="5" fontId="12" fillId="3" borderId="0" applyAlignment="1" applyProtection="1">
      <alignment horizontal="center"/>
      <protection locked="0" hidden="0"/>
    </xf>
    <xf numFmtId="37" fontId="48" fillId="54" borderId="0"/>
    <xf numFmtId="37" fontId="48" fillId="0" borderId="0"/>
    <xf numFmtId="3" fontId="78" fillId="0" borderId="59"/>
    <xf numFmtId="299" fontId="217" fillId="61" borderId="7" applyAlignment="1" applyProtection="1">
      <alignment horizontal="right" vertical="center"/>
      <protection locked="0" hidden="0"/>
    </xf>
    <xf numFmtId="296" fontId="12" fillId="0" borderId="0"/>
    <xf numFmtId="280" fontId="255" fillId="0" borderId="0"/>
    <xf numFmtId="0" fontId="135" fillId="0" borderId="0"/>
    <xf numFmtId="38" fontId="75" fillId="0" borderId="0" applyAlignment="1">
      <alignment horizontal="left"/>
    </xf>
    <xf numFmtId="38" fontId="74" fillId="0" borderId="0" applyAlignment="1">
      <alignment horizontal="left"/>
    </xf>
    <xf numFmtId="38" fontId="75" fillId="0" borderId="0" applyAlignment="1">
      <alignment horizontal="left"/>
    </xf>
    <xf numFmtId="300" fontId="46" fillId="0" borderId="0"/>
    <xf numFmtId="0" fontId="197" fillId="0" borderId="0"/>
    <xf numFmtId="6" fontId="97" fillId="0" borderId="0"/>
    <xf numFmtId="44" fontId="12" fillId="0" borderId="0"/>
    <xf numFmtId="44" fontId="12" fillId="0" borderId="0"/>
    <xf numFmtId="301" fontId="46" fillId="0" borderId="0"/>
    <xf numFmtId="302" fontId="12" fillId="0" borderId="0"/>
    <xf numFmtId="303" fontId="12" fillId="0" borderId="0"/>
    <xf numFmtId="303" fontId="12" fillId="0" borderId="0"/>
    <xf numFmtId="0" fontId="2" fillId="0" borderId="0"/>
    <xf numFmtId="0" fontId="213" fillId="0" borderId="0"/>
    <xf numFmtId="0" fontId="256" fillId="0" borderId="0" applyAlignment="1">
      <alignment horizontal="left"/>
    </xf>
    <xf numFmtId="302" fontId="12" fillId="0" borderId="0"/>
    <xf numFmtId="0" fontId="257" fillId="0" borderId="0"/>
    <xf numFmtId="1" fontId="75" fillId="0" borderId="0"/>
    <xf numFmtId="0" fontId="12" fillId="0" borderId="7001"/>
    <xf numFmtId="0" fontId="12" fillId="0" borderId="7001"/>
    <xf numFmtId="0" fontId="12" fillId="0" borderId="7001"/>
    <xf numFmtId="1" fontId="258" fillId="0" borderId="0" applyAlignment="1">
      <alignment horizontal="right"/>
    </xf>
    <xf numFmtId="40" fontId="46" fillId="0" borderId="0" applyAlignment="1">
      <alignment horizontal="left" wrapText="1"/>
    </xf>
    <xf numFmtId="14" fontId="79" fillId="0" borderId="0"/>
    <xf numFmtId="1" fontId="259" fillId="0" borderId="0" applyAlignment="1">
      <alignment horizontal="center"/>
    </xf>
    <xf numFmtId="0" fontId="260" fillId="97" borderId="0" applyAlignment="1">
      <alignment horizontal="left"/>
    </xf>
    <xf numFmtId="262" fontId="177" fillId="98" borderId="1" applyAlignment="1">
      <alignment horizontal="right"/>
    </xf>
    <xf numFmtId="262" fontId="176" fillId="98" borderId="1" applyAlignment="1">
      <alignment horizontal="right"/>
    </xf>
    <xf numFmtId="0" fontId="12" fillId="69" borderId="95" applyAlignment="1">
      <alignment horizontal="right"/>
    </xf>
    <xf numFmtId="304" fontId="116" fillId="0" borderId="0"/>
    <xf numFmtId="305" fontId="216" fillId="0" borderId="0" applyAlignment="1">
      <alignment horizontal="right"/>
    </xf>
    <xf numFmtId="0" fontId="261" fillId="0" borderId="0" applyAlignment="1" applyProtection="1">
      <alignment vertical="top"/>
      <protection locked="0" hidden="0"/>
    </xf>
    <xf numFmtId="0" fontId="262" fillId="0" borderId="0"/>
    <xf numFmtId="0" fontId="77" fillId="0" borderId="0"/>
    <xf numFmtId="0" fontId="12" fillId="0" borderId="0"/>
    <xf numFmtId="9" fontId="77" fillId="0" borderId="0"/>
    <xf numFmtId="0" fontId="1" fillId="0" borderId="0"/>
    <xf numFmtId="9" fontId="1" fillId="0" borderId="0"/>
    <xf numFmtId="0" fontId="184" fillId="0" borderId="0" applyAlignment="1">
      <alignment vertical="top"/>
    </xf>
    <xf numFmtId="0" fontId="136" fillId="0" borderId="0"/>
    <xf numFmtId="0" fontId="12" fillId="0" borderId="0" applyAlignment="1">
      <alignment vertical="center"/>
    </xf>
    <xf numFmtId="0" fontId="12" fillId="0" borderId="0"/>
    <xf numFmtId="0" fontId="12" fillId="0" borderId="0"/>
    <xf numFmtId="43" fontId="12" fillId="0" borderId="0"/>
    <xf numFmtId="9" fontId="12" fillId="0" borderId="0"/>
    <xf numFmtId="0" fontId="106" fillId="0" borderId="60" applyProtection="1">
      <protection locked="1" hidden="1"/>
    </xf>
    <xf numFmtId="0" fontId="107" fillId="55" borderId="60" applyProtection="1">
      <protection locked="1" hidden="1"/>
    </xf>
    <xf numFmtId="1" fontId="108" fillId="56" borderId="7" applyAlignment="1" applyProtection="1">
      <alignment horizontal="center" vertical="top" wrapText="1"/>
      <protection locked="1" hidden="1"/>
    </xf>
    <xf numFmtId="196" fontId="84" fillId="0" borderId="60"/>
    <xf numFmtId="185" fontId="84" fillId="0" borderId="60"/>
    <xf numFmtId="0" fontId="48" fillId="11" borderId="60" applyAlignment="1">
      <alignment horizontal="center"/>
    </xf>
    <xf numFmtId="0" fontId="84" fillId="0" borderId="60"/>
    <xf numFmtId="1" fontId="12" fillId="0" borderId="60" applyAlignment="1">
      <alignment horizontal="center" vertical="center"/>
    </xf>
    <xf numFmtId="0" fontId="219" fillId="0" borderId="60" applyProtection="1">
      <protection locked="1" hidden="1"/>
    </xf>
    <xf numFmtId="0" fontId="158" fillId="0" borderId="7" applyAlignment="1">
      <alignment horizontal="left" vertical="top"/>
    </xf>
    <xf numFmtId="299" fontId="217" fillId="61" borderId="7" applyAlignment="1" applyProtection="1">
      <alignment horizontal="right" vertical="center"/>
      <protection locked="0" hidden="0"/>
    </xf>
    <xf numFmtId="0" fontId="12" fillId="0" borderId="0"/>
    <xf numFmtId="43" fontId="12" fillId="0" borderId="0"/>
    <xf numFmtId="9" fontId="12" fillId="0" borderId="0"/>
    <xf numFmtId="0" fontId="264" fillId="0" borderId="0"/>
    <xf numFmtId="245" fontId="125" fillId="0" borderId="0" applyAlignment="1">
      <alignment horizontal="right"/>
    </xf>
    <xf numFmtId="239" fontId="125" fillId="0" borderId="0" applyAlignment="1">
      <alignment horizontal="right"/>
    </xf>
    <xf numFmtId="0" fontId="125" fillId="0" borderId="0" applyAlignment="1">
      <alignment horizontal="right"/>
    </xf>
    <xf numFmtId="0" fontId="125" fillId="0" borderId="0" applyAlignment="1">
      <alignment horizontal="right"/>
    </xf>
    <xf numFmtId="0" fontId="48" fillId="0" borderId="100"/>
    <xf numFmtId="257" fontId="75" fillId="0" borderId="0" applyAlignment="1">
      <alignment horizontal="right"/>
    </xf>
    <xf numFmtId="223" fontId="48" fillId="0" borderId="0" applyAlignment="1">
      <alignment horizontal="right"/>
    </xf>
    <xf numFmtId="0" fontId="197" fillId="0" borderId="0"/>
    <xf numFmtId="0" fontId="197" fillId="72" borderId="0"/>
    <xf numFmtId="0" fontId="105" fillId="0" borderId="0"/>
    <xf numFmtId="0" fontId="105" fillId="72" borderId="0"/>
    <xf numFmtId="0" fontId="197" fillId="0" borderId="0"/>
    <xf numFmtId="285" fontId="105" fillId="72" borderId="0"/>
    <xf numFmtId="284" fontId="105" fillId="0" borderId="0"/>
    <xf numFmtId="285" fontId="105" fillId="72" borderId="0"/>
    <xf numFmtId="0" fontId="182" fillId="3" borderId="0" applyAlignment="1" applyProtection="1">
      <alignment horizontal="center"/>
      <protection locked="0" hidden="0"/>
    </xf>
    <xf numFmtId="37" fontId="48" fillId="61" borderId="0"/>
    <xf numFmtId="0" fontId="12" fillId="0" borderId="0"/>
    <xf numFmtId="43" fontId="12" fillId="0" borderId="0"/>
    <xf numFmtId="9" fontId="12" fillId="0" borderId="0"/>
    <xf numFmtId="0" fontId="78" fillId="14" borderId="11"/>
    <xf numFmtId="0" fontId="12" fillId="0" borderId="0" applyAlignment="1">
      <alignment vertical="center"/>
    </xf>
    <xf numFmtId="0" fontId="91" fillId="0" borderId="39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/>
    <xf numFmtId="0" fontId="91" fillId="0" borderId="39"/>
    <xf numFmtId="186" fontId="79" fillId="0" borderId="7346"/>
    <xf numFmtId="9" fontId="1" fillId="0" borderId="0"/>
    <xf numFmtId="0" fontId="77" fillId="0" borderId="0"/>
    <xf numFmtId="0" fontId="1" fillId="0" borderId="0"/>
    <xf numFmtId="9" fontId="1" fillId="0" borderId="0"/>
    <xf numFmtId="0" fontId="1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9" fontId="1" fillId="0" borderId="0"/>
    <xf numFmtId="9" fontId="9" fillId="0" borderId="0"/>
    <xf numFmtId="9" fontId="1" fillId="0" borderId="0"/>
    <xf numFmtId="0" fontId="12" fillId="0" borderId="0"/>
    <xf numFmtId="0" fontId="91" fillId="0" borderId="39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43" fontId="1" fillId="0" borderId="0"/>
    <xf numFmtId="241" fontId="48" fillId="0" borderId="100"/>
    <xf numFmtId="241" fontId="48" fillId="0" borderId="100"/>
    <xf numFmtId="189" fontId="46" fillId="0" borderId="7347"/>
    <xf numFmtId="251" fontId="144" fillId="3" borderId="50" applyAlignment="1">
      <alignment vertical="center"/>
    </xf>
    <xf numFmtId="0" fontId="79" fillId="3" borderId="50" applyAlignment="1">
      <alignment vertical="center"/>
    </xf>
    <xf numFmtId="183" fontId="9" fillId="3" borderId="50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183" fontId="9" fillId="3" borderId="50" applyAlignment="1">
      <alignment horizontal="right" vertical="center"/>
    </xf>
    <xf numFmtId="0" fontId="79" fillId="3" borderId="50" applyAlignment="1">
      <alignment vertical="center"/>
    </xf>
    <xf numFmtId="251" fontId="144" fillId="3" borderId="50" applyAlignment="1">
      <alignment vertical="center"/>
    </xf>
    <xf numFmtId="0" fontId="210" fillId="0" borderId="7347" applyProtection="1">
      <protection locked="0" hidden="0"/>
    </xf>
    <xf numFmtId="0" fontId="2" fillId="0" borderId="7352"/>
    <xf numFmtId="9" fontId="1" fillId="0" borderId="0"/>
    <xf numFmtId="0" fontId="214" fillId="0" borderId="7353"/>
    <xf numFmtId="241" fontId="48" fillId="0" borderId="100"/>
    <xf numFmtId="1" fontId="108" fillId="56" borderId="101" applyAlignment="1" applyProtection="1">
      <alignment horizontal="center" vertical="top" wrapText="1"/>
      <protection locked="1" hidden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9" applyAlignment="1">
      <alignment horizontal="left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8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" fillId="0" borderId="0"/>
    <xf numFmtId="9" fontId="1" fillId="0" borderId="0"/>
    <xf numFmtId="0" fontId="1" fillId="0" borderId="0"/>
    <xf numFmtId="9" fontId="1" fillId="0" borderId="0"/>
    <xf numFmtId="0" fontId="1" fillId="0" borderId="0"/>
    <xf numFmtId="9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0" fontId="12" fillId="0" borderId="0" applyAlignment="1">
      <alignment vertical="center"/>
    </xf>
    <xf numFmtId="0" fontId="1" fillId="0" borderId="0"/>
    <xf numFmtId="0" fontId="12" fillId="0" borderId="0"/>
    <xf numFmtId="9" fontId="12" fillId="0" borderId="0"/>
    <xf numFmtId="241" fontId="48" fillId="0" borderId="100"/>
    <xf numFmtId="203" fontId="25" fillId="0" borderId="7017" applyAlignment="1">
      <alignment horizontal="center"/>
    </xf>
    <xf numFmtId="43" fontId="12" fillId="0" borderId="0"/>
    <xf numFmtId="0" fontId="265" fillId="0" borderId="0"/>
    <xf numFmtId="44" fontId="12" fillId="0" borderId="0"/>
    <xf numFmtId="0" fontId="1" fillId="0" borderId="0"/>
    <xf numFmtId="43" fontId="1" fillId="0" borderId="0"/>
    <xf numFmtId="44" fontId="1" fillId="0" borderId="0"/>
    <xf numFmtId="9" fontId="1" fillId="0" borderId="0"/>
    <xf numFmtId="0" fontId="12" fillId="0" borderId="0"/>
    <xf numFmtId="43" fontId="12" fillId="0" borderId="0"/>
    <xf numFmtId="9" fontId="12" fillId="0" borderId="0"/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241" fontId="48" fillId="0" borderId="100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6" borderId="5" applyAlignment="1" applyProtection="1">
      <alignment horizontal="centerContinuous" vertical="center"/>
      <protection locked="0" hidden="0"/>
    </xf>
    <xf numFmtId="0" fontId="159" fillId="0" borderId="7002"/>
    <xf numFmtId="0" fontId="159" fillId="68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0"/>
    <xf numFmtId="43" fontId="12" fillId="0" borderId="0"/>
    <xf numFmtId="9" fontId="12" fillId="0" borderId="0"/>
    <xf numFmtId="0" fontId="78" fillId="14" borderId="7349"/>
    <xf numFmtId="299" fontId="217" fillId="61" borderId="101" applyAlignment="1" applyProtection="1">
      <alignment horizontal="right" vertical="center"/>
      <protection locked="0" hidden="0"/>
    </xf>
    <xf numFmtId="10" fontId="12" fillId="3" borderId="7014" applyProtection="1">
      <protection locked="0" hidden="0"/>
    </xf>
    <xf numFmtId="0" fontId="158" fillId="0" borderId="101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241" fontId="48" fillId="0" borderId="100"/>
    <xf numFmtId="0" fontId="214" fillId="0" borderId="7353"/>
    <xf numFmtId="0" fontId="2" fillId="0" borderId="7352"/>
    <xf numFmtId="203" fontId="25" fillId="0" borderId="701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50" applyAlignment="1">
      <alignment horizontal="right" vertical="center"/>
    </xf>
    <xf numFmtId="0" fontId="79" fillId="3" borderId="50" applyAlignment="1">
      <alignment vertical="center"/>
    </xf>
    <xf numFmtId="251" fontId="144" fillId="3" borderId="50" applyAlignment="1">
      <alignment vertical="center"/>
    </xf>
    <xf numFmtId="241" fontId="48" fillId="0" borderId="100"/>
    <xf numFmtId="0" fontId="75" fillId="0" borderId="7348"/>
    <xf numFmtId="0" fontId="91" fillId="0" borderId="39"/>
    <xf numFmtId="10" fontId="12" fillId="3" borderId="7014" applyProtection="1">
      <protection locked="0" hidden="0"/>
    </xf>
    <xf numFmtId="9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12" fillId="0" borderId="0"/>
    <xf numFmtId="9" fontId="12" fillId="0" borderId="0"/>
    <xf numFmtId="186" fontId="79" fillId="0" borderId="7346"/>
    <xf numFmtId="241" fontId="48" fillId="0" borderId="100"/>
    <xf numFmtId="10" fontId="12" fillId="3" borderId="7014" applyProtection="1">
      <protection locked="0" hidden="0"/>
    </xf>
    <xf numFmtId="0" fontId="91" fillId="0" borderId="39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1" fontId="144" fillId="3" borderId="50" applyAlignment="1">
      <alignment vertical="center"/>
    </xf>
    <xf numFmtId="0" fontId="79" fillId="3" borderId="50" applyAlignment="1">
      <alignment vertical="center"/>
    </xf>
    <xf numFmtId="183" fontId="9" fillId="3" borderId="50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43" fontId="12" fillId="0" borderId="0"/>
    <xf numFmtId="44" fontId="12" fillId="0" borderId="0"/>
    <xf numFmtId="0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0" fontId="12" fillId="0" borderId="0"/>
    <xf numFmtId="0" fontId="266" fillId="0" borderId="0"/>
    <xf numFmtId="0" fontId="1" fillId="0" borderId="0"/>
    <xf numFmtId="0" fontId="1" fillId="0" borderId="0"/>
    <xf numFmtId="0" fontId="1" fillId="0" borderId="0"/>
    <xf numFmtId="306" fontId="12" fillId="0" borderId="0"/>
    <xf numFmtId="9" fontId="47" fillId="0" borderId="0"/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4" fillId="0" borderId="0"/>
    <xf numFmtId="43" fontId="4" fillId="0" borderId="0"/>
    <xf numFmtId="44" fontId="4" fillId="0" borderId="0"/>
    <xf numFmtId="9" fontId="4" fillId="0" borderId="0"/>
    <xf numFmtId="0" fontId="51" fillId="0" borderId="0"/>
    <xf numFmtId="0" fontId="4" fillId="0" borderId="0"/>
    <xf numFmtId="307" fontId="79" fillId="0" borderId="0" applyAlignment="1">
      <alignment horizontal="left" vertical="top" wrapText="1"/>
    </xf>
    <xf numFmtId="308" fontId="79" fillId="0" borderId="0" applyAlignment="1">
      <alignment horizontal="right" vertical="top"/>
    </xf>
    <xf numFmtId="0" fontId="2" fillId="0" borderId="0"/>
    <xf numFmtId="0" fontId="79" fillId="0" borderId="0" applyAlignment="1">
      <alignment horizontal="left" vertical="top" wrapText="1"/>
    </xf>
    <xf numFmtId="309" fontId="79" fillId="0" borderId="0" applyAlignment="1">
      <alignment horizontal="right" vertical="top"/>
    </xf>
    <xf numFmtId="0" fontId="48" fillId="0" borderId="0"/>
    <xf numFmtId="0" fontId="1" fillId="0" borderId="0"/>
    <xf numFmtId="0" fontId="4" fillId="0" borderId="0"/>
    <xf numFmtId="307" fontId="79" fillId="0" borderId="0" applyAlignment="1">
      <alignment horizontal="left" vertical="top" wrapText="1"/>
    </xf>
    <xf numFmtId="310" fontId="267" fillId="0" borderId="7019" applyAlignment="1">
      <alignment horizontal="left"/>
    </xf>
    <xf numFmtId="311" fontId="79" fillId="0" borderId="0" applyAlignment="1">
      <alignment horizontal="right" vertical="top"/>
    </xf>
    <xf numFmtId="307" fontId="268" fillId="0" borderId="7019" applyAlignment="1">
      <alignment horizontal="right" wrapText="1"/>
    </xf>
    <xf numFmtId="310" fontId="269" fillId="0" borderId="0"/>
    <xf numFmtId="44" fontId="1" fillId="0" borderId="0"/>
    <xf numFmtId="0" fontId="270" fillId="0" borderId="0"/>
    <xf numFmtId="0" fontId="271" fillId="0" borderId="0"/>
    <xf numFmtId="43" fontId="51" fillId="0" borderId="0"/>
    <xf numFmtId="9" fontId="51" fillId="0" borderId="0"/>
    <xf numFmtId="312" fontId="12" fillId="0" borderId="0"/>
    <xf numFmtId="312" fontId="1" fillId="0" borderId="0"/>
    <xf numFmtId="312" fontId="12" fillId="0" borderId="0"/>
    <xf numFmtId="312" fontId="12" fillId="0" borderId="0"/>
    <xf numFmtId="312" fontId="1" fillId="0" borderId="0"/>
    <xf numFmtId="312" fontId="12" fillId="0" borderId="0"/>
    <xf numFmtId="185" fontId="146" fillId="3" borderId="7350" applyAlignment="1">
      <alignment horizontal="left"/>
    </xf>
    <xf numFmtId="0" fontId="75" fillId="0" borderId="7348"/>
    <xf numFmtId="0" fontId="1" fillId="0" borderId="0"/>
    <xf numFmtId="43" fontId="50" fillId="0" borderId="0"/>
    <xf numFmtId="43" fontId="12" fillId="0" borderId="0"/>
    <xf numFmtId="0" fontId="12" fillId="0" borderId="0"/>
    <xf numFmtId="9" fontId="50" fillId="0" borderId="0"/>
    <xf numFmtId="0" fontId="272" fillId="0" borderId="0"/>
    <xf numFmtId="0" fontId="273" fillId="22" borderId="0"/>
    <xf numFmtId="0" fontId="1" fillId="0" borderId="0"/>
    <xf numFmtId="0" fontId="72" fillId="30" borderId="0"/>
    <xf numFmtId="0" fontId="72" fillId="34" borderId="0"/>
    <xf numFmtId="0" fontId="72" fillId="38" borderId="0"/>
    <xf numFmtId="0" fontId="1" fillId="0" borderId="0"/>
    <xf numFmtId="0" fontId="72" fillId="42" borderId="0"/>
    <xf numFmtId="0" fontId="72" fillId="46" borderId="0"/>
    <xf numFmtId="0" fontId="72" fillId="50" borderId="0"/>
    <xf numFmtId="44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13" fillId="0" borderId="7347"/>
    <xf numFmtId="241" fontId="48" fillId="0" borderId="100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44" fontId="50" fillId="0" borderId="0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312" fontId="12" fillId="0" borderId="0"/>
    <xf numFmtId="234" fontId="125" fillId="0" borderId="0" applyAlignment="1">
      <alignment horizontal="right"/>
    </xf>
    <xf numFmtId="241" fontId="48" fillId="0" borderId="100"/>
    <xf numFmtId="243" fontId="125" fillId="0" borderId="0" applyAlignment="1">
      <alignment horizontal="right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0" fontId="12" fillId="0" borderId="0"/>
    <xf numFmtId="0" fontId="196" fillId="0" borderId="0"/>
    <xf numFmtId="9" fontId="77" fillId="0" borderId="0"/>
    <xf numFmtId="9" fontId="1" fillId="0" borderId="0"/>
    <xf numFmtId="312" fontId="12" fillId="0" borderId="0"/>
    <xf numFmtId="312" fontId="12" fillId="0" borderId="0"/>
    <xf numFmtId="312" fontId="1" fillId="0" borderId="0"/>
    <xf numFmtId="241" fontId="48" fillId="0" borderId="100"/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44" fontId="50" fillId="0" borderId="0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312" fontId="12" fillId="0" borderId="0"/>
    <xf numFmtId="312" fontId="12" fillId="0" borderId="0"/>
    <xf numFmtId="312" fontId="1" fillId="0" borderId="0"/>
    <xf numFmtId="0" fontId="77" fillId="0" borderId="0"/>
    <xf numFmtId="0" fontId="12" fillId="0" borderId="0" applyAlignment="1">
      <alignment vertical="center"/>
    </xf>
    <xf numFmtId="0" fontId="12" fillId="0" borderId="0"/>
    <xf numFmtId="0" fontId="12" fillId="0" borderId="0"/>
    <xf numFmtId="0" fontId="91" fillId="0" borderId="39"/>
    <xf numFmtId="0" fontId="12" fillId="0" borderId="0"/>
    <xf numFmtId="0" fontId="91" fillId="0" borderId="39"/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" fontId="108" fillId="56" borderId="7" applyAlignment="1" applyProtection="1">
      <alignment horizontal="center" vertical="top" wrapText="1"/>
      <protection locked="1" hidden="1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2" fillId="0" borderId="0"/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0" fontId="12" fillId="0" borderId="0"/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12" fillId="0" borderId="0"/>
    <xf numFmtId="0" fontId="78" fillId="14" borderId="7349"/>
    <xf numFmtId="299" fontId="217" fillId="61" borderId="7" applyAlignment="1" applyProtection="1">
      <alignment horizontal="right" vertical="center"/>
      <protection locked="0" hidden="0"/>
    </xf>
    <xf numFmtId="0" fontId="158" fillId="0" borderId="7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12" fillId="0" borderId="0"/>
    <xf numFmtId="0" fontId="12" fillId="0" borderId="0"/>
    <xf numFmtId="0" fontId="75" fillId="0" borderId="7348"/>
    <xf numFmtId="0" fontId="12" fillId="0" borderId="0"/>
    <xf numFmtId="186" fontId="79" fillId="0" borderId="7346"/>
    <xf numFmtId="186" fontId="79" fillId="0" borderId="7346"/>
    <xf numFmtId="312" fontId="1" fillId="0" borderId="0"/>
    <xf numFmtId="0" fontId="25" fillId="10" borderId="7354" applyAlignment="1">
      <alignment horizontal="left" vertical="top"/>
    </xf>
    <xf numFmtId="0" fontId="12" fillId="0" borderId="0"/>
    <xf numFmtId="0" fontId="12" fillId="0" borderId="0"/>
    <xf numFmtId="0" fontId="2" fillId="0" borderId="7352"/>
    <xf numFmtId="241" fontId="48" fillId="0" borderId="100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89" fillId="0" borderId="0"/>
    <xf numFmtId="186" fontId="79" fillId="0" borderId="7346"/>
    <xf numFmtId="0" fontId="272" fillId="0" borderId="0"/>
    <xf numFmtId="0" fontId="272" fillId="0" borderId="0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" fillId="0" borderId="0"/>
    <xf numFmtId="0" fontId="281" fillId="0" borderId="106"/>
    <xf numFmtId="0" fontId="78" fillId="14" borderId="7349"/>
    <xf numFmtId="0" fontId="50" fillId="102" borderId="0"/>
    <xf numFmtId="0" fontId="50" fillId="104" borderId="0"/>
    <xf numFmtId="0" fontId="50" fillId="106" borderId="0"/>
    <xf numFmtId="0" fontId="106" fillId="0" borderId="60" applyProtection="1">
      <protection locked="1" hidden="1"/>
    </xf>
    <xf numFmtId="0" fontId="107" fillId="55" borderId="60" applyProtection="1">
      <protection locked="1" hidden="1"/>
    </xf>
    <xf numFmtId="186" fontId="79" fillId="0" borderId="7346"/>
    <xf numFmtId="196" fontId="84" fillId="0" borderId="60"/>
    <xf numFmtId="243" fontId="125" fillId="0" borderId="0" applyAlignment="1">
      <alignment horizontal="right"/>
    </xf>
    <xf numFmtId="0" fontId="50" fillId="99" borderId="0"/>
    <xf numFmtId="0" fontId="274" fillId="107" borderId="0"/>
    <xf numFmtId="0" fontId="274" fillId="111" borderId="0"/>
    <xf numFmtId="0" fontId="274" fillId="112" borderId="0"/>
    <xf numFmtId="0" fontId="274" fillId="113" borderId="0"/>
    <xf numFmtId="0" fontId="274" fillId="114" borderId="0"/>
    <xf numFmtId="0" fontId="274" fillId="115" borderId="0"/>
    <xf numFmtId="0" fontId="274" fillId="110" borderId="0"/>
    <xf numFmtId="0" fontId="274" fillId="111" borderId="0"/>
    <xf numFmtId="0" fontId="274" fillId="116" borderId="0"/>
    <xf numFmtId="0" fontId="275" fillId="100" borderId="0"/>
    <xf numFmtId="0" fontId="276" fillId="55" borderId="7020"/>
    <xf numFmtId="0" fontId="277" fillId="117" borderId="104"/>
    <xf numFmtId="0" fontId="278" fillId="0" borderId="0"/>
    <xf numFmtId="0" fontId="279" fillId="101" borderId="0"/>
    <xf numFmtId="0" fontId="280" fillId="0" borderId="105"/>
    <xf numFmtId="0" fontId="282" fillId="0" borderId="0"/>
    <xf numFmtId="0" fontId="283" fillId="104" borderId="7020"/>
    <xf numFmtId="0" fontId="50" fillId="118" borderId="7003"/>
    <xf numFmtId="0" fontId="1" fillId="0" borderId="0"/>
    <xf numFmtId="0" fontId="272" fillId="0" borderId="0"/>
    <xf numFmtId="0" fontId="1" fillId="0" borderId="0"/>
    <xf numFmtId="43" fontId="50" fillId="0" borderId="0"/>
    <xf numFmtId="0" fontId="1" fillId="0" borderId="0"/>
    <xf numFmtId="0" fontId="272" fillId="0" borderId="0"/>
    <xf numFmtId="9" fontId="50" fillId="0" borderId="0"/>
    <xf numFmtId="9" fontId="50" fillId="0" borderId="0"/>
    <xf numFmtId="0" fontId="1" fillId="0" borderId="0"/>
    <xf numFmtId="0" fontId="272" fillId="0" borderId="0"/>
    <xf numFmtId="0" fontId="1" fillId="0" borderId="0"/>
    <xf numFmtId="0" fontId="286" fillId="55" borderId="7021"/>
    <xf numFmtId="0" fontId="272" fillId="0" borderId="0"/>
    <xf numFmtId="9" fontId="50" fillId="0" borderId="0"/>
    <xf numFmtId="0" fontId="1" fillId="0" borderId="0"/>
    <xf numFmtId="0" fontId="1" fillId="0" borderId="0"/>
    <xf numFmtId="0" fontId="283" fillId="104" borderId="7020"/>
    <xf numFmtId="0" fontId="272" fillId="0" borderId="0"/>
    <xf numFmtId="0" fontId="1" fillId="0" borderId="0"/>
    <xf numFmtId="185" fontId="84" fillId="0" borderId="60"/>
    <xf numFmtId="0" fontId="1" fillId="0" borderId="0"/>
    <xf numFmtId="0" fontId="1" fillId="0" borderId="0"/>
    <xf numFmtId="0" fontId="272" fillId="0" borderId="0"/>
    <xf numFmtId="0" fontId="1" fillId="0" borderId="0"/>
    <xf numFmtId="9" fontId="50" fillId="0" borderId="0"/>
    <xf numFmtId="43" fontId="50" fillId="0" borderId="0"/>
    <xf numFmtId="9" fontId="50" fillId="0" borderId="0"/>
    <xf numFmtId="0" fontId="288" fillId="0" borderId="7022"/>
    <xf numFmtId="0" fontId="276" fillId="55" borderId="7020"/>
    <xf numFmtId="9" fontId="50" fillId="0" borderId="0"/>
    <xf numFmtId="0" fontId="272" fillId="0" borderId="0"/>
    <xf numFmtId="0" fontId="272" fillId="0" borderId="0"/>
    <xf numFmtId="9" fontId="50" fillId="0" borderId="0"/>
    <xf numFmtId="9" fontId="50" fillId="0" borderId="0"/>
    <xf numFmtId="0" fontId="272" fillId="0" borderId="0"/>
    <xf numFmtId="9" fontId="50" fillId="0" borderId="0"/>
    <xf numFmtId="9" fontId="50" fillId="0" borderId="0"/>
    <xf numFmtId="43" fontId="50" fillId="0" borderId="0"/>
    <xf numFmtId="43" fontId="50" fillId="0" borderId="0"/>
    <xf numFmtId="0" fontId="272" fillId="0" borderId="0"/>
    <xf numFmtId="0" fontId="48" fillId="11" borderId="60" applyAlignment="1">
      <alignment horizontal="center"/>
    </xf>
    <xf numFmtId="43" fontId="50" fillId="0" borderId="0"/>
    <xf numFmtId="0" fontId="84" fillId="0" borderId="60"/>
    <xf numFmtId="1" fontId="12" fillId="0" borderId="60" applyAlignment="1">
      <alignment horizontal="center" vertical="center"/>
    </xf>
    <xf numFmtId="0" fontId="219" fillId="0" borderId="60" applyProtection="1">
      <protection locked="1" hidden="1"/>
    </xf>
    <xf numFmtId="243" fontId="125" fillId="0" borderId="0" applyAlignment="1">
      <alignment horizontal="right"/>
    </xf>
    <xf numFmtId="0" fontId="1" fillId="0" borderId="0"/>
    <xf numFmtId="9" fontId="50" fillId="0" borderId="0"/>
    <xf numFmtId="0" fontId="274" fillId="110" borderId="0"/>
    <xf numFmtId="0" fontId="78" fillId="14" borderId="7349"/>
    <xf numFmtId="186" fontId="79" fillId="0" borderId="7346"/>
    <xf numFmtId="43" fontId="50" fillId="0" borderId="0"/>
    <xf numFmtId="0" fontId="50" fillId="101" borderId="0"/>
    <xf numFmtId="0" fontId="285" fillId="52" borderId="0"/>
    <xf numFmtId="0" fontId="50" fillId="105" borderId="0"/>
    <xf numFmtId="0" fontId="282" fillId="0" borderId="107"/>
    <xf numFmtId="0" fontId="50" fillId="103" borderId="0"/>
    <xf numFmtId="0" fontId="50" fillId="100" borderId="0"/>
    <xf numFmtId="0" fontId="50" fillId="102" borderId="0"/>
    <xf numFmtId="9" fontId="50" fillId="0" borderId="0"/>
    <xf numFmtId="43" fontId="50" fillId="0" borderId="0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50" fillId="108" borderId="0"/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74" fillId="109" borderId="0"/>
    <xf numFmtId="0" fontId="75" fillId="0" borderId="7348"/>
    <xf numFmtId="0" fontId="284" fillId="0" borderId="108"/>
    <xf numFmtId="0" fontId="274" fillId="106" borderId="0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50" fillId="107" borderId="0"/>
    <xf numFmtId="0" fontId="286" fillId="55" borderId="7021"/>
    <xf numFmtId="0" fontId="1" fillId="0" borderId="0"/>
    <xf numFmtId="43" fontId="50" fillId="0" borderId="0"/>
    <xf numFmtId="0" fontId="50" fillId="105" borderId="0"/>
    <xf numFmtId="0" fontId="288" fillId="0" borderId="7022"/>
    <xf numFmtId="0" fontId="287" fillId="0" borderId="0"/>
    <xf numFmtId="43" fontId="50" fillId="0" borderId="0"/>
    <xf numFmtId="43" fontId="50" fillId="0" borderId="0"/>
    <xf numFmtId="43" fontId="50" fillId="0" borderId="0"/>
    <xf numFmtId="0" fontId="272" fillId="0" borderId="0"/>
    <xf numFmtId="43" fontId="50" fillId="0" borderId="0"/>
    <xf numFmtId="9" fontId="50" fillId="0" borderId="0"/>
    <xf numFmtId="43" fontId="50" fillId="0" borderId="0"/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44" fontId="50" fillId="0" borderId="0"/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2" fillId="0" borderId="0"/>
    <xf numFmtId="43" fontId="12" fillId="0" borderId="0"/>
    <xf numFmtId="9" fontId="12" fillId="0" borderId="0"/>
    <xf numFmtId="0" fontId="75" fillId="0" borderId="7348"/>
    <xf numFmtId="241" fontId="48" fillId="0" borderId="100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43" fontId="290" fillId="0" borderId="0"/>
    <xf numFmtId="0" fontId="51" fillId="0" borderId="0"/>
    <xf numFmtId="0" fontId="290" fillId="0" borderId="0"/>
    <xf numFmtId="0" fontId="51" fillId="0" borderId="0"/>
    <xf numFmtId="0" fontId="12" fillId="0" borderId="0"/>
    <xf numFmtId="43" fontId="12" fillId="0" borderId="0"/>
    <xf numFmtId="9" fontId="12" fillId="0" borderId="0"/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41" fontId="48" fillId="0" borderId="100"/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241" fontId="48" fillId="0" borderId="100"/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0" fontId="91" fillId="0" borderId="39"/>
    <xf numFmtId="10" fontId="12" fillId="3" borderId="7014" applyProtection="1">
      <protection locked="0" hidden="0"/>
    </xf>
    <xf numFmtId="9" fontId="12" fillId="0" borderId="0"/>
    <xf numFmtId="43" fontId="12" fillId="0" borderId="0"/>
    <xf numFmtId="0" fontId="12" fillId="0" borderId="0"/>
    <xf numFmtId="189" fontId="46" fillId="0" borderId="7347"/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12" fillId="0" borderId="0" applyAlignment="1">
      <alignment vertical="center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291" fillId="0" borderId="0"/>
    <xf numFmtId="0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91" fillId="0" borderId="39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313" fontId="12" fillId="0" borderId="0"/>
    <xf numFmtId="43" fontId="12" fillId="0" borderId="0"/>
    <xf numFmtId="9" fontId="12" fillId="0" borderId="0"/>
    <xf numFmtId="313" fontId="12" fillId="0" borderId="0"/>
    <xf numFmtId="313" fontId="12" fillId="0" borderId="0"/>
    <xf numFmtId="313" fontId="12" fillId="0" borderId="0"/>
    <xf numFmtId="313" fontId="1" fillId="0" borderId="0"/>
    <xf numFmtId="313" fontId="12" fillId="0" borderId="0"/>
    <xf numFmtId="313" fontId="75" fillId="0" borderId="0"/>
    <xf numFmtId="313" fontId="80" fillId="0" borderId="0"/>
    <xf numFmtId="313" fontId="80" fillId="0" borderId="0"/>
    <xf numFmtId="313" fontId="80" fillId="0" borderId="0"/>
    <xf numFmtId="313" fontId="80" fillId="0" borderId="0"/>
    <xf numFmtId="313" fontId="80" fillId="0" borderId="0"/>
    <xf numFmtId="313" fontId="80" fillId="0" borderId="0"/>
    <xf numFmtId="313" fontId="85" fillId="0" borderId="0"/>
    <xf numFmtId="313" fontId="12" fillId="0" borderId="0"/>
    <xf numFmtId="313" fontId="12" fillId="0" borderId="0"/>
    <xf numFmtId="313" fontId="2" fillId="0" borderId="0"/>
    <xf numFmtId="313" fontId="12" fillId="0" borderId="0"/>
    <xf numFmtId="313" fontId="12" fillId="0" borderId="0"/>
    <xf numFmtId="313" fontId="85" fillId="0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88" fillId="0" borderId="0"/>
    <xf numFmtId="313" fontId="12" fillId="52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89" fillId="0" borderId="0"/>
    <xf numFmtId="313" fontId="90" fillId="0" borderId="0" applyAlignment="1">
      <alignment vertical="top"/>
    </xf>
    <xf numFmtId="313" fontId="91" fillId="0" borderId="39"/>
    <xf numFmtId="313" fontId="92" fillId="0" borderId="40" applyAlignment="1">
      <alignment horizontal="center"/>
    </xf>
    <xf numFmtId="313" fontId="92" fillId="0" borderId="0" applyAlignment="1">
      <alignment horizontal="left"/>
    </xf>
    <xf numFmtId="313" fontId="93" fillId="0" borderId="0" applyAlignment="1">
      <alignment horizontal="centerContinuous"/>
    </xf>
    <xf numFmtId="313" fontId="12" fillId="0" borderId="0"/>
    <xf numFmtId="313" fontId="12" fillId="0" borderId="0"/>
    <xf numFmtId="313" fontId="94" fillId="0" borderId="0"/>
    <xf numFmtId="313" fontId="94" fillId="0" borderId="0"/>
    <xf numFmtId="313" fontId="97" fillId="0" borderId="0"/>
    <xf numFmtId="313" fontId="97" fillId="0" borderId="0"/>
    <xf numFmtId="313" fontId="97" fillId="0" borderId="0"/>
    <xf numFmtId="313" fontId="2" fillId="0" borderId="0"/>
    <xf numFmtId="313" fontId="75" fillId="0" borderId="0"/>
    <xf numFmtId="313" fontId="12" fillId="0" borderId="0"/>
    <xf numFmtId="313" fontId="101" fillId="0" borderId="7347"/>
    <xf numFmtId="313" fontId="103" fillId="0" borderId="0"/>
    <xf numFmtId="313" fontId="12" fillId="54" borderId="0"/>
    <xf numFmtId="313" fontId="12" fillId="0" borderId="0"/>
    <xf numFmtId="313" fontId="104" fillId="0" borderId="0"/>
    <xf numFmtId="313" fontId="12" fillId="0" borderId="7001"/>
    <xf numFmtId="313" fontId="46" fillId="0" borderId="7001"/>
    <xf numFmtId="313" fontId="105" fillId="0" borderId="7001"/>
    <xf numFmtId="313" fontId="48" fillId="0" borderId="7001"/>
    <xf numFmtId="313" fontId="106" fillId="0" borderId="60" applyProtection="1">
      <protection locked="1" hidden="1"/>
    </xf>
    <xf numFmtId="313" fontId="107" fillId="55" borderId="60" applyProtection="1">
      <protection locked="1" hidden="1"/>
    </xf>
    <xf numFmtId="313" fontId="110" fillId="0" borderId="0"/>
    <xf numFmtId="313" fontId="12" fillId="0" borderId="0"/>
    <xf numFmtId="313" fontId="112" fillId="0" borderId="0"/>
    <xf numFmtId="313" fontId="113" fillId="0" borderId="7347"/>
    <xf numFmtId="313" fontId="75" fillId="0" borderId="15"/>
    <xf numFmtId="313" fontId="75" fillId="0" borderId="7348"/>
    <xf numFmtId="313" fontId="94" fillId="0" borderId="0"/>
    <xf numFmtId="313" fontId="117" fillId="0" borderId="0"/>
    <xf numFmtId="313" fontId="117" fillId="0" borderId="0"/>
    <xf numFmtId="313" fontId="117" fillId="0" borderId="0"/>
    <xf numFmtId="313" fontId="118" fillId="58" borderId="0"/>
    <xf numFmtId="313" fontId="75" fillId="0" borderId="0"/>
    <xf numFmtId="313" fontId="119" fillId="59" borderId="1"/>
    <xf numFmtId="313" fontId="120" fillId="0" borderId="0" applyAlignment="1">
      <alignment horizontal="right"/>
    </xf>
    <xf numFmtId="313" fontId="48" fillId="0" borderId="0"/>
    <xf numFmtId="313" fontId="122" fillId="0" borderId="0"/>
    <xf numFmtId="313" fontId="12" fillId="0" borderId="7347" applyAlignment="1">
      <alignment horizontal="center"/>
    </xf>
    <xf numFmtId="313" fontId="12" fillId="0" borderId="0" applyAlignment="1" applyProtection="1">
      <alignment horizontal="center" wrapText="1"/>
      <protection locked="1" hidden="1"/>
    </xf>
    <xf numFmtId="313" fontId="124" fillId="0" borderId="0"/>
    <xf numFmtId="313" fontId="124" fillId="0" borderId="0"/>
    <xf numFmtId="313" fontId="124" fillId="0" borderId="0"/>
    <xf numFmtId="313" fontId="124" fillId="0" borderId="0"/>
    <xf numFmtId="313" fontId="124" fillId="0" borderId="0"/>
    <xf numFmtId="313" fontId="124" fillId="0" borderId="0"/>
    <xf numFmtId="313" fontId="124" fillId="0" borderId="0"/>
    <xf numFmtId="313" fontId="124" fillId="0" borderId="0"/>
    <xf numFmtId="313" fontId="117" fillId="0" borderId="0"/>
    <xf numFmtId="313" fontId="107" fillId="0" borderId="0"/>
    <xf numFmtId="313" fontId="127" fillId="0" borderId="0"/>
    <xf numFmtId="313" fontId="128" fillId="60" borderId="0" applyAlignment="1">
      <alignment horizontal="center" vertical="center" wrapText="1"/>
    </xf>
    <xf numFmtId="313" fontId="129" fillId="0" borderId="0" applyAlignment="1">
      <alignment horizontal="left"/>
    </xf>
    <xf numFmtId="241" fontId="48" fillId="0" borderId="100"/>
    <xf numFmtId="313" fontId="75" fillId="0" borderId="0"/>
    <xf numFmtId="313" fontId="48" fillId="0" borderId="0"/>
    <xf numFmtId="313" fontId="126" fillId="0" borderId="0"/>
    <xf numFmtId="313" fontId="134" fillId="62" borderId="0"/>
    <xf numFmtId="313" fontId="94" fillId="0" borderId="0"/>
    <xf numFmtId="313" fontId="12" fillId="0" borderId="0" applyAlignment="1">
      <alignment horizontal="right"/>
    </xf>
    <xf numFmtId="313" fontId="135" fillId="0" borderId="0"/>
    <xf numFmtId="313" fontId="46" fillId="14" borderId="0"/>
    <xf numFmtId="313" fontId="78" fillId="14" borderId="7349"/>
    <xf numFmtId="313" fontId="48" fillId="14" borderId="0"/>
    <xf numFmtId="313" fontId="2" fillId="0" borderId="0"/>
    <xf numFmtId="313" fontId="74" fillId="0" borderId="0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313" fontId="75" fillId="0" borderId="0"/>
    <xf numFmtId="313" fontId="135" fillId="0" borderId="0"/>
    <xf numFmtId="313" fontId="75" fillId="0" borderId="0"/>
    <xf numFmtId="313" fontId="133" fillId="0" borderId="0" applyProtection="1">
      <protection locked="0" hidden="0"/>
    </xf>
    <xf numFmtId="313" fontId="79" fillId="3" borderId="50" applyAlignment="1">
      <alignment vertical="center"/>
    </xf>
    <xf numFmtId="313" fontId="135" fillId="0" borderId="7002"/>
    <xf numFmtId="313" fontId="135" fillId="0" borderId="7002"/>
    <xf numFmtId="313" fontId="48" fillId="54" borderId="0"/>
    <xf numFmtId="313" fontId="149" fillId="64" borderId="0"/>
    <xf numFmtId="313" fontId="117" fillId="0" borderId="0"/>
    <xf numFmtId="313" fontId="117" fillId="0" borderId="0"/>
    <xf numFmtId="313" fontId="117" fillId="0" borderId="0"/>
    <xf numFmtId="313" fontId="135" fillId="0" borderId="0"/>
    <xf numFmtId="313" fontId="152" fillId="0" borderId="0"/>
    <xf numFmtId="313" fontId="155" fillId="67" borderId="0"/>
    <xf numFmtId="313" fontId="75" fillId="0" borderId="0"/>
    <xf numFmtId="313" fontId="12" fillId="0" borderId="0"/>
    <xf numFmtId="313" fontId="25" fillId="0" borderId="0"/>
    <xf numFmtId="313" fontId="104" fillId="0" borderId="0"/>
    <xf numFmtId="313" fontId="5" fillId="0" borderId="0"/>
    <xf numFmtId="313" fontId="3" fillId="0" borderId="0"/>
    <xf numFmtId="313" fontId="156" fillId="0" borderId="0"/>
    <xf numFmtId="313" fontId="157" fillId="0" borderId="0"/>
    <xf numFmtId="313" fontId="46" fillId="0" borderId="0"/>
    <xf numFmtId="313" fontId="158" fillId="0" borderId="0" applyAlignment="1">
      <alignment horizontal="left"/>
    </xf>
    <xf numFmtId="313" fontId="12" fillId="0" borderId="0"/>
    <xf numFmtId="313" fontId="159" fillId="0" borderId="57"/>
    <xf numFmtId="313" fontId="159" fillId="0" borderId="7002"/>
    <xf numFmtId="313" fontId="159" fillId="68" borderId="7002"/>
    <xf numFmtId="313" fontId="12" fillId="0" borderId="0"/>
    <xf numFmtId="313" fontId="48" fillId="0" borderId="0" applyAlignment="1">
      <alignment horizontal="right"/>
    </xf>
    <xf numFmtId="313" fontId="48" fillId="0" borderId="0"/>
    <xf numFmtId="313" fontId="164" fillId="0" borderId="0" applyAlignment="1">
      <alignment horizontal="right"/>
    </xf>
    <xf numFmtId="313" fontId="5" fillId="0" borderId="37" applyAlignment="1">
      <alignment horizontal="left" vertical="center"/>
    </xf>
    <xf numFmtId="313" fontId="5" fillId="0" borderId="4" applyAlignment="1">
      <alignment horizontal="left" vertical="center"/>
    </xf>
    <xf numFmtId="313" fontId="12" fillId="0" borderId="0" applyAlignment="1">
      <alignment horizontal="center"/>
    </xf>
    <xf numFmtId="313" fontId="12" fillId="0" borderId="0" applyAlignment="1">
      <alignment horizont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169" fillId="0" borderId="0" applyAlignment="1">
      <alignment horizontal="center"/>
    </xf>
    <xf numFmtId="313" fontId="170" fillId="0" borderId="0" applyAlignment="1">
      <alignment horizontal="center"/>
    </xf>
    <xf numFmtId="313" fontId="171" fillId="0" borderId="58" applyAlignment="1">
      <alignment horizontal="left"/>
    </xf>
    <xf numFmtId="313" fontId="2" fillId="0" borderId="0"/>
    <xf numFmtId="313" fontId="173" fillId="0" borderId="59"/>
    <xf numFmtId="313" fontId="12" fillId="3" borderId="0"/>
    <xf numFmtId="313" fontId="75" fillId="0" borderId="0"/>
    <xf numFmtId="313" fontId="48" fillId="14" borderId="0" applyProtection="1">
      <protection locked="0" hidden="0"/>
    </xf>
    <xf numFmtId="313" fontId="48" fillId="14" borderId="0" applyProtection="1">
      <protection locked="0" hidden="0"/>
    </xf>
    <xf numFmtId="313" fontId="48" fillId="14" borderId="0" applyProtection="1">
      <protection locked="0" hidden="0"/>
    </xf>
    <xf numFmtId="313" fontId="48" fillId="14" borderId="0" applyProtection="1">
      <protection locked="0" hidden="0"/>
    </xf>
    <xf numFmtId="313" fontId="174" fillId="14" borderId="0" applyProtection="1">
      <protection locked="0" hidden="0"/>
    </xf>
    <xf numFmtId="313" fontId="111" fillId="0" borderId="0" applyProtection="1">
      <protection locked="0" hidden="0"/>
    </xf>
    <xf numFmtId="313" fontId="48" fillId="14" borderId="0" applyAlignment="1" applyProtection="1">
      <alignment horizontal="center"/>
      <protection locked="0" hidden="0"/>
    </xf>
    <xf numFmtId="313" fontId="175" fillId="0" borderId="0" applyProtection="1">
      <protection locked="0" hidden="0"/>
    </xf>
    <xf numFmtId="313" fontId="12" fillId="0" borderId="0" applyAlignment="1" applyProtection="1">
      <alignment horizontal="right"/>
      <protection locked="0" hidden="0"/>
    </xf>
    <xf numFmtId="313" fontId="25" fillId="70" borderId="7002" applyAlignment="1">
      <alignment horizontal="left" vertical="center" wrapText="1"/>
    </xf>
    <xf numFmtId="313" fontId="75" fillId="0" borderId="0" applyAlignment="1">
      <alignment horizontal="left"/>
    </xf>
    <xf numFmtId="313" fontId="12" fillId="0" borderId="0"/>
    <xf numFmtId="313" fontId="117" fillId="0" borderId="0"/>
    <xf numFmtId="313" fontId="117" fillId="0" borderId="0"/>
    <xf numFmtId="313" fontId="117" fillId="0" borderId="0"/>
    <xf numFmtId="313" fontId="182" fillId="0" borderId="0"/>
    <xf numFmtId="313" fontId="134" fillId="62" borderId="0"/>
    <xf numFmtId="313" fontId="183" fillId="0" borderId="60" applyAlignment="1" applyProtection="1">
      <alignment horizontal="left"/>
      <protection locked="0" hidden="0"/>
    </xf>
    <xf numFmtId="313" fontId="184" fillId="0" borderId="7003" applyAlignment="1">
      <alignment horizontal="left" wrapText="1"/>
    </xf>
    <xf numFmtId="313" fontId="2" fillId="0" borderId="0"/>
    <xf numFmtId="313" fontId="2" fillId="0" borderId="0"/>
    <xf numFmtId="313" fontId="185" fillId="0" borderId="0"/>
    <xf numFmtId="313" fontId="48" fillId="0" borderId="0"/>
    <xf numFmtId="313" fontId="155" fillId="0" borderId="0"/>
    <xf numFmtId="313" fontId="186" fillId="0" borderId="0"/>
    <xf numFmtId="313" fontId="187" fillId="0" borderId="0"/>
    <xf numFmtId="313" fontId="188" fillId="0" borderId="0"/>
    <xf numFmtId="313" fontId="189" fillId="0" borderId="0"/>
    <xf numFmtId="313" fontId="98" fillId="0" borderId="0"/>
    <xf numFmtId="313" fontId="191" fillId="0" borderId="0" applyAlignment="1">
      <alignment horizontal="right"/>
    </xf>
    <xf numFmtId="313" fontId="12" fillId="0" borderId="0"/>
    <xf numFmtId="313" fontId="175" fillId="0" borderId="63"/>
    <xf numFmtId="313" fontId="192" fillId="0" borderId="0"/>
    <xf numFmtId="313" fontId="193" fillId="0" borderId="0"/>
    <xf numFmtId="313" fontId="134" fillId="65" borderId="0"/>
    <xf numFmtId="313" fontId="12" fillId="0" borderId="0"/>
    <xf numFmtId="313" fontId="48" fillId="0" borderId="0"/>
    <xf numFmtId="313" fontId="77" fillId="0" borderId="0"/>
    <xf numFmtId="313" fontId="77" fillId="0" borderId="0"/>
    <xf numFmtId="313" fontId="12" fillId="0" borderId="0"/>
    <xf numFmtId="313" fontId="196" fillId="0" borderId="0"/>
    <xf numFmtId="313" fontId="1" fillId="0" borderId="0"/>
    <xf numFmtId="313" fontId="46" fillId="0" borderId="0"/>
    <xf numFmtId="313" fontId="48" fillId="0" borderId="0"/>
    <xf numFmtId="313" fontId="2" fillId="0" borderId="0"/>
    <xf numFmtId="313" fontId="12" fillId="0" borderId="0" applyAlignment="1">
      <alignment horizontal="right"/>
    </xf>
    <xf numFmtId="313" fontId="200" fillId="0" borderId="0"/>
    <xf numFmtId="313" fontId="201" fillId="0" borderId="64"/>
    <xf numFmtId="313" fontId="48" fillId="0" borderId="0"/>
    <xf numFmtId="313" fontId="133" fillId="0" borderId="0" applyProtection="1">
      <protection locked="0" hidden="0"/>
    </xf>
    <xf numFmtId="313" fontId="12" fillId="0" borderId="0"/>
    <xf numFmtId="313" fontId="76" fillId="0" borderId="0"/>
    <xf numFmtId="313" fontId="204" fillId="3" borderId="1" applyAlignment="1">
      <alignment horizontal="center" vertical="center"/>
    </xf>
    <xf numFmtId="313" fontId="206" fillId="0" borderId="0" applyAlignment="1">
      <alignment horizontal="left"/>
    </xf>
    <xf numFmtId="313" fontId="207" fillId="61" borderId="0" applyAlignment="1">
      <alignment horizontal="right"/>
    </xf>
    <xf numFmtId="313" fontId="208" fillId="71" borderId="0"/>
    <xf numFmtId="313" fontId="2" fillId="0" borderId="0" applyAlignment="1">
      <alignment horizontal="centerContinuous"/>
    </xf>
    <xf numFmtId="313" fontId="209" fillId="0" borderId="0" applyAlignment="1">
      <alignment horizontal="centerContinuous"/>
    </xf>
    <xf numFmtId="313" fontId="210" fillId="0" borderId="7347" applyProtection="1">
      <protection locked="0" hidden="0"/>
    </xf>
    <xf numFmtId="313" fontId="211" fillId="0" borderId="0" applyAlignment="1">
      <alignment horizontal="left"/>
    </xf>
    <xf numFmtId="313" fontId="12" fillId="0" borderId="0" applyAlignment="1">
      <alignment horizontal="left"/>
    </xf>
    <xf numFmtId="313" fontId="12" fillId="0" borderId="0" applyAlignment="1">
      <alignment horizontal="left"/>
    </xf>
    <xf numFmtId="313" fontId="187" fillId="0" borderId="0"/>
    <xf numFmtId="313" fontId="213" fillId="0" borderId="65"/>
    <xf numFmtId="313" fontId="48" fillId="11" borderId="60" applyAlignment="1">
      <alignment horizontal="center"/>
    </xf>
    <xf numFmtId="313" fontId="2" fillId="0" borderId="7352"/>
    <xf numFmtId="313" fontId="213" fillId="0" borderId="67"/>
    <xf numFmtId="313" fontId="48" fillId="0" borderId="0"/>
    <xf numFmtId="313" fontId="12" fillId="0" borderId="0"/>
    <xf numFmtId="313" fontId="48" fillId="0" borderId="0"/>
    <xf numFmtId="313" fontId="197" fillId="0" borderId="0"/>
    <xf numFmtId="313" fontId="197" fillId="72" borderId="0"/>
    <xf numFmtId="313" fontId="105" fillId="0" borderId="0"/>
    <xf numFmtId="313" fontId="105" fillId="72" borderId="0"/>
    <xf numFmtId="313" fontId="84" fillId="0" borderId="60"/>
    <xf numFmtId="313" fontId="75" fillId="0" borderId="0"/>
    <xf numFmtId="313" fontId="133" fillId="0" borderId="0"/>
    <xf numFmtId="313" fontId="12" fillId="0" borderId="0"/>
    <xf numFmtId="313" fontId="48" fillId="0" borderId="0"/>
    <xf numFmtId="313" fontId="214" fillId="0" borderId="7353"/>
    <xf numFmtId="313" fontId="117" fillId="0" borderId="0"/>
    <xf numFmtId="313" fontId="117" fillId="0" borderId="0"/>
    <xf numFmtId="313" fontId="117" fillId="0" borderId="0"/>
    <xf numFmtId="313" fontId="216" fillId="0" borderId="0"/>
    <xf numFmtId="313" fontId="216" fillId="0" borderId="58" applyAlignment="1">
      <alignment horizontal="right"/>
    </xf>
    <xf numFmtId="313" fontId="12" fillId="0" borderId="0" applyProtection="1">
      <protection locked="1" hidden="1"/>
    </xf>
    <xf numFmtId="313" fontId="97" fillId="0" borderId="0" applyAlignment="1">
      <alignment horizontal="left"/>
    </xf>
    <xf numFmtId="313" fontId="114" fillId="0" borderId="15" applyAlignment="1">
      <alignment horizontal="center"/>
    </xf>
    <xf numFmtId="313" fontId="97" fillId="75" borderId="0"/>
    <xf numFmtId="313" fontId="2" fillId="0" borderId="0" applyAlignment="1">
      <alignment vertical="top"/>
    </xf>
    <xf numFmtId="313" fontId="218" fillId="0" borderId="0" applyAlignment="1">
      <alignment horizontal="left"/>
    </xf>
    <xf numFmtId="313" fontId="219" fillId="0" borderId="60" applyProtection="1">
      <protection locked="1" hidden="1"/>
    </xf>
    <xf numFmtId="313" fontId="135" fillId="0" borderId="0"/>
    <xf numFmtId="313" fontId="220" fillId="0" borderId="0"/>
    <xf numFmtId="313" fontId="94" fillId="0" borderId="0" applyAlignment="1">
      <alignment horizontal="right" vertical="center"/>
    </xf>
    <xf numFmtId="313" fontId="221" fillId="73" borderId="0"/>
    <xf numFmtId="313" fontId="2" fillId="0" borderId="0" applyAlignment="1">
      <alignment horizontal="left" indent="1"/>
    </xf>
    <xf numFmtId="313" fontId="222" fillId="0" borderId="69" applyAlignment="1">
      <alignment vertical="center"/>
    </xf>
    <xf numFmtId="313" fontId="225" fillId="54" borderId="7004" applyAlignment="1">
      <alignment horizontal="left" vertical="top" indent="1"/>
    </xf>
    <xf numFmtId="313" fontId="12" fillId="76" borderId="7004" applyAlignment="1">
      <alignment horizontal="left" vertical="center" indent="1"/>
    </xf>
    <xf numFmtId="313" fontId="12" fillId="76" borderId="7004" applyAlignment="1">
      <alignment horizontal="left" vertical="top" indent="1"/>
    </xf>
    <xf numFmtId="313" fontId="12" fillId="85" borderId="7004" applyAlignment="1">
      <alignment horizontal="left" vertical="center" indent="1"/>
    </xf>
    <xf numFmtId="313" fontId="12" fillId="85" borderId="7004" applyAlignment="1">
      <alignment horizontal="left" vertical="top" indent="1"/>
    </xf>
    <xf numFmtId="313" fontId="12" fillId="53" borderId="7004" applyAlignment="1">
      <alignment horizontal="left" vertical="center" indent="1"/>
    </xf>
    <xf numFmtId="313" fontId="12" fillId="53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5" borderId="7004" applyAlignment="1">
      <alignment horizontal="left" vertical="top" indent="1"/>
    </xf>
    <xf numFmtId="313" fontId="231" fillId="0" borderId="17"/>
    <xf numFmtId="313" fontId="5" fillId="60" borderId="1" applyAlignment="1" applyProtection="1">
      <alignment horizontal="center" vertical="center" wrapText="1"/>
      <protection locked="1" hidden="1"/>
    </xf>
    <xf numFmtId="313" fontId="2" fillId="86" borderId="0"/>
    <xf numFmtId="313" fontId="2" fillId="87" borderId="0"/>
    <xf numFmtId="313" fontId="232" fillId="88" borderId="0"/>
    <xf numFmtId="313" fontId="12" fillId="0" borderId="0"/>
    <xf numFmtId="313" fontId="232" fillId="89" borderId="0"/>
    <xf numFmtId="313" fontId="232" fillId="89" borderId="0"/>
    <xf numFmtId="313" fontId="232" fillId="90" borderId="0"/>
    <xf numFmtId="313" fontId="232" fillId="90" borderId="0"/>
    <xf numFmtId="313" fontId="12" fillId="91" borderId="0"/>
    <xf numFmtId="313" fontId="232" fillId="91" borderId="0"/>
    <xf numFmtId="313" fontId="12" fillId="0" borderId="0"/>
    <xf numFmtId="313" fontId="12" fillId="79" borderId="0"/>
    <xf numFmtId="313" fontId="82" fillId="0" borderId="0"/>
    <xf numFmtId="313" fontId="48" fillId="10" borderId="0" applyProtection="1">
      <protection locked="1" hidden="1"/>
    </xf>
    <xf numFmtId="313" fontId="233" fillId="65" borderId="0"/>
    <xf numFmtId="313" fontId="233" fillId="0" borderId="0"/>
    <xf numFmtId="313" fontId="233" fillId="0" borderId="0"/>
    <xf numFmtId="313" fontId="233" fillId="62" borderId="0"/>
    <xf numFmtId="313" fontId="233" fillId="62" borderId="0"/>
    <xf numFmtId="313" fontId="12" fillId="0" borderId="0"/>
    <xf numFmtId="313" fontId="12" fillId="0" borderId="0"/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25" fillId="61" borderId="1" applyAlignment="1">
      <alignment horizontal="center" vertical="top"/>
    </xf>
    <xf numFmtId="313" fontId="25" fillId="61" borderId="1" applyAlignment="1">
      <alignment horizontal="center" vertical="top"/>
    </xf>
    <xf numFmtId="313" fontId="25" fillId="0" borderId="0" applyAlignment="1">
      <alignment horizontal="left" vertical="top"/>
    </xf>
    <xf numFmtId="313" fontId="235" fillId="93" borderId="38" applyAlignment="1">
      <alignment horizontal="left" vertical="top"/>
    </xf>
    <xf numFmtId="313" fontId="12" fillId="3" borderId="7002"/>
    <xf numFmtId="313" fontId="12" fillId="10" borderId="7002"/>
    <xf numFmtId="313" fontId="12" fillId="10" borderId="7002"/>
    <xf numFmtId="313" fontId="235" fillId="93" borderId="77" applyAlignment="1">
      <alignment horizontal="center" vertical="center"/>
    </xf>
    <xf numFmtId="313" fontId="25" fillId="10" borderId="0" applyAlignment="1">
      <alignment horizontal="left"/>
    </xf>
    <xf numFmtId="313" fontId="25" fillId="10" borderId="7007" applyAlignment="1">
      <alignment horizontal="left"/>
    </xf>
    <xf numFmtId="313" fontId="25" fillId="10" borderId="79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84" applyAlignment="1">
      <alignment horizontal="left" vertical="top"/>
    </xf>
    <xf numFmtId="313" fontId="25" fillId="10" borderId="8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48" fillId="0" borderId="0" applyAlignment="1">
      <alignment horizontal="left" vertical="top" wrapText="1"/>
    </xf>
    <xf numFmtId="313" fontId="113" fillId="0" borderId="0" applyAlignment="1">
      <alignment horizontal="left" vertical="center"/>
    </xf>
    <xf numFmtId="313" fontId="236" fillId="0" borderId="0"/>
    <xf numFmtId="313" fontId="213" fillId="0" borderId="0" applyAlignment="1">
      <alignment horizontal="left"/>
    </xf>
    <xf numFmtId="313" fontId="75" fillId="0" borderId="0"/>
    <xf numFmtId="313" fontId="238" fillId="0" borderId="0"/>
    <xf numFmtId="313" fontId="12" fillId="0" borderId="7001"/>
    <xf numFmtId="313" fontId="239" fillId="0" borderId="92"/>
    <xf numFmtId="313" fontId="11" fillId="0" borderId="0" applyAlignment="1">
      <alignment horizontal="center" vertical="center"/>
    </xf>
    <xf numFmtId="313" fontId="240" fillId="0" borderId="0" applyAlignment="1">
      <alignment vertical="center"/>
    </xf>
    <xf numFmtId="313" fontId="241" fillId="94" borderId="0" applyAlignment="1">
      <alignment horizontal="centerContinuous" vertical="center"/>
    </xf>
    <xf numFmtId="313" fontId="241" fillId="95" borderId="7347" applyAlignment="1">
      <alignment horizontal="centerContinuous" vertical="center"/>
    </xf>
    <xf numFmtId="313" fontId="243" fillId="0" borderId="0"/>
    <xf numFmtId="313" fontId="200" fillId="0" borderId="0"/>
    <xf numFmtId="313" fontId="244" fillId="0" borderId="0" applyAlignment="1">
      <alignment horizontal="left"/>
    </xf>
    <xf numFmtId="313" fontId="158" fillId="0" borderId="7" applyAlignment="1">
      <alignment horizontal="left" vertical="top"/>
    </xf>
    <xf numFmtId="313" fontId="184" fillId="0" borderId="0"/>
    <xf numFmtId="313" fontId="12" fillId="96" borderId="0"/>
    <xf numFmtId="313" fontId="245" fillId="0" borderId="0"/>
    <xf numFmtId="313" fontId="246" fillId="0" borderId="0"/>
    <xf numFmtId="313" fontId="136" fillId="0" borderId="0"/>
    <xf numFmtId="313" fontId="136" fillId="0" borderId="0"/>
    <xf numFmtId="313" fontId="247" fillId="0" borderId="0" applyAlignment="1">
      <alignment vertical="center"/>
    </xf>
    <xf numFmtId="313" fontId="130" fillId="0" borderId="0" applyAlignment="1">
      <alignment horizontal="right"/>
    </xf>
    <xf numFmtId="313" fontId="12" fillId="0" borderId="0" applyAlignment="1">
      <alignment horizontal="right"/>
    </xf>
    <xf numFmtId="313" fontId="2" fillId="0" borderId="0"/>
    <xf numFmtId="313" fontId="94" fillId="0" borderId="0"/>
    <xf numFmtId="313" fontId="248" fillId="0" borderId="0"/>
    <xf numFmtId="313" fontId="5" fillId="0" borderId="0"/>
    <xf numFmtId="313" fontId="12" fillId="0" borderId="0"/>
    <xf numFmtId="313" fontId="251" fillId="88" borderId="0" applyAlignment="1">
      <alignment vertical="center"/>
    </xf>
    <xf numFmtId="313" fontId="213" fillId="0" borderId="0" applyAlignment="1">
      <alignment horizontal="centerContinuous"/>
    </xf>
    <xf numFmtId="313" fontId="251" fillId="82" borderId="0" applyAlignment="1">
      <alignment vertical="center"/>
    </xf>
    <xf numFmtId="313" fontId="74" fillId="0" borderId="0" applyAlignment="1" applyProtection="1">
      <alignment horizontal="centerContinuous"/>
      <protection locked="0" hidden="0"/>
    </xf>
    <xf numFmtId="313" fontId="74" fillId="0" borderId="0" applyAlignment="1">
      <alignment horizontal="left"/>
    </xf>
    <xf numFmtId="313" fontId="215" fillId="0" borderId="0"/>
    <xf numFmtId="313" fontId="12" fillId="0" borderId="0"/>
    <xf numFmtId="313" fontId="243" fillId="0" borderId="0"/>
    <xf numFmtId="313" fontId="12" fillId="0" borderId="0"/>
    <xf numFmtId="313" fontId="48" fillId="0" borderId="0" applyAlignment="1">
      <alignment horizontal="left"/>
    </xf>
    <xf numFmtId="313" fontId="84" fillId="55" borderId="60"/>
    <xf numFmtId="313" fontId="253" fillId="0" borderId="0"/>
    <xf numFmtId="10" fontId="12" fillId="3" borderId="7014" applyProtection="1">
      <protection locked="0" hidden="0"/>
    </xf>
    <xf numFmtId="313" fontId="197" fillId="0" borderId="0"/>
    <xf numFmtId="313" fontId="2" fillId="0" borderId="0"/>
    <xf numFmtId="313" fontId="213" fillId="0" borderId="0"/>
    <xf numFmtId="313" fontId="257" fillId="0" borderId="0"/>
    <xf numFmtId="313" fontId="12" fillId="0" borderId="7001"/>
    <xf numFmtId="313" fontId="12" fillId="0" borderId="7001"/>
    <xf numFmtId="313" fontId="12" fillId="0" borderId="7001"/>
    <xf numFmtId="313" fontId="260" fillId="97" borderId="0" applyAlignment="1">
      <alignment horizontal="left"/>
    </xf>
    <xf numFmtId="313" fontId="12" fillId="69" borderId="95" applyAlignment="1">
      <alignment horizontal="right"/>
    </xf>
    <xf numFmtId="313" fontId="261" fillId="0" borderId="0" applyAlignment="1" applyProtection="1">
      <alignment vertical="top"/>
      <protection locked="0" hidden="0"/>
    </xf>
    <xf numFmtId="313" fontId="77" fillId="0" borderId="0"/>
    <xf numFmtId="313" fontId="12" fillId="0" borderId="0"/>
    <xf numFmtId="313" fontId="1" fillId="0" borderId="0"/>
    <xf numFmtId="313" fontId="184" fillId="0" borderId="0" applyAlignment="1">
      <alignment vertical="top"/>
    </xf>
    <xf numFmtId="313" fontId="136" fillId="0" borderId="0"/>
    <xf numFmtId="313" fontId="12" fillId="0" borderId="0" applyAlignment="1">
      <alignment vertical="center"/>
    </xf>
    <xf numFmtId="313" fontId="12" fillId="0" borderId="0" applyAlignment="1">
      <alignment vertical="center"/>
    </xf>
    <xf numFmtId="313" fontId="12" fillId="0" borderId="0" applyAlignment="1">
      <alignment vertical="center"/>
    </xf>
    <xf numFmtId="313" fontId="1" fillId="0" borderId="0"/>
    <xf numFmtId="44" fontId="12" fillId="0" borderId="0"/>
    <xf numFmtId="0" fontId="12" fillId="0" borderId="0"/>
    <xf numFmtId="9" fontId="12" fillId="0" borderId="0"/>
    <xf numFmtId="186" fontId="79" fillId="0" borderId="7346"/>
    <xf numFmtId="241" fontId="48" fillId="0" borderId="100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43" fontId="12" fillId="0" borderId="0"/>
    <xf numFmtId="0" fontId="91" fillId="0" borderId="39"/>
    <xf numFmtId="0" fontId="113" fillId="0" borderId="7347"/>
    <xf numFmtId="0" fontId="75" fillId="0" borderId="7348"/>
    <xf numFmtId="189" fontId="46" fillId="0" borderId="7347"/>
    <xf numFmtId="251" fontId="144" fillId="3" borderId="50" applyAlignment="1">
      <alignment vertical="center"/>
    </xf>
    <xf numFmtId="0" fontId="79" fillId="3" borderId="50" applyAlignment="1">
      <alignment vertical="center"/>
    </xf>
    <xf numFmtId="183" fontId="9" fillId="3" borderId="50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7352"/>
    <xf numFmtId="0" fontId="214" fillId="0" borderId="7353"/>
    <xf numFmtId="0" fontId="25" fillId="10" borderId="79" applyAlignment="1">
      <alignment horizontal="left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8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314" fontId="12" fillId="0" borderId="0"/>
    <xf numFmtId="9" fontId="12" fillId="0" borderId="0"/>
    <xf numFmtId="314" fontId="48" fillId="0" borderId="0" applyAlignment="1">
      <alignment horizontal="left" vertical="top" wrapText="1"/>
    </xf>
    <xf numFmtId="314" fontId="12" fillId="0" borderId="0"/>
    <xf numFmtId="314" fontId="77" fillId="0" borderId="0"/>
    <xf numFmtId="314" fontId="12" fillId="0" borderId="0"/>
    <xf numFmtId="314" fontId="75" fillId="0" borderId="0"/>
    <xf numFmtId="314" fontId="80" fillId="0" borderId="0"/>
    <xf numFmtId="314" fontId="80" fillId="0" borderId="0"/>
    <xf numFmtId="314" fontId="80" fillId="0" borderId="0"/>
    <xf numFmtId="314" fontId="80" fillId="0" borderId="0"/>
    <xf numFmtId="314" fontId="80" fillId="0" borderId="0"/>
    <xf numFmtId="314" fontId="80" fillId="0" borderId="0"/>
    <xf numFmtId="314" fontId="85" fillId="0" borderId="0"/>
    <xf numFmtId="314" fontId="12" fillId="0" borderId="0"/>
    <xf numFmtId="314" fontId="12" fillId="0" borderId="0"/>
    <xf numFmtId="314" fontId="2" fillId="0" borderId="0"/>
    <xf numFmtId="314" fontId="12" fillId="0" borderId="0"/>
    <xf numFmtId="314" fontId="12" fillId="0" borderId="0"/>
    <xf numFmtId="314" fontId="85" fillId="0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88" fillId="0" borderId="0"/>
    <xf numFmtId="314" fontId="12" fillId="52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89" fillId="0" borderId="0"/>
    <xf numFmtId="314" fontId="90" fillId="0" borderId="0" applyAlignment="1">
      <alignment vertical="top"/>
    </xf>
    <xf numFmtId="314" fontId="91" fillId="0" borderId="39"/>
    <xf numFmtId="314" fontId="92" fillId="0" borderId="40" applyAlignment="1">
      <alignment horizontal="center"/>
    </xf>
    <xf numFmtId="314" fontId="92" fillId="0" borderId="0" applyAlignment="1">
      <alignment horizontal="left"/>
    </xf>
    <xf numFmtId="314" fontId="93" fillId="0" borderId="0" applyAlignment="1">
      <alignment horizontal="centerContinuous"/>
    </xf>
    <xf numFmtId="314" fontId="12" fillId="0" borderId="0"/>
    <xf numFmtId="314" fontId="12" fillId="0" borderId="0"/>
    <xf numFmtId="314" fontId="94" fillId="0" borderId="0"/>
    <xf numFmtId="314" fontId="94" fillId="0" borderId="0"/>
    <xf numFmtId="314" fontId="97" fillId="0" borderId="0"/>
    <xf numFmtId="216" fontId="200" fillId="0" borderId="0"/>
    <xf numFmtId="314" fontId="97" fillId="0" borderId="0"/>
    <xf numFmtId="217" fontId="200" fillId="0" borderId="0"/>
    <xf numFmtId="314" fontId="97" fillId="0" borderId="0"/>
    <xf numFmtId="314" fontId="2" fillId="0" borderId="0"/>
    <xf numFmtId="314" fontId="75" fillId="0" borderId="0"/>
    <xf numFmtId="314" fontId="12" fillId="0" borderId="0"/>
    <xf numFmtId="314" fontId="101" fillId="0" borderId="7347"/>
    <xf numFmtId="314" fontId="103" fillId="0" borderId="0"/>
    <xf numFmtId="314" fontId="12" fillId="54" borderId="0"/>
    <xf numFmtId="314" fontId="12" fillId="0" borderId="0"/>
    <xf numFmtId="314" fontId="104" fillId="0" borderId="0"/>
    <xf numFmtId="314" fontId="12" fillId="0" borderId="7001"/>
    <xf numFmtId="314" fontId="46" fillId="0" borderId="7001"/>
    <xf numFmtId="314" fontId="105" fillId="0" borderId="7001"/>
    <xf numFmtId="314" fontId="48" fillId="0" borderId="7001"/>
    <xf numFmtId="314" fontId="106" fillId="0" borderId="60" applyProtection="1">
      <protection locked="1" hidden="1"/>
    </xf>
    <xf numFmtId="314" fontId="294" fillId="55" borderId="60" applyProtection="1">
      <protection locked="1" hidden="1"/>
    </xf>
    <xf numFmtId="314" fontId="110" fillId="0" borderId="0"/>
    <xf numFmtId="314" fontId="12" fillId="0" borderId="0"/>
    <xf numFmtId="314" fontId="295" fillId="0" borderId="0"/>
    <xf numFmtId="314" fontId="113" fillId="0" borderId="7347"/>
    <xf numFmtId="314" fontId="75" fillId="0" borderId="15"/>
    <xf numFmtId="314" fontId="75" fillId="0" borderId="7348"/>
    <xf numFmtId="314" fontId="94" fillId="0" borderId="0"/>
    <xf numFmtId="314" fontId="117" fillId="0" borderId="0"/>
    <xf numFmtId="314" fontId="117" fillId="0" borderId="0"/>
    <xf numFmtId="314" fontId="117" fillId="0" borderId="0"/>
    <xf numFmtId="314" fontId="118" fillId="58" borderId="0"/>
    <xf numFmtId="314" fontId="75" fillId="0" borderId="0"/>
    <xf numFmtId="314" fontId="119" fillId="59" borderId="1"/>
    <xf numFmtId="314" fontId="120" fillId="0" borderId="0" applyAlignment="1">
      <alignment horizontal="right"/>
    </xf>
    <xf numFmtId="314" fontId="48" fillId="0" borderId="0"/>
    <xf numFmtId="314" fontId="122" fillId="0" borderId="0"/>
    <xf numFmtId="314" fontId="12" fillId="0" borderId="7347" applyAlignment="1">
      <alignment horizontal="center"/>
    </xf>
    <xf numFmtId="314" fontId="12" fillId="0" borderId="0" applyAlignment="1" applyProtection="1">
      <alignment horizontal="center" wrapText="1"/>
      <protection locked="1" hidden="1"/>
    </xf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17" fillId="0" borderId="0"/>
    <xf numFmtId="314" fontId="294" fillId="0" borderId="0"/>
    <xf numFmtId="314" fontId="127" fillId="0" borderId="0"/>
    <xf numFmtId="314" fontId="128" fillId="60" borderId="0" applyAlignment="1">
      <alignment horizontal="center" vertical="center" wrapText="1"/>
    </xf>
    <xf numFmtId="314" fontId="129" fillId="0" borderId="0" applyAlignment="1">
      <alignment horizontal="left"/>
    </xf>
    <xf numFmtId="241" fontId="48" fillId="0" borderId="100"/>
    <xf numFmtId="314" fontId="75" fillId="0" borderId="0"/>
    <xf numFmtId="314" fontId="48" fillId="0" borderId="0"/>
    <xf numFmtId="314" fontId="126" fillId="0" borderId="0"/>
    <xf numFmtId="314" fontId="134" fillId="62" borderId="0"/>
    <xf numFmtId="314" fontId="94" fillId="0" borderId="0"/>
    <xf numFmtId="314" fontId="12" fillId="0" borderId="0" applyAlignment="1">
      <alignment horizontal="right"/>
    </xf>
    <xf numFmtId="314" fontId="135" fillId="0" borderId="0"/>
    <xf numFmtId="314" fontId="46" fillId="14" borderId="0"/>
    <xf numFmtId="314" fontId="78" fillId="14" borderId="11"/>
    <xf numFmtId="314" fontId="48" fillId="14" borderId="0"/>
    <xf numFmtId="314" fontId="2" fillId="0" borderId="0"/>
    <xf numFmtId="314" fontId="74" fillId="0" borderId="0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314" fontId="75" fillId="0" borderId="0"/>
    <xf numFmtId="314" fontId="135" fillId="0" borderId="0"/>
    <xf numFmtId="314" fontId="75" fillId="0" borderId="0"/>
    <xf numFmtId="314" fontId="133" fillId="0" borderId="0" applyProtection="1">
      <protection locked="0" hidden="0"/>
    </xf>
    <xf numFmtId="314" fontId="79" fillId="3" borderId="50" applyAlignment="1">
      <alignment vertical="center"/>
    </xf>
    <xf numFmtId="314" fontId="135" fillId="0" borderId="7002"/>
    <xf numFmtId="314" fontId="135" fillId="0" borderId="7002"/>
    <xf numFmtId="314" fontId="48" fillId="54" borderId="0"/>
    <xf numFmtId="314" fontId="149" fillId="64" borderId="0"/>
    <xf numFmtId="314" fontId="117" fillId="0" borderId="0"/>
    <xf numFmtId="314" fontId="117" fillId="0" borderId="0"/>
    <xf numFmtId="314" fontId="117" fillId="0" borderId="0"/>
    <xf numFmtId="314" fontId="135" fillId="0" borderId="0"/>
    <xf numFmtId="314" fontId="152" fillId="0" borderId="0"/>
    <xf numFmtId="314" fontId="155" fillId="67" borderId="0"/>
    <xf numFmtId="314" fontId="75" fillId="0" borderId="0"/>
    <xf numFmtId="314" fontId="12" fillId="0" borderId="0"/>
    <xf numFmtId="314" fontId="25" fillId="0" borderId="0"/>
    <xf numFmtId="314" fontId="104" fillId="0" borderId="0"/>
    <xf numFmtId="314" fontId="5" fillId="0" borderId="0"/>
    <xf numFmtId="314" fontId="3" fillId="0" borderId="0"/>
    <xf numFmtId="314" fontId="156" fillId="0" borderId="0"/>
    <xf numFmtId="314" fontId="157" fillId="0" borderId="0"/>
    <xf numFmtId="314" fontId="46" fillId="0" borderId="0"/>
    <xf numFmtId="314" fontId="158" fillId="0" borderId="0" applyAlignment="1">
      <alignment horizontal="left"/>
    </xf>
    <xf numFmtId="314" fontId="12" fillId="0" borderId="0"/>
    <xf numFmtId="314" fontId="159" fillId="0" borderId="57"/>
    <xf numFmtId="314" fontId="159" fillId="0" borderId="7002"/>
    <xf numFmtId="314" fontId="159" fillId="68" borderId="7002"/>
    <xf numFmtId="314" fontId="12" fillId="0" borderId="0"/>
    <xf numFmtId="314" fontId="48" fillId="0" borderId="0" applyAlignment="1">
      <alignment horizontal="right"/>
    </xf>
    <xf numFmtId="314" fontId="48" fillId="0" borderId="0"/>
    <xf numFmtId="314" fontId="164" fillId="0" borderId="0" applyAlignment="1">
      <alignment horizontal="right"/>
    </xf>
    <xf numFmtId="314" fontId="5" fillId="0" borderId="37" applyAlignment="1">
      <alignment horizontal="left" vertical="center"/>
    </xf>
    <xf numFmtId="314" fontId="5" fillId="0" borderId="4" applyAlignment="1">
      <alignment horizontal="left" vertical="center"/>
    </xf>
    <xf numFmtId="314" fontId="12" fillId="0" borderId="0" applyAlignment="1">
      <alignment horizontal="center"/>
    </xf>
    <xf numFmtId="314" fontId="12" fillId="0" borderId="0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169" fillId="0" borderId="0" applyAlignment="1">
      <alignment horizontal="center"/>
    </xf>
    <xf numFmtId="314" fontId="170" fillId="0" borderId="0" applyAlignment="1">
      <alignment horizontal="center"/>
    </xf>
    <xf numFmtId="314" fontId="171" fillId="0" borderId="58" applyAlignment="1">
      <alignment horizontal="left"/>
    </xf>
    <xf numFmtId="314" fontId="2" fillId="0" borderId="0"/>
    <xf numFmtId="314" fontId="173" fillId="0" borderId="59"/>
    <xf numFmtId="314" fontId="12" fillId="3" borderId="0"/>
    <xf numFmtId="314" fontId="75" fillId="0" borderId="0"/>
    <xf numFmtId="314" fontId="48" fillId="14" borderId="0" applyProtection="1">
      <protection locked="0" hidden="0"/>
    </xf>
    <xf numFmtId="314" fontId="48" fillId="14" borderId="0" applyProtection="1">
      <protection locked="0" hidden="0"/>
    </xf>
    <xf numFmtId="314" fontId="48" fillId="14" borderId="0" applyProtection="1">
      <protection locked="0" hidden="0"/>
    </xf>
    <xf numFmtId="314" fontId="48" fillId="14" borderId="0" applyProtection="1">
      <protection locked="0" hidden="0"/>
    </xf>
    <xf numFmtId="314" fontId="174" fillId="14" borderId="0" applyProtection="1">
      <protection locked="0" hidden="0"/>
    </xf>
    <xf numFmtId="314" fontId="111" fillId="0" borderId="0" applyProtection="1">
      <protection locked="0" hidden="0"/>
    </xf>
    <xf numFmtId="314" fontId="48" fillId="14" borderId="0" applyAlignment="1" applyProtection="1">
      <alignment horizontal="center"/>
      <protection locked="0" hidden="0"/>
    </xf>
    <xf numFmtId="314" fontId="175" fillId="0" borderId="0" applyProtection="1">
      <protection locked="0" hidden="0"/>
    </xf>
    <xf numFmtId="314" fontId="12" fillId="0" borderId="0" applyAlignment="1" applyProtection="1">
      <alignment horizontal="right"/>
      <protection locked="0" hidden="0"/>
    </xf>
    <xf numFmtId="314" fontId="25" fillId="70" borderId="7002" applyAlignment="1">
      <alignment horizontal="left" vertical="center" wrapText="1"/>
    </xf>
    <xf numFmtId="314" fontId="75" fillId="0" borderId="0" applyAlignment="1">
      <alignment horizontal="left"/>
    </xf>
    <xf numFmtId="314" fontId="12" fillId="0" borderId="0"/>
    <xf numFmtId="314" fontId="117" fillId="0" borderId="0"/>
    <xf numFmtId="314" fontId="117" fillId="0" borderId="0"/>
    <xf numFmtId="314" fontId="117" fillId="0" borderId="0"/>
    <xf numFmtId="314" fontId="182" fillId="0" borderId="0"/>
    <xf numFmtId="314" fontId="134" fillId="62" borderId="0"/>
    <xf numFmtId="314" fontId="183" fillId="0" borderId="60" applyAlignment="1" applyProtection="1">
      <alignment horizontal="left"/>
      <protection locked="0" hidden="0"/>
    </xf>
    <xf numFmtId="314" fontId="184" fillId="0" borderId="7003" applyAlignment="1">
      <alignment horizontal="left" wrapText="1"/>
    </xf>
    <xf numFmtId="314" fontId="2" fillId="0" borderId="0"/>
    <xf numFmtId="314" fontId="2" fillId="0" borderId="0"/>
    <xf numFmtId="314" fontId="185" fillId="0" borderId="0"/>
    <xf numFmtId="314" fontId="48" fillId="0" borderId="0"/>
    <xf numFmtId="314" fontId="155" fillId="0" borderId="0"/>
    <xf numFmtId="314" fontId="186" fillId="0" borderId="0"/>
    <xf numFmtId="314" fontId="187" fillId="0" borderId="0"/>
    <xf numFmtId="314" fontId="188" fillId="0" borderId="0"/>
    <xf numFmtId="314" fontId="189" fillId="0" borderId="0"/>
    <xf numFmtId="314" fontId="200" fillId="0" borderId="0"/>
    <xf numFmtId="314" fontId="191" fillId="0" borderId="0" applyAlignment="1">
      <alignment horizontal="right"/>
    </xf>
    <xf numFmtId="314" fontId="12" fillId="0" borderId="0"/>
    <xf numFmtId="314" fontId="175" fillId="0" borderId="63"/>
    <xf numFmtId="314" fontId="192" fillId="0" borderId="0"/>
    <xf numFmtId="314" fontId="193" fillId="0" borderId="0"/>
    <xf numFmtId="314" fontId="134" fillId="65" borderId="0"/>
    <xf numFmtId="314" fontId="12" fillId="0" borderId="0"/>
    <xf numFmtId="314" fontId="48" fillId="0" borderId="0"/>
    <xf numFmtId="314" fontId="12" fillId="0" borderId="0"/>
    <xf numFmtId="314" fontId="46" fillId="0" borderId="0"/>
    <xf numFmtId="314" fontId="48" fillId="0" borderId="0"/>
    <xf numFmtId="314" fontId="2" fillId="0" borderId="0"/>
    <xf numFmtId="314" fontId="12" fillId="0" borderId="0" applyAlignment="1">
      <alignment horizontal="right"/>
    </xf>
    <xf numFmtId="314" fontId="200" fillId="0" borderId="0"/>
    <xf numFmtId="314" fontId="201" fillId="0" borderId="64"/>
    <xf numFmtId="314" fontId="48" fillId="0" borderId="0"/>
    <xf numFmtId="314" fontId="133" fillId="0" borderId="0" applyProtection="1">
      <protection locked="0" hidden="0"/>
    </xf>
    <xf numFmtId="314" fontId="12" fillId="0" borderId="0"/>
    <xf numFmtId="314" fontId="76" fillId="0" borderId="0"/>
    <xf numFmtId="314" fontId="204" fillId="3" borderId="1" applyAlignment="1">
      <alignment horizontal="center" vertical="center"/>
    </xf>
    <xf numFmtId="314" fontId="206" fillId="0" borderId="0" applyAlignment="1">
      <alignment horizontal="left"/>
    </xf>
    <xf numFmtId="314" fontId="207" fillId="61" borderId="0" applyAlignment="1">
      <alignment horizontal="right"/>
    </xf>
    <xf numFmtId="314" fontId="208" fillId="71" borderId="0"/>
    <xf numFmtId="314" fontId="2" fillId="0" borderId="0" applyAlignment="1">
      <alignment horizontal="centerContinuous"/>
    </xf>
    <xf numFmtId="314" fontId="209" fillId="0" borderId="0" applyAlignment="1">
      <alignment horizontal="centerContinuous"/>
    </xf>
    <xf numFmtId="314" fontId="210" fillId="0" borderId="7347" applyProtection="1">
      <protection locked="0" hidden="0"/>
    </xf>
    <xf numFmtId="314" fontId="211" fillId="0" borderId="0" applyAlignment="1">
      <alignment horizontal="left"/>
    </xf>
    <xf numFmtId="314" fontId="12" fillId="0" borderId="0" applyAlignment="1">
      <alignment horizontal="left"/>
    </xf>
    <xf numFmtId="314" fontId="12" fillId="0" borderId="0" applyAlignment="1">
      <alignment horizontal="left"/>
    </xf>
    <xf numFmtId="314" fontId="187" fillId="0" borderId="0"/>
    <xf numFmtId="314" fontId="213" fillId="0" borderId="65"/>
    <xf numFmtId="314" fontId="48" fillId="11" borderId="60" applyAlignment="1">
      <alignment horizontal="center"/>
    </xf>
    <xf numFmtId="314" fontId="2" fillId="0" borderId="7352"/>
    <xf numFmtId="314" fontId="213" fillId="0" borderId="67"/>
    <xf numFmtId="314" fontId="48" fillId="0" borderId="0"/>
    <xf numFmtId="314" fontId="12" fillId="0" borderId="0"/>
    <xf numFmtId="314" fontId="48" fillId="0" borderId="0"/>
    <xf numFmtId="314" fontId="84" fillId="0" borderId="60"/>
    <xf numFmtId="314" fontId="75" fillId="0" borderId="0"/>
    <xf numFmtId="314" fontId="133" fillId="0" borderId="0"/>
    <xf numFmtId="314" fontId="12" fillId="0" borderId="0"/>
    <xf numFmtId="314" fontId="48" fillId="0" borderId="0"/>
    <xf numFmtId="314" fontId="214" fillId="0" borderId="7353"/>
    <xf numFmtId="314" fontId="117" fillId="0" borderId="0"/>
    <xf numFmtId="314" fontId="117" fillId="0" borderId="0"/>
    <xf numFmtId="314" fontId="117" fillId="0" borderId="0"/>
    <xf numFmtId="314" fontId="216" fillId="0" borderId="0"/>
    <xf numFmtId="314" fontId="216" fillId="0" borderId="58" applyAlignment="1">
      <alignment horizontal="right"/>
    </xf>
    <xf numFmtId="314" fontId="12" fillId="0" borderId="0" applyProtection="1">
      <protection locked="1" hidden="1"/>
    </xf>
    <xf numFmtId="314" fontId="97" fillId="0" borderId="0" applyAlignment="1">
      <alignment horizontal="left"/>
    </xf>
    <xf numFmtId="314" fontId="114" fillId="0" borderId="15" applyAlignment="1">
      <alignment horizontal="center"/>
    </xf>
    <xf numFmtId="314" fontId="97" fillId="75" borderId="0"/>
    <xf numFmtId="314" fontId="2" fillId="0" borderId="0" applyAlignment="1">
      <alignment vertical="top"/>
    </xf>
    <xf numFmtId="314" fontId="218" fillId="0" borderId="0" applyAlignment="1">
      <alignment horizontal="left"/>
    </xf>
    <xf numFmtId="314" fontId="219" fillId="0" borderId="60" applyProtection="1">
      <protection locked="1" hidden="1"/>
    </xf>
    <xf numFmtId="314" fontId="135" fillId="0" borderId="0"/>
    <xf numFmtId="314" fontId="220" fillId="0" borderId="0"/>
    <xf numFmtId="314" fontId="94" fillId="0" borderId="0" applyAlignment="1">
      <alignment horizontal="right" vertical="center"/>
    </xf>
    <xf numFmtId="314" fontId="221" fillId="73" borderId="0"/>
    <xf numFmtId="314" fontId="2" fillId="0" borderId="0" applyAlignment="1">
      <alignment horizontal="left" indent="1"/>
    </xf>
    <xf numFmtId="314" fontId="222" fillId="0" borderId="69" applyAlignment="1">
      <alignment vertical="center"/>
    </xf>
    <xf numFmtId="314" fontId="225" fillId="54" borderId="7004" applyAlignment="1">
      <alignment horizontal="left" vertical="top" indent="1"/>
    </xf>
    <xf numFmtId="314" fontId="12" fillId="76" borderId="7004" applyAlignment="1">
      <alignment horizontal="left" vertical="center" indent="1"/>
    </xf>
    <xf numFmtId="314" fontId="12" fillId="76" borderId="7004" applyAlignment="1">
      <alignment horizontal="left" vertical="top" indent="1"/>
    </xf>
    <xf numFmtId="314" fontId="12" fillId="85" borderId="7004" applyAlignment="1">
      <alignment horizontal="left" vertical="center" indent="1"/>
    </xf>
    <xf numFmtId="314" fontId="12" fillId="85" borderId="7004" applyAlignment="1">
      <alignment horizontal="left" vertical="top" indent="1"/>
    </xf>
    <xf numFmtId="314" fontId="12" fillId="53" borderId="7004" applyAlignment="1">
      <alignment horizontal="left" vertical="center" indent="1"/>
    </xf>
    <xf numFmtId="314" fontId="12" fillId="53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5" borderId="7004" applyAlignment="1">
      <alignment horizontal="left" vertical="top" indent="1"/>
    </xf>
    <xf numFmtId="314" fontId="231" fillId="0" borderId="17"/>
    <xf numFmtId="314" fontId="5" fillId="60" borderId="1" applyAlignment="1" applyProtection="1">
      <alignment horizontal="center" vertical="center" wrapText="1"/>
      <protection locked="1" hidden="1"/>
    </xf>
    <xf numFmtId="314" fontId="2" fillId="86" borderId="0"/>
    <xf numFmtId="314" fontId="2" fillId="87" borderId="0"/>
    <xf numFmtId="314" fontId="232" fillId="88" borderId="0"/>
    <xf numFmtId="314" fontId="12" fillId="0" borderId="0"/>
    <xf numFmtId="314" fontId="232" fillId="89" borderId="0"/>
    <xf numFmtId="314" fontId="232" fillId="89" borderId="0"/>
    <xf numFmtId="314" fontId="232" fillId="90" borderId="0"/>
    <xf numFmtId="314" fontId="232" fillId="90" borderId="0"/>
    <xf numFmtId="314" fontId="12" fillId="91" borderId="0"/>
    <xf numFmtId="314" fontId="232" fillId="91" borderId="0"/>
    <xf numFmtId="314" fontId="12" fillId="0" borderId="0"/>
    <xf numFmtId="314" fontId="12" fillId="79" borderId="0"/>
    <xf numFmtId="314" fontId="82" fillId="0" borderId="0"/>
    <xf numFmtId="314" fontId="48" fillId="10" borderId="0" applyProtection="1">
      <protection locked="1" hidden="1"/>
    </xf>
    <xf numFmtId="314" fontId="233" fillId="65" borderId="0"/>
    <xf numFmtId="314" fontId="233" fillId="0" borderId="0"/>
    <xf numFmtId="314" fontId="233" fillId="0" borderId="0"/>
    <xf numFmtId="314" fontId="233" fillId="62" borderId="0"/>
    <xf numFmtId="314" fontId="233" fillId="62" borderId="0"/>
    <xf numFmtId="314" fontId="12" fillId="0" borderId="0"/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25" fillId="61" borderId="1" applyAlignment="1">
      <alignment horizontal="center" vertical="top"/>
    </xf>
    <xf numFmtId="314" fontId="25" fillId="61" borderId="1" applyAlignment="1">
      <alignment horizontal="center" vertical="top"/>
    </xf>
    <xf numFmtId="314" fontId="25" fillId="0" borderId="0" applyAlignment="1">
      <alignment horizontal="left" vertical="top"/>
    </xf>
    <xf numFmtId="314" fontId="235" fillId="93" borderId="38" applyAlignment="1">
      <alignment horizontal="left" vertical="top"/>
    </xf>
    <xf numFmtId="314" fontId="12" fillId="3" borderId="7002"/>
    <xf numFmtId="314" fontId="12" fillId="10" borderId="7002"/>
    <xf numFmtId="314" fontId="12" fillId="10" borderId="7002"/>
    <xf numFmtId="314" fontId="235" fillId="93" borderId="77" applyAlignment="1">
      <alignment horizontal="center" vertical="center"/>
    </xf>
    <xf numFmtId="314" fontId="25" fillId="10" borderId="0" applyAlignment="1">
      <alignment horizontal="left"/>
    </xf>
    <xf numFmtId="314" fontId="25" fillId="10" borderId="7007" applyAlignment="1">
      <alignment horizontal="left"/>
    </xf>
    <xf numFmtId="314" fontId="25" fillId="10" borderId="79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84" applyAlignment="1">
      <alignment horizontal="left" vertical="top"/>
    </xf>
    <xf numFmtId="314" fontId="25" fillId="10" borderId="8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13" fillId="0" borderId="0" applyAlignment="1">
      <alignment horizontal="left" vertical="center"/>
    </xf>
    <xf numFmtId="314" fontId="236" fillId="0" borderId="0"/>
    <xf numFmtId="314" fontId="213" fillId="0" borderId="0" applyAlignment="1">
      <alignment horizontal="left"/>
    </xf>
    <xf numFmtId="314" fontId="75" fillId="0" borderId="0"/>
    <xf numFmtId="314" fontId="238" fillId="0" borderId="0"/>
    <xf numFmtId="314" fontId="12" fillId="0" borderId="7001"/>
    <xf numFmtId="314" fontId="239" fillId="0" borderId="92"/>
    <xf numFmtId="314" fontId="11" fillId="0" borderId="0" applyAlignment="1">
      <alignment horizontal="center" vertical="center"/>
    </xf>
    <xf numFmtId="314" fontId="240" fillId="0" borderId="0" applyAlignment="1">
      <alignment vertical="center"/>
    </xf>
    <xf numFmtId="314" fontId="241" fillId="94" borderId="0" applyAlignment="1">
      <alignment horizontal="centerContinuous" vertical="center"/>
    </xf>
    <xf numFmtId="314" fontId="241" fillId="95" borderId="7347" applyAlignment="1">
      <alignment horizontal="centerContinuous" vertical="center"/>
    </xf>
    <xf numFmtId="314" fontId="243" fillId="0" borderId="0"/>
    <xf numFmtId="314" fontId="200" fillId="0" borderId="0"/>
    <xf numFmtId="314" fontId="244" fillId="0" borderId="0" applyAlignment="1">
      <alignment horizontal="left"/>
    </xf>
    <xf numFmtId="314" fontId="158" fillId="0" borderId="7" applyAlignment="1">
      <alignment horizontal="left" vertical="top"/>
    </xf>
    <xf numFmtId="314" fontId="184" fillId="0" borderId="0"/>
    <xf numFmtId="314" fontId="12" fillId="96" borderId="0"/>
    <xf numFmtId="314" fontId="245" fillId="0" borderId="0"/>
    <xf numFmtId="314" fontId="246" fillId="0" borderId="0"/>
    <xf numFmtId="314" fontId="136" fillId="0" borderId="0"/>
    <xf numFmtId="314" fontId="136" fillId="0" borderId="0"/>
    <xf numFmtId="314" fontId="247" fillId="0" borderId="0" applyAlignment="1">
      <alignment vertical="center"/>
    </xf>
    <xf numFmtId="314" fontId="130" fillId="0" borderId="0" applyAlignment="1">
      <alignment horizontal="right"/>
    </xf>
    <xf numFmtId="314" fontId="12" fillId="0" borderId="0" applyAlignment="1">
      <alignment horizontal="right"/>
    </xf>
    <xf numFmtId="314" fontId="2" fillId="0" borderId="0"/>
    <xf numFmtId="314" fontId="94" fillId="0" borderId="0"/>
    <xf numFmtId="314" fontId="248" fillId="0" borderId="0"/>
    <xf numFmtId="314" fontId="5" fillId="0" borderId="0"/>
    <xf numFmtId="314" fontId="12" fillId="0" borderId="0"/>
    <xf numFmtId="187" fontId="296" fillId="0" borderId="7347" applyAlignment="1">
      <alignment horizontal="center"/>
    </xf>
    <xf numFmtId="314" fontId="251" fillId="88" borderId="0" applyAlignment="1">
      <alignment vertical="center"/>
    </xf>
    <xf numFmtId="314" fontId="213" fillId="0" borderId="0" applyAlignment="1">
      <alignment horizontal="centerContinuous"/>
    </xf>
    <xf numFmtId="314" fontId="251" fillId="82" borderId="0" applyAlignment="1">
      <alignment vertical="center"/>
    </xf>
    <xf numFmtId="314" fontId="74" fillId="0" borderId="0" applyAlignment="1" applyProtection="1">
      <alignment horizontal="centerContinuous"/>
      <protection locked="0" hidden="0"/>
    </xf>
    <xf numFmtId="314" fontId="74" fillId="0" borderId="0" applyAlignment="1">
      <alignment horizontal="left"/>
    </xf>
    <xf numFmtId="314" fontId="215" fillId="0" borderId="0"/>
    <xf numFmtId="314" fontId="12" fillId="0" borderId="0"/>
    <xf numFmtId="314" fontId="243" fillId="0" borderId="0"/>
    <xf numFmtId="314" fontId="12" fillId="0" borderId="0"/>
    <xf numFmtId="314" fontId="48" fillId="0" borderId="0" applyAlignment="1">
      <alignment horizontal="left"/>
    </xf>
    <xf numFmtId="314" fontId="84" fillId="55" borderId="60"/>
    <xf numFmtId="314" fontId="253" fillId="0" borderId="0"/>
    <xf numFmtId="10" fontId="12" fillId="3" borderId="7014" applyProtection="1">
      <protection locked="0" hidden="0"/>
    </xf>
    <xf numFmtId="314" fontId="197" fillId="0" borderId="0"/>
    <xf numFmtId="314" fontId="2" fillId="0" borderId="0"/>
    <xf numFmtId="314" fontId="213" fillId="0" borderId="0"/>
    <xf numFmtId="314" fontId="257" fillId="0" borderId="0"/>
    <xf numFmtId="314" fontId="12" fillId="0" borderId="7001"/>
    <xf numFmtId="314" fontId="12" fillId="0" borderId="7001"/>
    <xf numFmtId="314" fontId="12" fillId="0" borderId="7001"/>
    <xf numFmtId="1" fontId="297" fillId="0" borderId="0" applyAlignment="1">
      <alignment horizontal="center"/>
    </xf>
    <xf numFmtId="314" fontId="260" fillId="97" borderId="0" applyAlignment="1">
      <alignment horizontal="left"/>
    </xf>
    <xf numFmtId="314" fontId="12" fillId="69" borderId="95" applyAlignment="1">
      <alignment horizontal="right"/>
    </xf>
    <xf numFmtId="314" fontId="261" fillId="0" borderId="0" applyAlignment="1" applyProtection="1">
      <alignment vertical="top"/>
      <protection locked="0" hidden="0"/>
    </xf>
    <xf numFmtId="314" fontId="12" fillId="0" borderId="0"/>
    <xf numFmtId="314" fontId="12" fillId="0" borderId="0"/>
    <xf numFmtId="314" fontId="1" fillId="0" borderId="0"/>
    <xf numFmtId="314" fontId="196" fillId="0" borderId="0"/>
    <xf numFmtId="314" fontId="1" fillId="0" borderId="0"/>
    <xf numFmtId="314" fontId="12" fillId="0" borderId="0"/>
    <xf numFmtId="314" fontId="77" fillId="0" borderId="0"/>
    <xf numFmtId="314" fontId="12" fillId="0" borderId="0"/>
    <xf numFmtId="314" fontId="77" fillId="0" borderId="0"/>
    <xf numFmtId="314" fontId="1" fillId="0" borderId="0"/>
    <xf numFmtId="314" fontId="1" fillId="0" borderId="0"/>
    <xf numFmtId="314" fontId="197" fillId="0" borderId="0"/>
    <xf numFmtId="314" fontId="12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9" fillId="0" borderId="0"/>
    <xf numFmtId="314" fontId="1" fillId="0" borderId="0"/>
    <xf numFmtId="314" fontId="12" fillId="0" borderId="0"/>
    <xf numFmtId="314" fontId="91" fillId="0" borderId="39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11"/>
    <xf numFmtId="314" fontId="79" fillId="3" borderId="50" applyAlignment="1">
      <alignment vertical="center"/>
    </xf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79" fillId="3" borderId="50" applyAlignment="1">
      <alignment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9" applyAlignment="1">
      <alignment horizontal="left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84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2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2" fillId="0" borderId="0"/>
    <xf numFmtId="43" fontId="12" fillId="0" borderId="0"/>
    <xf numFmtId="314" fontId="12" fillId="0" borderId="0" applyAlignment="1">
      <alignment vertical="center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106" fillId="0" borderId="60" applyProtection="1">
      <protection locked="1" hidden="1"/>
    </xf>
    <xf numFmtId="0" fontId="1" fillId="0" borderId="0"/>
    <xf numFmtId="0" fontId="1" fillId="0" borderId="0"/>
    <xf numFmtId="0" fontId="1" fillId="0" borderId="0"/>
    <xf numFmtId="43" fontId="1" fillId="0" borderId="0"/>
    <xf numFmtId="0" fontId="48" fillId="0" borderId="0"/>
    <xf numFmtId="0" fontId="266" fillId="0" borderId="0"/>
    <xf numFmtId="0" fontId="48" fillId="0" borderId="0"/>
    <xf numFmtId="9" fontId="48" fillId="0" borderId="0"/>
    <xf numFmtId="0" fontId="298" fillId="0" borderId="0"/>
    <xf numFmtId="0" fontId="48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271" fillId="0" borderId="0"/>
    <xf numFmtId="0" fontId="48" fillId="0" borderId="0"/>
    <xf numFmtId="9" fontId="1" fillId="0" borderId="0"/>
    <xf numFmtId="0" fontId="1" fillId="0" borderId="0"/>
    <xf numFmtId="0" fontId="1" fillId="0" borderId="0"/>
    <xf numFmtId="0" fontId="1" fillId="26" borderId="35"/>
    <xf numFmtId="43" fontId="1" fillId="0" borderId="0"/>
    <xf numFmtId="44" fontId="1" fillId="0" borderId="0"/>
    <xf numFmtId="0" fontId="48" fillId="0" borderId="0"/>
    <xf numFmtId="0" fontId="299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71" fillId="0" borderId="0"/>
    <xf numFmtId="0" fontId="136" fillId="0" borderId="0" applyAlignment="1">
      <alignment vertical="top"/>
    </xf>
    <xf numFmtId="43" fontId="1" fillId="0" borderId="0"/>
    <xf numFmtId="0" fontId="136" fillId="0" borderId="0" applyAlignment="1">
      <alignment vertical="top"/>
    </xf>
    <xf numFmtId="43" fontId="136" fillId="0" borderId="0"/>
    <xf numFmtId="0" fontId="47" fillId="0" borderId="0"/>
    <xf numFmtId="0" fontId="1" fillId="0" borderId="0"/>
    <xf numFmtId="0" fontId="1" fillId="0" borderId="0"/>
    <xf numFmtId="0" fontId="136" fillId="0" borderId="0" applyAlignment="1">
      <alignment vertical="top"/>
    </xf>
    <xf numFmtId="0" fontId="136" fillId="0" borderId="0" applyAlignment="1">
      <alignment vertical="top"/>
    </xf>
    <xf numFmtId="43" fontId="136" fillId="0" borderId="0"/>
    <xf numFmtId="0" fontId="136" fillId="0" borderId="0" applyAlignment="1">
      <alignment vertical="top"/>
    </xf>
    <xf numFmtId="9" fontId="271" fillId="0" borderId="0"/>
    <xf numFmtId="0" fontId="1" fillId="0" borderId="0"/>
    <xf numFmtId="0" fontId="1" fillId="0" borderId="0"/>
    <xf numFmtId="0" fontId="136" fillId="0" borderId="0" applyAlignment="1">
      <alignment vertical="top"/>
    </xf>
    <xf numFmtId="0" fontId="1" fillId="0" borderId="0"/>
    <xf numFmtId="9" fontId="136" fillId="0" borderId="0"/>
    <xf numFmtId="44" fontId="136" fillId="0" borderId="0"/>
    <xf numFmtId="0" fontId="136" fillId="0" borderId="0" applyAlignment="1">
      <alignment vertical="top"/>
    </xf>
    <xf numFmtId="0" fontId="12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36" fillId="0" borderId="0" applyAlignment="1">
      <alignment vertical="top"/>
    </xf>
    <xf numFmtId="0" fontId="47" fillId="0" borderId="0"/>
    <xf numFmtId="0" fontId="47" fillId="0" borderId="0"/>
    <xf numFmtId="0" fontId="47" fillId="0" borderId="0"/>
    <xf numFmtId="0" fontId="47" fillId="0" borderId="0"/>
    <xf numFmtId="0" fontId="293" fillId="0" borderId="0"/>
    <xf numFmtId="0" fontId="47" fillId="0" borderId="0"/>
    <xf numFmtId="44" fontId="47" fillId="0" borderId="0"/>
    <xf numFmtId="43" fontId="47" fillId="0" borderId="0"/>
    <xf numFmtId="0" fontId="47" fillId="0" borderId="0"/>
    <xf numFmtId="0" fontId="292" fillId="0" borderId="0"/>
    <xf numFmtId="43" fontId="292" fillId="0" borderId="0"/>
    <xf numFmtId="0" fontId="263" fillId="0" borderId="0"/>
    <xf numFmtId="0" fontId="47" fillId="0" borderId="0"/>
    <xf numFmtId="0" fontId="136" fillId="0" borderId="0" applyAlignment="1">
      <alignment vertical="top"/>
    </xf>
    <xf numFmtId="0" fontId="47" fillId="0" borderId="0"/>
    <xf numFmtId="0" fontId="1" fillId="0" borderId="0"/>
    <xf numFmtId="0" fontId="48" fillId="0" borderId="0"/>
    <xf numFmtId="43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44" fontId="1" fillId="0" borderId="0"/>
    <xf numFmtId="9" fontId="1" fillId="0" borderId="0"/>
    <xf numFmtId="43" fontId="1" fillId="0" borderId="0"/>
    <xf numFmtId="0" fontId="48" fillId="0" borderId="0"/>
    <xf numFmtId="0" fontId="12" fillId="0" borderId="0"/>
    <xf numFmtId="43" fontId="12" fillId="0" borderId="0"/>
    <xf numFmtId="9" fontId="12" fillId="0" borderId="0"/>
    <xf numFmtId="1" fontId="154" fillId="66" borderId="5" applyAlignment="1" applyProtection="1">
      <alignment horizontal="centerContinuous" vertical="center"/>
      <protection locked="0" hidden="0"/>
    </xf>
    <xf numFmtId="262" fontId="177" fillId="98" borderId="1" applyAlignment="1">
      <alignment horizontal="right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39" fontId="12" fillId="14" borderId="1" applyAlignment="1" applyProtection="1">
      <alignment horizontal="center"/>
      <protection locked="0" hidden="0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0" fontId="25" fillId="61" borderId="1" applyAlignment="1">
      <alignment horizontal="center" vertical="top"/>
    </xf>
    <xf numFmtId="0" fontId="25" fillId="61" borderId="1" applyAlignment="1">
      <alignment horizontal="center" vertical="top"/>
    </xf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37" fontId="12" fillId="0" borderId="1" applyAlignment="1" applyProtection="1">
      <alignment horizontal="right"/>
      <protection locked="0" hidden="0"/>
    </xf>
    <xf numFmtId="0" fontId="5" fillId="60" borderId="1" applyAlignment="1" applyProtection="1">
      <alignment horizontal="center" vertical="center" wrapText="1"/>
      <protection locked="1" hidden="1"/>
    </xf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12" fillId="0" borderId="7001"/>
    <xf numFmtId="241" fontId="48" fillId="0" borderId="100"/>
    <xf numFmtId="0" fontId="46" fillId="0" borderId="7001"/>
    <xf numFmtId="0" fontId="105" fillId="0" borderId="7001"/>
    <xf numFmtId="0" fontId="48" fillId="0" borderId="7001"/>
    <xf numFmtId="252" fontId="176" fillId="74" borderId="1" applyAlignment="1">
      <alignment horizontal="right"/>
    </xf>
    <xf numFmtId="5" fontId="114" fillId="0" borderId="7359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04" fillId="3" borderId="1" applyAlignment="1">
      <alignment horizontal="center" vertical="center"/>
    </xf>
    <xf numFmtId="241" fontId="48" fillId="0" borderId="100"/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59" fillId="0" borderId="7002"/>
    <xf numFmtId="262" fontId="176" fillId="69" borderId="1" applyAlignment="1">
      <alignment horizontal="right"/>
    </xf>
    <xf numFmtId="262" fontId="177" fillId="69" borderId="1" applyAlignment="1">
      <alignment horizontal="right"/>
    </xf>
    <xf numFmtId="262" fontId="176" fillId="69" borderId="1" applyAlignment="1">
      <alignment horizontal="right"/>
    </xf>
    <xf numFmtId="0" fontId="159" fillId="68" borderId="7002"/>
    <xf numFmtId="10" fontId="48" fillId="14" borderId="1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97" fontId="94" fillId="14" borderId="1"/>
    <xf numFmtId="251" fontId="12" fillId="10" borderId="1"/>
    <xf numFmtId="0" fontId="159" fillId="68" borderId="7002"/>
    <xf numFmtId="0" fontId="159" fillId="0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50" applyAlignment="1">
      <alignment horizontal="right" vertical="center"/>
    </xf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0" fontId="79" fillId="3" borderId="50" applyAlignment="1">
      <alignment vertical="center"/>
    </xf>
    <xf numFmtId="251" fontId="144" fillId="3" borderId="50" applyAlignment="1">
      <alignment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241" fontId="48" fillId="0" borderId="100"/>
    <xf numFmtId="0" fontId="12" fillId="0" borderId="7347" applyAlignment="1">
      <alignment horizontal="center"/>
    </xf>
    <xf numFmtId="0" fontId="119" fillId="59" borderId="1"/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9" fontId="12" fillId="0" borderId="0"/>
    <xf numFmtId="43" fontId="12" fillId="0" borderId="0"/>
    <xf numFmtId="0" fontId="12" fillId="0" borderId="0"/>
    <xf numFmtId="0" fontId="25" fillId="10" borderId="7002" applyAlignment="1">
      <alignment horizontal="center" vertical="top"/>
    </xf>
    <xf numFmtId="44" fontId="12" fillId="0" borderId="0"/>
    <xf numFmtId="0" fontId="1" fillId="0" borderId="0"/>
    <xf numFmtId="43" fontId="300" fillId="0" borderId="0"/>
    <xf numFmtId="9" fontId="300" fillId="0" borderId="0"/>
    <xf numFmtId="0" fontId="300" fillId="0" borderId="0"/>
    <xf numFmtId="0" fontId="298" fillId="0" borderId="0"/>
    <xf numFmtId="43" fontId="300" fillId="0" borderId="0"/>
    <xf numFmtId="0" fontId="1" fillId="0" borderId="0"/>
    <xf numFmtId="0" fontId="298" fillId="0" borderId="0"/>
    <xf numFmtId="0" fontId="1" fillId="0" borderId="0"/>
    <xf numFmtId="211" fontId="12" fillId="0" borderId="0"/>
    <xf numFmtId="178" fontId="12" fillId="0" borderId="0"/>
    <xf numFmtId="43" fontId="300" fillId="0" borderId="0"/>
    <xf numFmtId="43" fontId="12" fillId="0" borderId="0"/>
    <xf numFmtId="43" fontId="300" fillId="0" borderId="0"/>
    <xf numFmtId="43" fontId="298" fillId="0" borderId="0"/>
    <xf numFmtId="315" fontId="12" fillId="0" borderId="0"/>
    <xf numFmtId="316" fontId="12" fillId="0" borderId="0"/>
    <xf numFmtId="44" fontId="300" fillId="0" borderId="0"/>
    <xf numFmtId="251" fontId="12" fillId="0" borderId="0"/>
    <xf numFmtId="0" fontId="300" fillId="0" borderId="0"/>
    <xf numFmtId="0" fontId="1" fillId="0" borderId="0"/>
    <xf numFmtId="0" fontId="1" fillId="0" borderId="0"/>
    <xf numFmtId="317" fontId="301" fillId="0" borderId="0"/>
    <xf numFmtId="0" fontId="298" fillId="0" borderId="0"/>
    <xf numFmtId="0" fontId="302" fillId="0" borderId="0"/>
    <xf numFmtId="0" fontId="1" fillId="0" borderId="0"/>
    <xf numFmtId="0" fontId="298" fillId="0" borderId="0"/>
    <xf numFmtId="9" fontId="300" fillId="0" borderId="0"/>
    <xf numFmtId="9" fontId="300" fillId="0" borderId="0"/>
    <xf numFmtId="9" fontId="300" fillId="0" borderId="0"/>
    <xf numFmtId="43" fontId="300" fillId="0" borderId="0"/>
    <xf numFmtId="0" fontId="1" fillId="0" borderId="0"/>
    <xf numFmtId="43" fontId="1" fillId="0" borderId="0"/>
    <xf numFmtId="262" fontId="176" fillId="98" borderId="1" applyAlignment="1">
      <alignment horizontal="right"/>
    </xf>
    <xf numFmtId="9" fontId="12" fillId="0" borderId="0"/>
    <xf numFmtId="43" fontId="12" fillId="0" borderId="0"/>
    <xf numFmtId="0" fontId="12" fillId="0" borderId="0"/>
    <xf numFmtId="0" fontId="48" fillId="0" borderId="7359" applyAlignment="1">
      <alignment horizontal="center"/>
    </xf>
    <xf numFmtId="44" fontId="12" fillId="0" borderId="0"/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44" fontId="12" fillId="0" borderId="0"/>
    <xf numFmtId="0" fontId="12" fillId="0" borderId="0"/>
    <xf numFmtId="43" fontId="12" fillId="0" borderId="0"/>
    <xf numFmtId="9" fontId="12" fillId="0" borderId="0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41" fontId="48" fillId="0" borderId="100"/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241" fontId="48" fillId="0" borderId="100"/>
    <xf numFmtId="0" fontId="12" fillId="0" borderId="7347" applyAlignment="1">
      <alignment horizontal="center"/>
    </xf>
    <xf numFmtId="0" fontId="113" fillId="0" borderId="7347"/>
    <xf numFmtId="186" fontId="79" fillId="0" borderId="685"/>
    <xf numFmtId="0" fontId="101" fillId="0" borderId="7347"/>
    <xf numFmtId="10" fontId="12" fillId="3" borderId="7014" applyProtection="1">
      <protection locked="0" hidden="0"/>
    </xf>
    <xf numFmtId="9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9" fontId="12" fillId="0" borderId="0"/>
    <xf numFmtId="1" fontId="154" fillId="66" borderId="5" applyAlignment="1" applyProtection="1">
      <alignment horizontal="centerContinuous" vertical="center"/>
      <protection locked="0" hidden="0"/>
    </xf>
    <xf numFmtId="262" fontId="176" fillId="98" borderId="1" applyAlignment="1">
      <alignment horizontal="right"/>
    </xf>
    <xf numFmtId="262" fontId="177" fillId="98" borderId="1" applyAlignment="1">
      <alignment horizontal="right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39" fontId="12" fillId="14" borderId="1" applyAlignment="1" applyProtection="1">
      <alignment horizontal="center"/>
      <protection locked="0" hidden="0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0" fontId="25" fillId="61" borderId="1" applyAlignment="1">
      <alignment horizontal="center" vertical="top"/>
    </xf>
    <xf numFmtId="0" fontId="25" fillId="61" borderId="1" applyAlignment="1">
      <alignment horizontal="center" vertical="top"/>
    </xf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37" fontId="12" fillId="0" borderId="1" applyAlignment="1" applyProtection="1">
      <alignment horizontal="right"/>
      <protection locked="0" hidden="0"/>
    </xf>
    <xf numFmtId="0" fontId="5" fillId="60" borderId="1" applyAlignment="1" applyProtection="1">
      <alignment horizontal="center" vertical="center" wrapText="1"/>
      <protection locked="1" hidden="1"/>
    </xf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241" fontId="48" fillId="0" borderId="100"/>
    <xf numFmtId="252" fontId="176" fillId="74" borderId="1" applyAlignment="1">
      <alignment horizontal="right"/>
    </xf>
    <xf numFmtId="0" fontId="210" fillId="0" borderId="7347" applyProtection="1">
      <protection locked="0" hidden="0"/>
    </xf>
    <xf numFmtId="0" fontId="204" fillId="3" borderId="1" applyAlignment="1">
      <alignment horizontal="center" vertical="center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262" fontId="176" fillId="69" borderId="1" applyAlignment="1">
      <alignment horizontal="right"/>
    </xf>
    <xf numFmtId="262" fontId="177" fillId="69" borderId="1" applyAlignment="1">
      <alignment horizontal="right"/>
    </xf>
    <xf numFmtId="262" fontId="176" fillId="69" borderId="1" applyAlignment="1">
      <alignment horizontal="right"/>
    </xf>
    <xf numFmtId="10" fontId="48" fillId="14" borderId="1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97" fontId="94" fillId="14" borderId="1"/>
    <xf numFmtId="251" fontId="12" fillId="10" borderId="1"/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241" fontId="48" fillId="0" borderId="100"/>
    <xf numFmtId="0" fontId="12" fillId="0" borderId="7347" applyAlignment="1">
      <alignment horizontal="center"/>
    </xf>
    <xf numFmtId="0" fontId="119" fillId="59" borderId="1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685"/>
    <xf numFmtId="0" fontId="101" fillId="0" borderId="7347"/>
    <xf numFmtId="10" fontId="12" fillId="3" borderId="7014" applyProtection="1">
      <protection locked="0" hidden="0"/>
    </xf>
    <xf numFmtId="9" fontId="12" fillId="0" borderId="0"/>
    <xf numFmtId="43" fontId="12" fillId="0" borderId="0"/>
    <xf numFmtId="0" fontId="12" fillId="0" borderId="0"/>
    <xf numFmtId="189" fontId="46" fillId="0" borderId="7347"/>
    <xf numFmtId="0" fontId="77" fillId="0" borderId="0"/>
    <xf numFmtId="0" fontId="12" fillId="0" borderId="0"/>
    <xf numFmtId="43" fontId="12" fillId="0" borderId="0"/>
    <xf numFmtId="9" fontId="12" fillId="0" borderId="0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41" fontId="48" fillId="0" borderId="100"/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241" fontId="48" fillId="0" borderId="100"/>
    <xf numFmtId="0" fontId="12" fillId="0" borderId="7347" applyAlignment="1">
      <alignment horizontal="center"/>
    </xf>
    <xf numFmtId="0" fontId="113" fillId="0" borderId="7347"/>
    <xf numFmtId="186" fontId="79" fillId="0" borderId="685"/>
    <xf numFmtId="0" fontId="101" fillId="0" borderId="7347"/>
    <xf numFmtId="10" fontId="12" fillId="3" borderId="7014" applyProtection="1">
      <protection locked="0" hidden="0"/>
    </xf>
    <xf numFmtId="9" fontId="12" fillId="0" borderId="0"/>
    <xf numFmtId="43" fontId="12" fillId="0" borderId="0"/>
    <xf numFmtId="0" fontId="12" fillId="0" borderId="0"/>
    <xf numFmtId="0" fontId="1" fillId="0" borderId="0"/>
    <xf numFmtId="0" fontId="106" fillId="0" borderId="182" applyProtection="1">
      <protection locked="1" hidden="1"/>
    </xf>
    <xf numFmtId="0" fontId="107" fillId="55" borderId="182" applyProtection="1">
      <protection locked="1" hidden="1"/>
    </xf>
    <xf numFmtId="241" fontId="48" fillId="0" borderId="100"/>
    <xf numFmtId="196" fontId="84" fillId="0" borderId="182"/>
    <xf numFmtId="185" fontId="84" fillId="0" borderId="182"/>
    <xf numFmtId="0" fontId="48" fillId="11" borderId="182" applyAlignment="1">
      <alignment horizontal="center"/>
    </xf>
    <xf numFmtId="0" fontId="84" fillId="0" borderId="182"/>
    <xf numFmtId="1" fontId="12" fillId="0" borderId="182" applyAlignment="1">
      <alignment horizontal="center" vertical="center"/>
    </xf>
    <xf numFmtId="0" fontId="219" fillId="0" borderId="182" applyProtection="1">
      <protection locked="1" hidden="1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0" fontId="314" fillId="0" borderId="33"/>
    <xf numFmtId="0" fontId="308" fillId="20" borderId="0"/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011" applyAlignment="1">
      <alignment horizontal="left" vertical="top"/>
    </xf>
    <xf numFmtId="0" fontId="48" fillId="0" borderId="0" applyAlignment="1">
      <alignment vertical="top"/>
    </xf>
    <xf numFmtId="313" fontId="2" fillId="0" borderId="7352"/>
    <xf numFmtId="313" fontId="210" fillId="0" borderId="7347" applyProtection="1">
      <protection locked="0" hidden="0"/>
    </xf>
    <xf numFmtId="0" fontId="166" fillId="0" borderId="7347" applyAlignment="1">
      <alignment horizontal="center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9" fontId="48" fillId="0" borderId="0"/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5" borderId="7347" applyAlignment="1">
      <alignment horizontal="centerContinuous" vertical="center"/>
    </xf>
    <xf numFmtId="0" fontId="22" fillId="0" borderId="36"/>
    <xf numFmtId="5" fontId="114" fillId="0" borderId="7359"/>
    <xf numFmtId="0" fontId="58" fillId="0" borderId="0"/>
    <xf numFmtId="0" fontId="57" fillId="0" borderId="0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241" fontId="48" fillId="0" borderId="100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0" fontId="303" fillId="47" borderId="0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8" borderId="7002"/>
    <xf numFmtId="0" fontId="75" fillId="0" borderId="7348"/>
    <xf numFmtId="185" fontId="146" fillId="3" borderId="7350" applyAlignment="1">
      <alignment horizontal="left"/>
    </xf>
    <xf numFmtId="0" fontId="48" fillId="0" borderId="0" applyAlignment="1">
      <alignment vertical="top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48" fillId="0" borderId="0" applyAlignment="1">
      <alignment vertical="top"/>
    </xf>
    <xf numFmtId="0" fontId="62" fillId="0" borderId="30"/>
    <xf numFmtId="0" fontId="25" fillId="70" borderId="7002" applyAlignment="1">
      <alignment horizontal="left" vertical="center" wrapText="1"/>
    </xf>
    <xf numFmtId="0" fontId="303" fillId="46" borderId="0"/>
    <xf numFmtId="0" fontId="316" fillId="24" borderId="32"/>
    <xf numFmtId="0" fontId="12" fillId="0" borderId="7347" applyAlignment="1">
      <alignment horizontal="center"/>
    </xf>
    <xf numFmtId="43" fontId="48" fillId="0" borderId="0"/>
    <xf numFmtId="313" fontId="12" fillId="0" borderId="7001"/>
    <xf numFmtId="0" fontId="184" fillId="0" borderId="7003" applyAlignment="1">
      <alignment horizontal="left" wrapText="1"/>
    </xf>
    <xf numFmtId="0" fontId="314" fillId="0" borderId="33"/>
    <xf numFmtId="0" fontId="48" fillId="0" borderId="0" applyAlignment="1">
      <alignment vertical="top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63" fillId="20" borderId="0"/>
    <xf numFmtId="186" fontId="79" fillId="0" borderId="7346"/>
    <xf numFmtId="0" fontId="12" fillId="0" borderId="7347" applyAlignment="1">
      <alignment horizont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5" fontId="114" fillId="0" borderId="7359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0" fontId="309" fillId="0" borderId="28"/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1" fontId="108" fillId="56" borderId="101" applyAlignment="1" applyProtection="1">
      <alignment horizontal="center" vertical="top" wrapText="1"/>
      <protection locked="1" hidden="1"/>
    </xf>
    <xf numFmtId="0" fontId="25" fillId="10" borderId="7356" applyAlignment="1">
      <alignment horizontal="left" vertical="top"/>
    </xf>
    <xf numFmtId="0" fontId="158" fillId="0" borderId="101" applyAlignment="1">
      <alignment horizontal="left" vertical="top"/>
    </xf>
    <xf numFmtId="299" fontId="217" fillId="61" borderId="101" applyAlignment="1" applyProtection="1">
      <alignment horizontal="right" vertical="center"/>
      <protection locked="0" hidden="0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75" fillId="0" borderId="7348"/>
    <xf numFmtId="186" fontId="79" fillId="0" borderId="7346"/>
    <xf numFmtId="0" fontId="78" fillId="14" borderId="7349"/>
    <xf numFmtId="9" fontId="48" fillId="0" borderId="0"/>
    <xf numFmtId="185" fontId="146" fillId="3" borderId="7350" applyAlignment="1">
      <alignment horizontal="left"/>
    </xf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6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8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0" fontId="69" fillId="0" borderId="33"/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0" fontId="72" fillId="27" borderId="0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72" fillId="31" borderId="0"/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43" fontId="48" fillId="0" borderId="0"/>
    <xf numFmtId="0" fontId="62" fillId="0" borderId="0"/>
    <xf numFmtId="0" fontId="2" fillId="0" borderId="7352"/>
    <xf numFmtId="0" fontId="72" fillId="43" borderId="0"/>
    <xf numFmtId="186" fontId="79" fillId="0" borderId="7346"/>
    <xf numFmtId="10" fontId="12" fillId="3" borderId="7014" applyProtection="1">
      <protection locked="0" hidden="0"/>
    </xf>
    <xf numFmtId="0" fontId="64" fillId="21" borderId="0"/>
    <xf numFmtId="0" fontId="101" fillId="0" borderId="7347"/>
    <xf numFmtId="10" fontId="12" fillId="3" borderId="7014" applyProtection="1">
      <protection locked="0" hidden="0"/>
    </xf>
    <xf numFmtId="0" fontId="68" fillId="24" borderId="31"/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0" fontId="113" fillId="0" borderId="7347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12" fillId="0" borderId="0" applyAlignment="1">
      <alignment horizontal="left" wrapText="1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0" fontId="67" fillId="24" borderId="32"/>
    <xf numFmtId="0" fontId="306" fillId="25" borderId="34"/>
    <xf numFmtId="0" fontId="70" fillId="25" borderId="34"/>
    <xf numFmtId="185" fontId="146" fillId="3" borderId="7350" applyAlignment="1">
      <alignment horizontal="left"/>
    </xf>
    <xf numFmtId="0" fontId="312" fillId="0" borderId="0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12" fillId="0" borderId="0" applyAlignment="1">
      <alignment horizontal="left" wrapText="1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0" fontId="1" fillId="37" borderId="0"/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2" fillId="0" borderId="0" applyAlignment="1">
      <alignment horizontal="left" wrapText="1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" fontId="108" fillId="56" borderId="101" applyAlignment="1" applyProtection="1">
      <alignment horizontal="center" vertical="top" wrapText="1"/>
      <protection locked="1" hidden="1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299" fontId="217" fillId="61" borderId="101" applyAlignment="1" applyProtection="1">
      <alignment horizontal="right" vertical="center"/>
      <protection locked="0" hidden="0"/>
    </xf>
    <xf numFmtId="0" fontId="158" fillId="0" borderId="101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303" fillId="31" borderId="0"/>
    <xf numFmtId="0" fontId="75" fillId="0" borderId="7348"/>
    <xf numFmtId="0" fontId="303" fillId="39" borderId="0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304" fillId="21" borderId="0"/>
    <xf numFmtId="0" fontId="305" fillId="24" borderId="31"/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2" fillId="0" borderId="0"/>
    <xf numFmtId="0" fontId="276" fillId="55" borderId="7020"/>
    <xf numFmtId="186" fontId="79" fillId="0" borderId="7346"/>
    <xf numFmtId="0" fontId="101" fillId="0" borderId="7347"/>
    <xf numFmtId="0" fontId="283" fillId="104" borderId="7020"/>
    <xf numFmtId="0" fontId="50" fillId="118" borderId="7003"/>
    <xf numFmtId="0" fontId="78" fillId="14" borderId="7349"/>
    <xf numFmtId="0" fontId="71" fillId="0" borderId="0"/>
    <xf numFmtId="0" fontId="286" fillId="55" borderId="7021"/>
    <xf numFmtId="0" fontId="283" fillId="104" borderId="7020"/>
    <xf numFmtId="186" fontId="79" fillId="0" borderId="7346"/>
    <xf numFmtId="0" fontId="288" fillId="0" borderId="7022"/>
    <xf numFmtId="0" fontId="276" fillId="55" borderId="7020"/>
    <xf numFmtId="0" fontId="2" fillId="0" borderId="7352"/>
    <xf numFmtId="0" fontId="214" fillId="0" borderId="7353"/>
    <xf numFmtId="0" fontId="78" fillId="14" borderId="7349"/>
    <xf numFmtId="43" fontId="48" fillId="0" borderId="0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5" borderId="7021"/>
    <xf numFmtId="0" fontId="307" fillId="0" borderId="0"/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48" fillId="0" borderId="0" applyAlignment="1">
      <alignment vertical="top"/>
    </xf>
    <xf numFmtId="0" fontId="241" fillId="95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0" fontId="1" fillId="49" borderId="0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8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0" fontId="14" fillId="0" borderId="0"/>
    <xf numFmtId="313" fontId="25" fillId="70" borderId="7002" applyAlignment="1">
      <alignment horizontal="left" vertical="center" wrapText="1"/>
    </xf>
    <xf numFmtId="0" fontId="14" fillId="37" borderId="0"/>
    <xf numFmtId="0" fontId="25" fillId="10" borderId="7355" applyAlignment="1">
      <alignment horizontal="left" vertical="top"/>
    </xf>
    <xf numFmtId="186" fontId="79" fillId="0" borderId="7346"/>
    <xf numFmtId="313" fontId="184" fillId="0" borderId="7003" applyAlignment="1">
      <alignment horizontal="left" wrapText="1"/>
    </xf>
    <xf numFmtId="314" fontId="242" fillId="0" borderId="7347" applyAlignment="1">
      <alignment horizontal="center"/>
    </xf>
    <xf numFmtId="0" fontId="66" fillId="23" borderId="31"/>
    <xf numFmtId="190" fontId="12" fillId="14" borderId="7347" applyAlignment="1">
      <alignment horizontal="right"/>
    </xf>
    <xf numFmtId="0" fontId="12" fillId="76" borderId="7004" applyAlignment="1">
      <alignment horizontal="left" vertical="center" indent="1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4" borderId="7004" applyAlignment="1">
      <alignment horizontal="left" vertical="top" indent="1"/>
    </xf>
    <xf numFmtId="313" fontId="12" fillId="76" borderId="7004" applyAlignment="1">
      <alignment horizontal="left" vertical="center" indent="1"/>
    </xf>
    <xf numFmtId="313" fontId="12" fillId="76" borderId="7004" applyAlignment="1">
      <alignment horizontal="left" vertical="top" indent="1"/>
    </xf>
    <xf numFmtId="313" fontId="12" fillId="85" borderId="7004" applyAlignment="1">
      <alignment horizontal="left" vertical="center" indent="1"/>
    </xf>
    <xf numFmtId="313" fontId="12" fillId="85" borderId="7004" applyAlignment="1">
      <alignment horizontal="left" vertical="top" indent="1"/>
    </xf>
    <xf numFmtId="313" fontId="12" fillId="53" borderId="7004" applyAlignment="1">
      <alignment horizontal="left" vertical="center" indent="1"/>
    </xf>
    <xf numFmtId="313" fontId="12" fillId="53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5" borderId="7004" applyAlignment="1">
      <alignment horizontal="left" vertical="top" indent="1"/>
    </xf>
    <xf numFmtId="241" fontId="48" fillId="0" borderId="100"/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5" borderId="7347" applyAlignment="1">
      <alignment horizontal="centerContinuous" vertical="center"/>
    </xf>
    <xf numFmtId="313" fontId="158" fillId="0" borderId="101" applyAlignment="1">
      <alignment horizontal="left" vertical="top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5" borderId="7347" applyAlignment="1">
      <alignment horizontal="centerContinuous" vertical="center"/>
    </xf>
    <xf numFmtId="0" fontId="313" fillId="23" borderId="31"/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183" fontId="9" fillId="3" borderId="7347" applyAlignment="1">
      <alignment horizontal="right" vertical="center"/>
    </xf>
    <xf numFmtId="313" fontId="78" fillId="14" borderId="7349"/>
    <xf numFmtId="313" fontId="101" fillId="0" borderId="7347"/>
    <xf numFmtId="0" fontId="272" fillId="0" borderId="0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0" fontId="1" fillId="33" borderId="0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0" fontId="311" fillId="0" borderId="30"/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8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0" fontId="48" fillId="0" borderId="0" applyAlignment="1">
      <alignment vertical="top"/>
    </xf>
    <xf numFmtId="314" fontId="25" fillId="70" borderId="7002" applyAlignment="1">
      <alignment horizontal="left" vertical="center" wrapText="1"/>
    </xf>
    <xf numFmtId="0" fontId="303" fillId="30" borderId="0"/>
    <xf numFmtId="0" fontId="214" fillId="0" borderId="7353"/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0" fontId="12" fillId="0" borderId="7001"/>
    <xf numFmtId="0" fontId="12" fillId="0" borderId="0"/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4" borderId="7004" applyAlignment="1">
      <alignment horizontal="left" vertical="top" indent="1"/>
    </xf>
    <xf numFmtId="314" fontId="12" fillId="76" borderId="7004" applyAlignment="1">
      <alignment horizontal="left" vertical="center" indent="1"/>
    </xf>
    <xf numFmtId="314" fontId="12" fillId="76" borderId="7004" applyAlignment="1">
      <alignment horizontal="left" vertical="top" indent="1"/>
    </xf>
    <xf numFmtId="314" fontId="12" fillId="85" borderId="7004" applyAlignment="1">
      <alignment horizontal="left" vertical="center" indent="1"/>
    </xf>
    <xf numFmtId="314" fontId="12" fillId="85" borderId="7004" applyAlignment="1">
      <alignment horizontal="left" vertical="top" indent="1"/>
    </xf>
    <xf numFmtId="314" fontId="12" fillId="53" borderId="7004" applyAlignment="1">
      <alignment horizontal="left" vertical="center" indent="1"/>
    </xf>
    <xf numFmtId="314" fontId="12" fillId="53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5" borderId="7004" applyAlignment="1">
      <alignment horizontal="left" vertical="top" indent="1"/>
    </xf>
    <xf numFmtId="0" fontId="25" fillId="10" borderId="7356" applyAlignment="1">
      <alignment horizontal="left" vertical="top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5" borderId="7347" applyAlignment="1">
      <alignment horizontal="centerContinuous" vertical="center"/>
    </xf>
    <xf numFmtId="314" fontId="158" fillId="0" borderId="101" applyAlignment="1">
      <alignment horizontal="left" vertical="top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0" fontId="72" fillId="47" borderId="0"/>
    <xf numFmtId="43" fontId="48" fillId="0" borderId="0"/>
    <xf numFmtId="0" fontId="60" fillId="0" borderId="28"/>
    <xf numFmtId="186" fontId="79" fillId="0" borderId="7346"/>
    <xf numFmtId="186" fontId="79" fillId="0" borderId="7346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241" fillId="95" borderId="7347" applyAlignment="1">
      <alignment horizontal="centerContinuous" vertical="center"/>
    </xf>
    <xf numFmtId="0" fontId="303" fillId="50" borderId="0"/>
    <xf numFmtId="0" fontId="210" fillId="0" borderId="7347" applyProtection="1">
      <protection locked="0" hidden="0"/>
    </xf>
    <xf numFmtId="0" fontId="12" fillId="0" borderId="0" applyAlignment="1">
      <alignment horizontal="left" wrapText="1"/>
    </xf>
    <xf numFmtId="0" fontId="12" fillId="0" borderId="0" applyAlignment="1">
      <alignment horizontal="left" wrapText="1"/>
    </xf>
    <xf numFmtId="0" fontId="1" fillId="44" borderId="0"/>
    <xf numFmtId="187" fontId="249" fillId="0" borderId="7347" applyAlignment="1">
      <alignment horizontal="center"/>
    </xf>
    <xf numFmtId="0" fontId="314" fillId="0" borderId="33"/>
    <xf numFmtId="0" fontId="1" fillId="28" borderId="0"/>
    <xf numFmtId="185" fontId="140" fillId="3" borderId="7351" applyAlignment="1">
      <alignment horizontal="center" vertical="center"/>
    </xf>
    <xf numFmtId="0" fontId="214" fillId="0" borderId="7353"/>
    <xf numFmtId="186" fontId="79" fillId="0" borderId="7346"/>
    <xf numFmtId="185" fontId="146" fillId="3" borderId="7350" applyAlignment="1">
      <alignment horizontal="left"/>
    </xf>
    <xf numFmtId="0" fontId="48" fillId="0" borderId="0" applyAlignment="1">
      <alignment vertical="top"/>
    </xf>
    <xf numFmtId="0" fontId="25" fillId="10" borderId="7356" applyAlignment="1">
      <alignment horizontal="left" vertical="top"/>
    </xf>
    <xf numFmtId="0" fontId="14" fillId="36" borderId="0"/>
    <xf numFmtId="0" fontId="210" fillId="0" borderId="7347" applyProtection="1">
      <protection locked="0" hidden="0"/>
    </xf>
    <xf numFmtId="0" fontId="14" fillId="40" borderId="0"/>
    <xf numFmtId="0" fontId="1" fillId="40" borderId="0"/>
    <xf numFmtId="0" fontId="61" fillId="0" borderId="29"/>
    <xf numFmtId="189" fontId="46" fillId="0" borderId="7347"/>
    <xf numFmtId="0" fontId="2" fillId="0" borderId="7352"/>
    <xf numFmtId="0" fontId="14" fillId="44" borderId="0"/>
    <xf numFmtId="0" fontId="214" fillId="0" borderId="7353"/>
    <xf numFmtId="0" fontId="310" fillId="0" borderId="29"/>
    <xf numFmtId="0" fontId="25" fillId="10" borderId="7356" applyAlignment="1">
      <alignment horizontal="left" vertical="top"/>
    </xf>
    <xf numFmtId="0" fontId="311" fillId="0" borderId="0"/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59" fillId="0" borderId="7002"/>
    <xf numFmtId="0" fontId="159" fillId="68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313" fillId="23" borderId="31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272" fillId="0" borderId="0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90" fontId="12" fillId="14" borderId="7347" applyAlignment="1">
      <alignment horizontal="right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9" fontId="48" fillId="0" borderId="0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13" fillId="0" borderId="7347"/>
    <xf numFmtId="0" fontId="101" fillId="0" borderId="7347"/>
    <xf numFmtId="0" fontId="214" fillId="0" borderId="7353"/>
    <xf numFmtId="186" fontId="79" fillId="0" borderId="7346"/>
    <xf numFmtId="0" fontId="12" fillId="0" borderId="0"/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0" fontId="12" fillId="0" borderId="7347" applyAlignment="1">
      <alignment horizont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0" fontId="1" fillId="26" borderId="35"/>
    <xf numFmtId="43" fontId="14" fillId="0" borderId="0"/>
    <xf numFmtId="0" fontId="303" fillId="43" borderId="0"/>
    <xf numFmtId="0" fontId="72" fillId="35" borderId="0"/>
    <xf numFmtId="0" fontId="303" fillId="27" borderId="0"/>
    <xf numFmtId="0" fontId="303" fillId="42" borderId="0"/>
    <xf numFmtId="0" fontId="14" fillId="49" borderId="0"/>
    <xf numFmtId="0" fontId="14" fillId="33" borderId="0"/>
    <xf numFmtId="0" fontId="1" fillId="32" borderId="0"/>
    <xf numFmtId="0" fontId="12" fillId="0" borderId="0" applyAlignment="1">
      <alignment horizontal="left" wrapText="1"/>
    </xf>
    <xf numFmtId="0" fontId="12" fillId="0" borderId="0" applyAlignment="1">
      <alignment horizontal="left" wrapText="1"/>
    </xf>
    <xf numFmtId="186" fontId="79" fillId="0" borderId="7346"/>
    <xf numFmtId="0" fontId="14" fillId="26" borderId="35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4" fillId="26" borderId="35"/>
    <xf numFmtId="0" fontId="14" fillId="26" borderId="35"/>
    <xf numFmtId="9" fontId="48" fillId="0" borderId="0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72" fillId="0" borderId="0"/>
    <xf numFmtId="252" fontId="9" fillId="3" borderId="7347" applyAlignment="1">
      <alignment horizontal="right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0" fontId="12" fillId="0" borderId="0"/>
    <xf numFmtId="183" fontId="9" fillId="3" borderId="7347" applyAlignment="1">
      <alignment horizontal="right" vertical="center"/>
    </xf>
    <xf numFmtId="0" fontId="113" fillId="0" borderId="7347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214" fillId="0" borderId="7353"/>
    <xf numFmtId="0" fontId="314" fillId="0" borderId="33"/>
    <xf numFmtId="0" fontId="25" fillId="10" borderId="7354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" fillId="0" borderId="7352"/>
    <xf numFmtId="0" fontId="25" fillId="10" borderId="7357" applyAlignment="1">
      <alignment horizontal="left" vertical="top"/>
    </xf>
    <xf numFmtId="0" fontId="48" fillId="0" borderId="0" applyAlignment="1">
      <alignment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14" fillId="26" borderId="35"/>
    <xf numFmtId="43" fontId="14" fillId="0" borderId="0"/>
    <xf numFmtId="0" fontId="72" fillId="39" borderId="0"/>
    <xf numFmtId="0" fontId="303" fillId="35" borderId="0"/>
    <xf numFmtId="0" fontId="1" fillId="45" borderId="0"/>
    <xf numFmtId="0" fontId="1" fillId="29" borderId="0"/>
    <xf numFmtId="0" fontId="1" fillId="36" borderId="0"/>
    <xf numFmtId="0" fontId="14" fillId="32" borderId="0"/>
    <xf numFmtId="0" fontId="12" fillId="0" borderId="0" applyAlignment="1">
      <alignment horizontal="left" wrapText="1"/>
    </xf>
    <xf numFmtId="0" fontId="48" fillId="0" borderId="0" applyAlignment="1">
      <alignment vertical="top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90" fontId="12" fillId="14" borderId="7347" applyAlignment="1">
      <alignment horizontal="right"/>
    </xf>
    <xf numFmtId="0" fontId="101" fillId="0" borderId="7347"/>
    <xf numFmtId="0" fontId="14" fillId="28" borderId="0"/>
    <xf numFmtId="0" fontId="14" fillId="29" borderId="0"/>
    <xf numFmtId="0" fontId="14" fillId="45" borderId="0"/>
    <xf numFmtId="0" fontId="303" fillId="38" borderId="0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" fillId="0" borderId="7352"/>
    <xf numFmtId="186" fontId="79" fillId="0" borderId="7346"/>
    <xf numFmtId="0" fontId="25" fillId="10" borderId="7356" applyAlignment="1">
      <alignment horizontal="left" vertical="top"/>
    </xf>
    <xf numFmtId="0" fontId="113" fillId="0" borderId="7347"/>
    <xf numFmtId="0" fontId="25" fillId="10" borderId="7355" applyAlignment="1">
      <alignment horizontal="left" vertical="top"/>
    </xf>
    <xf numFmtId="186" fontId="79" fillId="0" borderId="7346"/>
    <xf numFmtId="0" fontId="313" fillId="23" borderId="31"/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314" fontId="25" fillId="10" borderId="7012" applyAlignment="1">
      <alignment horizontal="left" vertical="top"/>
    </xf>
    <xf numFmtId="0" fontId="272" fillId="0" borderId="0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48" fillId="0" borderId="0" applyAlignment="1">
      <alignment vertical="top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9" fontId="48" fillId="0" borderId="0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72" fillId="0" borderId="0"/>
    <xf numFmtId="183" fontId="9" fillId="3" borderId="7347" applyAlignment="1">
      <alignment horizontal="right" vertical="center"/>
    </xf>
    <xf numFmtId="0" fontId="48" fillId="0" borderId="0" applyAlignment="1">
      <alignment vertical="top"/>
    </xf>
    <xf numFmtId="0" fontId="288" fillId="0" borderId="7022"/>
    <xf numFmtId="0" fontId="314" fillId="0" borderId="33"/>
    <xf numFmtId="0" fontId="313" fillId="23" borderId="31"/>
    <xf numFmtId="0" fontId="25" fillId="10" borderId="7008" applyAlignment="1">
      <alignment horizontal="left" vertical="top"/>
    </xf>
    <xf numFmtId="43" fontId="48" fillId="0" borderId="0"/>
    <xf numFmtId="0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75" fillId="0" borderId="7348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2" fillId="0" borderId="0" applyAlignment="1">
      <alignment horizontal="left" wrapText="1"/>
    </xf>
    <xf numFmtId="0" fontId="48" fillId="0" borderId="0" applyAlignment="1">
      <alignment vertical="top"/>
    </xf>
    <xf numFmtId="0" fontId="1" fillId="41" borderId="0"/>
    <xf numFmtId="0" fontId="1" fillId="48" borderId="0"/>
    <xf numFmtId="0" fontId="12" fillId="0" borderId="0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9" fontId="46" fillId="0" borderId="7347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2" fillId="0" borderId="0"/>
    <xf numFmtId="0" fontId="12" fillId="0" borderId="0" applyAlignment="1">
      <alignment horizontal="left" wrapText="1"/>
    </xf>
    <xf numFmtId="0" fontId="48" fillId="0" borderId="0" applyAlignment="1">
      <alignment vertical="top"/>
    </xf>
    <xf numFmtId="0" fontId="14" fillId="48" borderId="0"/>
    <xf numFmtId="0" fontId="14" fillId="41" borderId="0"/>
    <xf numFmtId="0" fontId="303" fillId="34" borderId="0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313" fillId="23" borderId="31"/>
    <xf numFmtId="185" fontId="140" fillId="3" borderId="7351" applyAlignment="1">
      <alignment horizontal="center" vertical="center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43" fontId="48" fillId="0" borderId="0"/>
    <xf numFmtId="188" fontId="240" fillId="0" borderId="7347" applyAlignment="1">
      <alignment horizontal="right" vertical="center"/>
    </xf>
    <xf numFmtId="185" fontId="146" fillId="3" borderId="7350" applyAlignment="1">
      <alignment horizontal="left"/>
    </xf>
    <xf numFmtId="0" fontId="313" fillId="23" borderId="31"/>
    <xf numFmtId="0" fontId="314" fillId="0" borderId="33"/>
    <xf numFmtId="9" fontId="48" fillId="0" borderId="0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4" fillId="0" borderId="0"/>
    <xf numFmtId="189" fontId="46" fillId="0" borderId="7347"/>
    <xf numFmtId="0" fontId="12" fillId="0" borderId="0" applyAlignment="1">
      <alignment horizontal="left" wrapText="1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2" fillId="0" borderId="0" applyAlignment="1">
      <alignment horizontal="left" wrapText="1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252" fontId="9" fillId="3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13" fillId="0" borderId="7347"/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313" fontId="101" fillId="0" borderId="7347"/>
    <xf numFmtId="313" fontId="113" fillId="0" borderId="7347"/>
    <xf numFmtId="313" fontId="166" fillId="0" borderId="7347" applyAlignment="1">
      <alignment horizontal="center"/>
    </xf>
    <xf numFmtId="313" fontId="2" fillId="0" borderId="7352"/>
    <xf numFmtId="313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13" fillId="0" borderId="7347"/>
    <xf numFmtId="189" fontId="46" fillId="0" borderId="7347"/>
    <xf numFmtId="0" fontId="75" fillId="0" borderId="7348"/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314" fontId="113" fillId="0" borderId="7347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5" fontId="146" fillId="3" borderId="7350" applyAlignment="1">
      <alignment horizontal="left"/>
    </xf>
    <xf numFmtId="0" fontId="101" fillId="0" borderId="7347"/>
    <xf numFmtId="186" fontId="79" fillId="0" borderId="7346"/>
    <xf numFmtId="0" fontId="113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0" fontId="101" fillId="0" borderId="7347"/>
    <xf numFmtId="0" fontId="2" fillId="0" borderId="7352"/>
    <xf numFmtId="0" fontId="113" fillId="0" borderId="7347"/>
    <xf numFmtId="0" fontId="12" fillId="0" borderId="7347" applyAlignment="1">
      <alignment horizontal="center"/>
    </xf>
    <xf numFmtId="313" fontId="165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35" fillId="0" borderId="7002"/>
    <xf numFmtId="203" fontId="25" fillId="0" borderId="7017" applyAlignment="1">
      <alignment horizontal="center"/>
    </xf>
    <xf numFmtId="0" fontId="12" fillId="0" borderId="7001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5" fillId="10" borderId="7356" applyAlignment="1">
      <alignment horizontal="left" vertical="top"/>
    </xf>
    <xf numFmtId="0" fontId="75" fillId="0" borderId="7348"/>
    <xf numFmtId="4" fontId="224" fillId="54" borderId="7004" applyAlignment="1">
      <alignment vertical="center"/>
    </xf>
    <xf numFmtId="0" fontId="12" fillId="11" borderId="7004" applyAlignment="1">
      <alignment horizontal="left" vertical="center" indent="1"/>
    </xf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75" fillId="0" borderId="7348"/>
    <xf numFmtId="0" fontId="159" fillId="68" borderId="7002"/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105" fillId="0" borderId="7001"/>
    <xf numFmtId="0" fontId="101" fillId="0" borderId="7347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685"/>
    <xf numFmtId="4" fontId="226" fillId="72" borderId="7004" applyAlignment="1">
      <alignment horizontal="right" vertical="center"/>
    </xf>
    <xf numFmtId="185" fontId="146" fillId="3" borderId="7350" applyAlignment="1">
      <alignment horizontal="left"/>
    </xf>
    <xf numFmtId="0" fontId="113" fillId="0" borderId="7347"/>
    <xf numFmtId="4" fontId="226" fillId="10" borderId="7004" applyAlignment="1">
      <alignment horizontal="right" vertical="center"/>
    </xf>
    <xf numFmtId="0" fontId="25" fillId="10" borderId="7007" applyAlignment="1">
      <alignment horizontal="left"/>
    </xf>
    <xf numFmtId="0" fontId="12" fillId="3" borderId="7002"/>
    <xf numFmtId="293" fontId="234" fillId="10" borderId="7002"/>
    <xf numFmtId="4" fontId="226" fillId="81" borderId="7004" applyAlignment="1">
      <alignment horizontal="right" vertical="center"/>
    </xf>
    <xf numFmtId="0" fontId="113" fillId="0" borderId="7347"/>
    <xf numFmtId="0" fontId="136" fillId="85" borderId="7004" applyAlignment="1">
      <alignment horizontal="left" vertical="top" indent="1"/>
    </xf>
    <xf numFmtId="0" fontId="78" fillId="14" borderId="7349"/>
    <xf numFmtId="0" fontId="101" fillId="0" borderId="7347"/>
    <xf numFmtId="186" fontId="79" fillId="0" borderId="7346"/>
    <xf numFmtId="185" fontId="48" fillId="3" borderId="7359" applyAlignment="1">
      <alignment vertical="center"/>
    </xf>
    <xf numFmtId="251" fontId="145" fillId="3" borderId="7359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187" fontId="250" fillId="0" borderId="7347" applyAlignment="1">
      <alignment horizontal="center"/>
    </xf>
    <xf numFmtId="314" fontId="25" fillId="10" borderId="7355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75" fillId="0" borderId="7348"/>
    <xf numFmtId="0" fontId="78" fillId="14" borderId="7349"/>
    <xf numFmtId="183" fontId="9" fillId="3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12" fillId="0" borderId="7347" applyAlignment="1">
      <alignment horizontal="center"/>
    </xf>
    <xf numFmtId="0" fontId="25" fillId="10" borderId="7355" applyAlignment="1">
      <alignment horizontal="left" vertical="top"/>
    </xf>
    <xf numFmtId="0" fontId="2" fillId="0" borderId="7352"/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186" fontId="79" fillId="0" borderId="7346"/>
    <xf numFmtId="313" fontId="12" fillId="11" borderId="7004" applyAlignment="1">
      <alignment horizontal="left" vertical="top" indent="1"/>
    </xf>
    <xf numFmtId="10" fontId="12" fillId="3" borderId="7014" applyProtection="1">
      <protection locked="0" hidden="0"/>
    </xf>
    <xf numFmtId="187" fontId="249" fillId="0" borderId="7347" applyAlignment="1">
      <alignment horizontal="center"/>
    </xf>
    <xf numFmtId="0" fontId="184" fillId="0" borderId="7003" applyAlignment="1">
      <alignment horizontal="left" wrapText="1"/>
    </xf>
    <xf numFmtId="0" fontId="101" fillId="0" borderId="7347"/>
    <xf numFmtId="10" fontId="12" fillId="3" borderId="7014" applyProtection="1">
      <protection locked="0" hidden="0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113" fillId="0" borderId="7347"/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166" fillId="0" borderId="7347" applyAlignment="1">
      <alignment horizontal="center"/>
    </xf>
    <xf numFmtId="241" fontId="48" fillId="0" borderId="100"/>
    <xf numFmtId="313" fontId="12" fillId="0" borderId="7001"/>
    <xf numFmtId="313" fontId="12" fillId="0" borderId="7001"/>
    <xf numFmtId="187" fontId="296" fillId="0" borderId="7347" applyAlignment="1">
      <alignment horizontal="center"/>
    </xf>
    <xf numFmtId="0" fontId="25" fillId="10" borderId="7354" applyAlignment="1">
      <alignment horizontal="left" vertical="top"/>
    </xf>
    <xf numFmtId="187" fontId="250" fillId="0" borderId="7347" applyAlignment="1">
      <alignment horizontal="center"/>
    </xf>
    <xf numFmtId="0" fontId="214" fillId="0" borderId="7353"/>
    <xf numFmtId="4" fontId="226" fillId="77" borderId="7004" applyAlignment="1">
      <alignment horizontal="right" vertical="center"/>
    </xf>
    <xf numFmtId="4" fontId="226" fillId="82" borderId="7004" applyAlignment="1">
      <alignment horizontal="right" vertical="center"/>
    </xf>
    <xf numFmtId="10" fontId="12" fillId="3" borderId="7014" applyProtection="1">
      <protection locked="0" hidden="0"/>
    </xf>
    <xf numFmtId="189" fontId="46" fillId="0" borderId="7347"/>
    <xf numFmtId="314" fontId="214" fillId="0" borderId="7353"/>
    <xf numFmtId="0" fontId="283" fillId="104" borderId="7020"/>
    <xf numFmtId="0" fontId="2" fillId="0" borderId="7352"/>
    <xf numFmtId="314" fontId="2" fillId="0" borderId="7352"/>
    <xf numFmtId="0" fontId="12" fillId="0" borderId="7001"/>
    <xf numFmtId="186" fontId="79" fillId="0" borderId="7346"/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172" fontId="234" fillId="10" borderId="7002"/>
    <xf numFmtId="293" fontId="234" fillId="10" borderId="7002"/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190" fontId="12" fillId="14" borderId="7347" applyAlignment="1">
      <alignment horizontal="right"/>
    </xf>
    <xf numFmtId="0" fontId="241" fillId="95" borderId="7347" applyAlignment="1">
      <alignment horizontal="centerContinuous" vertical="center"/>
    </xf>
    <xf numFmtId="186" fontId="79" fillId="0" borderId="7346"/>
    <xf numFmtId="0" fontId="25" fillId="10" borderId="7356" applyAlignment="1">
      <alignment horizontal="left" vertical="top"/>
    </xf>
    <xf numFmtId="314" fontId="242" fillId="0" borderId="7347" applyAlignment="1">
      <alignment horizontal="center"/>
    </xf>
    <xf numFmtId="314" fontId="165" fillId="0" borderId="7347" applyAlignment="1">
      <alignment horizontal="center"/>
    </xf>
    <xf numFmtId="186" fontId="79" fillId="0" borderId="7346"/>
    <xf numFmtId="0" fontId="25" fillId="10" borderId="7356" applyAlignment="1">
      <alignment horizontal="left" vertical="top"/>
    </xf>
    <xf numFmtId="0" fontId="2" fillId="0" borderId="7352"/>
    <xf numFmtId="0" fontId="166" fillId="0" borderId="7347" applyAlignment="1">
      <alignment horizontal="center"/>
    </xf>
    <xf numFmtId="0" fontId="25" fillId="70" borderId="7002" applyAlignment="1">
      <alignment horizontal="left" vertical="center" wrapText="1"/>
    </xf>
    <xf numFmtId="0" fontId="113" fillId="0" borderId="7347"/>
    <xf numFmtId="0" fontId="113" fillId="0" borderId="7347"/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314" fontId="78" fillId="14" borderId="7349"/>
    <xf numFmtId="0" fontId="12" fillId="0" borderId="7001"/>
    <xf numFmtId="4" fontId="230" fillId="11" borderId="7004" applyAlignment="1">
      <alignment horizontal="right" vertical="center"/>
    </xf>
    <xf numFmtId="185" fontId="146" fillId="3" borderId="7347" applyAlignment="1">
      <alignment horizontal="left" vertical="center"/>
    </xf>
    <xf numFmtId="0" fontId="12" fillId="85" borderId="7004" applyAlignment="1">
      <alignment horizontal="left" vertical="center" indent="1"/>
    </xf>
    <xf numFmtId="0" fontId="12" fillId="0" borderId="7001"/>
    <xf numFmtId="313" fontId="25" fillId="10" borderId="7010" applyAlignment="1">
      <alignment horizontal="left" vertical="top"/>
    </xf>
    <xf numFmtId="0" fontId="12" fillId="0" borderId="7001"/>
    <xf numFmtId="314" fontId="75" fillId="0" borderId="7348"/>
    <xf numFmtId="314" fontId="101" fillId="0" borderId="7347"/>
    <xf numFmtId="187" fontId="296" fillId="0" borderId="7347" applyAlignment="1">
      <alignment horizontal="center"/>
    </xf>
    <xf numFmtId="314" fontId="113" fillId="0" borderId="7347"/>
    <xf numFmtId="314" fontId="242" fillId="0" borderId="7347" applyAlignment="1">
      <alignment horizontal="center"/>
    </xf>
    <xf numFmtId="252" fontId="9" fillId="3" borderId="7347" applyAlignment="1">
      <alignment horizontal="right" vertical="center"/>
    </xf>
    <xf numFmtId="4" fontId="184" fillId="53" borderId="7004" applyAlignment="1">
      <alignment horizontal="right" vertical="center"/>
    </xf>
    <xf numFmtId="0" fontId="2" fillId="0" borderId="7352"/>
    <xf numFmtId="0" fontId="135" fillId="0" borderId="7002"/>
    <xf numFmtId="307" fontId="268" fillId="0" borderId="7019" applyAlignment="1">
      <alignment horizontal="right" wrapText="1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" fillId="0" borderId="7352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101" fillId="0" borderId="7347"/>
    <xf numFmtId="186" fontId="79" fillId="0" borderId="7346"/>
    <xf numFmtId="0" fontId="48" fillId="0" borderId="7001"/>
    <xf numFmtId="313" fontId="75" fillId="0" borderId="7348"/>
    <xf numFmtId="313" fontId="241" fillId="95" borderId="7347" applyAlignment="1">
      <alignment horizontal="centerContinuous" vertical="center"/>
    </xf>
    <xf numFmtId="186" fontId="79" fillId="0" borderId="7346"/>
    <xf numFmtId="0" fontId="48" fillId="0" borderId="7359" applyAlignment="1">
      <alignment horizont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5" fillId="70" borderId="7002" applyAlignment="1">
      <alignment horizontal="left" vertical="center" wrapText="1"/>
    </xf>
    <xf numFmtId="4" fontId="230" fillId="11" borderId="7004" applyAlignment="1">
      <alignment horizontal="right" vertical="center"/>
    </xf>
    <xf numFmtId="4" fontId="227" fillId="53" borderId="7005" applyAlignment="1">
      <alignment horizontal="left" vertical="center" indent="1"/>
    </xf>
    <xf numFmtId="0" fontId="12" fillId="11" borderId="7004" applyAlignment="1">
      <alignment horizontal="left" vertical="top" indent="1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313" fontId="210" fillId="0" borderId="7347" applyProtection="1">
      <protection locked="0" hidden="0"/>
    </xf>
    <xf numFmtId="0" fontId="74" fillId="0" borderId="7359" applyAlignment="1">
      <alignment horizontal="center"/>
    </xf>
    <xf numFmtId="4" fontId="226" fillId="72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25" fillId="10" borderId="7013" applyAlignment="1">
      <alignment horizontal="left" vertical="top"/>
    </xf>
    <xf numFmtId="0" fontId="25" fillId="70" borderId="7002" applyAlignment="1">
      <alignment horizontal="left" vertical="center" wrapText="1"/>
    </xf>
    <xf numFmtId="0" fontId="113" fillId="0" borderId="7347"/>
    <xf numFmtId="293" fontId="234" fillId="10" borderId="7002"/>
    <xf numFmtId="0" fontId="165" fillId="0" borderId="7347" applyAlignment="1">
      <alignment horizontal="center"/>
    </xf>
    <xf numFmtId="0" fontId="78" fillId="14" borderId="7349"/>
    <xf numFmtId="0" fontId="25" fillId="10" borderId="7355" applyAlignment="1">
      <alignment horizontal="left" vertical="top"/>
    </xf>
    <xf numFmtId="0" fontId="214" fillId="0" borderId="7353"/>
    <xf numFmtId="0" fontId="101" fillId="0" borderId="7347"/>
    <xf numFmtId="0" fontId="78" fillId="14" borderId="7349"/>
    <xf numFmtId="313" fontId="165" fillId="0" borderId="7347" applyAlignment="1">
      <alignment horizontal="center"/>
    </xf>
    <xf numFmtId="0" fontId="214" fillId="0" borderId="7353"/>
    <xf numFmtId="10" fontId="12" fillId="3" borderId="7014" applyProtection="1">
      <protection locked="0" hidden="0"/>
    </xf>
    <xf numFmtId="190" fontId="12" fillId="14" borderId="7347" applyAlignment="1">
      <alignment horizontal="right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214" fillId="0" borderId="7353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313" fontId="78" fillId="14" borderId="7349"/>
    <xf numFmtId="0" fontId="25" fillId="10" borderId="7007" applyAlignment="1">
      <alignment horizontal="left"/>
    </xf>
    <xf numFmtId="4" fontId="228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313" fontId="25" fillId="10" borderId="7002" applyAlignment="1">
      <alignment horizontal="center" vertical="top"/>
    </xf>
    <xf numFmtId="313" fontId="75" fillId="0" borderId="7348"/>
    <xf numFmtId="313" fontId="113" fillId="0" borderId="7347"/>
    <xf numFmtId="314" fontId="74" fillId="0" borderId="7359" applyAlignment="1">
      <alignment horizontal="center"/>
    </xf>
    <xf numFmtId="0" fontId="210" fillId="0" borderId="7347" applyProtection="1">
      <protection locked="0" hidden="0"/>
    </xf>
    <xf numFmtId="189" fontId="46" fillId="0" borderId="7347"/>
    <xf numFmtId="314" fontId="159" fillId="0" borderId="7002"/>
    <xf numFmtId="313" fontId="101" fillId="0" borderId="7347"/>
    <xf numFmtId="4" fontId="229" fillId="85" borderId="7005" applyAlignment="1">
      <alignment horizontal="left" vertical="center" indent="1"/>
    </xf>
    <xf numFmtId="314" fontId="241" fillId="95" borderId="7347" applyAlignment="1">
      <alignment horizontal="centerContinuous" vertical="center"/>
    </xf>
    <xf numFmtId="314" fontId="12" fillId="0" borderId="7001"/>
    <xf numFmtId="314" fontId="214" fillId="0" borderId="7353"/>
    <xf numFmtId="314" fontId="25" fillId="10" borderId="7356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0" fontId="113" fillId="0" borderId="7347"/>
    <xf numFmtId="313" fontId="105" fillId="0" borderId="7001"/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101" fillId="0" borderId="7347"/>
    <xf numFmtId="0" fontId="78" fillId="14" borderId="7349"/>
    <xf numFmtId="189" fontId="46" fillId="0" borderId="7347"/>
    <xf numFmtId="313" fontId="12" fillId="53" borderId="7004" applyAlignment="1">
      <alignment horizontal="left" vertical="center" indent="1"/>
    </xf>
    <xf numFmtId="183" fontId="9" fillId="3" borderId="7347" applyAlignment="1">
      <alignment horizontal="right" vertical="center"/>
    </xf>
    <xf numFmtId="0" fontId="75" fillId="0" borderId="7348"/>
    <xf numFmtId="0" fontId="12" fillId="0" borderId="7347" applyAlignment="1">
      <alignment horizontal="center"/>
    </xf>
    <xf numFmtId="0" fontId="159" fillId="68" borderId="7002"/>
    <xf numFmtId="185" fontId="140" fillId="3" borderId="7351" applyAlignment="1">
      <alignment horizontal="center" vertical="center"/>
    </xf>
    <xf numFmtId="0" fontId="159" fillId="68" borderId="7002"/>
    <xf numFmtId="0" fontId="165" fillId="0" borderId="7347" applyAlignment="1">
      <alignment horizontal="center"/>
    </xf>
    <xf numFmtId="313" fontId="25" fillId="10" borderId="7013" applyAlignment="1">
      <alignment horizontal="left" vertical="top"/>
    </xf>
    <xf numFmtId="0" fontId="113" fillId="0" borderId="7347"/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314" fontId="25" fillId="70" borderId="7002" applyAlignment="1">
      <alignment horizontal="left" vertical="center" wrapText="1"/>
    </xf>
    <xf numFmtId="0" fontId="12" fillId="10" borderId="7002"/>
    <xf numFmtId="0" fontId="12" fillId="0" borderId="7001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" fillId="0" borderId="7352"/>
    <xf numFmtId="0" fontId="75" fillId="0" borderId="7348"/>
    <xf numFmtId="186" fontId="79" fillId="0" borderId="7346"/>
    <xf numFmtId="0" fontId="210" fillId="0" borderId="7347" applyProtection="1">
      <protection locked="0" hidden="0"/>
    </xf>
    <xf numFmtId="0" fontId="101" fillId="0" borderId="7347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186" fontId="79" fillId="0" borderId="7346"/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186" fontId="79" fillId="0" borderId="7346"/>
    <xf numFmtId="187" fontId="250" fillId="0" borderId="7347" applyAlignment="1">
      <alignment horizontal="center"/>
    </xf>
    <xf numFmtId="313" fontId="12" fillId="85" borderId="7004" applyAlignment="1">
      <alignment horizontal="left" vertical="top" indent="1"/>
    </xf>
    <xf numFmtId="0" fontId="136" fillId="85" borderId="7004" applyAlignment="1">
      <alignment horizontal="left" vertical="top" indent="1"/>
    </xf>
    <xf numFmtId="185" fontId="146" fillId="3" borderId="7350" applyAlignment="1">
      <alignment horizontal="left"/>
    </xf>
    <xf numFmtId="0" fontId="12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75" fillId="0" borderId="7348"/>
    <xf numFmtId="186" fontId="79" fillId="0" borderId="7346"/>
    <xf numFmtId="172" fontId="234" fillId="3" borderId="7002"/>
    <xf numFmtId="0" fontId="210" fillId="0" borderId="7347" applyProtection="1">
      <protection locked="0" hidden="0"/>
    </xf>
    <xf numFmtId="0" fontId="12" fillId="0" borderId="7347" applyAlignment="1">
      <alignment horizont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113" fillId="0" borderId="7347"/>
    <xf numFmtId="0" fontId="25" fillId="10" borderId="7355" applyAlignment="1">
      <alignment horizontal="left" vertical="top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314" fontId="165" fillId="0" borderId="7347" applyAlignment="1">
      <alignment horizontal="center"/>
    </xf>
    <xf numFmtId="0" fontId="25" fillId="10" borderId="7357" applyAlignment="1">
      <alignment horizontal="left" vertical="top"/>
    </xf>
    <xf numFmtId="314" fontId="25" fillId="10" borderId="7355" applyAlignment="1">
      <alignment horizontal="left" vertical="top"/>
    </xf>
    <xf numFmtId="4" fontId="223" fillId="54" borderId="7004" applyAlignment="1">
      <alignment vertical="center"/>
    </xf>
    <xf numFmtId="0" fontId="74" fillId="0" borderId="7359" applyAlignment="1">
      <alignment horizontal="center"/>
    </xf>
    <xf numFmtId="0" fontId="288" fillId="0" borderId="7022"/>
    <xf numFmtId="187" fontId="249" fillId="0" borderId="7347" applyAlignment="1">
      <alignment horizontal="center"/>
    </xf>
    <xf numFmtId="0" fontId="75" fillId="0" borderId="7348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310" fontId="267" fillId="0" borderId="7019" applyAlignment="1">
      <alignment horizontal="left"/>
    </xf>
    <xf numFmtId="0" fontId="214" fillId="0" borderId="7353"/>
    <xf numFmtId="189" fontId="46" fillId="0" borderId="7347"/>
    <xf numFmtId="0" fontId="288" fillId="0" borderId="7022"/>
    <xf numFmtId="10" fontId="12" fillId="3" borderId="7014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10" fontId="12" fillId="3" borderId="7014" applyProtection="1">
      <protection locked="0" hidden="0"/>
    </xf>
    <xf numFmtId="251" fontId="145" fillId="3" borderId="7359" applyAlignment="1">
      <alignment horizontal="right" vertical="center"/>
    </xf>
    <xf numFmtId="0" fontId="25" fillId="10" borderId="7011" applyAlignment="1">
      <alignment horizontal="left" vertical="top"/>
    </xf>
    <xf numFmtId="252" fontId="9" fillId="3" borderId="7347" applyAlignment="1">
      <alignment horizontal="right" vertical="center"/>
    </xf>
    <xf numFmtId="0" fontId="101" fillId="0" borderId="7347"/>
    <xf numFmtId="187" fontId="249" fillId="0" borderId="7347" applyAlignment="1">
      <alignment horizontal="center"/>
    </xf>
    <xf numFmtId="183" fontId="9" fillId="3" borderId="7347" applyAlignment="1">
      <alignment horizontal="right" vertical="center"/>
    </xf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0" fontId="135" fillId="0" borderId="7002"/>
    <xf numFmtId="0" fontId="75" fillId="0" borderId="7348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0" fontId="159" fillId="0" borderId="7002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0" fontId="184" fillId="0" borderId="7003" applyAlignment="1">
      <alignment horizontal="left" wrapText="1"/>
    </xf>
    <xf numFmtId="0" fontId="12" fillId="0" borderId="7001"/>
    <xf numFmtId="4" fontId="224" fillId="54" borderId="7004" applyAlignment="1">
      <alignment vertical="center"/>
    </xf>
    <xf numFmtId="4" fontId="226" fillId="10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172" fontId="234" fillId="3" borderId="7002"/>
    <xf numFmtId="0" fontId="12" fillId="10" borderId="7002"/>
    <xf numFmtId="0" fontId="25" fillId="10" borderId="7011" applyAlignment="1">
      <alignment horizontal="left" vertical="top"/>
    </xf>
    <xf numFmtId="0" fontId="25" fillId="10" borderId="7013" applyAlignment="1">
      <alignment horizontal="left" vertical="top"/>
    </xf>
    <xf numFmtId="203" fontId="25" fillId="0" borderId="7017" applyAlignment="1">
      <alignment horizontal="center"/>
    </xf>
    <xf numFmtId="0" fontId="135" fillId="0" borderId="7002"/>
    <xf numFmtId="0" fontId="12" fillId="53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0" fontId="136" fillId="85" borderId="7004" applyAlignment="1">
      <alignment horizontal="left" vertical="top" indent="1"/>
    </xf>
    <xf numFmtId="0" fontId="12" fillId="3" borderId="7002"/>
    <xf numFmtId="0" fontId="25" fillId="10" borderId="7007" applyAlignment="1">
      <alignment horizontal="left"/>
    </xf>
    <xf numFmtId="0" fontId="12" fillId="0" borderId="7001"/>
    <xf numFmtId="0" fontId="241" fillId="95" borderId="7347" applyAlignment="1">
      <alignment horizontal="centerContinuous" vertical="center"/>
    </xf>
    <xf numFmtId="0" fontId="12" fillId="10" borderId="7002"/>
    <xf numFmtId="190" fontId="12" fillId="14" borderId="7347" applyAlignment="1">
      <alignment horizontal="right"/>
    </xf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0" fontId="75" fillId="0" borderId="7348"/>
    <xf numFmtId="172" fontId="234" fillId="3" borderId="7002"/>
    <xf numFmtId="0" fontId="135" fillId="0" borderId="7002"/>
    <xf numFmtId="189" fontId="46" fillId="0" borderId="7347"/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313" fontId="12" fillId="0" borderId="7001"/>
    <xf numFmtId="313" fontId="113" fillId="0" borderId="7347"/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78" fillId="14" borderId="7349"/>
    <xf numFmtId="252" fontId="9" fillId="3" borderId="7347" applyAlignment="1">
      <alignment horizontal="right" vertical="center"/>
    </xf>
    <xf numFmtId="0" fontId="113" fillId="0" borderId="7347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313" fontId="184" fillId="0" borderId="7003" applyAlignment="1">
      <alignment horizontal="left" wrapText="1"/>
    </xf>
    <xf numFmtId="0" fontId="241" fillId="95" borderId="7347" applyAlignment="1">
      <alignment horizontal="centerContinuous" vertical="center"/>
    </xf>
    <xf numFmtId="0" fontId="12" fillId="3" borderId="7002"/>
    <xf numFmtId="0" fontId="12" fillId="11" borderId="7004" applyAlignment="1">
      <alignment horizontal="left" vertical="center" indent="1"/>
    </xf>
    <xf numFmtId="313" fontId="12" fillId="3" borderId="7002"/>
    <xf numFmtId="313" fontId="12" fillId="10" borderId="7002"/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0" fontId="12" fillId="3" borderId="7014" applyProtection="1">
      <protection locked="0" hidden="0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252" fontId="9" fillId="3" borderId="7347" applyAlignment="1">
      <alignment horizontal="right" vertical="center"/>
    </xf>
    <xf numFmtId="0" fontId="75" fillId="0" borderId="7348"/>
    <xf numFmtId="190" fontId="12" fillId="14" borderId="7347" applyAlignment="1">
      <alignment horizontal="righ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2" fillId="0" borderId="7352"/>
    <xf numFmtId="4" fontId="184" fillId="11" borderId="7004" applyAlignment="1">
      <alignment horizontal="right" vertical="center"/>
    </xf>
    <xf numFmtId="0" fontId="12" fillId="53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12" fillId="10" borderId="7002"/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1" fontId="74" fillId="0" borderId="7017" applyAlignment="1">
      <alignment horizontal="right"/>
    </xf>
    <xf numFmtId="0" fontId="25" fillId="10" borderId="7009" applyAlignment="1">
      <alignment horizontal="left" vertical="top"/>
    </xf>
    <xf numFmtId="0" fontId="101" fillId="0" borderId="7347"/>
    <xf numFmtId="0" fontId="25" fillId="10" borderId="7007" applyAlignment="1">
      <alignment horizontal="left"/>
    </xf>
    <xf numFmtId="4" fontId="226" fillId="10" borderId="7004" applyAlignment="1">
      <alignment horizontal="right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0" fontId="135" fillId="0" borderId="7002"/>
    <xf numFmtId="203" fontId="25" fillId="0" borderId="7017" applyAlignment="1">
      <alignment horizontal="center"/>
    </xf>
    <xf numFmtId="0" fontId="159" fillId="0" borderId="7002"/>
    <xf numFmtId="186" fontId="79" fillId="0" borderId="7346"/>
    <xf numFmtId="0" fontId="12" fillId="0" borderId="7001"/>
    <xf numFmtId="0" fontId="12" fillId="0" borderId="7001"/>
    <xf numFmtId="4" fontId="226" fillId="81" borderId="7004" applyAlignment="1">
      <alignment horizontal="right" vertical="center"/>
    </xf>
    <xf numFmtId="293" fontId="234" fillId="10" borderId="7002"/>
    <xf numFmtId="10" fontId="12" fillId="3" borderId="7014" applyProtection="1">
      <protection locked="0" hidden="0"/>
    </xf>
    <xf numFmtId="0" fontId="184" fillId="0" borderId="7003" applyAlignment="1">
      <alignment horizontal="left" wrapText="1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313" fontId="2" fillId="0" borderId="7352"/>
    <xf numFmtId="251" fontId="145" fillId="3" borderId="7359" applyAlignment="1">
      <alignment horizontal="right" vertical="center"/>
    </xf>
    <xf numFmtId="0" fontId="241" fillId="95" borderId="7347" applyAlignment="1">
      <alignment horizontal="centerContinuous" vertical="center"/>
    </xf>
    <xf numFmtId="0" fontId="12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" fillId="0" borderId="7352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314" fontId="25" fillId="10" borderId="7354" applyAlignment="1">
      <alignment horizontal="left" vertical="top"/>
    </xf>
    <xf numFmtId="186" fontId="79" fillId="0" borderId="7346"/>
    <xf numFmtId="0" fontId="210" fillId="0" borderId="7347" applyProtection="1">
      <protection locked="0" hidden="0"/>
    </xf>
    <xf numFmtId="0" fontId="25" fillId="10" borderId="7002" applyAlignment="1">
      <alignment horizontal="center" vertical="top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0" fontId="25" fillId="10" borderId="7010" applyAlignment="1">
      <alignment horizontal="left" vertical="top"/>
    </xf>
    <xf numFmtId="314" fontId="75" fillId="0" borderId="7348"/>
    <xf numFmtId="0" fontId="113" fillId="0" borderId="7347"/>
    <xf numFmtId="314" fontId="25" fillId="10" borderId="7357" applyAlignment="1">
      <alignment horizontal="left" vertical="top"/>
    </xf>
    <xf numFmtId="0" fontId="75" fillId="0" borderId="7348"/>
    <xf numFmtId="0" fontId="214" fillId="0" borderId="7353"/>
    <xf numFmtId="0" fontId="25" fillId="10" borderId="7357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6" fontId="79" fillId="0" borderId="7346"/>
    <xf numFmtId="0" fontId="78" fillId="14" borderId="7349"/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4" fontId="227" fillId="53" borderId="7005" applyAlignment="1">
      <alignment horizontal="left" vertical="center" indent="1"/>
    </xf>
    <xf numFmtId="186" fontId="79" fillId="0" borderId="685"/>
    <xf numFmtId="190" fontId="12" fillId="14" borderId="7347" applyAlignment="1">
      <alignment horizontal="right"/>
    </xf>
    <xf numFmtId="0" fontId="2" fillId="0" borderId="7352"/>
    <xf numFmtId="0" fontId="75" fillId="0" borderId="7348"/>
    <xf numFmtId="0" fontId="25" fillId="10" borderId="7355" applyAlignment="1">
      <alignment horizontal="left" vertical="top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6" fontId="79" fillId="0" borderId="7346"/>
    <xf numFmtId="185" fontId="146" fillId="3" borderId="7350" applyAlignment="1">
      <alignment horizontal="left"/>
    </xf>
    <xf numFmtId="186" fontId="79" fillId="0" borderId="7346"/>
    <xf numFmtId="0" fontId="101" fillId="0" borderId="7347"/>
    <xf numFmtId="313" fontId="25" fillId="70" borderId="7002" applyAlignment="1">
      <alignment horizontal="left" vertical="center" wrapText="1"/>
    </xf>
    <xf numFmtId="0" fontId="165" fillId="0" borderId="7347" applyAlignment="1">
      <alignment horizontal="center"/>
    </xf>
    <xf numFmtId="0" fontId="101" fillId="0" borderId="7347"/>
    <xf numFmtId="186" fontId="79" fillId="0" borderId="685"/>
    <xf numFmtId="0" fontId="113" fillId="0" borderId="7347"/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0" fontId="135" fillId="0" borderId="7002"/>
    <xf numFmtId="0" fontId="210" fillId="0" borderId="7347" applyProtection="1">
      <protection locked="0" hidden="0"/>
    </xf>
    <xf numFmtId="189" fontId="46" fillId="0" borderId="7347"/>
    <xf numFmtId="0" fontId="25" fillId="10" borderId="7357" applyAlignment="1">
      <alignment horizontal="left" vertical="top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3" fontId="9" fillId="3" borderId="686" applyAlignment="1">
      <alignment horizontal="right" vertical="center"/>
    </xf>
    <xf numFmtId="0" fontId="79" fillId="3" borderId="686" applyAlignment="1">
      <alignment vertical="center"/>
    </xf>
    <xf numFmtId="251" fontId="144" fillId="3" borderId="686" applyAlignment="1">
      <alignment vertic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0" fontId="214" fillId="0" borderId="7353"/>
    <xf numFmtId="186" fontId="79" fillId="0" borderId="7346"/>
    <xf numFmtId="0" fontId="135" fillId="0" borderId="7002"/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241" fillId="95" borderId="7347" applyAlignment="1">
      <alignment horizontal="centerContinuous" vertical="center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012" applyAlignment="1">
      <alignment horizontal="left" vertical="top"/>
    </xf>
    <xf numFmtId="0" fontId="25" fillId="10" borderId="7002" applyAlignment="1">
      <alignment horizontal="center" vertical="top"/>
    </xf>
    <xf numFmtId="185" fontId="146" fillId="3" borderId="7347" applyAlignment="1">
      <alignment horizontal="left" vertic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12" fillId="0" borderId="7001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83" fontId="9" fillId="3" borderId="7347" applyAlignment="1">
      <alignment horizontal="right" vertical="center"/>
    </xf>
    <xf numFmtId="189" fontId="46" fillId="0" borderId="7347"/>
    <xf numFmtId="0" fontId="165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186" fontId="79" fillId="0" borderId="7346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78" fillId="14" borderId="7349"/>
    <xf numFmtId="0" fontId="75" fillId="0" borderId="7348"/>
    <xf numFmtId="185" fontId="146" fillId="3" borderId="7347" applyAlignment="1">
      <alignment horizontal="left" vertical="center"/>
    </xf>
    <xf numFmtId="0" fontId="101" fillId="0" borderId="7347"/>
    <xf numFmtId="183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189" fontId="46" fillId="0" borderId="7347"/>
    <xf numFmtId="0" fontId="12" fillId="76" borderId="7004" applyAlignment="1">
      <alignment horizontal="left" vertical="center" indent="1"/>
    </xf>
    <xf numFmtId="0" fontId="25" fillId="10" borderId="7357" applyAlignment="1">
      <alignment horizontal="left" vertical="top"/>
    </xf>
    <xf numFmtId="4" fontId="226" fillId="11" borderId="7004" applyAlignment="1">
      <alignment vertical="center"/>
    </xf>
    <xf numFmtId="0" fontId="75" fillId="0" borderId="7348"/>
    <xf numFmtId="314" fontId="25" fillId="10" borderId="7356" applyAlignment="1">
      <alignment horizontal="left" vertical="top"/>
    </xf>
    <xf numFmtId="0" fontId="101" fillId="0" borderId="7347"/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4" fontId="184" fillId="53" borderId="7004" applyAlignment="1">
      <alignment horizontal="right" vertical="center"/>
    </xf>
    <xf numFmtId="185" fontId="140" fillId="3" borderId="7351" applyAlignment="1">
      <alignment horizontal="center" vertical="center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10" fillId="0" borderId="7347" applyProtection="1">
      <protection locked="0" hidden="0"/>
    </xf>
    <xf numFmtId="0" fontId="2" fillId="0" borderId="7352"/>
    <xf numFmtId="0" fontId="276" fillId="55" borderId="7020"/>
    <xf numFmtId="4" fontId="12" fillId="61" borderId="7006"/>
    <xf numFmtId="0" fontId="165" fillId="0" borderId="7347" applyAlignment="1">
      <alignment horizontal="center"/>
    </xf>
    <xf numFmtId="0" fontId="78" fillId="14" borderId="7349"/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0" fontId="113" fillId="0" borderId="7347"/>
    <xf numFmtId="4" fontId="226" fillId="79" borderId="7004" applyAlignment="1">
      <alignment horizontal="right" vertical="center"/>
    </xf>
    <xf numFmtId="10" fontId="12" fillId="61" borderId="7006"/>
    <xf numFmtId="185" fontId="146" fillId="3" borderId="7347" applyAlignment="1">
      <alignment horizontal="left" vertical="center"/>
    </xf>
    <xf numFmtId="186" fontId="79" fillId="0" borderId="7346"/>
    <xf numFmtId="187" fontId="249" fillId="0" borderId="7347" applyAlignment="1">
      <alignment horizontal="center"/>
    </xf>
    <xf numFmtId="314" fontId="12" fillId="0" borderId="7347" applyAlignment="1">
      <alignment horizontal="center"/>
    </xf>
    <xf numFmtId="0" fontId="25" fillId="10" borderId="7355" applyAlignment="1">
      <alignment horizontal="left" vertical="top"/>
    </xf>
    <xf numFmtId="5" fontId="114" fillId="0" borderId="7359"/>
    <xf numFmtId="190" fontId="12" fillId="14" borderId="7347" applyAlignment="1">
      <alignment horizontal="right"/>
    </xf>
    <xf numFmtId="313" fontId="12" fillId="85" borderId="7004" applyAlignment="1">
      <alignment horizontal="left" vertical="top" indent="1"/>
    </xf>
    <xf numFmtId="0" fontId="12" fillId="0" borderId="7001"/>
    <xf numFmtId="186" fontId="79" fillId="0" borderId="7346"/>
    <xf numFmtId="186" fontId="79" fillId="0" borderId="7346"/>
    <xf numFmtId="10" fontId="12" fillId="3" borderId="7014" applyProtection="1">
      <protection locked="0" hidden="0"/>
    </xf>
    <xf numFmtId="0" fontId="46" fillId="0" borderId="7001"/>
    <xf numFmtId="4" fontId="224" fillId="54" borderId="7004" applyAlignment="1">
      <alignment vertical="center"/>
    </xf>
    <xf numFmtId="10" fontId="12" fillId="3" borderId="7014" applyProtection="1">
      <protection locked="0" hidden="0"/>
    </xf>
    <xf numFmtId="186" fontId="79" fillId="0" borderId="7346"/>
    <xf numFmtId="0" fontId="286" fillId="55" borderId="7021"/>
    <xf numFmtId="185" fontId="146" fillId="3" borderId="7347" applyAlignment="1">
      <alignment horizontal="left" vertical="center"/>
    </xf>
    <xf numFmtId="0" fontId="113" fillId="0" borderId="7347"/>
    <xf numFmtId="0" fontId="74" fillId="0" borderId="7359" applyAlignment="1">
      <alignment horizontal="center"/>
    </xf>
    <xf numFmtId="0" fontId="25" fillId="10" borderId="7354" applyAlignment="1">
      <alignment horizontal="left" vertical="top"/>
    </xf>
    <xf numFmtId="0" fontId="241" fillId="95" borderId="7347" applyAlignment="1">
      <alignment horizontal="centerContinuous" vertical="center"/>
    </xf>
    <xf numFmtId="314" fontId="210" fillId="0" borderId="7347" applyProtection="1">
      <protection locked="0" hidden="0"/>
    </xf>
    <xf numFmtId="0" fontId="12" fillId="0" borderId="7001"/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78" fillId="14" borderId="7349"/>
    <xf numFmtId="187" fontId="250" fillId="0" borderId="7347" applyAlignment="1">
      <alignment horizontal="center"/>
    </xf>
    <xf numFmtId="0" fontId="2" fillId="0" borderId="7352"/>
    <xf numFmtId="3" fontId="12" fillId="61" borderId="7006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187" fontId="249" fillId="0" borderId="7347" applyAlignment="1">
      <alignment horizontal="center"/>
    </xf>
    <xf numFmtId="0" fontId="2" fillId="0" borderId="7352"/>
    <xf numFmtId="0" fontId="46" fillId="0" borderId="7001"/>
    <xf numFmtId="0" fontId="12" fillId="0" borderId="7001"/>
    <xf numFmtId="4" fontId="228" fillId="11" borderId="7004" applyAlignment="1">
      <alignment horizontal="right" vertical="center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75" fillId="0" borderId="7348"/>
    <xf numFmtId="0" fontId="113" fillId="0" borderId="7347"/>
    <xf numFmtId="186" fontId="79" fillId="0" borderId="7346"/>
    <xf numFmtId="0" fontId="166" fillId="0" borderId="7347" applyAlignment="1">
      <alignment horizontal="center"/>
    </xf>
    <xf numFmtId="4" fontId="226" fillId="72" borderId="7004" applyAlignment="1">
      <alignment horizontal="right" vertical="center"/>
    </xf>
    <xf numFmtId="0" fontId="165" fillId="0" borderId="7347" applyAlignment="1">
      <alignment horizontal="center"/>
    </xf>
    <xf numFmtId="186" fontId="79" fillId="0" borderId="685"/>
    <xf numFmtId="0" fontId="105" fillId="0" borderId="7001"/>
    <xf numFmtId="0" fontId="101" fillId="0" borderId="7347"/>
    <xf numFmtId="186" fontId="79" fillId="0" borderId="685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013" applyAlignment="1">
      <alignment horizontal="left" vertical="top"/>
    </xf>
    <xf numFmtId="252" fontId="9" fillId="3" borderId="7347" applyAlignment="1">
      <alignment horizontal="right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9" fontId="12" fillId="61" borderId="7006"/>
    <xf numFmtId="0" fontId="12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78" fillId="14" borderId="7349"/>
    <xf numFmtId="188" fontId="240" fillId="0" borderId="7347" applyAlignment="1">
      <alignment horizontal="right" vertical="center"/>
    </xf>
    <xf numFmtId="172" fontId="234" fillId="10" borderId="7002"/>
    <xf numFmtId="185" fontId="146" fillId="3" borderId="7347" applyAlignment="1">
      <alignment horizontal="left" vertical="center"/>
    </xf>
    <xf numFmtId="313" fontId="12" fillId="0" borderId="7001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48" fillId="0" borderId="7359" applyAlignment="1">
      <alignment horizontal="center"/>
    </xf>
    <xf numFmtId="0" fontId="25" fillId="10" borderId="7356" applyAlignment="1">
      <alignment horizontal="left" vertical="top"/>
    </xf>
    <xf numFmtId="0" fontId="214" fillId="0" borderId="7353"/>
    <xf numFmtId="187" fontId="250" fillId="0" borderId="7347" applyAlignment="1">
      <alignment horizontal="center"/>
    </xf>
    <xf numFmtId="1" fontId="154" fillId="66" borderId="7069" applyAlignment="1" applyProtection="1">
      <alignment horizontal="centerContinuous" vertical="center"/>
      <protection locked="0" hidden="0"/>
    </xf>
    <xf numFmtId="185" fontId="146" fillId="3" borderId="7347" applyAlignment="1">
      <alignment horizontal="left" vertical="center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159" fillId="68" borderId="7002"/>
    <xf numFmtId="0" fontId="113" fillId="0" borderId="7347"/>
    <xf numFmtId="0" fontId="101" fillId="0" borderId="7347"/>
    <xf numFmtId="0" fontId="210" fillId="0" borderId="7347" applyProtection="1">
      <protection locked="0" hidden="0"/>
    </xf>
    <xf numFmtId="186" fontId="79" fillId="0" borderId="7346"/>
    <xf numFmtId="314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75" fillId="0" borderId="7348"/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189" fontId="46" fillId="0" borderId="7347"/>
    <xf numFmtId="314" fontId="25" fillId="10" borderId="7355" applyAlignment="1">
      <alignment horizontal="left" vertical="top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314" fontId="12" fillId="85" borderId="7004" applyAlignment="1">
      <alignment horizontal="left" vertical="top" indent="1"/>
    </xf>
    <xf numFmtId="0" fontId="214" fillId="0" borderId="7353"/>
    <xf numFmtId="4" fontId="226" fillId="78" borderId="7004" applyAlignment="1">
      <alignment horizontal="right" vertical="center"/>
    </xf>
    <xf numFmtId="0" fontId="214" fillId="0" borderId="7353"/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01" fillId="0" borderId="7347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186" fontId="79" fillId="0" borderId="7346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5" fontId="140" fillId="3" borderId="7351" applyAlignment="1">
      <alignment horizontal="center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241" fontId="48" fillId="0" borderId="100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13" fillId="0" borderId="7347"/>
    <xf numFmtId="0" fontId="25" fillId="10" borderId="7357" applyAlignment="1">
      <alignment horizontal="left" vertical="top"/>
    </xf>
    <xf numFmtId="0" fontId="75" fillId="0" borderId="7348"/>
    <xf numFmtId="0" fontId="159" fillId="68" borderId="7002"/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2" fillId="85" borderId="7004" applyAlignment="1">
      <alignment horizontal="left" vertical="top" indent="1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314" fontId="12" fillId="0" borderId="7001"/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0" fontId="214" fillId="0" borderId="7353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189" fontId="46" fillId="0" borderId="7347"/>
    <xf numFmtId="0" fontId="78" fillId="14" borderId="7349"/>
    <xf numFmtId="293" fontId="234" fillId="3" borderId="7002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186" fontId="79" fillId="0" borderId="7346"/>
    <xf numFmtId="0" fontId="113" fillId="0" borderId="7347"/>
    <xf numFmtId="0" fontId="75" fillId="0" borderId="7348"/>
    <xf numFmtId="186" fontId="79" fillId="0" borderId="685"/>
    <xf numFmtId="186" fontId="79" fillId="0" borderId="685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313" fontId="12" fillId="11" borderId="7004" applyAlignment="1">
      <alignment horizontal="left" vertical="center" indent="1"/>
    </xf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78" fillId="14" borderId="7349"/>
    <xf numFmtId="185" fontId="146" fillId="3" borderId="7347" applyAlignment="1">
      <alignment horizontal="left" vertical="center"/>
    </xf>
    <xf numFmtId="0" fontId="241" fillId="95" borderId="7347" applyAlignment="1">
      <alignment horizontal="centerContinuous" vertical="center"/>
    </xf>
    <xf numFmtId="313" fontId="241" fillId="95" borderId="7347" applyAlignment="1">
      <alignment horizontal="centerContinuous" vertical="center"/>
    </xf>
    <xf numFmtId="0" fontId="2" fillId="0" borderId="7352"/>
    <xf numFmtId="186" fontId="79" fillId="0" borderId="685"/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14" fillId="0" borderId="7353"/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3" fontId="12" fillId="61" borderId="7006"/>
    <xf numFmtId="313" fontId="184" fillId="0" borderId="7003" applyAlignment="1">
      <alignment horizontal="left" wrapText="1"/>
    </xf>
    <xf numFmtId="0" fontId="25" fillId="10" borderId="7355" applyAlignment="1">
      <alignment horizontal="left" vertical="top"/>
    </xf>
    <xf numFmtId="313" fontId="25" fillId="10" borderId="7355" applyAlignment="1">
      <alignment horizontal="left" vertical="top"/>
    </xf>
    <xf numFmtId="0" fontId="101" fillId="0" borderId="7347"/>
    <xf numFmtId="0" fontId="214" fillId="0" borderId="7353"/>
    <xf numFmtId="0" fontId="101" fillId="0" borderId="7347"/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0" fontId="78" fillId="14" borderId="7349"/>
    <xf numFmtId="0" fontId="214" fillId="0" borderId="7353"/>
    <xf numFmtId="0" fontId="25" fillId="10" borderId="7357" applyAlignment="1">
      <alignment horizontal="left" vertical="top"/>
    </xf>
    <xf numFmtId="0" fontId="210" fillId="0" borderId="7347" applyProtection="1">
      <protection locked="0" hidden="0"/>
    </xf>
    <xf numFmtId="313" fontId="25" fillId="10" borderId="7002" applyAlignment="1">
      <alignment horizontal="center" vertical="top"/>
    </xf>
    <xf numFmtId="186" fontId="79" fillId="0" borderId="7346"/>
    <xf numFmtId="0" fontId="12" fillId="10" borderId="7002"/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113" fillId="0" borderId="7347"/>
    <xf numFmtId="187" fontId="249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313" fontId="12" fillId="85" borderId="7004" applyAlignment="1">
      <alignment horizontal="left" vertical="center" indent="1"/>
    </xf>
    <xf numFmtId="187" fontId="249" fillId="0" borderId="7347" applyAlignment="1">
      <alignment horizontal="center"/>
    </xf>
    <xf numFmtId="314" fontId="75" fillId="0" borderId="7348"/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113" fillId="0" borderId="7347"/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189" fontId="46" fillId="0" borderId="7347"/>
    <xf numFmtId="0" fontId="210" fillId="0" borderId="7347" applyProtection="1">
      <protection locked="0" hidden="0"/>
    </xf>
    <xf numFmtId="0" fontId="25" fillId="10" borderId="7355" applyAlignment="1">
      <alignment horizontal="left" vertical="top"/>
    </xf>
    <xf numFmtId="0" fontId="78" fillId="14" borderId="7349"/>
    <xf numFmtId="186" fontId="79" fillId="0" borderId="685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9" fontId="46" fillId="0" borderId="7347"/>
    <xf numFmtId="252" fontId="9" fillId="3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0" fontId="25" fillId="10" borderId="7010" applyAlignment="1">
      <alignment horizontal="left" vertical="top"/>
    </xf>
    <xf numFmtId="189" fontId="46" fillId="0" borderId="7347"/>
    <xf numFmtId="186" fontId="79" fillId="0" borderId="685"/>
    <xf numFmtId="0" fontId="101" fillId="0" borderId="7347"/>
    <xf numFmtId="186" fontId="79" fillId="0" borderId="685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314" fontId="25" fillId="10" borderId="7013" applyAlignment="1">
      <alignment horizontal="left" vertical="top"/>
    </xf>
    <xf numFmtId="313" fontId="48" fillId="0" borderId="7359" applyAlignment="1">
      <alignment horizontal="center"/>
    </xf>
    <xf numFmtId="0" fontId="75" fillId="0" borderId="7348"/>
    <xf numFmtId="314" fontId="25" fillId="10" borderId="7357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75" fillId="0" borderId="7348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2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0" fontId="241" fillId="95" borderId="7347" applyAlignment="1">
      <alignment horizontal="centerContinuous" vertical="center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313" fontId="25" fillId="10" borderId="7007" applyAlignment="1">
      <alignment horizontal="left"/>
    </xf>
    <xf numFmtId="190" fontId="12" fillId="14" borderId="7347" applyAlignment="1">
      <alignment horizontal="right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113" fillId="0" borderId="7347"/>
    <xf numFmtId="0" fontId="25" fillId="10" borderId="7354" applyAlignment="1">
      <alignment horizontal="left" vertical="top"/>
    </xf>
    <xf numFmtId="185" fontId="48" fillId="3" borderId="7359" applyAlignment="1">
      <alignment vertical="center"/>
    </xf>
    <xf numFmtId="0" fontId="16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105" fillId="0" borderId="7001"/>
    <xf numFmtId="0" fontId="12" fillId="0" borderId="7001"/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0" fontId="241" fillId="95" borderId="7347" applyAlignment="1">
      <alignment horizontal="centerContinuous" vertical="center"/>
    </xf>
    <xf numFmtId="0" fontId="12" fillId="0" borderId="7001"/>
    <xf numFmtId="0" fontId="225" fillId="54" borderId="7004" applyAlignment="1">
      <alignment horizontal="left" vertical="top" indent="1"/>
    </xf>
    <xf numFmtId="0" fontId="12" fillId="0" borderId="7001"/>
    <xf numFmtId="185" fontId="140" fillId="3" borderId="7351" applyAlignment="1">
      <alignment horizontal="center" vertical="center"/>
    </xf>
    <xf numFmtId="314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314" fontId="210" fillId="0" borderId="7347" applyProtection="1">
      <protection locked="0" hidden="0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36" fillId="14" borderId="7004" applyAlignment="1">
      <alignment horizontal="left" vertical="top" indent="1"/>
    </xf>
    <xf numFmtId="186" fontId="79" fillId="0" borderId="7346"/>
    <xf numFmtId="0" fontId="101" fillId="0" borderId="7347"/>
    <xf numFmtId="4" fontId="226" fillId="80" borderId="7004" applyAlignment="1">
      <alignment horizontal="right" vertical="center"/>
    </xf>
    <xf numFmtId="185" fontId="146" fillId="3" borderId="7347" applyAlignment="1">
      <alignment horizontal="left" vertical="center"/>
    </xf>
    <xf numFmtId="0" fontId="2" fillId="0" borderId="7352"/>
    <xf numFmtId="0" fontId="25" fillId="10" borderId="7355" applyAlignment="1">
      <alignment horizontal="left" vertical="top"/>
    </xf>
    <xf numFmtId="189" fontId="46" fillId="0" borderId="7347"/>
    <xf numFmtId="0" fontId="25" fillId="10" borderId="7356" applyAlignment="1">
      <alignment horizontal="left" vertical="top"/>
    </xf>
    <xf numFmtId="187" fontId="296" fillId="0" borderId="7347" applyAlignment="1">
      <alignment horizontal="center"/>
    </xf>
    <xf numFmtId="183" fontId="9" fillId="3" borderId="7347" applyAlignment="1">
      <alignment horizontal="right" vertical="center"/>
    </xf>
    <xf numFmtId="314" fontId="25" fillId="10" borderId="7356" applyAlignment="1">
      <alignment horizontal="left" vertical="top"/>
    </xf>
    <xf numFmtId="190" fontId="12" fillId="14" borderId="7347" applyAlignment="1">
      <alignment horizontal="right"/>
    </xf>
    <xf numFmtId="314" fontId="241" fillId="95" borderId="7347" applyAlignment="1">
      <alignment horizontal="centerContinuous" vertical="center"/>
    </xf>
    <xf numFmtId="252" fontId="9" fillId="3" borderId="7347" applyAlignment="1">
      <alignment horizontal="right" vertical="center"/>
    </xf>
    <xf numFmtId="186" fontId="79" fillId="0" borderId="7346"/>
    <xf numFmtId="0" fontId="166" fillId="0" borderId="7347" applyAlignment="1">
      <alignment horizontal="center"/>
    </xf>
    <xf numFmtId="189" fontId="46" fillId="0" borderId="7347"/>
    <xf numFmtId="314" fontId="12" fillId="0" borderId="7347" applyAlignment="1">
      <alignment horizontal="center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314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314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78" fillId="14" borderId="7349"/>
    <xf numFmtId="185" fontId="146" fillId="3" borderId="7350" applyAlignment="1">
      <alignment horizontal="left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0" fontId="78" fillId="14" borderId="7349"/>
    <xf numFmtId="0" fontId="2" fillId="0" borderId="7352"/>
    <xf numFmtId="0" fontId="78" fillId="14" borderId="7349"/>
    <xf numFmtId="0" fontId="241" fillId="95" borderId="7347" applyAlignment="1">
      <alignment horizontal="centerContinuous" vertical="center"/>
    </xf>
    <xf numFmtId="0" fontId="214" fillId="0" borderId="7353"/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6" fontId="79" fillId="0" borderId="7346"/>
    <xf numFmtId="0" fontId="165" fillId="0" borderId="7347" applyAlignment="1">
      <alignment horizontal="center"/>
    </xf>
    <xf numFmtId="189" fontId="46" fillId="0" borderId="7347"/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6" fontId="79" fillId="0" borderId="7346"/>
    <xf numFmtId="314" fontId="12" fillId="0" borderId="7001"/>
    <xf numFmtId="0" fontId="25" fillId="10" borderId="7354" applyAlignment="1">
      <alignment horizontal="left" vertical="top"/>
    </xf>
    <xf numFmtId="2" fontId="12" fillId="61" borderId="7006"/>
    <xf numFmtId="4" fontId="184" fillId="54" borderId="7004" applyAlignment="1">
      <alignment horizontal="left" vertical="center" indent="1"/>
    </xf>
    <xf numFmtId="0" fontId="184" fillId="0" borderId="7003" applyAlignment="1">
      <alignment horizontal="left" wrapText="1"/>
    </xf>
    <xf numFmtId="10" fontId="12" fillId="61" borderId="700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01" fillId="0" borderId="7347"/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4" fontId="184" fillId="11" borderId="7004" applyAlignment="1">
      <alignment horizontal="right" vertical="center"/>
    </xf>
    <xf numFmtId="313" fontId="113" fillId="0" borderId="7347"/>
    <xf numFmtId="0" fontId="12" fillId="10" borderId="7002"/>
    <xf numFmtId="313" fontId="75" fillId="0" borderId="7348"/>
    <xf numFmtId="0" fontId="78" fillId="14" borderId="7349"/>
    <xf numFmtId="0" fontId="25" fillId="10" borderId="7355" applyAlignment="1">
      <alignment horizontal="left" vertical="top"/>
    </xf>
    <xf numFmtId="313" fontId="135" fillId="0" borderId="7002"/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0" fontId="101" fillId="0" borderId="7347"/>
    <xf numFmtId="183" fontId="9" fillId="3" borderId="7347" applyAlignment="1">
      <alignment horizontal="right" vertical="center"/>
    </xf>
    <xf numFmtId="313" fontId="12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314" fontId="25" fillId="10" borderId="7355" applyAlignment="1">
      <alignment horizontal="left" vertical="top"/>
    </xf>
    <xf numFmtId="0" fontId="12" fillId="11" borderId="7004" applyAlignment="1">
      <alignment horizontal="left" vertical="center" indent="1"/>
    </xf>
    <xf numFmtId="0" fontId="25" fillId="10" borderId="7010" applyAlignment="1">
      <alignment horizontal="left" vertical="top"/>
    </xf>
    <xf numFmtId="313" fontId="78" fillId="14" borderId="7349"/>
    <xf numFmtId="0" fontId="105" fillId="0" borderId="7001"/>
    <xf numFmtId="188" fontId="240" fillId="0" borderId="7347" applyAlignment="1">
      <alignment horizontal="right" vertical="center"/>
    </xf>
    <xf numFmtId="186" fontId="79" fillId="0" borderId="7346"/>
    <xf numFmtId="0" fontId="74" fillId="0" borderId="7359" applyAlignment="1">
      <alignment horizontal="center"/>
    </xf>
    <xf numFmtId="0" fontId="101" fillId="0" borderId="7347"/>
    <xf numFmtId="0" fontId="25" fillId="10" borderId="7356" applyAlignment="1">
      <alignment horizontal="left" vertical="top"/>
    </xf>
    <xf numFmtId="0" fontId="101" fillId="0" borderId="7347"/>
    <xf numFmtId="314" fontId="25" fillId="10" borderId="7002" applyAlignment="1">
      <alignment horizontal="center" vertical="top"/>
    </xf>
    <xf numFmtId="314" fontId="12" fillId="0" borderId="7001"/>
    <xf numFmtId="314" fontId="2" fillId="0" borderId="7352"/>
    <xf numFmtId="252" fontId="9" fillId="3" borderId="7347" applyAlignment="1">
      <alignment horizontal="right" vertical="center"/>
    </xf>
    <xf numFmtId="0" fontId="101" fillId="0" borderId="7347"/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189" fontId="46" fillId="0" borderId="7347"/>
    <xf numFmtId="0" fontId="2" fillId="0" borderId="7352"/>
    <xf numFmtId="313" fontId="25" fillId="10" borderId="7356" applyAlignment="1">
      <alignment horizontal="left" vertical="top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166" fillId="0" borderId="7347" applyAlignment="1">
      <alignment horizontal="center"/>
    </xf>
    <xf numFmtId="0" fontId="12" fillId="11" borderId="7004" applyAlignment="1">
      <alignment horizontal="left" vertical="top" indent="1"/>
    </xf>
    <xf numFmtId="10" fontId="12" fillId="61" borderId="7006"/>
    <xf numFmtId="4" fontId="184" fillId="53" borderId="7004" applyAlignment="1">
      <alignment horizontal="right" vertical="center"/>
    </xf>
    <xf numFmtId="4" fontId="226" fillId="78" borderId="7004" applyAlignment="1">
      <alignment horizontal="right" vertical="center"/>
    </xf>
    <xf numFmtId="1" fontId="74" fillId="0" borderId="7017" applyAlignment="1">
      <alignment horizontal="right"/>
    </xf>
    <xf numFmtId="0" fontId="12" fillId="0" borderId="7001"/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0" fontId="101" fillId="0" borderId="7347"/>
    <xf numFmtId="252" fontId="9" fillId="3" borderId="7347" applyAlignment="1">
      <alignment horizontal="right" vertical="center"/>
    </xf>
    <xf numFmtId="0" fontId="75" fillId="0" borderId="7348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35" fillId="0" borderId="7002"/>
    <xf numFmtId="314" fontId="75" fillId="0" borderId="7348"/>
    <xf numFmtId="187" fontId="296" fillId="0" borderId="7347" applyAlignment="1">
      <alignment horizontal="center"/>
    </xf>
    <xf numFmtId="0" fontId="25" fillId="10" borderId="7008" applyAlignment="1">
      <alignment horizontal="left" vertical="top"/>
    </xf>
    <xf numFmtId="185" fontId="146" fillId="3" borderId="7347" applyAlignment="1">
      <alignment horizontal="left" vertical="center"/>
    </xf>
    <xf numFmtId="0" fontId="75" fillId="0" borderId="7348"/>
    <xf numFmtId="0" fontId="113" fillId="0" borderId="7347"/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185" fontId="140" fillId="3" borderId="7351" applyAlignment="1">
      <alignment horizontal="center" vertical="center"/>
    </xf>
    <xf numFmtId="313" fontId="12" fillId="53" borderId="7004" applyAlignment="1">
      <alignment horizontal="left" vertical="center" indent="1"/>
    </xf>
    <xf numFmtId="4" fontId="226" fillId="72" borderId="7004" applyAlignment="1">
      <alignment horizontal="right" vertical="center"/>
    </xf>
    <xf numFmtId="0" fontId="225" fillId="54" borderId="7004" applyAlignment="1">
      <alignment horizontal="left" vertical="top" indent="1"/>
    </xf>
    <xf numFmtId="0" fontId="25" fillId="10" borderId="7354" applyAlignment="1">
      <alignment horizontal="left" vertical="top"/>
    </xf>
    <xf numFmtId="187" fontId="250" fillId="0" borderId="7347" applyAlignment="1">
      <alignment horizontal="center"/>
    </xf>
    <xf numFmtId="313" fontId="12" fillId="53" borderId="7004" applyAlignment="1">
      <alignment horizontal="left" vertical="top" indent="1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313" fontId="210" fillId="0" borderId="7347" applyProtection="1">
      <protection locked="0" hidden="0"/>
    </xf>
    <xf numFmtId="186" fontId="79" fillId="0" borderId="7346"/>
    <xf numFmtId="189" fontId="46" fillId="0" borderId="7347"/>
    <xf numFmtId="185" fontId="146" fillId="3" borderId="7347" applyAlignment="1">
      <alignment horizontal="left" vertic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313" fontId="2" fillId="0" borderId="7352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186" fontId="79" fillId="0" borderId="7346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313" fontId="12" fillId="76" borderId="7004" applyAlignment="1">
      <alignment horizontal="left" vertical="center" indent="1"/>
    </xf>
    <xf numFmtId="0" fontId="214" fillId="0" borderId="7353"/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313" fontId="214" fillId="0" borderId="7353"/>
    <xf numFmtId="4" fontId="226" fillId="10" borderId="7004" applyAlignment="1">
      <alignment horizontal="right" vertical="center"/>
    </xf>
    <xf numFmtId="293" fontId="234" fillId="3" borderId="7002"/>
    <xf numFmtId="185" fontId="146" fillId="3" borderId="7350" applyAlignment="1">
      <alignment horizontal="left"/>
    </xf>
    <xf numFmtId="252" fontId="9" fillId="3" borderId="7347" applyAlignment="1">
      <alignment horizontal="right" vertical="center"/>
    </xf>
    <xf numFmtId="0" fontId="12" fillId="0" borderId="7001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314" fontId="101" fillId="0" borderId="7347"/>
    <xf numFmtId="0" fontId="25" fillId="10" borderId="7356" applyAlignment="1">
      <alignment horizontal="left" vertical="top"/>
    </xf>
    <xf numFmtId="0" fontId="78" fillId="14" borderId="7349"/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5" fontId="146" fillId="3" borderId="7350" applyAlignment="1">
      <alignment horizontal="left"/>
    </xf>
    <xf numFmtId="0" fontId="166" fillId="0" borderId="7347" applyAlignment="1">
      <alignment horizontal="center"/>
    </xf>
    <xf numFmtId="186" fontId="79" fillId="0" borderId="7346"/>
    <xf numFmtId="189" fontId="46" fillId="0" borderId="7347"/>
    <xf numFmtId="0" fontId="12" fillId="85" borderId="7004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172" fontId="234" fillId="10" borderId="7002"/>
    <xf numFmtId="0" fontId="25" fillId="10" borderId="7008" applyAlignment="1">
      <alignment horizontal="left" vertical="top"/>
    </xf>
    <xf numFmtId="4" fontId="228" fillId="11" borderId="7004" applyAlignment="1">
      <alignment vertical="center"/>
    </xf>
    <xf numFmtId="4" fontId="229" fillId="85" borderId="7005" applyAlignment="1">
      <alignment horizontal="left" vertical="center" indent="1"/>
    </xf>
    <xf numFmtId="0" fontId="12" fillId="10" borderId="7002"/>
    <xf numFmtId="0" fontId="25" fillId="10" borderId="7008" applyAlignment="1">
      <alignment horizontal="left" vertical="top"/>
    </xf>
    <xf numFmtId="10" fontId="12" fillId="3" borderId="7014" applyProtection="1">
      <protection locked="0" hidden="0"/>
    </xf>
    <xf numFmtId="313" fontId="159" fillId="68" borderId="7002"/>
    <xf numFmtId="4" fontId="226" fillId="83" borderId="7004" applyAlignment="1">
      <alignment horizontal="right" vertical="center"/>
    </xf>
    <xf numFmtId="188" fontId="240" fillId="0" borderId="7347" applyAlignment="1">
      <alignment horizontal="right" vertical="center"/>
    </xf>
    <xf numFmtId="186" fontId="79" fillId="0" borderId="7346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313" fontId="25" fillId="10" borderId="7356" applyAlignment="1">
      <alignment horizontal="left" vertical="top"/>
    </xf>
    <xf numFmtId="10" fontId="12" fillId="3" borderId="7014" applyProtection="1">
      <protection locked="0" hidden="0"/>
    </xf>
    <xf numFmtId="313" fontId="25" fillId="10" borderId="7357" applyAlignment="1">
      <alignment horizontal="left" vertical="top"/>
    </xf>
    <xf numFmtId="10" fontId="12" fillId="3" borderId="7014" applyProtection="1">
      <protection locked="0" hidden="0"/>
    </xf>
    <xf numFmtId="313" fontId="135" fillId="0" borderId="7002"/>
    <xf numFmtId="0" fontId="165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313" fontId="241" fillId="95" borderId="7347" applyAlignment="1">
      <alignment horizontal="centerContinuous" vertical="center"/>
    </xf>
    <xf numFmtId="2" fontId="12" fillId="61" borderId="7006"/>
    <xf numFmtId="241" fontId="48" fillId="0" borderId="100"/>
    <xf numFmtId="313" fontId="25" fillId="10" borderId="7007" applyAlignment="1">
      <alignment horizontal="left"/>
    </xf>
    <xf numFmtId="313" fontId="25" fillId="10" borderId="7011" applyAlignment="1">
      <alignment horizontal="left" vertical="top"/>
    </xf>
    <xf numFmtId="313" fontId="12" fillId="0" borderId="7001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75" fillId="0" borderId="7348"/>
    <xf numFmtId="313" fontId="25" fillId="10" borderId="7355" applyAlignment="1">
      <alignment horizontal="left" vertical="top"/>
    </xf>
    <xf numFmtId="0" fontId="101" fillId="0" borderId="7347"/>
    <xf numFmtId="186" fontId="79" fillId="0" borderId="7346"/>
    <xf numFmtId="0" fontId="48" fillId="0" borderId="7359" applyAlignment="1">
      <alignment horizontal="center"/>
    </xf>
    <xf numFmtId="314" fontId="25" fillId="10" borderId="7009" applyAlignment="1">
      <alignment horizontal="left" vertical="top"/>
    </xf>
    <xf numFmtId="314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188" fontId="240" fillId="0" borderId="7347" applyAlignment="1">
      <alignment horizontal="right" vertical="center"/>
    </xf>
    <xf numFmtId="314" fontId="214" fillId="0" borderId="7353"/>
    <xf numFmtId="293" fontId="234" fillId="10" borderId="7002"/>
    <xf numFmtId="0" fontId="12" fillId="10" borderId="7002"/>
    <xf numFmtId="0" fontId="25" fillId="10" borderId="7002" applyAlignment="1">
      <alignment horizontal="center" vertical="top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0" fontId="25" fillId="70" borderId="7002" applyAlignment="1">
      <alignment horizontal="left" vertical="center" wrapText="1"/>
    </xf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186" fontId="79" fillId="0" borderId="7346"/>
    <xf numFmtId="314" fontId="25" fillId="10" borderId="7354" applyAlignment="1">
      <alignment horizontal="left" vertical="top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002" applyAlignment="1">
      <alignment horizontal="center" vertical="top"/>
    </xf>
    <xf numFmtId="307" fontId="268" fillId="0" borderId="7019" applyAlignment="1">
      <alignment horizontal="right" wrapText="1"/>
    </xf>
    <xf numFmtId="313" fontId="25" fillId="10" borderId="7357" applyAlignment="1">
      <alignment horizontal="left" vertical="top"/>
    </xf>
    <xf numFmtId="186" fontId="79" fillId="0" borderId="7346"/>
    <xf numFmtId="0" fontId="78" fillId="14" borderId="7349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8" fillId="14" borderId="7349"/>
    <xf numFmtId="0" fontId="12" fillId="0" borderId="7347" applyAlignment="1">
      <alignment horizontal="center"/>
    </xf>
    <xf numFmtId="0" fontId="12" fillId="0" borderId="7347" applyAlignment="1">
      <alignment horizontal="center"/>
    </xf>
    <xf numFmtId="0" fontId="210" fillId="0" borderId="7347" applyProtection="1">
      <protection locked="0" hidden="0"/>
    </xf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314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9" fontId="46" fillId="0" borderId="7347"/>
    <xf numFmtId="314" fontId="214" fillId="0" borderId="7353"/>
    <xf numFmtId="0" fontId="25" fillId="10" borderId="7355" applyAlignment="1">
      <alignment horizontal="left" vertical="top"/>
    </xf>
    <xf numFmtId="0" fontId="50" fillId="118" borderId="7003"/>
    <xf numFmtId="0" fontId="12" fillId="0" borderId="7347" applyAlignment="1">
      <alignment horizontal="center"/>
    </xf>
    <xf numFmtId="186" fontId="79" fillId="0" borderId="7346"/>
    <xf numFmtId="313" fontId="75" fillId="0" borderId="7348"/>
    <xf numFmtId="0" fontId="214" fillId="0" borderId="7353"/>
    <xf numFmtId="0" fontId="25" fillId="10" borderId="7355" applyAlignment="1">
      <alignment horizontal="left" vertical="top"/>
    </xf>
    <xf numFmtId="0" fontId="75" fillId="0" borderId="7348"/>
    <xf numFmtId="0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186" fontId="79" fillId="0" borderId="7346"/>
    <xf numFmtId="0" fontId="2" fillId="0" borderId="7352"/>
    <xf numFmtId="186" fontId="79" fillId="0" borderId="7346"/>
    <xf numFmtId="185" fontId="146" fillId="3" borderId="7350" applyAlignment="1">
      <alignment horizontal="left"/>
    </xf>
    <xf numFmtId="0" fontId="113" fillId="0" borderId="7347"/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9" fontId="46" fillId="0" borderId="7347"/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0" fontId="25" fillId="10" borderId="7009" applyAlignment="1">
      <alignment horizontal="left" vertical="top"/>
    </xf>
    <xf numFmtId="293" fontId="234" fillId="3" borderId="7002"/>
    <xf numFmtId="4" fontId="12" fillId="61" borderId="7006"/>
    <xf numFmtId="0" fontId="25" fillId="10" borderId="7009" applyAlignment="1">
      <alignment horizontal="left" vertical="top"/>
    </xf>
    <xf numFmtId="0" fontId="2" fillId="0" borderId="7352"/>
    <xf numFmtId="0" fontId="210" fillId="0" borderId="7347" applyProtection="1">
      <protection locked="0" hidden="0"/>
    </xf>
    <xf numFmtId="0" fontId="276" fillId="55" borderId="7020"/>
    <xf numFmtId="185" fontId="140" fillId="3" borderId="7351" applyAlignment="1">
      <alignment horizontal="center" vertical="center"/>
    </xf>
    <xf numFmtId="293" fontId="234" fillId="10" borderId="7002"/>
    <xf numFmtId="314" fontId="101" fillId="0" borderId="7347"/>
    <xf numFmtId="0" fontId="225" fillId="54" borderId="7004" applyAlignment="1">
      <alignment horizontal="left" vertical="top" indent="1"/>
    </xf>
    <xf numFmtId="0" fontId="159" fillId="0" borderId="7002"/>
    <xf numFmtId="0" fontId="214" fillId="0" borderId="7353"/>
    <xf numFmtId="252" fontId="9" fillId="3" borderId="7347" applyAlignment="1">
      <alignment horizontal="right" vertical="center"/>
    </xf>
    <xf numFmtId="0" fontId="214" fillId="0" borderId="7353"/>
    <xf numFmtId="0" fontId="241" fillId="95" borderId="7347" applyAlignment="1">
      <alignment horizontal="centerContinuous" vertical="center"/>
    </xf>
    <xf numFmtId="314" fontId="46" fillId="0" borderId="7001"/>
    <xf numFmtId="0" fontId="12" fillId="53" borderId="7004" applyAlignment="1">
      <alignment horizontal="left" vertical="top" indent="1"/>
    </xf>
    <xf numFmtId="314" fontId="113" fillId="0" borderId="7347"/>
    <xf numFmtId="0" fontId="25" fillId="10" borderId="7012" applyAlignment="1">
      <alignment horizontal="left" vertical="top"/>
    </xf>
    <xf numFmtId="314" fontId="75" fillId="0" borderId="7348"/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214" fillId="0" borderId="7353"/>
    <xf numFmtId="186" fontId="79" fillId="0" borderId="7346"/>
    <xf numFmtId="314" fontId="12" fillId="0" borderId="7347" applyAlignment="1">
      <alignment horizontal="center"/>
    </xf>
    <xf numFmtId="0" fontId="75" fillId="0" borderId="7348"/>
    <xf numFmtId="189" fontId="46" fillId="0" borderId="7347"/>
    <xf numFmtId="187" fontId="249" fillId="0" borderId="7347" applyAlignment="1">
      <alignment horizontal="center"/>
    </xf>
    <xf numFmtId="186" fontId="79" fillId="0" borderId="7346"/>
    <xf numFmtId="4" fontId="228" fillId="11" borderId="7004" applyAlignment="1">
      <alignment horizontal="right" vertical="center"/>
    </xf>
    <xf numFmtId="314" fontId="78" fillId="14" borderId="7349"/>
    <xf numFmtId="251" fontId="145" fillId="3" borderId="7359" applyAlignment="1">
      <alignment horizontal="right" vertical="center"/>
    </xf>
    <xf numFmtId="172" fontId="234" fillId="10" borderId="7002"/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0" fontId="25" fillId="10" borderId="7355" applyAlignment="1">
      <alignment horizontal="left" vertical="top"/>
    </xf>
    <xf numFmtId="0" fontId="241" fillId="95" borderId="7347" applyAlignment="1">
      <alignment horizontal="centerContinuous" vertical="center"/>
    </xf>
    <xf numFmtId="314" fontId="12" fillId="3" borderId="7002"/>
    <xf numFmtId="0" fontId="25" fillId="10" borderId="7002" applyAlignment="1">
      <alignment horizontal="center" vertical="top"/>
    </xf>
    <xf numFmtId="314" fontId="25" fillId="10" borderId="7355" applyAlignment="1">
      <alignment horizontal="left" vertical="top"/>
    </xf>
    <xf numFmtId="314" fontId="241" fillId="95" borderId="7347" applyAlignment="1">
      <alignment horizontal="centerContinuous" vertical="center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14" fillId="0" borderId="7353"/>
    <xf numFmtId="190" fontId="12" fillId="14" borderId="7347" applyAlignment="1">
      <alignment horizontal="right"/>
    </xf>
    <xf numFmtId="189" fontId="46" fillId="0" borderId="7347"/>
    <xf numFmtId="186" fontId="79" fillId="0" borderId="7346"/>
    <xf numFmtId="189" fontId="46" fillId="0" borderId="7347"/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78" fillId="14" borderId="7349"/>
    <xf numFmtId="310" fontId="267" fillId="0" borderId="7019" applyAlignment="1">
      <alignment horizontal="left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4" fontId="226" fillId="79" borderId="7004" applyAlignment="1">
      <alignment horizontal="right" vertical="center"/>
    </xf>
    <xf numFmtId="4" fontId="226" fillId="83" borderId="7004" applyAlignment="1">
      <alignment horizontal="right" vertical="center"/>
    </xf>
    <xf numFmtId="313" fontId="214" fillId="0" borderId="7353"/>
    <xf numFmtId="313" fontId="2" fillId="0" borderId="7352"/>
    <xf numFmtId="0" fontId="48" fillId="0" borderId="7001"/>
    <xf numFmtId="0" fontId="214" fillId="0" borderId="7353"/>
    <xf numFmtId="0" fontId="48" fillId="0" borderId="7359" applyAlignment="1">
      <alignment horizontal="center"/>
    </xf>
    <xf numFmtId="0" fontId="25" fillId="10" borderId="7355" applyAlignment="1">
      <alignment horizontal="left" vertical="top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78" fillId="14" borderId="7349"/>
    <xf numFmtId="313" fontId="166" fillId="0" borderId="7347" applyAlignment="1">
      <alignment horizontal="center"/>
    </xf>
    <xf numFmtId="0" fontId="78" fillId="14" borderId="7349"/>
    <xf numFmtId="10" fontId="12" fillId="3" borderId="7014" applyProtection="1">
      <protection locked="0" hidden="0"/>
    </xf>
    <xf numFmtId="0" fontId="48" fillId="0" borderId="7001"/>
    <xf numFmtId="183" fontId="9" fillId="3" borderId="7347" applyAlignment="1">
      <alignment horizontal="right" vertical="center"/>
    </xf>
    <xf numFmtId="186" fontId="79" fillId="0" borderId="7346"/>
    <xf numFmtId="252" fontId="9" fillId="3" borderId="7347" applyAlignment="1">
      <alignment horizontal="right" vertical="center"/>
    </xf>
    <xf numFmtId="0" fontId="12" fillId="0" borderId="7001"/>
    <xf numFmtId="10" fontId="12" fillId="3" borderId="7014" applyProtection="1">
      <protection locked="0" hidden="0"/>
    </xf>
    <xf numFmtId="0" fontId="25" fillId="10" borderId="7355" applyAlignment="1">
      <alignment horizontal="left" vertical="top"/>
    </xf>
    <xf numFmtId="0" fontId="241" fillId="95" borderId="7347" applyAlignment="1">
      <alignment horizontal="centerContinuous" vertical="center"/>
    </xf>
    <xf numFmtId="314" fontId="25" fillId="10" borderId="7356" applyAlignment="1">
      <alignment horizontal="left" vertical="top"/>
    </xf>
    <xf numFmtId="314" fontId="5" fillId="0" borderId="7017" applyAlignment="1">
      <alignment horizontal="left" vertical="center"/>
    </xf>
    <xf numFmtId="186" fontId="79" fillId="0" borderId="7346"/>
    <xf numFmtId="0" fontId="25" fillId="10" borderId="7355" applyAlignment="1">
      <alignment horizontal="left" vertical="top"/>
    </xf>
    <xf numFmtId="186" fontId="79" fillId="0" borderId="7346"/>
    <xf numFmtId="313" fontId="25" fillId="10" borderId="7012" applyAlignment="1">
      <alignment horizontal="left" vertical="top"/>
    </xf>
    <xf numFmtId="313" fontId="136" fillId="85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293" fontId="234" fillId="3" borderId="7002"/>
    <xf numFmtId="0" fontId="12" fillId="10" borderId="7002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313" fontId="25" fillId="10" borderId="7011" applyAlignment="1">
      <alignment horizontal="left" vertical="top"/>
    </xf>
    <xf numFmtId="314" fontId="210" fillId="0" borderId="7347" applyProtection="1">
      <protection locked="0" hidden="0"/>
    </xf>
    <xf numFmtId="0" fontId="113" fillId="0" borderId="7347"/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0" fontId="241" fillId="95" borderId="7347" applyAlignment="1">
      <alignment horizontal="centerContinuous" vertical="center"/>
    </xf>
    <xf numFmtId="251" fontId="145" fillId="3" borderId="7359" applyAlignment="1">
      <alignment horizontal="right" vertical="center"/>
    </xf>
    <xf numFmtId="314" fontId="2" fillId="0" borderId="7352"/>
    <xf numFmtId="0" fontId="25" fillId="10" borderId="7354" applyAlignment="1">
      <alignment horizontal="left" vertical="top"/>
    </xf>
    <xf numFmtId="186" fontId="79" fillId="0" borderId="7346"/>
    <xf numFmtId="0" fontId="78" fillId="14" borderId="7349"/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314" fontId="214" fillId="0" borderId="7353"/>
    <xf numFmtId="289" fontId="12" fillId="61" borderId="7006"/>
    <xf numFmtId="314" fontId="210" fillId="0" borderId="7347" applyProtection="1">
      <protection locked="0" hidden="0"/>
    </xf>
    <xf numFmtId="0" fontId="283" fillId="104" borderId="7020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313" fontId="78" fillId="14" borderId="7349"/>
    <xf numFmtId="185" fontId="146" fillId="3" borderId="7347" applyAlignment="1">
      <alignment horizontal="left" vertical="center"/>
    </xf>
    <xf numFmtId="313" fontId="46" fillId="0" borderId="7001"/>
    <xf numFmtId="0" fontId="214" fillId="0" borderId="7353"/>
    <xf numFmtId="0" fontId="12" fillId="53" borderId="7004" applyAlignment="1">
      <alignment horizontal="left" vertical="top" indent="1"/>
    </xf>
    <xf numFmtId="0" fontId="25" fillId="10" borderId="7355" applyAlignment="1">
      <alignment horizontal="left" vertical="top"/>
    </xf>
    <xf numFmtId="0" fontId="113" fillId="0" borderId="7347"/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0" fontId="165" fillId="0" borderId="7347" applyAlignment="1">
      <alignment horizontal="center"/>
    </xf>
    <xf numFmtId="0" fontId="101" fillId="0" borderId="7347"/>
    <xf numFmtId="0" fontId="241" fillId="95" borderId="7347" applyAlignment="1">
      <alignment horizontal="centerContinuous" vertical="center"/>
    </xf>
    <xf numFmtId="186" fontId="79" fillId="0" borderId="7346"/>
    <xf numFmtId="0" fontId="25" fillId="10" borderId="7354" applyAlignment="1">
      <alignment horizontal="left" vertical="top"/>
    </xf>
    <xf numFmtId="4" fontId="228" fillId="11" borderId="7004" applyAlignment="1">
      <alignment vertical="center"/>
    </xf>
    <xf numFmtId="9" fontId="12" fillId="61" borderId="7006"/>
    <xf numFmtId="4" fontId="227" fillId="53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12" fillId="10" borderId="7002"/>
    <xf numFmtId="0" fontId="25" fillId="10" borderId="7011" applyAlignment="1">
      <alignment horizontal="left" vertical="top"/>
    </xf>
    <xf numFmtId="0" fontId="12" fillId="0" borderId="7347" applyAlignment="1">
      <alignment horizontal="center"/>
    </xf>
    <xf numFmtId="313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0" fontId="2" fillId="0" borderId="7352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185" fontId="146" fillId="3" borderId="7350" applyAlignment="1">
      <alignment horizontal="left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314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314" fontId="25" fillId="10" borderId="7357" applyAlignment="1">
      <alignment horizontal="left" vertical="top"/>
    </xf>
    <xf numFmtId="313" fontId="101" fillId="0" borderId="7347"/>
    <xf numFmtId="313" fontId="48" fillId="0" borderId="7359" applyAlignment="1">
      <alignment horizontal="center"/>
    </xf>
    <xf numFmtId="313" fontId="135" fillId="0" borderId="7002"/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313" fontId="25" fillId="70" borderId="7002" applyAlignment="1">
      <alignment horizontal="left" vertical="center" wrapText="1"/>
    </xf>
    <xf numFmtId="10" fontId="12" fillId="3" borderId="7014" applyProtection="1">
      <protection locked="0" hidden="0"/>
    </xf>
    <xf numFmtId="314" fontId="241" fillId="95" borderId="7347" applyAlignment="1">
      <alignment horizontal="centerContinuous" vertical="center"/>
    </xf>
    <xf numFmtId="289" fontId="12" fillId="61" borderId="7006"/>
    <xf numFmtId="313" fontId="225" fillId="54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12" fillId="10" borderId="7002"/>
    <xf numFmtId="313" fontId="25" fillId="10" borderId="7009" applyAlignment="1">
      <alignment horizontal="left" vertical="top"/>
    </xf>
    <xf numFmtId="313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313" fontId="12" fillId="10" borderId="7002"/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89" fontId="12" fillId="61" borderId="7006"/>
    <xf numFmtId="9" fontId="12" fillId="61" borderId="7006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4" fontId="224" fillId="54" borderId="7004" applyAlignment="1">
      <alignment vertical="center"/>
    </xf>
    <xf numFmtId="0" fontId="25" fillId="10" borderId="7013" applyAlignment="1">
      <alignment horizontal="left" vertical="top"/>
    </xf>
    <xf numFmtId="0" fontId="25" fillId="10" borderId="7356" applyAlignment="1">
      <alignment horizontal="left" vertical="top"/>
    </xf>
    <xf numFmtId="314" fontId="184" fillId="0" borderId="7003" applyAlignment="1">
      <alignment horizontal="left" wrapText="1"/>
    </xf>
    <xf numFmtId="0" fontId="113" fillId="0" borderId="7347"/>
    <xf numFmtId="189" fontId="46" fillId="0" borderId="7347"/>
    <xf numFmtId="313" fontId="12" fillId="3" borderId="7002"/>
    <xf numFmtId="0" fontId="48" fillId="0" borderId="7001"/>
    <xf numFmtId="0" fontId="2" fillId="0" borderId="7352"/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25" fillId="10" borderId="7012" applyAlignment="1">
      <alignment horizontal="left" vertical="top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214" fillId="0" borderId="7353"/>
    <xf numFmtId="189" fontId="46" fillId="0" borderId="7347"/>
    <xf numFmtId="0" fontId="214" fillId="0" borderId="7353"/>
    <xf numFmtId="185" fontId="146" fillId="3" borderId="7350" applyAlignment="1">
      <alignment horizontal="left"/>
    </xf>
    <xf numFmtId="0" fontId="101" fillId="0" borderId="7347"/>
    <xf numFmtId="185" fontId="146" fillId="3" borderId="7347" applyAlignment="1">
      <alignment horizontal="left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0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79" fillId="3" borderId="686" applyAlignment="1">
      <alignment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166" fillId="0" borderId="7347" applyAlignment="1">
      <alignment horizontal="center"/>
    </xf>
    <xf numFmtId="0" fontId="25" fillId="10" borderId="7354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0" fontId="78" fillId="14" borderId="7349"/>
    <xf numFmtId="252" fontId="9" fillId="3" borderId="7347" applyAlignment="1">
      <alignment horizontal="right" vertical="center"/>
    </xf>
    <xf numFmtId="0" fontId="2" fillId="0" borderId="7352"/>
    <xf numFmtId="313" fontId="12" fillId="76" borderId="7004" applyAlignment="1">
      <alignment horizontal="left" vertical="top" indent="1"/>
    </xf>
    <xf numFmtId="186" fontId="79" fillId="0" borderId="7346"/>
    <xf numFmtId="189" fontId="46" fillId="0" borderId="7347"/>
    <xf numFmtId="0" fontId="25" fillId="10" borderId="7357" applyAlignment="1">
      <alignment horizontal="left" vertical="top"/>
    </xf>
    <xf numFmtId="314" fontId="2" fillId="0" borderId="7352"/>
    <xf numFmtId="0" fontId="78" fillId="14" borderId="7349"/>
    <xf numFmtId="0" fontId="75" fillId="0" borderId="7348"/>
    <xf numFmtId="314" fontId="25" fillId="10" borderId="7357" applyAlignment="1">
      <alignment horizontal="left" vertical="top"/>
    </xf>
    <xf numFmtId="0" fontId="113" fillId="0" borderId="7347"/>
    <xf numFmtId="314" fontId="210" fillId="0" borderId="7347" applyProtection="1">
      <protection locked="0" hidden="0"/>
    </xf>
    <xf numFmtId="10" fontId="12" fillId="3" borderId="7014" applyProtection="1">
      <protection locked="0" hidden="0"/>
    </xf>
    <xf numFmtId="4" fontId="184" fillId="54" borderId="7004" applyAlignment="1">
      <alignment horizontal="left" vertical="center" indent="1"/>
    </xf>
    <xf numFmtId="252" fontId="9" fillId="3" borderId="7347" applyAlignment="1">
      <alignment horizontal="right" vertical="center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0" fontId="101" fillId="0" borderId="7347"/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187" fontId="249" fillId="0" borderId="7347" applyAlignment="1">
      <alignment horizontal="center"/>
    </xf>
    <xf numFmtId="0" fontId="2" fillId="0" borderId="7352"/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314" fontId="48" fillId="0" borderId="7001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187" fontId="249" fillId="0" borderId="7347" applyAlignment="1">
      <alignment horizontal="center"/>
    </xf>
    <xf numFmtId="313" fontId="136" fillId="14" borderId="7004" applyAlignment="1">
      <alignment horizontal="left" vertical="top" indent="1"/>
    </xf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313" fontId="25" fillId="10" borderId="7357" applyAlignment="1">
      <alignment horizontal="left" vertical="top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6" fontId="79" fillId="0" borderId="7346"/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0" fontId="210" fillId="0" borderId="7347" applyProtection="1">
      <protection locked="0" hidden="0"/>
    </xf>
    <xf numFmtId="0" fontId="78" fillId="14" borderId="7349"/>
    <xf numFmtId="0" fontId="165" fillId="0" borderId="7347" applyAlignment="1">
      <alignment horizontal="center"/>
    </xf>
    <xf numFmtId="314" fontId="25" fillId="10" borderId="7357" applyAlignment="1">
      <alignment horizontal="left" vertical="top"/>
    </xf>
    <xf numFmtId="314" fontId="101" fillId="0" borderId="7347"/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314" fontId="113" fillId="0" borderId="7347"/>
    <xf numFmtId="10" fontId="12" fillId="3" borderId="7014" applyProtection="1">
      <protection locked="0" hidden="0"/>
    </xf>
    <xf numFmtId="0" fontId="113" fillId="0" borderId="7347"/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186" fontId="79" fillId="0" borderId="7346"/>
    <xf numFmtId="186" fontId="79" fillId="0" borderId="7346"/>
    <xf numFmtId="0" fontId="166" fillId="0" borderId="7347" applyAlignment="1">
      <alignment horizontal="center"/>
    </xf>
    <xf numFmtId="0" fontId="101" fillId="0" borderId="7347"/>
    <xf numFmtId="0" fontId="12" fillId="0" borderId="7347" applyAlignment="1">
      <alignment horizontal="center"/>
    </xf>
    <xf numFmtId="186" fontId="79" fillId="0" borderId="7346"/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314" fontId="48" fillId="0" borderId="7359" applyAlignment="1">
      <alignment horizontal="center"/>
    </xf>
    <xf numFmtId="10" fontId="12" fillId="3" borderId="7014" applyProtection="1">
      <protection locked="0" hidden="0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13" fillId="0" borderId="7347"/>
    <xf numFmtId="186" fontId="79" fillId="0" borderId="7346"/>
    <xf numFmtId="313" fontId="25" fillId="10" borderId="7008" applyAlignment="1">
      <alignment horizontal="left" vertical="top"/>
    </xf>
    <xf numFmtId="0" fontId="2" fillId="0" borderId="7352"/>
    <xf numFmtId="185" fontId="146" fillId="3" borderId="7350" applyAlignment="1">
      <alignment horizontal="left"/>
    </xf>
    <xf numFmtId="0" fontId="78" fillId="14" borderId="7349"/>
    <xf numFmtId="189" fontId="46" fillId="0" borderId="7347"/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5" fontId="114" fillId="0" borderId="7359"/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186" fontId="79" fillId="0" borderId="7346"/>
    <xf numFmtId="186" fontId="79" fillId="0" borderId="7346"/>
    <xf numFmtId="0" fontId="214" fillId="0" borderId="7353"/>
    <xf numFmtId="0" fontId="25" fillId="10" borderId="7357" applyAlignment="1">
      <alignment horizontal="left" vertical="top"/>
    </xf>
    <xf numFmtId="314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289" fontId="12" fillId="61" borderId="7006"/>
    <xf numFmtId="0" fontId="136" fillId="14" borderId="7004" applyAlignment="1">
      <alignment horizontal="left" vertical="top" indent="1"/>
    </xf>
    <xf numFmtId="4" fontId="226" fillId="78" borderId="7004" applyAlignment="1">
      <alignment horizontal="right" vertical="center"/>
    </xf>
    <xf numFmtId="187" fontId="249" fillId="0" borderId="7347" applyAlignment="1">
      <alignment horizontal="center"/>
    </xf>
    <xf numFmtId="4" fontId="228" fillId="11" borderId="7004" applyAlignment="1">
      <alignment vertical="center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0" fontId="48" fillId="0" borderId="7001"/>
    <xf numFmtId="0" fontId="136" fillId="14" borderId="7004" applyAlignment="1">
      <alignment horizontal="left" vertical="top" indent="1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0" fontId="2" fillId="0" borderId="7352"/>
    <xf numFmtId="185" fontId="140" fillId="3" borderId="7351" applyAlignment="1">
      <alignment horizontal="center" vertical="center"/>
    </xf>
    <xf numFmtId="0" fontId="159" fillId="0" borderId="7002"/>
    <xf numFmtId="0" fontId="12" fillId="76" borderId="7004" applyAlignment="1">
      <alignment horizontal="left" vertical="top" indent="1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0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186" fontId="79" fillId="0" borderId="7346"/>
    <xf numFmtId="314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186" fontId="79" fillId="0" borderId="7346"/>
    <xf numFmtId="4" fontId="12" fillId="61" borderId="7006"/>
    <xf numFmtId="0" fontId="12" fillId="85" borderId="7004" applyAlignment="1">
      <alignment horizontal="left" vertical="center" indent="1"/>
    </xf>
    <xf numFmtId="185" fontId="48" fillId="3" borderId="7359" applyAlignment="1">
      <alignment vertical="center"/>
    </xf>
    <xf numFmtId="0" fontId="101" fillId="0" borderId="7347"/>
    <xf numFmtId="4" fontId="223" fillId="53" borderId="7004" applyAlignment="1">
      <alignment horizontal="left" vertical="center" inden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313" fontId="48" fillId="0" borderId="7001"/>
    <xf numFmtId="0" fontId="214" fillId="0" borderId="7353"/>
    <xf numFmtId="0" fontId="75" fillId="0" borderId="7348"/>
    <xf numFmtId="314" fontId="25" fillId="10" borderId="7010" applyAlignment="1">
      <alignment horizontal="left" vertical="top"/>
    </xf>
    <xf numFmtId="314" fontId="135" fillId="0" borderId="7002"/>
    <xf numFmtId="185" fontId="140" fillId="3" borderId="7351" applyAlignment="1">
      <alignment horizontal="center" vertical="center"/>
    </xf>
    <xf numFmtId="313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3" fontId="25" fillId="10" borderId="7008" applyAlignment="1">
      <alignment horizontal="left" vertical="top"/>
    </xf>
    <xf numFmtId="189" fontId="46" fillId="0" borderId="7347"/>
    <xf numFmtId="0" fontId="12" fillId="0" borderId="7001"/>
    <xf numFmtId="4" fontId="226" fillId="80" borderId="7004" applyAlignment="1">
      <alignment horizontal="right" vertical="center"/>
    </xf>
    <xf numFmtId="189" fontId="46" fillId="0" borderId="7347"/>
    <xf numFmtId="0" fontId="78" fillId="14" borderId="7349"/>
    <xf numFmtId="189" fontId="46" fillId="0" borderId="7347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0" fontId="113" fillId="0" borderId="7347"/>
    <xf numFmtId="0" fontId="78" fillId="14" borderId="7349"/>
    <xf numFmtId="185" fontId="146" fillId="3" borderId="7347" applyAlignment="1">
      <alignment horizontal="left" vertical="center"/>
    </xf>
    <xf numFmtId="314" fontId="105" fillId="0" borderId="7001"/>
    <xf numFmtId="289" fontId="12" fillId="61" borderId="7006"/>
    <xf numFmtId="186" fontId="79" fillId="0" borderId="7346"/>
    <xf numFmtId="0" fontId="101" fillId="0" borderId="7347"/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313" fontId="12" fillId="85" borderId="7004" applyAlignment="1">
      <alignment horizontal="left" vertical="center" indent="1"/>
    </xf>
    <xf numFmtId="190" fontId="12" fillId="14" borderId="7347" applyAlignment="1">
      <alignment horizontal="right"/>
    </xf>
    <xf numFmtId="0" fontId="25" fillId="10" borderId="7011" applyAlignment="1">
      <alignment horizontal="left" vertical="top"/>
    </xf>
    <xf numFmtId="0" fontId="136" fillId="85" borderId="7004" applyAlignment="1">
      <alignment horizontal="left" vertical="top" indent="1"/>
    </xf>
    <xf numFmtId="0" fontId="166" fillId="0" borderId="7347" applyAlignment="1">
      <alignment horizontal="center"/>
    </xf>
    <xf numFmtId="0" fontId="166" fillId="0" borderId="7347" applyAlignment="1">
      <alignment horizontal="center"/>
    </xf>
    <xf numFmtId="0" fontId="276" fillId="55" borderId="7020"/>
    <xf numFmtId="0" fontId="241" fillId="95" borderId="7347" applyAlignment="1">
      <alignment horizontal="centerContinuous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4" fontId="226" fillId="77" borderId="7004" applyAlignment="1">
      <alignment horizontal="right" vertical="center"/>
    </xf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4" fontId="228" fillId="11" borderId="7004" applyAlignment="1">
      <alignment vertical="center"/>
    </xf>
    <xf numFmtId="4" fontId="12" fillId="61" borderId="7006"/>
    <xf numFmtId="0" fontId="12" fillId="11" borderId="7004" applyAlignment="1">
      <alignment horizontal="left" vertical="top" indent="1"/>
    </xf>
    <xf numFmtId="190" fontId="12" fillId="14" borderId="7347" applyAlignment="1">
      <alignment horizontal="right"/>
    </xf>
    <xf numFmtId="4" fontId="226" fillId="82" borderId="7004" applyAlignment="1">
      <alignment horizontal="right" vertical="center"/>
    </xf>
    <xf numFmtId="0" fontId="101" fillId="0" borderId="7347"/>
    <xf numFmtId="0" fontId="12" fillId="10" borderId="7002"/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0" fontId="25" fillId="10" borderId="7009" applyAlignment="1">
      <alignment horizontal="left" vertical="top"/>
    </xf>
    <xf numFmtId="313" fontId="48" fillId="0" borderId="7001"/>
    <xf numFmtId="293" fontId="234" fillId="10" borderId="7002"/>
    <xf numFmtId="313" fontId="159" fillId="68" borderId="7002"/>
    <xf numFmtId="0" fontId="12" fillId="0" borderId="7347" applyAlignment="1">
      <alignment horizontal="center"/>
    </xf>
    <xf numFmtId="314" fontId="242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313" fontId="12" fillId="0" borderId="7001"/>
    <xf numFmtId="0" fontId="113" fillId="0" borderId="7347"/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314" fontId="25" fillId="10" borderId="7354" applyAlignment="1">
      <alignment horizontal="left" vertical="top"/>
    </xf>
    <xf numFmtId="313" fontId="12" fillId="76" borderId="7004" applyAlignment="1">
      <alignment horizontal="left" vertical="center" indent="1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113" fillId="0" borderId="7347"/>
    <xf numFmtId="0" fontId="101" fillId="0" borderId="7347"/>
    <xf numFmtId="190" fontId="12" fillId="14" borderId="7347" applyAlignment="1">
      <alignment horizontal="right"/>
    </xf>
    <xf numFmtId="0" fontId="75" fillId="0" borderId="7348"/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314" fontId="78" fillId="14" borderId="7349"/>
    <xf numFmtId="185" fontId="140" fillId="3" borderId="7351" applyAlignment="1">
      <alignment horizontal="center" vertical="center"/>
    </xf>
    <xf numFmtId="186" fontId="79" fillId="0" borderId="7346"/>
    <xf numFmtId="314" fontId="165" fillId="0" borderId="7347" applyAlignment="1">
      <alignment horizontal="center"/>
    </xf>
    <xf numFmtId="0" fontId="214" fillId="0" borderId="7353"/>
    <xf numFmtId="0" fontId="12" fillId="0" borderId="7001"/>
    <xf numFmtId="0" fontId="12" fillId="53" borderId="7004" applyAlignment="1">
      <alignment horizontal="left" vertical="top" indent="1"/>
    </xf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313" fontId="25" fillId="10" borderId="7356" applyAlignment="1">
      <alignment horizontal="left" vertical="top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5" fillId="0" borderId="7348"/>
    <xf numFmtId="0" fontId="12" fillId="0" borderId="7347" applyAlignment="1">
      <alignment horizontal="center"/>
    </xf>
    <xf numFmtId="0" fontId="113" fillId="0" borderId="7347"/>
    <xf numFmtId="186" fontId="79" fillId="0" borderId="685"/>
    <xf numFmtId="0" fontId="101" fillId="0" borderId="7347"/>
    <xf numFmtId="0" fontId="25" fillId="10" borderId="7354" applyAlignment="1">
      <alignment horizontal="left" vertical="top"/>
    </xf>
    <xf numFmtId="0" fontId="210" fillId="0" borderId="7347" applyProtection="1">
      <protection locked="0" hidden="0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50" fillId="118" borderId="7003"/>
    <xf numFmtId="186" fontId="79" fillId="0" borderId="7346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101" fillId="0" borderId="7347"/>
    <xf numFmtId="172" fontId="234" fillId="10" borderId="7002"/>
    <xf numFmtId="188" fontId="240" fillId="0" borderId="7347" applyAlignment="1">
      <alignment horizontal="right" vertical="center"/>
    </xf>
    <xf numFmtId="0" fontId="2" fillId="0" borderId="7352"/>
    <xf numFmtId="293" fontId="234" fillId="10" borderId="7002"/>
    <xf numFmtId="4" fontId="184" fillId="11" borderId="7004" applyAlignment="1">
      <alignment horizontal="right" vertical="center"/>
    </xf>
    <xf numFmtId="4" fontId="184" fillId="53" borderId="7004" applyAlignment="1">
      <alignment horizontal="right" vertical="center"/>
    </xf>
    <xf numFmtId="5" fontId="114" fillId="0" borderId="7359"/>
    <xf numFmtId="0" fontId="12" fillId="85" borderId="7004" applyAlignment="1">
      <alignment horizontal="left" vertical="top" indent="1"/>
    </xf>
    <xf numFmtId="0" fontId="25" fillId="10" borderId="7007" applyAlignment="1">
      <alignment horizontal="lef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313" fontId="78" fillId="14" borderId="7349"/>
    <xf numFmtId="2" fontId="12" fillId="14" borderId="7016" applyAlignment="1">
      <alignment horizontal="center"/>
    </xf>
    <xf numFmtId="0" fontId="241" fillId="95" borderId="7347" applyAlignment="1">
      <alignment horizontal="centerContinuous" vertical="center"/>
    </xf>
    <xf numFmtId="313" fontId="74" fillId="0" borderId="7359" applyAlignment="1">
      <alignment horizontal="center"/>
    </xf>
    <xf numFmtId="190" fontId="12" fillId="14" borderId="7347" applyAlignment="1">
      <alignment horizontal="right"/>
    </xf>
    <xf numFmtId="0" fontId="75" fillId="0" borderId="7348"/>
    <xf numFmtId="10" fontId="12" fillId="3" borderId="7014" applyProtection="1">
      <protection locked="0" hidden="0"/>
    </xf>
    <xf numFmtId="0" fontId="78" fillId="14" borderId="7349"/>
    <xf numFmtId="252" fontId="9" fillId="3" borderId="7347" applyAlignment="1">
      <alignment horizontal="right" vertical="center"/>
    </xf>
    <xf numFmtId="313" fontId="25" fillId="10" borderId="7002" applyAlignment="1">
      <alignment horizontal="center" vertical="top"/>
    </xf>
    <xf numFmtId="0" fontId="12" fillId="10" borderId="7002"/>
    <xf numFmtId="4" fontId="223" fillId="53" borderId="7004" applyAlignment="1">
      <alignment horizontal="left" vertical="center" indent="1"/>
    </xf>
    <xf numFmtId="0" fontId="25" fillId="10" borderId="7008" applyAlignment="1">
      <alignment horizontal="left" vertical="top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25" fillId="10" borderId="7010" applyAlignment="1">
      <alignment horizontal="left" vertical="top"/>
    </xf>
    <xf numFmtId="0" fontId="12" fillId="11" borderId="7004" applyAlignment="1">
      <alignment horizontal="left" vertical="center" indent="1"/>
    </xf>
    <xf numFmtId="4" fontId="223" fillId="54" borderId="7004" applyAlignment="1">
      <alignment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5" fontId="114" fillId="0" borderId="7359"/>
    <xf numFmtId="186" fontId="79" fillId="0" borderId="7346"/>
    <xf numFmtId="0" fontId="48" fillId="0" borderId="7001"/>
    <xf numFmtId="183" fontId="9" fillId="3" borderId="7347" applyAlignment="1">
      <alignment horizontal="right" vertical="center"/>
    </xf>
    <xf numFmtId="314" fontId="12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" fontId="12" fillId="61" borderId="7006"/>
    <xf numFmtId="0" fontId="12" fillId="0" borderId="7347" applyAlignment="1">
      <alignment horizontal="center"/>
    </xf>
    <xf numFmtId="189" fontId="46" fillId="0" borderId="7347"/>
    <xf numFmtId="0" fontId="113" fillId="0" borderId="7347"/>
    <xf numFmtId="186" fontId="79" fillId="0" borderId="7346"/>
    <xf numFmtId="313" fontId="25" fillId="10" borderId="7356" applyAlignment="1">
      <alignment horizontal="left" vertical="top"/>
    </xf>
    <xf numFmtId="313" fontId="214" fillId="0" borderId="7353"/>
    <xf numFmtId="0" fontId="25" fillId="10" borderId="7002" applyAlignment="1">
      <alignment horizontal="center" vertical="top"/>
    </xf>
    <xf numFmtId="186" fontId="79" fillId="0" borderId="685"/>
    <xf numFmtId="0" fontId="101" fillId="0" borderId="7347"/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0" fontId="12" fillId="3" borderId="7014" applyProtection="1">
      <protection locked="0" hidden="0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685"/>
    <xf numFmtId="0" fontId="101" fillId="0" borderId="7347"/>
    <xf numFmtId="0" fontId="165" fillId="0" borderId="7347" applyAlignment="1">
      <alignment horizontal="center"/>
    </xf>
    <xf numFmtId="0" fontId="12" fillId="0" borderId="7347" applyAlignment="1">
      <alignment horizontal="center"/>
    </xf>
    <xf numFmtId="314" fontId="214" fillId="0" borderId="7353"/>
    <xf numFmtId="314" fontId="2" fillId="0" borderId="7352"/>
    <xf numFmtId="314" fontId="210" fillId="0" borderId="7347" applyProtection="1">
      <protection locked="0" hidden="0"/>
    </xf>
    <xf numFmtId="314" fontId="165" fillId="0" borderId="7347" applyAlignment="1">
      <alignment horizontal="center"/>
    </xf>
    <xf numFmtId="314" fontId="12" fillId="0" borderId="7347" applyAlignment="1">
      <alignment horizontal="center"/>
    </xf>
    <xf numFmtId="314" fontId="113" fillId="0" borderId="7347"/>
    <xf numFmtId="0" fontId="25" fillId="10" borderId="7355" applyAlignment="1">
      <alignment horizontal="left" vertical="top"/>
    </xf>
    <xf numFmtId="189" fontId="46" fillId="0" borderId="7347"/>
    <xf numFmtId="0" fontId="113" fillId="0" borderId="7347"/>
    <xf numFmtId="186" fontId="79" fillId="0" borderId="7346"/>
    <xf numFmtId="0" fontId="101" fillId="0" borderId="7347"/>
    <xf numFmtId="313" fontId="25" fillId="10" borderId="7357" applyAlignment="1">
      <alignment horizontal="left" vertical="top"/>
    </xf>
    <xf numFmtId="313" fontId="2" fillId="0" borderId="7352"/>
    <xf numFmtId="188" fontId="240" fillId="0" borderId="7347" applyAlignment="1">
      <alignment horizontal="right" vertical="center"/>
    </xf>
    <xf numFmtId="313" fontId="166" fillId="0" borderId="7347" applyAlignment="1">
      <alignment horizontal="center"/>
    </xf>
    <xf numFmtId="313" fontId="113" fillId="0" borderId="7347"/>
    <xf numFmtId="313" fontId="101" fillId="0" borderId="7347"/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189" fontId="46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78" fillId="14" borderId="7349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78" fillId="14" borderId="7349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101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0" fontId="78" fillId="14" borderId="7349"/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5" fontId="146" fillId="3" borderId="7350" applyAlignment="1">
      <alignment horizontal="left"/>
    </xf>
    <xf numFmtId="0" fontId="75" fillId="0" borderId="7348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0" fontId="2" fillId="0" borderId="7352"/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0" fontId="12" fillId="0" borderId="7001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86" fontId="79" fillId="0" borderId="7346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183" fontId="9" fillId="3" borderId="50" applyAlignment="1">
      <alignment horizontal="right" vertical="center"/>
    </xf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0" fontId="25" fillId="10" borderId="7354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313" fontId="12" fillId="11" borderId="7004" applyAlignment="1">
      <alignment horizontal="left" vertical="top" indent="1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314" fontId="101" fillId="0" borderId="7347"/>
    <xf numFmtId="0" fontId="75" fillId="0" borderId="7348"/>
    <xf numFmtId="0" fontId="75" fillId="0" borderId="7348"/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41" fontId="48" fillId="0" borderId="100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313" fontId="101" fillId="0" borderId="7347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3" fontId="113" fillId="0" borderId="7347"/>
    <xf numFmtId="313" fontId="75" fillId="0" borderId="7348"/>
    <xf numFmtId="313" fontId="241" fillId="95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313" fontId="75" fillId="0" borderId="7348"/>
    <xf numFmtId="313" fontId="78" fillId="14" borderId="7349"/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251" fontId="144" fillId="3" borderId="50" applyAlignment="1">
      <alignment vertic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01" fillId="0" borderId="7347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314" fontId="75" fillId="0" borderId="7348"/>
    <xf numFmtId="314" fontId="101" fillId="0" borderId="7347"/>
    <xf numFmtId="0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314" fontId="113" fillId="0" borderId="7347"/>
    <xf numFmtId="314" fontId="75" fillId="0" borderId="7348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79" fillId="3" borderId="50" applyAlignment="1">
      <alignment vertical="center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5" borderId="7347" applyAlignment="1">
      <alignment horizontal="centerContinuous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0" fontId="101" fillId="0" borderId="7347"/>
    <xf numFmtId="313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9" fontId="50" fillId="0" borderId="0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113" fillId="0" borderId="7347"/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314" fontId="242" fillId="0" borderId="7347" applyAlignment="1">
      <alignment horizontal="center"/>
    </xf>
    <xf numFmtId="313" fontId="165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79" fillId="3" borderId="50" applyAlignment="1">
      <alignment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189" fontId="46" fillId="0" borderId="7347"/>
    <xf numFmtId="187" fontId="249" fillId="0" borderId="7347" applyAlignment="1">
      <alignment horizontal="center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189" fontId="46" fillId="0" borderId="7347"/>
    <xf numFmtId="0" fontId="78" fillId="14" borderId="7349"/>
    <xf numFmtId="0" fontId="241" fillId="95" borderId="7347" applyAlignment="1">
      <alignment horizontal="centerContinuous" vertical="center"/>
    </xf>
    <xf numFmtId="314" fontId="12" fillId="0" borderId="7001"/>
    <xf numFmtId="0" fontId="12" fillId="76" borderId="7004" applyAlignment="1">
      <alignment horizontal="left" vertical="top" indent="1"/>
    </xf>
    <xf numFmtId="189" fontId="46" fillId="0" borderId="7347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" fillId="0" borderId="7352"/>
    <xf numFmtId="0" fontId="25" fillId="10" borderId="7012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78" fillId="14" borderId="7349"/>
    <xf numFmtId="0" fontId="25" fillId="10" borderId="7011" applyAlignment="1">
      <alignment horizontal="left" vertical="top"/>
    </xf>
    <xf numFmtId="0" fontId="75" fillId="0" borderId="7348"/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313" fontId="12" fillId="0" borderId="7001"/>
    <xf numFmtId="0" fontId="25" fillId="10" borderId="7355" applyAlignment="1">
      <alignment horizontal="left" vertical="top"/>
    </xf>
    <xf numFmtId="313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0" fontId="166" fillId="0" borderId="7347" applyAlignment="1">
      <alignment horizontal="center"/>
    </xf>
    <xf numFmtId="313" fontId="136" fillId="85" borderId="7004" applyAlignment="1">
      <alignment horizontal="left" vertical="top" indent="1"/>
    </xf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203" fontId="25" fillId="0" borderId="7017" applyAlignment="1">
      <alignment horizontal="center"/>
    </xf>
    <xf numFmtId="0" fontId="101" fillId="0" borderId="7347"/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0" fontId="210" fillId="0" borderId="7347" applyProtection="1">
      <protection locked="0" hidden="0"/>
    </xf>
    <xf numFmtId="313" fontId="101" fillId="0" borderId="7347"/>
    <xf numFmtId="183" fontId="9" fillId="3" borderId="7347" applyAlignment="1">
      <alignment horizontal="right" vertical="center"/>
    </xf>
    <xf numFmtId="0" fontId="135" fillId="0" borderId="7002"/>
    <xf numFmtId="0" fontId="12" fillId="85" borderId="7004" applyAlignment="1">
      <alignment horizontal="left" vertical="top" indent="1"/>
    </xf>
    <xf numFmtId="172" fontId="234" fillId="3" borderId="7002"/>
    <xf numFmtId="0" fontId="75" fillId="0" borderId="7348"/>
    <xf numFmtId="0" fontId="25" fillId="10" borderId="7357" applyAlignment="1">
      <alignment horizontal="left" vertical="top"/>
    </xf>
    <xf numFmtId="293" fontId="234" fillId="3" borderId="7002"/>
    <xf numFmtId="0" fontId="12" fillId="0" borderId="7347" applyAlignment="1">
      <alignment horizontal="center"/>
    </xf>
    <xf numFmtId="186" fontId="79" fillId="0" borderId="7346"/>
    <xf numFmtId="0" fontId="241" fillId="95" borderId="7347" applyAlignment="1">
      <alignment horizontal="centerContinuous" vertical="center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313" fontId="12" fillId="0" borderId="7347" applyAlignment="1">
      <alignment horizontal="center"/>
    </xf>
    <xf numFmtId="190" fontId="12" fillId="14" borderId="7347" applyAlignment="1">
      <alignment horizontal="right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53" borderId="7004" applyAlignment="1">
      <alignment horizontal="left" vertical="center" indent="1"/>
    </xf>
    <xf numFmtId="0" fontId="101" fillId="0" borderId="7347"/>
    <xf numFmtId="0" fontId="286" fillId="55" borderId="7021"/>
    <xf numFmtId="0" fontId="25" fillId="70" borderId="7002" applyAlignment="1">
      <alignment horizontal="left" vertical="center" wrapText="1"/>
    </xf>
    <xf numFmtId="0" fontId="135" fillId="0" borderId="7002"/>
    <xf numFmtId="0" fontId="25" fillId="10" borderId="7355" applyAlignment="1">
      <alignment horizontal="left" vertical="top"/>
    </xf>
    <xf numFmtId="314" fontId="113" fillId="0" borderId="7347"/>
    <xf numFmtId="185" fontId="140" fillId="3" borderId="7351" applyAlignment="1">
      <alignment horizontal="center" vertical="center"/>
    </xf>
    <xf numFmtId="4" fontId="223" fillId="54" borderId="7004" applyAlignment="1">
      <alignment vertical="center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9" fontId="46" fillId="0" borderId="7347"/>
    <xf numFmtId="187" fontId="250" fillId="0" borderId="7347" applyAlignment="1">
      <alignment horizontal="center"/>
    </xf>
    <xf numFmtId="0" fontId="214" fillId="0" borderId="7353"/>
    <xf numFmtId="313" fontId="2" fillId="0" borderId="7352"/>
    <xf numFmtId="0" fontId="78" fillId="14" borderId="7349"/>
    <xf numFmtId="0" fontId="12" fillId="3" borderId="7002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46" fillId="0" borderId="7001"/>
    <xf numFmtId="10" fontId="12" fillId="3" borderId="7014" applyProtection="1">
      <protection locked="0" hidden="0"/>
    </xf>
    <xf numFmtId="0" fontId="25" fillId="10" borderId="7010" applyAlignment="1">
      <alignment horizontal="left" vertical="top"/>
    </xf>
    <xf numFmtId="4" fontId="223" fillId="53" borderId="7004" applyAlignment="1">
      <alignment horizontal="left" vertical="center" indent="1"/>
    </xf>
    <xf numFmtId="0" fontId="12" fillId="0" borderId="7001"/>
    <xf numFmtId="203" fontId="25" fillId="0" borderId="7017" applyAlignment="1">
      <alignment horizontal="center"/>
    </xf>
    <xf numFmtId="4" fontId="184" fillId="54" borderId="7004" applyAlignment="1">
      <alignment horizontal="left" vertical="center" indent="1"/>
    </xf>
    <xf numFmtId="0" fontId="12" fillId="0" borderId="7001"/>
    <xf numFmtId="189" fontId="46" fillId="0" borderId="7347"/>
    <xf numFmtId="0" fontId="25" fillId="10" borderId="7357" applyAlignment="1">
      <alignment horizontal="left" vertical="top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" fontId="154" fillId="66" borderId="7069" applyAlignment="1" applyProtection="1">
      <alignment horizontal="centerContinuous" vertical="center"/>
      <protection locked="0" hidden="0"/>
    </xf>
    <xf numFmtId="5" fontId="114" fillId="0" borderId="7359"/>
    <xf numFmtId="0" fontId="25" fillId="10" borderId="7357" applyAlignment="1">
      <alignment horizontal="left" vertical="top"/>
    </xf>
    <xf numFmtId="0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10" fontId="12" fillId="3" borderId="7014" applyProtection="1">
      <protection locked="0" hidden="0"/>
    </xf>
    <xf numFmtId="4" fontId="223" fillId="54" borderId="7004" applyAlignment="1">
      <alignment vertical="center"/>
    </xf>
    <xf numFmtId="314" fontId="12" fillId="53" borderId="7004" applyAlignment="1">
      <alignment horizontal="left" vertical="center" indent="1"/>
    </xf>
    <xf numFmtId="185" fontId="146" fillId="3" borderId="7347" applyAlignment="1">
      <alignment horizontal="left" vertical="center"/>
    </xf>
    <xf numFmtId="0" fontId="101" fillId="0" borderId="7347"/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186" fontId="79" fillId="0" borderId="7346"/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01" fillId="0" borderId="7347"/>
    <xf numFmtId="185" fontId="140" fillId="3" borderId="7351" applyAlignment="1">
      <alignment horizontal="center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214" fillId="0" borderId="7353"/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314" fontId="12" fillId="11" borderId="7004" applyAlignment="1">
      <alignment horizontal="left" vertical="top" indent="1"/>
    </xf>
    <xf numFmtId="251" fontId="145" fillId="3" borderId="7359" applyAlignment="1">
      <alignment horizontal="right" vertical="center"/>
    </xf>
    <xf numFmtId="0" fontId="46" fillId="0" borderId="7001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001"/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214" fillId="0" borderId="7353"/>
    <xf numFmtId="185" fontId="146" fillId="3" borderId="7347" applyAlignment="1">
      <alignment horizontal="left" vertical="center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4" fontId="184" fillId="11" borderId="7004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187" fontId="250" fillId="0" borderId="7347" applyAlignment="1">
      <alignment horizontal="center"/>
    </xf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313" fontId="12" fillId="76" borderId="7004" applyAlignment="1">
      <alignment horizontal="left" vertical="top" indent="1"/>
    </xf>
    <xf numFmtId="186" fontId="79" fillId="0" borderId="7346"/>
    <xf numFmtId="0" fontId="101" fillId="0" borderId="7347"/>
    <xf numFmtId="0" fontId="2" fillId="0" borderId="7352"/>
    <xf numFmtId="0" fontId="78" fillId="14" borderId="7349"/>
    <xf numFmtId="203" fontId="25" fillId="0" borderId="7017" applyAlignment="1">
      <alignment horizontal="center"/>
    </xf>
    <xf numFmtId="186" fontId="79" fillId="0" borderId="7346"/>
    <xf numFmtId="0" fontId="2" fillId="0" borderId="7352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25" fillId="54" borderId="7004" applyAlignment="1">
      <alignment horizontal="left" vertical="top" indent="1"/>
    </xf>
    <xf numFmtId="0" fontId="210" fillId="0" borderId="7347" applyProtection="1">
      <protection locked="0" hidden="0"/>
    </xf>
    <xf numFmtId="0" fontId="75" fillId="0" borderId="7348"/>
    <xf numFmtId="0" fontId="210" fillId="0" borderId="7347" applyProtection="1">
      <protection locked="0" hidden="0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0" fontId="101" fillId="0" borderId="7347"/>
    <xf numFmtId="189" fontId="46" fillId="0" borderId="7347"/>
    <xf numFmtId="0" fontId="136" fillId="14" borderId="7004" applyAlignment="1">
      <alignment horizontal="left" vertical="top" indent="1"/>
    </xf>
    <xf numFmtId="0" fontId="241" fillId="95" borderId="7347" applyAlignment="1">
      <alignment horizontal="centerContinuous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5" fontId="140" fillId="3" borderId="7351" applyAlignment="1">
      <alignment horizontal="center" vertical="center"/>
    </xf>
    <xf numFmtId="10" fontId="12" fillId="3" borderId="7014" applyProtection="1">
      <protection locked="0" hidden="0"/>
    </xf>
    <xf numFmtId="186" fontId="79" fillId="0" borderId="7346"/>
    <xf numFmtId="0" fontId="12" fillId="0" borderId="7001"/>
    <xf numFmtId="0" fontId="210" fillId="0" borderId="7347" applyProtection="1">
      <protection locked="0" hidden="0"/>
    </xf>
    <xf numFmtId="189" fontId="46" fillId="0" borderId="7347"/>
    <xf numFmtId="0" fontId="283" fillId="104" borderId="7020"/>
    <xf numFmtId="313" fontId="166" fillId="0" borderId="7347" applyAlignment="1">
      <alignment horizontal="center"/>
    </xf>
    <xf numFmtId="0" fontId="165" fillId="0" borderId="7347" applyAlignment="1">
      <alignment horizontal="center"/>
    </xf>
    <xf numFmtId="4" fontId="226" fillId="77" borderId="7004" applyAlignment="1">
      <alignment horizontal="right" vertical="center"/>
    </xf>
    <xf numFmtId="0" fontId="12" fillId="0" borderId="7001"/>
    <xf numFmtId="186" fontId="79" fillId="0" borderId="7346"/>
    <xf numFmtId="0" fontId="210" fillId="0" borderId="7347" applyProtection="1">
      <protection locked="0" hidden="0"/>
    </xf>
    <xf numFmtId="313" fontId="25" fillId="10" borderId="7010" applyAlignment="1">
      <alignment horizontal="left" vertical="top"/>
    </xf>
    <xf numFmtId="190" fontId="12" fillId="14" borderId="7347" applyAlignment="1">
      <alignment horizontal="right"/>
    </xf>
    <xf numFmtId="0" fontId="113" fillId="0" borderId="7347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5" fontId="146" fillId="3" borderId="7347" applyAlignment="1">
      <alignment horizontal="left"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186" fontId="79" fillId="0" borderId="7346"/>
    <xf numFmtId="0" fontId="101" fillId="0" borderId="7347"/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4" fontId="101" fillId="0" borderId="7347"/>
    <xf numFmtId="188" fontId="240" fillId="0" borderId="7347" applyAlignment="1">
      <alignment horizontal="right" vertical="center"/>
    </xf>
    <xf numFmtId="314" fontId="165" fillId="0" borderId="7347" applyAlignment="1">
      <alignment horizontal="center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314" fontId="25" fillId="10" borderId="7355" applyAlignment="1">
      <alignment horizontal="left" vertical="top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0" fontId="241" fillId="95" borderId="7347" applyAlignment="1">
      <alignment horizontal="centerContinuous" vertical="center"/>
    </xf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0" fontId="101" fillId="0" borderId="7347"/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252" fontId="9" fillId="3" borderId="7347" applyAlignment="1">
      <alignment horizontal="righ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0" fontId="25" fillId="10" borderId="7357" applyAlignment="1">
      <alignment horizontal="left" vertical="top"/>
    </xf>
    <xf numFmtId="0" fontId="113" fillId="0" borderId="7347"/>
    <xf numFmtId="0" fontId="12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0" fontId="225" fillId="54" borderId="7004" applyAlignment="1">
      <alignment horizontal="left" vertical="top" indent="1"/>
    </xf>
    <xf numFmtId="0" fontId="2" fillId="0" borderId="7352"/>
    <xf numFmtId="188" fontId="240" fillId="0" borderId="7347" applyAlignment="1">
      <alignment horizontal="right" vertical="center"/>
    </xf>
    <xf numFmtId="313" fontId="225" fillId="54" borderId="7004" applyAlignment="1">
      <alignment horizontal="left" vertical="top" indent="1"/>
    </xf>
    <xf numFmtId="0" fontId="113" fillId="0" borderId="7347"/>
    <xf numFmtId="0" fontId="241" fillId="95" borderId="7347" applyAlignment="1">
      <alignment horizontal="centerContinuous" vertical="center"/>
    </xf>
    <xf numFmtId="0" fontId="113" fillId="0" borderId="7347"/>
    <xf numFmtId="0" fontId="25" fillId="10" borderId="7356" applyAlignment="1">
      <alignment horizontal="left" vertical="top"/>
    </xf>
    <xf numFmtId="0" fontId="101" fillId="0" borderId="7347"/>
    <xf numFmtId="0" fontId="241" fillId="95" borderId="7347" applyAlignment="1">
      <alignment horizontal="centerContinuous" vertic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187" fontId="249" fillId="0" borderId="7347" applyAlignment="1">
      <alignment horizontal="center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0" fontId="166" fillId="0" borderId="7347" applyAlignment="1">
      <alignment horizontal="center"/>
    </xf>
    <xf numFmtId="313" fontId="241" fillId="95" borderId="7347" applyAlignment="1">
      <alignment horizontal="centerContinuous" vertical="center"/>
    </xf>
    <xf numFmtId="4" fontId="226" fillId="80" borderId="7004" applyAlignment="1">
      <alignment horizontal="right" vertical="center"/>
    </xf>
    <xf numFmtId="0" fontId="12" fillId="0" borderId="7001"/>
    <xf numFmtId="314" fontId="136" fillId="14" borderId="7004" applyAlignment="1">
      <alignment horizontal="left" vertical="top" indent="1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6" fillId="0" borderId="7347" applyAlignment="1">
      <alignment horizontal="center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0" fontId="113" fillId="0" borderId="7347"/>
    <xf numFmtId="183" fontId="9" fillId="3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203" fontId="25" fillId="0" borderId="7017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25" fillId="10" borderId="7356" applyAlignment="1">
      <alignment horizontal="left" vertical="top"/>
    </xf>
    <xf numFmtId="314" fontId="12" fillId="1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12" fillId="0" borderId="7347" applyAlignment="1">
      <alignment horizontal="center"/>
    </xf>
    <xf numFmtId="313" fontId="74" fillId="0" borderId="7359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313" fontId="12" fillId="11" borderId="7004" applyAlignment="1">
      <alignment horizontal="left" vertical="center" indent="1"/>
    </xf>
    <xf numFmtId="0" fontId="12" fillId="0" borderId="7001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101" fillId="0" borderId="7347"/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2" fillId="0" borderId="7001"/>
    <xf numFmtId="0" fontId="75" fillId="0" borderId="7348"/>
    <xf numFmtId="189" fontId="46" fillId="0" borderId="7347"/>
    <xf numFmtId="0" fontId="78" fillId="14" borderId="7349"/>
    <xf numFmtId="186" fontId="79" fillId="0" borderId="7346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0" fontId="25" fillId="10" borderId="7012" applyAlignment="1">
      <alignment horizontal="left" vertical="top"/>
    </xf>
    <xf numFmtId="314" fontId="25" fillId="10" borderId="7356" applyAlignment="1">
      <alignment horizontal="left" vertical="top"/>
    </xf>
    <xf numFmtId="10" fontId="12" fillId="3" borderId="7014" applyProtection="1">
      <protection locked="0" hidden="0"/>
    </xf>
    <xf numFmtId="314" fontId="25" fillId="10" borderId="7357" applyAlignment="1">
      <alignment horizontal="left" vertical="top"/>
    </xf>
    <xf numFmtId="0" fontId="12" fillId="0" borderId="7347" applyAlignment="1">
      <alignment horizontal="center"/>
    </xf>
    <xf numFmtId="314" fontId="241" fillId="95" borderId="7347" applyAlignment="1">
      <alignment horizontal="centerContinuous" vertical="center"/>
    </xf>
    <xf numFmtId="0" fontId="135" fillId="0" borderId="7002"/>
    <xf numFmtId="187" fontId="296" fillId="0" borderId="7347" applyAlignment="1">
      <alignment horizontal="center"/>
    </xf>
    <xf numFmtId="0" fontId="25" fillId="10" borderId="7012" applyAlignment="1">
      <alignment horizontal="left" vertical="top"/>
    </xf>
    <xf numFmtId="4" fontId="226" fillId="77" borderId="7004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5" fillId="10" borderId="7354" applyAlignment="1">
      <alignment horizontal="left" vertical="top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188" fontId="240" fillId="0" borderId="7347" applyAlignment="1">
      <alignment horizontal="righ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01" fillId="0" borderId="7347"/>
    <xf numFmtId="0" fontId="2" fillId="0" borderId="7352"/>
    <xf numFmtId="0" fontId="214" fillId="0" borderId="7353"/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5" fillId="10" borderId="7010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313" fontId="159" fillId="0" borderId="7002"/>
    <xf numFmtId="313" fontId="105" fillId="0" borderId="7001"/>
    <xf numFmtId="10" fontId="12" fillId="3" borderId="7014" applyProtection="1">
      <protection locked="0" hidden="0"/>
    </xf>
    <xf numFmtId="0" fontId="25" fillId="10" borderId="7010" applyAlignment="1">
      <alignment horizontal="left" vertical="top"/>
    </xf>
    <xf numFmtId="252" fontId="9" fillId="3" borderId="7347" applyAlignment="1">
      <alignment horizontal="right" vertical="center"/>
    </xf>
    <xf numFmtId="186" fontId="79" fillId="0" borderId="7346"/>
    <xf numFmtId="190" fontId="12" fillId="14" borderId="7347" applyAlignment="1">
      <alignment horizontal="right"/>
    </xf>
    <xf numFmtId="0" fontId="25" fillId="10" borderId="7357" applyAlignment="1">
      <alignment horizontal="left" vertical="top"/>
    </xf>
    <xf numFmtId="4" fontId="226" fillId="81" borderId="7004" applyAlignment="1">
      <alignment horizontal="right" vertical="center"/>
    </xf>
    <xf numFmtId="293" fontId="234" fillId="10" borderId="7002"/>
    <xf numFmtId="4" fontId="226" fillId="11" borderId="7004" applyAlignment="1">
      <alignment vertical="center"/>
    </xf>
    <xf numFmtId="2" fontId="12" fillId="61" borderId="7006"/>
    <xf numFmtId="4" fontId="227" fillId="53" borderId="7005" applyAlignment="1">
      <alignment horizontal="left" vertical="center" indent="1"/>
    </xf>
    <xf numFmtId="10" fontId="12" fillId="3" borderId="7014" applyProtection="1">
      <protection locked="0" hidden="0"/>
    </xf>
    <xf numFmtId="313" fontId="214" fillId="0" borderId="7353"/>
    <xf numFmtId="185" fontId="140" fillId="3" borderId="7351" applyAlignment="1">
      <alignment horizontal="center" vertical="center"/>
    </xf>
    <xf numFmtId="0" fontId="25" fillId="10" borderId="7012" applyAlignment="1">
      <alignment horizontal="left" vertical="top"/>
    </xf>
    <xf numFmtId="0" fontId="75" fillId="0" borderId="7348"/>
    <xf numFmtId="189" fontId="46" fillId="0" borderId="7347"/>
    <xf numFmtId="0" fontId="214" fillId="0" borderId="7353"/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5" fillId="10" borderId="7355" applyAlignment="1">
      <alignment horizontal="left" vertical="top"/>
    </xf>
    <xf numFmtId="1" fontId="154" fillId="66" borderId="7069" applyAlignment="1" applyProtection="1">
      <alignment horizontal="centerContinuous" vertical="center"/>
      <protection locked="0" hidden="0"/>
    </xf>
    <xf numFmtId="5" fontId="114" fillId="0" borderId="7359"/>
    <xf numFmtId="0" fontId="48" fillId="0" borderId="7359" applyAlignment="1">
      <alignment horizontal="center"/>
    </xf>
    <xf numFmtId="4" fontId="226" fillId="11" borderId="7004" applyAlignment="1">
      <alignment vertical="center"/>
    </xf>
    <xf numFmtId="0" fontId="113" fillId="0" borderId="7347"/>
    <xf numFmtId="313" fontId="12" fillId="0" borderId="7001"/>
    <xf numFmtId="4" fontId="226" fillId="80" borderId="7004" applyAlignment="1">
      <alignment horizontal="right" vertical="center"/>
    </xf>
    <xf numFmtId="0" fontId="113" fillId="0" borderId="7347"/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0" fontId="210" fillId="0" borderId="7347" applyProtection="1">
      <protection locked="0" hidden="0"/>
    </xf>
    <xf numFmtId="314" fontId="159" fillId="68" borderId="7002"/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01" fillId="0" borderId="7347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189" fontId="46" fillId="0" borderId="7347"/>
    <xf numFmtId="314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313" fontId="25" fillId="10" borderId="7355" applyAlignment="1">
      <alignment horizontal="left" vertical="top"/>
    </xf>
    <xf numFmtId="189" fontId="46" fillId="0" borderId="7347"/>
    <xf numFmtId="187" fontId="249" fillId="0" borderId="7347" applyAlignment="1">
      <alignment horizontal="center"/>
    </xf>
    <xf numFmtId="0" fontId="276" fillId="55" borderId="7020"/>
    <xf numFmtId="0" fontId="12" fillId="76" borderId="7004" applyAlignment="1">
      <alignment horizontal="left" vertical="top" indent="1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0" fontId="113" fillId="0" borderId="7347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5" fontId="146" fillId="3" borderId="7347" applyAlignment="1">
      <alignment horizontal="left" vertical="center"/>
    </xf>
    <xf numFmtId="0" fontId="101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12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002" applyAlignment="1">
      <alignment horizontal="center" vertical="top"/>
    </xf>
    <xf numFmtId="241" fontId="48" fillId="0" borderId="100"/>
    <xf numFmtId="0" fontId="25" fillId="10" borderId="7357" applyAlignment="1">
      <alignment horizontal="left" vertical="top"/>
    </xf>
    <xf numFmtId="203" fontId="25" fillId="0" borderId="7017" applyAlignment="1">
      <alignment horizont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1" fontId="154" fillId="66" borderId="7069" applyAlignment="1" applyProtection="1">
      <alignment horizontal="centerContinuous" vertical="center"/>
      <protection locked="0" hidden="0"/>
    </xf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0" fontId="12" fillId="53" borderId="7004" applyAlignment="1">
      <alignment horizontal="left" vertical="center" indent="1"/>
    </xf>
    <xf numFmtId="0" fontId="12" fillId="76" borderId="7004" applyAlignment="1">
      <alignment horizontal="left" vertical="center" indent="1"/>
    </xf>
    <xf numFmtId="188" fontId="240" fillId="0" borderId="7347" applyAlignment="1">
      <alignment horizontal="right" vertical="center"/>
    </xf>
    <xf numFmtId="0" fontId="46" fillId="0" borderId="7001"/>
    <xf numFmtId="4" fontId="226" fillId="83" borderId="7004" applyAlignment="1">
      <alignment horizontal="right" vertical="center"/>
    </xf>
    <xf numFmtId="185" fontId="146" fillId="3" borderId="7347" applyAlignment="1">
      <alignment horizontal="left" vertical="center"/>
    </xf>
    <xf numFmtId="0" fontId="12" fillId="3" borderId="7002"/>
    <xf numFmtId="0" fontId="288" fillId="0" borderId="7022"/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293" fontId="234" fillId="10" borderId="7002"/>
    <xf numFmtId="0" fontId="75" fillId="0" borderId="7348"/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12" fillId="0" borderId="7001"/>
    <xf numFmtId="0" fontId="25" fillId="10" borderId="7357" applyAlignment="1">
      <alignment horizontal="left" vertical="top"/>
    </xf>
    <xf numFmtId="0" fontId="25" fillId="10" borderId="7002" applyAlignment="1">
      <alignment horizontal="center" vertical="top"/>
    </xf>
    <xf numFmtId="4" fontId="228" fillId="11" borderId="7004" applyAlignment="1">
      <alignment horizontal="right" vertical="center"/>
    </xf>
    <xf numFmtId="186" fontId="79" fillId="0" borderId="7346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4" fontId="12" fillId="76" borderId="7004" applyAlignment="1">
      <alignment horizontal="left" vertical="center" indent="1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13" fillId="0" borderId="7347"/>
    <xf numFmtId="313" fontId="113" fillId="0" borderId="7347"/>
    <xf numFmtId="186" fontId="79" fillId="0" borderId="7346"/>
    <xf numFmtId="293" fontId="234" fillId="10" borderId="7002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293" fontId="234" fillId="3" borderId="7002"/>
    <xf numFmtId="0" fontId="12" fillId="76" borderId="7004" applyAlignment="1">
      <alignment horizontal="left" vertical="center" indent="1"/>
    </xf>
    <xf numFmtId="0" fontId="25" fillId="10" borderId="7011" applyAlignment="1">
      <alignment horizontal="left" vertical="top"/>
    </xf>
    <xf numFmtId="0" fontId="48" fillId="0" borderId="7359" applyAlignment="1">
      <alignment horizontal="center"/>
    </xf>
    <xf numFmtId="4" fontId="226" fillId="81" borderId="7004" applyAlignment="1">
      <alignment horizontal="right" vertical="center"/>
    </xf>
    <xf numFmtId="313" fontId="46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5" fillId="0" borderId="7017" applyAlignment="1">
      <alignment horizontal="left" vertical="center"/>
    </xf>
    <xf numFmtId="186" fontId="79" fillId="0" borderId="7346"/>
    <xf numFmtId="189" fontId="46" fillId="0" borderId="7347"/>
    <xf numFmtId="0" fontId="25" fillId="10" borderId="7356" applyAlignment="1">
      <alignment horizontal="left" vertical="top"/>
    </xf>
    <xf numFmtId="0" fontId="2" fillId="0" borderId="7352"/>
    <xf numFmtId="0" fontId="78" fillId="14" borderId="7349"/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25" fillId="10" borderId="7009" applyAlignment="1">
      <alignment horizontal="left" vertical="top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13" fillId="0" borderId="7347"/>
    <xf numFmtId="190" fontId="12" fillId="14" borderId="7347" applyAlignment="1">
      <alignment horizontal="right"/>
    </xf>
    <xf numFmtId="0" fontId="78" fillId="14" borderId="7349"/>
    <xf numFmtId="293" fontId="234" fillId="10" borderId="7002"/>
    <xf numFmtId="186" fontId="79" fillId="0" borderId="7346"/>
    <xf numFmtId="0" fontId="101" fillId="0" borderId="7347"/>
    <xf numFmtId="186" fontId="79" fillId="0" borderId="7346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41" fillId="95" borderId="7347" applyAlignment="1">
      <alignment horizontal="centerContinuous" vertic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0" fontId="25" fillId="10" borderId="7356" applyAlignment="1">
      <alignment horizontal="left" vertical="top"/>
    </xf>
    <xf numFmtId="172" fontId="234" fillId="10" borderId="7002"/>
    <xf numFmtId="0" fontId="25" fillId="10" borderId="7013" applyAlignment="1">
      <alignment horizontal="left" vertical="top"/>
    </xf>
    <xf numFmtId="186" fontId="79" fillId="0" borderId="7346"/>
    <xf numFmtId="189" fontId="46" fillId="0" borderId="7347"/>
    <xf numFmtId="313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186" fontId="79" fillId="0" borderId="7346"/>
    <xf numFmtId="185" fontId="140" fillId="3" borderId="7351" applyAlignment="1">
      <alignment horizontal="center" vertical="center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0" fontId="78" fillId="14" borderId="7349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6" fontId="79" fillId="0" borderId="7346"/>
    <xf numFmtId="0" fontId="210" fillId="0" borderId="7347" applyProtection="1">
      <protection locked="0" hidden="0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3" fontId="12" fillId="53" borderId="7004" applyAlignment="1">
      <alignment horizontal="left" vertical="top" indent="1"/>
    </xf>
    <xf numFmtId="2" fontId="12" fillId="14" borderId="7016" applyAlignment="1">
      <alignment horizontal="center"/>
    </xf>
    <xf numFmtId="0" fontId="25" fillId="10" borderId="7355" applyAlignment="1">
      <alignment horizontal="left" vertical="top"/>
    </xf>
    <xf numFmtId="0" fontId="210" fillId="0" borderId="7347" applyProtection="1">
      <protection locked="0" hidden="0"/>
    </xf>
    <xf numFmtId="5" fontId="114" fillId="0" borderId="7359"/>
    <xf numFmtId="189" fontId="46" fillId="0" borderId="7347"/>
    <xf numFmtId="0" fontId="113" fillId="0" borderId="7347"/>
    <xf numFmtId="0" fontId="12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186" fontId="79" fillId="0" borderId="7346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187" fontId="249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59" fillId="68" borderId="7002"/>
    <xf numFmtId="0" fontId="113" fillId="0" borderId="7347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4" fontId="226" fillId="79" borderId="7004" applyAlignment="1">
      <alignment horizontal="right" vertic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10" fillId="0" borderId="7347" applyProtection="1">
      <protection locked="0" hidden="0"/>
    </xf>
    <xf numFmtId="189" fontId="46" fillId="0" borderId="7347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5" fontId="146" fillId="3" borderId="7350" applyAlignment="1">
      <alignment horizontal="left"/>
    </xf>
    <xf numFmtId="0" fontId="75" fillId="0" borderId="7348"/>
    <xf numFmtId="0" fontId="283" fillId="104" borderId="7020"/>
    <xf numFmtId="0" fontId="105" fillId="0" borderId="7001"/>
    <xf numFmtId="185" fontId="146" fillId="3" borderId="7347" applyAlignment="1">
      <alignment horizontal="left" vertical="center"/>
    </xf>
    <xf numFmtId="10" fontId="12" fillId="61" borderId="7006"/>
    <xf numFmtId="0" fontId="25" fillId="10" borderId="7354" applyAlignment="1">
      <alignment horizontal="left" vertical="top"/>
    </xf>
    <xf numFmtId="189" fontId="46" fillId="0" borderId="7347"/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86" fontId="79" fillId="0" borderId="7346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0" fontId="25" fillId="10" borderId="7354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314" fontId="101" fillId="0" borderId="7347"/>
    <xf numFmtId="0" fontId="75" fillId="0" borderId="7348"/>
    <xf numFmtId="0" fontId="75" fillId="0" borderId="7348"/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313" fontId="101" fillId="0" borderId="7347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3" fontId="113" fillId="0" borderId="7347"/>
    <xf numFmtId="313" fontId="75" fillId="0" borderId="7348"/>
    <xf numFmtId="313" fontId="241" fillId="95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313" fontId="75" fillId="0" borderId="7348"/>
    <xf numFmtId="313" fontId="78" fillId="14" borderId="7349"/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01" fillId="0" borderId="7347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314" fontId="75" fillId="0" borderId="7348"/>
    <xf numFmtId="314" fontId="101" fillId="0" borderId="7347"/>
    <xf numFmtId="0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314" fontId="113" fillId="0" borderId="7347"/>
    <xf numFmtId="314" fontId="75" fillId="0" borderId="7348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0" fontId="241" fillId="95" borderId="7347" applyAlignment="1">
      <alignment horizontal="centerContinuous" vertical="center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5" borderId="7347" applyAlignment="1">
      <alignment horizontal="centerContinuous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0" fontId="101" fillId="0" borderId="7347"/>
    <xf numFmtId="313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314" fontId="242" fillId="0" borderId="7347" applyAlignment="1">
      <alignment horizontal="center"/>
    </xf>
    <xf numFmtId="313" fontId="165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101" fillId="0" borderId="7347"/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0" fontId="25" fillId="10" borderId="7008" applyAlignment="1">
      <alignment horizontal="left" vertical="top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5" fillId="0" borderId="701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5" borderId="7347" applyAlignment="1">
      <alignment horizontal="centerContinuous" vertical="center"/>
    </xf>
    <xf numFmtId="252" fontId="9" fillId="3" borderId="7347" applyAlignment="1">
      <alignment horizontal="right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8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75" fillId="0" borderId="7348"/>
    <xf numFmtId="183" fontId="9" fillId="3" borderId="7347" applyAlignment="1">
      <alignment horizontal="right" vertical="center"/>
    </xf>
    <xf numFmtId="0" fontId="25" fillId="70" borderId="7002" applyAlignment="1">
      <alignment horizontal="left" vertical="center" wrapText="1"/>
    </xf>
    <xf numFmtId="1" fontId="154" fillId="66" borderId="7069" applyAlignment="1" applyProtection="1">
      <alignment horizontal="centerContinuous" vertical="center"/>
      <protection locked="0" hidden="0"/>
    </xf>
    <xf numFmtId="0" fontId="46" fillId="0" borderId="7001"/>
    <xf numFmtId="0" fontId="184" fillId="0" borderId="7003" applyAlignment="1">
      <alignment horizontal="left" wrapText="1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007" applyAlignment="1">
      <alignment horizontal="left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14" fillId="0" borderId="7353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6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8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0" fontId="286" fillId="55" borderId="7021"/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0" fontId="12" fillId="0" borderId="7001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313" fontId="241" fillId="95" borderId="7347" applyAlignment="1">
      <alignment horizontal="centerContinuous" vertical="center"/>
    </xf>
    <xf numFmtId="0" fontId="113" fillId="0" borderId="7347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159" fillId="0" borderId="7002"/>
    <xf numFmtId="10" fontId="12" fillId="3" borderId="7014" applyProtection="1">
      <protection locked="0" hidden="0"/>
    </xf>
    <xf numFmtId="186" fontId="79" fillId="0" borderId="7346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8" fontId="240" fillId="0" borderId="7347" applyAlignment="1">
      <alignment horizontal="right" vertic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5" fillId="10" borderId="7356" applyAlignment="1">
      <alignment horizontal="left" vertical="top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90" fontId="12" fillId="14" borderId="7347" applyAlignment="1">
      <alignment horizontal="right"/>
    </xf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5" borderId="7020"/>
    <xf numFmtId="186" fontId="79" fillId="0" borderId="7346"/>
    <xf numFmtId="0" fontId="101" fillId="0" borderId="7347"/>
    <xf numFmtId="0" fontId="283" fillId="104" borderId="7020"/>
    <xf numFmtId="0" fontId="50" fillId="118" borderId="7003"/>
    <xf numFmtId="0" fontId="78" fillId="14" borderId="7349"/>
    <xf numFmtId="0" fontId="286" fillId="55" borderId="7021"/>
    <xf numFmtId="0" fontId="283" fillId="104" borderId="7020"/>
    <xf numFmtId="186" fontId="79" fillId="0" borderId="7346"/>
    <xf numFmtId="0" fontId="288" fillId="0" borderId="7022"/>
    <xf numFmtId="0" fontId="276" fillId="55" borderId="7020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5" borderId="7021"/>
    <xf numFmtId="187" fontId="250" fillId="0" borderId="7347" applyAlignment="1">
      <alignment horizontal="center"/>
    </xf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6" fontId="79" fillId="0" borderId="7346"/>
    <xf numFmtId="0" fontId="241" fillId="95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4" fontId="2" fillId="0" borderId="7352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8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188" fontId="240" fillId="0" borderId="7347" applyAlignment="1">
      <alignment horizontal="right" vertical="center"/>
    </xf>
    <xf numFmtId="313" fontId="25" fillId="70" borderId="7002" applyAlignment="1">
      <alignment horizontal="left" vertical="center" wrapText="1"/>
    </xf>
    <xf numFmtId="313" fontId="184" fillId="0" borderId="7003" applyAlignment="1">
      <alignment horizontal="left" wrapText="1"/>
    </xf>
    <xf numFmtId="0" fontId="25" fillId="10" borderId="7357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4" borderId="7004" applyAlignment="1">
      <alignment horizontal="left" vertical="top" indent="1"/>
    </xf>
    <xf numFmtId="313" fontId="12" fillId="76" borderId="7004" applyAlignment="1">
      <alignment horizontal="left" vertical="center" indent="1"/>
    </xf>
    <xf numFmtId="313" fontId="12" fillId="76" borderId="7004" applyAlignment="1">
      <alignment horizontal="left" vertical="top" indent="1"/>
    </xf>
    <xf numFmtId="313" fontId="12" fillId="85" borderId="7004" applyAlignment="1">
      <alignment horizontal="left" vertical="center" indent="1"/>
    </xf>
    <xf numFmtId="313" fontId="12" fillId="85" borderId="7004" applyAlignment="1">
      <alignment horizontal="left" vertical="top" indent="1"/>
    </xf>
    <xf numFmtId="313" fontId="12" fillId="53" borderId="7004" applyAlignment="1">
      <alignment horizontal="left" vertical="center" indent="1"/>
    </xf>
    <xf numFmtId="313" fontId="12" fillId="53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5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5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0" fontId="165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5" borderId="7347" applyAlignment="1">
      <alignment horizontal="centerContinuous" vertic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8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0" fontId="101" fillId="0" borderId="7347"/>
    <xf numFmtId="314" fontId="25" fillId="70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4" borderId="7004" applyAlignment="1">
      <alignment horizontal="left" vertical="top" indent="1"/>
    </xf>
    <xf numFmtId="314" fontId="12" fillId="76" borderId="7004" applyAlignment="1">
      <alignment horizontal="left" vertical="center" indent="1"/>
    </xf>
    <xf numFmtId="314" fontId="12" fillId="76" borderId="7004" applyAlignment="1">
      <alignment horizontal="left" vertical="top" indent="1"/>
    </xf>
    <xf numFmtId="314" fontId="12" fillId="85" borderId="7004" applyAlignment="1">
      <alignment horizontal="left" vertical="center" indent="1"/>
    </xf>
    <xf numFmtId="314" fontId="12" fillId="85" borderId="7004" applyAlignment="1">
      <alignment horizontal="left" vertical="top" indent="1"/>
    </xf>
    <xf numFmtId="314" fontId="12" fillId="53" borderId="7004" applyAlignment="1">
      <alignment horizontal="left" vertical="center" indent="1"/>
    </xf>
    <xf numFmtId="314" fontId="12" fillId="53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5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187" fontId="249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5" borderId="7347" applyAlignment="1">
      <alignment horizontal="centerContinuous" vertical="center"/>
    </xf>
    <xf numFmtId="10" fontId="12" fillId="3" borderId="7014" applyProtection="1">
      <protection locked="0" hidden="0"/>
    </xf>
    <xf numFmtId="0" fontId="241" fillId="95" borderId="7347" applyAlignment="1">
      <alignment horizontal="centerContinuous" vertical="center"/>
    </xf>
    <xf numFmtId="0" fontId="12" fillId="76" borderId="7004" applyAlignment="1">
      <alignment horizontal="left" vertical="top" indent="1"/>
    </xf>
    <xf numFmtId="0" fontId="210" fillId="0" borderId="7347" applyProtection="1">
      <protection locked="0" hidden="0"/>
    </xf>
    <xf numFmtId="0" fontId="75" fillId="0" borderId="7348"/>
    <xf numFmtId="314" fontId="12" fillId="85" borderId="7004" applyAlignment="1">
      <alignment horizontal="left" vertical="center" indent="1"/>
    </xf>
    <xf numFmtId="187" fontId="249" fillId="0" borderId="7347" applyAlignment="1">
      <alignment horizontal="center"/>
    </xf>
    <xf numFmtId="314" fontId="136" fillId="85" borderId="7004" applyAlignment="1">
      <alignment horizontal="left" vertical="top" indent="1"/>
    </xf>
    <xf numFmtId="314" fontId="12" fillId="53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190" fontId="12" fillId="14" borderId="7347" applyAlignment="1">
      <alignment horizontal="right"/>
    </xf>
    <xf numFmtId="0" fontId="2" fillId="0" borderId="7352"/>
    <xf numFmtId="314" fontId="12" fillId="76" borderId="7004" applyAlignment="1">
      <alignment horizontal="left" vertical="top" indent="1"/>
    </xf>
    <xf numFmtId="0" fontId="214" fillId="0" borderId="7353"/>
    <xf numFmtId="0" fontId="166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59" fillId="0" borderId="7002"/>
    <xf numFmtId="0" fontId="159" fillId="68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313" fontId="12" fillId="10" borderId="7002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9" fontId="12" fillId="61" borderId="7006"/>
    <xf numFmtId="188" fontId="240" fillId="0" borderId="7347" applyAlignment="1">
      <alignment horizontal="right" vertical="center"/>
    </xf>
    <xf numFmtId="186" fontId="79" fillId="0" borderId="7346"/>
    <xf numFmtId="0" fontId="25" fillId="10" borderId="7002" applyAlignment="1">
      <alignment horizontal="center" vertical="top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002" applyAlignment="1">
      <alignment horizontal="center" vertical="top"/>
    </xf>
    <xf numFmtId="172" fontId="234" fillId="3" borderId="7002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289" fontId="12" fillId="61" borderId="7006"/>
    <xf numFmtId="188" fontId="240" fillId="0" borderId="7347" applyAlignment="1">
      <alignment horizontal="right" vertical="center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2" fontId="12" fillId="61" borderId="7006"/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0" fontId="101" fillId="0" borderId="7347"/>
    <xf numFmtId="0" fontId="135" fillId="0" borderId="7002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12" fillId="53" borderId="7004" applyAlignment="1">
      <alignment horizontal="left" vertical="center" indent="1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313" fontId="25" fillId="10" borderId="7009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10" fillId="0" borderId="7347" applyProtection="1">
      <protection locked="0" hidden="0"/>
    </xf>
    <xf numFmtId="186" fontId="79" fillId="0" borderId="7346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4" fontId="25" fillId="10" borderId="7354" applyAlignment="1">
      <alignment horizontal="left" vertical="top"/>
    </xf>
    <xf numFmtId="4" fontId="184" fillId="54" borderId="7004" applyAlignment="1">
      <alignment horizontal="left" vertical="center" indent="1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78" fillId="14" borderId="7349"/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70" borderId="7002" applyAlignment="1">
      <alignment horizontal="left" vertical="center" wrapText="1"/>
    </xf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12" fillId="0" borderId="7001"/>
    <xf numFmtId="0" fontId="25" fillId="10" borderId="7356" applyAlignment="1">
      <alignment horizontal="left" vertical="top"/>
    </xf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0" fontId="12" fillId="85" borderId="7004" applyAlignment="1">
      <alignment horizontal="left" vertical="top" indent="1"/>
    </xf>
    <xf numFmtId="0" fontId="78" fillId="14" borderId="7349"/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59" fillId="0" borderId="7002"/>
    <xf numFmtId="0" fontId="159" fillId="68" borderId="7002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187" fontId="249" fillId="0" borderId="7347" applyAlignment="1">
      <alignment horizontal="center"/>
    </xf>
    <xf numFmtId="0" fontId="159" fillId="68" borderId="7002"/>
    <xf numFmtId="0" fontId="159" fillId="0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48" fillId="3" borderId="7359" applyAlignment="1">
      <alignment vertical="center"/>
    </xf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85" fontId="48" fillId="3" borderId="7359" applyAlignment="1">
      <alignment vertical="center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0" fontId="25" fillId="10" borderId="7009" applyAlignment="1">
      <alignment horizontal="left" vertical="top"/>
    </xf>
    <xf numFmtId="0" fontId="214" fillId="0" borderId="7353"/>
    <xf numFmtId="185" fontId="146" fillId="3" borderId="7347" applyAlignment="1">
      <alignment horizontal="left" vertical="center"/>
    </xf>
    <xf numFmtId="186" fontId="79" fillId="0" borderId="7346"/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05" fillId="0" borderId="7001"/>
    <xf numFmtId="0" fontId="159" fillId="0" borderId="7002"/>
    <xf numFmtId="203" fontId="25" fillId="0" borderId="7017" applyAlignment="1">
      <alignment horizontal="center"/>
    </xf>
    <xf numFmtId="10" fontId="12" fillId="3" borderId="7014" applyProtection="1">
      <protection locked="0" hidden="0"/>
    </xf>
    <xf numFmtId="0" fontId="48" fillId="0" borderId="7359" applyAlignment="1">
      <alignment horizontal="center"/>
    </xf>
    <xf numFmtId="0" fontId="101" fillId="0" borderId="7347"/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75" fillId="0" borderId="7348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" fillId="0" borderId="7352"/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185" fontId="48" fillId="3" borderId="7359" applyAlignment="1">
      <alignment vertical="center"/>
    </xf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78" fillId="14" borderId="7349"/>
    <xf numFmtId="0" fontId="210" fillId="0" borderId="7347" applyProtection="1">
      <protection locked="0" hidden="0"/>
    </xf>
    <xf numFmtId="0" fontId="12" fillId="85" borderId="7004" applyAlignment="1">
      <alignment horizontal="left" vertical="center" indent="1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0" fontId="2" fillId="0" borderId="7352"/>
    <xf numFmtId="189" fontId="46" fillId="0" borderId="7347"/>
    <xf numFmtId="185" fontId="140" fillId="3" borderId="7351" applyAlignment="1">
      <alignment horizontal="center" vertical="center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5" fontId="146" fillId="3" borderId="7350" applyAlignment="1">
      <alignment horizontal="left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5" fontId="146" fillId="3" borderId="7350" applyAlignment="1">
      <alignment horizontal="left"/>
    </xf>
    <xf numFmtId="4" fontId="226" fillId="79" borderId="7004" applyAlignment="1">
      <alignment horizontal="right" vertical="center"/>
    </xf>
    <xf numFmtId="172" fontId="234" fillId="10" borderId="7002"/>
    <xf numFmtId="0" fontId="12" fillId="3" borderId="7002"/>
    <xf numFmtId="0" fontId="25" fillId="10" borderId="7007" applyAlignment="1">
      <alignment horizontal="left"/>
    </xf>
    <xf numFmtId="0" fontId="25" fillId="10" borderId="7012" applyAlignment="1">
      <alignment horizontal="left" vertical="top"/>
    </xf>
    <xf numFmtId="314" fontId="214" fillId="0" borderId="7353"/>
    <xf numFmtId="314" fontId="2" fillId="0" borderId="7352"/>
    <xf numFmtId="203" fontId="25" fillId="0" borderId="7017" applyAlignment="1">
      <alignment horizontal="center"/>
    </xf>
    <xf numFmtId="314" fontId="210" fillId="0" borderId="7347" applyProtection="1">
      <protection locked="0" hidden="0"/>
    </xf>
    <xf numFmtId="0" fontId="48" fillId="0" borderId="7001"/>
    <xf numFmtId="251" fontId="145" fillId="3" borderId="7359" applyAlignment="1">
      <alignment horizontal="right" vertical="center"/>
    </xf>
    <xf numFmtId="4" fontId="184" fillId="54" borderId="7004" applyAlignment="1">
      <alignment horizontal="left" vertical="center" indent="1"/>
    </xf>
    <xf numFmtId="4" fontId="226" fillId="78" borderId="7004" applyAlignment="1">
      <alignment horizontal="right" vertical="center"/>
    </xf>
    <xf numFmtId="4" fontId="226" fillId="82" borderId="7004" applyAlignment="1">
      <alignment horizontal="right" vertical="center"/>
    </xf>
    <xf numFmtId="0" fontId="12" fillId="76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0" fontId="241" fillId="95" borderId="7347" applyAlignment="1">
      <alignment horizontal="centerContinuous" vertical="center"/>
    </xf>
    <xf numFmtId="0" fontId="214" fillId="0" borderId="7353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" fillId="0" borderId="7352"/>
    <xf numFmtId="186" fontId="79" fillId="0" borderId="7346"/>
    <xf numFmtId="0" fontId="50" fillId="118" borderId="7003"/>
    <xf numFmtId="186" fontId="79" fillId="0" borderId="7346"/>
    <xf numFmtId="0" fontId="165" fillId="0" borderId="7347" applyAlignment="1">
      <alignment horizontal="center"/>
    </xf>
    <xf numFmtId="0" fontId="241" fillId="95" borderId="7347" applyAlignment="1">
      <alignment horizontal="centerContinuous" vertical="center"/>
    </xf>
    <xf numFmtId="186" fontId="79" fillId="0" borderId="7346"/>
    <xf numFmtId="0" fontId="25" fillId="10" borderId="7355" applyAlignment="1">
      <alignment horizontal="left" vertical="top"/>
    </xf>
    <xf numFmtId="314" fontId="165" fillId="0" borderId="7347" applyAlignment="1">
      <alignment horizont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186" fontId="79" fillId="0" borderId="7346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75" fillId="0" borderId="7348"/>
    <xf numFmtId="189" fontId="46" fillId="0" borderId="7347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10" applyAlignment="1">
      <alignment horizontal="left" vertical="top"/>
    </xf>
    <xf numFmtId="10" fontId="12" fillId="3" borderId="7014" applyProtection="1">
      <protection locked="0" hidden="0"/>
    </xf>
    <xf numFmtId="313" fontId="159" fillId="68" borderId="7002"/>
    <xf numFmtId="185" fontId="146" fillId="3" borderId="7350" applyAlignment="1">
      <alignment horizontal="left"/>
    </xf>
    <xf numFmtId="314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314" fontId="113" fillId="0" borderId="7347"/>
    <xf numFmtId="314" fontId="101" fillId="0" borderId="7347"/>
    <xf numFmtId="313" fontId="25" fillId="10" borderId="7002" applyAlignment="1">
      <alignment horizontal="center" vertical="top"/>
    </xf>
    <xf numFmtId="0" fontId="12" fillId="10" borderId="7002"/>
    <xf numFmtId="0" fontId="25" fillId="10" borderId="7355" applyAlignment="1">
      <alignment horizontal="left" vertical="top"/>
    </xf>
    <xf numFmtId="189" fontId="46" fillId="0" borderId="7347"/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2" fillId="0" borderId="7347" applyAlignment="1">
      <alignment horizontal="center"/>
    </xf>
    <xf numFmtId="313" fontId="25" fillId="10" borderId="7357" applyAlignment="1">
      <alignment horizontal="left" vertical="top"/>
    </xf>
    <xf numFmtId="313" fontId="2" fillId="0" borderId="7352"/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189" fontId="46" fillId="0" borderId="7347"/>
    <xf numFmtId="0" fontId="101" fillId="0" borderId="7347"/>
    <xf numFmtId="0" fontId="25" fillId="10" borderId="7356" applyAlignment="1">
      <alignment horizontal="left" vertical="top"/>
    </xf>
    <xf numFmtId="313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313" fontId="113" fillId="0" borderId="7347"/>
    <xf numFmtId="314" fontId="12" fillId="0" borderId="7347" applyAlignment="1">
      <alignment horizontal="center"/>
    </xf>
    <xf numFmtId="313" fontId="101" fillId="0" borderId="7347"/>
    <xf numFmtId="314" fontId="210" fillId="0" borderId="7347" applyProtection="1">
      <protection locked="0" hidden="0"/>
    </xf>
    <xf numFmtId="314" fontId="12" fillId="76" borderId="7004" applyAlignment="1">
      <alignment horizontal="left" vertical="top" indent="1"/>
    </xf>
    <xf numFmtId="187" fontId="250" fillId="0" borderId="7347" applyAlignment="1">
      <alignment horizontal="center"/>
    </xf>
    <xf numFmtId="186" fontId="79" fillId="0" borderId="7346"/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5" applyAlignment="1">
      <alignment horizontal="left" vertical="top"/>
    </xf>
    <xf numFmtId="189" fontId="46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313" fontId="12" fillId="10" borderId="7002"/>
    <xf numFmtId="313" fontId="25" fillId="10" borderId="7007" applyAlignment="1">
      <alignment horizontal="left"/>
    </xf>
    <xf numFmtId="0" fontId="12" fillId="0" borderId="7001"/>
    <xf numFmtId="0" fontId="78" fillId="14" borderId="7349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78" fillId="14" borderId="7349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101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313" fontId="25" fillId="10" borderId="7356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011" applyAlignment="1">
      <alignment horizontal="left" vertical="top"/>
    </xf>
    <xf numFmtId="186" fontId="79" fillId="0" borderId="7346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313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313" fontId="25" fillId="10" borderId="7013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314" fontId="48" fillId="0" borderId="7359" applyAlignment="1">
      <alignment horizontal="center"/>
    </xf>
    <xf numFmtId="189" fontId="46" fillId="0" borderId="7347"/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101" fillId="0" borderId="7347"/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4" fontId="226" fillId="82" borderId="7004" applyAlignment="1">
      <alignment horizontal="right" vertic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12" fillId="3" borderId="7002"/>
    <xf numFmtId="0" fontId="166" fillId="0" borderId="7347" applyAlignment="1">
      <alignment horizontal="center"/>
    </xf>
    <xf numFmtId="313" fontId="12" fillId="53" borderId="7004" applyAlignment="1">
      <alignment horizontal="left" vertical="center" indent="1"/>
    </xf>
    <xf numFmtId="10" fontId="12" fillId="3" borderId="7014" applyProtection="1">
      <protection locked="0" hidden="0"/>
    </xf>
    <xf numFmtId="0" fontId="210" fillId="0" borderId="7347" applyProtection="1">
      <protection locked="0" hidden="0"/>
    </xf>
    <xf numFmtId="313" fontId="12" fillId="53" borderId="7004" applyAlignment="1">
      <alignment horizontal="left" vertical="top" indent="1"/>
    </xf>
    <xf numFmtId="0" fontId="165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5" fillId="10" borderId="7009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6" fontId="79" fillId="0" borderId="7346"/>
    <xf numFmtId="0" fontId="25" fillId="10" borderId="7356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314" fontId="135" fillId="0" borderId="7002"/>
    <xf numFmtId="0" fontId="25" fillId="10" borderId="7355" applyAlignment="1">
      <alignment horizontal="left" vertical="top"/>
    </xf>
    <xf numFmtId="189" fontId="46" fillId="0" borderId="7347"/>
    <xf numFmtId="0" fontId="25" fillId="10" borderId="7356" applyAlignment="1">
      <alignment horizontal="left" vertical="top"/>
    </xf>
    <xf numFmtId="0" fontId="105" fillId="0" borderId="7001"/>
    <xf numFmtId="0" fontId="135" fillId="0" borderId="7002"/>
    <xf numFmtId="0" fontId="25" fillId="70" borderId="7002" applyAlignment="1">
      <alignment horizontal="left" vertical="center" wrapText="1"/>
    </xf>
    <xf numFmtId="4" fontId="184" fillId="54" borderId="7004" applyAlignment="1">
      <alignment horizontal="left" vertical="center" indent="1"/>
    </xf>
    <xf numFmtId="0" fontId="25" fillId="10" borderId="7008" applyAlignment="1">
      <alignment horizontal="left" vertical="top"/>
    </xf>
    <xf numFmtId="0" fontId="5" fillId="0" borderId="7017" applyAlignment="1">
      <alignment horizontal="left" vertical="center"/>
    </xf>
    <xf numFmtId="0" fontId="74" fillId="0" borderId="7359" applyAlignment="1">
      <alignment horizontal="center"/>
    </xf>
    <xf numFmtId="4" fontId="223" fillId="54" borderId="7004" applyAlignment="1">
      <alignment vertical="center"/>
    </xf>
    <xf numFmtId="4" fontId="226" fillId="72" borderId="7004" applyAlignment="1">
      <alignment horizontal="right" vertical="center"/>
    </xf>
    <xf numFmtId="4" fontId="228" fillId="11" borderId="7004" applyAlignment="1">
      <alignment vertical="center"/>
    </xf>
    <xf numFmtId="185" fontId="146" fillId="3" borderId="7347" applyAlignment="1">
      <alignment horizontal="left" vertical="center"/>
    </xf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83" fillId="104" borderId="7020"/>
    <xf numFmtId="0" fontId="286" fillId="55" borderId="7021"/>
    <xf numFmtId="185" fontId="146" fillId="3" borderId="7347" applyAlignment="1">
      <alignment horizontal="left" vertic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4" applyAlignment="1">
      <alignment horizontal="left" vertical="top"/>
    </xf>
    <xf numFmtId="186" fontId="79" fillId="0" borderId="7346"/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172" fontId="234" fillId="10" borderId="7002"/>
    <xf numFmtId="251" fontId="145" fillId="3" borderId="7359" applyAlignment="1">
      <alignment horizontal="right" vertical="center"/>
    </xf>
    <xf numFmtId="0" fontId="12" fillId="0" borderId="7001"/>
    <xf numFmtId="0" fontId="101" fillId="0" borderId="7347"/>
    <xf numFmtId="186" fontId="79" fillId="0" borderId="7346"/>
    <xf numFmtId="0" fontId="113" fillId="0" borderId="7347"/>
    <xf numFmtId="0" fontId="2" fillId="0" borderId="7352"/>
    <xf numFmtId="313" fontId="105" fillId="0" borderId="7001"/>
    <xf numFmtId="313" fontId="113" fillId="0" borderId="7347"/>
    <xf numFmtId="313" fontId="12" fillId="76" borderId="7004" applyAlignment="1">
      <alignment horizontal="left" vertical="center" indent="1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314" fontId="2" fillId="0" borderId="7352"/>
    <xf numFmtId="314" fontId="12" fillId="85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36" fillId="85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8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10" fontId="12" fillId="3" borderId="7014" applyProtection="1">
      <protection locked="0" hidden="0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0" fontId="12" fillId="3" borderId="7002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72" fontId="234" fillId="3" borderId="7002"/>
    <xf numFmtId="185" fontId="146" fillId="3" borderId="7347" applyAlignment="1">
      <alignment horizontal="left" vertical="center"/>
    </xf>
    <xf numFmtId="314" fontId="25" fillId="70" borderId="7002" applyAlignment="1">
      <alignment horizontal="left" vertical="center" wrapText="1"/>
    </xf>
    <xf numFmtId="0" fontId="159" fillId="0" borderId="7002"/>
    <xf numFmtId="0" fontId="25" fillId="10" borderId="7357" applyAlignment="1">
      <alignment horizontal="left" vertical="top"/>
    </xf>
    <xf numFmtId="313" fontId="12" fillId="11" borderId="7004" applyAlignment="1">
      <alignment horizontal="left" vertical="top" indent="1"/>
    </xf>
    <xf numFmtId="203" fontId="25" fillId="0" borderId="7017" applyAlignment="1">
      <alignment horizontal="center"/>
    </xf>
    <xf numFmtId="189" fontId="46" fillId="0" borderId="7347"/>
    <xf numFmtId="314" fontId="225" fillId="54" borderId="7004" applyAlignment="1">
      <alignment horizontal="left" vertical="top" indent="1"/>
    </xf>
    <xf numFmtId="0" fontId="12" fillId="0" borderId="7347" applyAlignment="1">
      <alignment horizontal="center"/>
    </xf>
    <xf numFmtId="0" fontId="25" fillId="70" borderId="7002" applyAlignment="1">
      <alignment horizontal="left" vertical="center" wrapText="1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6" fontId="79" fillId="0" borderId="7346"/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0" fontId="159" fillId="0" borderId="7002"/>
    <xf numFmtId="0" fontId="25" fillId="10" borderId="7010" applyAlignment="1">
      <alignment horizontal="left" vertical="top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0" fontId="12" fillId="76" borderId="7004" applyAlignment="1">
      <alignment horizontal="left" vertical="center" indent="1"/>
    </xf>
    <xf numFmtId="187" fontId="249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313" fontId="48" fillId="0" borderId="7001"/>
    <xf numFmtId="186" fontId="79" fillId="0" borderId="7346"/>
    <xf numFmtId="313" fontId="210" fillId="0" borderId="7347" applyProtection="1">
      <protection locked="0" hidden="0"/>
    </xf>
    <xf numFmtId="0" fontId="113" fillId="0" borderId="7347"/>
    <xf numFmtId="190" fontId="12" fillId="14" borderId="7347" applyAlignment="1">
      <alignment horizontal="right"/>
    </xf>
    <xf numFmtId="2" fontId="12" fillId="61" borderId="700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2" fillId="0" borderId="7001"/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313" fontId="166" fillId="0" borderId="7347" applyAlignment="1">
      <alignment horizontal="center"/>
    </xf>
    <xf numFmtId="313" fontId="225" fillId="54" borderId="7004" applyAlignment="1">
      <alignment horizontal="left" vertical="top" indent="1"/>
    </xf>
    <xf numFmtId="313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252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0" fontId="113" fillId="0" borderId="7347"/>
    <xf numFmtId="0" fontId="12" fillId="0" borderId="7001"/>
    <xf numFmtId="0" fontId="2" fillId="0" borderId="7352"/>
    <xf numFmtId="0" fontId="165" fillId="0" borderId="7347" applyAlignment="1">
      <alignment horizontal="center"/>
    </xf>
    <xf numFmtId="186" fontId="79" fillId="0" borderId="7346"/>
    <xf numFmtId="313" fontId="135" fillId="0" borderId="7002"/>
    <xf numFmtId="185" fontId="146" fillId="3" borderId="7350" applyAlignment="1">
      <alignment horizontal="left"/>
    </xf>
    <xf numFmtId="0" fontId="225" fillId="54" borderId="7004" applyAlignment="1">
      <alignment horizontal="left" vertical="top" indent="1"/>
    </xf>
    <xf numFmtId="188" fontId="240" fillId="0" borderId="7347" applyAlignment="1">
      <alignment horizontal="right" vertical="center"/>
    </xf>
    <xf numFmtId="313" fontId="25" fillId="10" borderId="7002" applyAlignment="1">
      <alignment horizontal="center" vertical="top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4" fontId="226" fillId="79" borderId="7004" applyAlignment="1">
      <alignment horizontal="right" vertical="center"/>
    </xf>
    <xf numFmtId="0" fontId="12" fillId="76" borderId="7004" applyAlignment="1">
      <alignment horizontal="left" vertical="center" indent="1"/>
    </xf>
    <xf numFmtId="289" fontId="12" fillId="61" borderId="7006"/>
    <xf numFmtId="0" fontId="25" fillId="10" borderId="7002" applyAlignment="1">
      <alignment horizontal="center" vertical="top"/>
    </xf>
    <xf numFmtId="0" fontId="25" fillId="10" borderId="7009" applyAlignment="1">
      <alignment horizontal="left" vertical="top"/>
    </xf>
    <xf numFmtId="0" fontId="12" fillId="0" borderId="7001"/>
    <xf numFmtId="0" fontId="48" fillId="0" borderId="7359" applyAlignment="1">
      <alignment horizontal="center"/>
    </xf>
    <xf numFmtId="4" fontId="224" fillId="54" borderId="7004" applyAlignment="1">
      <alignment vertical="center"/>
    </xf>
    <xf numFmtId="4" fontId="226" fillId="81" borderId="7004" applyAlignment="1">
      <alignment horizontal="right" vertical="center"/>
    </xf>
    <xf numFmtId="190" fontId="12" fillId="14" borderId="7347" applyAlignment="1">
      <alignment horizontal="right"/>
    </xf>
    <xf numFmtId="0" fontId="288" fillId="0" borderId="7022"/>
    <xf numFmtId="187" fontId="250" fillId="0" borderId="7347" applyAlignment="1">
      <alignment horizontal="center"/>
    </xf>
    <xf numFmtId="0" fontId="101" fillId="0" borderId="7347"/>
    <xf numFmtId="188" fontId="240" fillId="0" borderId="7347" applyAlignment="1">
      <alignment horizontal="right" vertical="center"/>
    </xf>
    <xf numFmtId="172" fontId="234" fillId="3" borderId="7002"/>
    <xf numFmtId="0" fontId="48" fillId="0" borderId="7359" applyAlignment="1">
      <alignment horizontal="center"/>
    </xf>
    <xf numFmtId="313" fontId="101" fillId="0" borderId="7347"/>
    <xf numFmtId="313" fontId="12" fillId="76" borderId="7004" applyAlignment="1">
      <alignment horizontal="left" vertical="top" indent="1"/>
    </xf>
    <xf numFmtId="10" fontId="12" fillId="3" borderId="7014" applyProtection="1">
      <protection locked="0" hidden="0"/>
    </xf>
    <xf numFmtId="314" fontId="78" fillId="14" borderId="7349"/>
    <xf numFmtId="314" fontId="74" fillId="0" borderId="7359" applyAlignment="1">
      <alignment horizont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186" fontId="79" fillId="0" borderId="7346"/>
    <xf numFmtId="0" fontId="75" fillId="0" borderId="7348"/>
    <xf numFmtId="185" fontId="146" fillId="3" borderId="7347" applyAlignment="1">
      <alignment horizontal="left" vertical="center"/>
    </xf>
    <xf numFmtId="185" fontId="140" fillId="3" borderId="7351" applyAlignment="1">
      <alignment horizontal="center" vertical="center"/>
    </xf>
    <xf numFmtId="10" fontId="12" fillId="3" borderId="7014" applyProtection="1">
      <protection locked="0" hidden="0"/>
    </xf>
    <xf numFmtId="186" fontId="79" fillId="0" borderId="7346"/>
    <xf numFmtId="183" fontId="9" fillId="3" borderId="7347" applyAlignment="1">
      <alignment horizontal="right" vertical="center"/>
    </xf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313" fontId="12" fillId="3" borderId="7002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10" fillId="0" borderId="7347" applyProtection="1">
      <protection locked="0" hidden="0"/>
    </xf>
    <xf numFmtId="0" fontId="25" fillId="10" borderId="7356" applyAlignment="1">
      <alignment horizontal="left" vertical="top"/>
    </xf>
    <xf numFmtId="0" fontId="25" fillId="10" borderId="7013" applyAlignment="1">
      <alignment horizontal="left" vertical="top"/>
    </xf>
    <xf numFmtId="185" fontId="146" fillId="3" borderId="7350" applyAlignment="1">
      <alignment horizontal="left"/>
    </xf>
    <xf numFmtId="186" fontId="79" fillId="0" borderId="7346"/>
    <xf numFmtId="0" fontId="75" fillId="0" borderId="7348"/>
    <xf numFmtId="293" fontId="234" fillId="3" borderId="7002"/>
    <xf numFmtId="0" fontId="75" fillId="0" borderId="7348"/>
    <xf numFmtId="252" fontId="9" fillId="3" borderId="7347" applyAlignment="1">
      <alignment horizontal="right" vertical="center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0" fontId="135" fillId="0" borderId="7002"/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25" fillId="10" borderId="7008" applyAlignment="1">
      <alignment horizontal="left" vertical="top"/>
    </xf>
    <xf numFmtId="313" fontId="12" fillId="10" borderId="7002"/>
    <xf numFmtId="0" fontId="25" fillId="10" borderId="7357" applyAlignment="1">
      <alignment horizontal="left" vertical="top"/>
    </xf>
    <xf numFmtId="314" fontId="12" fillId="76" borderId="7004" applyAlignment="1">
      <alignment horizontal="left" vertical="center" indent="1"/>
    </xf>
    <xf numFmtId="0" fontId="283" fillId="104" borderId="7020"/>
    <xf numFmtId="0" fontId="12" fillId="0" borderId="7001"/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4" fontId="226" fillId="79" borderId="7004" applyAlignment="1">
      <alignment horizontal="right" vertical="center"/>
    </xf>
    <xf numFmtId="0" fontId="25" fillId="10" borderId="7354" applyAlignment="1">
      <alignment horizontal="left" vertical="top"/>
    </xf>
    <xf numFmtId="0" fontId="75" fillId="0" borderId="7348"/>
    <xf numFmtId="314" fontId="25" fillId="10" borderId="7007" applyAlignment="1">
      <alignment horizontal="left"/>
    </xf>
    <xf numFmtId="314" fontId="12" fillId="0" borderId="7001"/>
    <xf numFmtId="314" fontId="25" fillId="10" borderId="7356" applyAlignment="1">
      <alignment horizontal="left" vertical="top"/>
    </xf>
    <xf numFmtId="293" fontId="234" fillId="3" borderId="7002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190" fontId="12" fillId="14" borderId="7347" applyAlignment="1">
      <alignment horizontal="right"/>
    </xf>
    <xf numFmtId="0" fontId="113" fillId="0" borderId="7347"/>
    <xf numFmtId="0" fontId="78" fillId="14" borderId="7349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0" fontId="48" fillId="0" borderId="7001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314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002" applyAlignment="1">
      <alignment horizontal="center" vertical="top"/>
    </xf>
    <xf numFmtId="0" fontId="25" fillId="10" borderId="7356" applyAlignment="1">
      <alignment horizontal="left" vertical="top"/>
    </xf>
    <xf numFmtId="10" fontId="12" fillId="61" borderId="7006"/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314" fontId="242" fillId="0" borderId="7347" applyAlignment="1">
      <alignment horizontal="center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0" fontId="113" fillId="0" borderId="7347"/>
    <xf numFmtId="0" fontId="2" fillId="0" borderId="7352"/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190" fontId="12" fillId="14" borderId="7347" applyAlignment="1">
      <alignment horizontal="right"/>
    </xf>
    <xf numFmtId="0" fontId="25" fillId="10" borderId="7013" applyAlignment="1">
      <alignment horizontal="left" vertical="top"/>
    </xf>
    <xf numFmtId="314" fontId="101" fillId="0" borderId="7347"/>
    <xf numFmtId="187" fontId="296" fillId="0" borderId="7347" applyAlignment="1">
      <alignment horizontal="center"/>
    </xf>
    <xf numFmtId="0" fontId="75" fillId="0" borderId="7348"/>
    <xf numFmtId="0" fontId="75" fillId="0" borderId="7348"/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5" fontId="146" fillId="3" borderId="7350" applyAlignment="1">
      <alignment horizontal="left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4" fontId="223" fillId="53" borderId="7004" applyAlignment="1">
      <alignment horizontal="left" vertical="center" indent="1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101" fillId="0" borderId="7347"/>
    <xf numFmtId="10" fontId="12" fillId="3" borderId="7014" applyProtection="1">
      <protection locked="0" hidden="0"/>
    </xf>
    <xf numFmtId="314" fontId="241" fillId="95" borderId="7347" applyAlignment="1">
      <alignment horizontal="centerContinuous" vertical="center"/>
    </xf>
    <xf numFmtId="0" fontId="25" fillId="10" borderId="7009" applyAlignment="1">
      <alignment horizontal="left" vertical="top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12" fillId="10" borderId="700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314" fontId="25" fillId="10" borderId="7009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2" fillId="0" borderId="7001"/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12" fillId="0" borderId="7347" applyAlignment="1">
      <alignment horizontal="center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4" fontId="2" fillId="0" borderId="7352"/>
    <xf numFmtId="10" fontId="12" fillId="3" borderId="7014" applyProtection="1">
      <protection locked="0" hidden="0"/>
    </xf>
    <xf numFmtId="314" fontId="214" fillId="0" borderId="7353"/>
    <xf numFmtId="203" fontId="25" fillId="0" borderId="701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0" fontId="75" fillId="0" borderId="7348"/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314" fontId="25" fillId="10" borderId="7355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313" fontId="74" fillId="0" borderId="7359" applyAlignment="1">
      <alignment horizontal="center"/>
    </xf>
    <xf numFmtId="0" fontId="25" fillId="10" borderId="7012" applyAlignment="1">
      <alignment horizontal="left" vertical="top"/>
    </xf>
    <xf numFmtId="0" fontId="74" fillId="0" borderId="7359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313" fontId="25" fillId="10" borderId="7012" applyAlignment="1">
      <alignment horizontal="left" vertical="top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4" fontId="25" fillId="10" borderId="7002" applyAlignment="1">
      <alignment horizontal="center" vertical="top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314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314" fontId="25" fillId="10" borderId="7356" applyAlignment="1">
      <alignment horizontal="left" vertical="top"/>
    </xf>
    <xf numFmtId="1" fontId="74" fillId="0" borderId="7017" applyAlignment="1">
      <alignment horizontal="right"/>
    </xf>
    <xf numFmtId="187" fontId="250" fillId="0" borderId="7347" applyAlignment="1">
      <alignment horizontal="center"/>
    </xf>
    <xf numFmtId="314" fontId="25" fillId="10" borderId="7357" applyAlignment="1">
      <alignment horizontal="left" vertical="top"/>
    </xf>
    <xf numFmtId="0" fontId="113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314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293" fontId="234" fillId="10" borderId="7002"/>
    <xf numFmtId="0" fontId="276" fillId="55" borderId="7020"/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0" fontId="75" fillId="0" borderId="7348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293" fontId="234" fillId="10" borderId="7002"/>
    <xf numFmtId="0" fontId="113" fillId="0" borderId="7347"/>
    <xf numFmtId="313" fontId="12" fillId="0" borderId="7001"/>
    <xf numFmtId="0" fontId="241" fillId="95" borderId="7347" applyAlignment="1">
      <alignment horizontal="centerContinuous" vertical="center"/>
    </xf>
    <xf numFmtId="314" fontId="48" fillId="0" borderId="7001"/>
    <xf numFmtId="313" fontId="101" fillId="0" borderId="7347"/>
    <xf numFmtId="9" fontId="12" fillId="61" borderId="7006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4" fontId="12" fillId="61" borderId="7006"/>
    <xf numFmtId="313" fontId="113" fillId="0" borderId="7347"/>
    <xf numFmtId="313" fontId="75" fillId="0" borderId="7348"/>
    <xf numFmtId="313" fontId="241" fillId="95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313" fontId="75" fillId="0" borderId="7348"/>
    <xf numFmtId="313" fontId="78" fillId="14" borderId="7349"/>
    <xf numFmtId="314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2" fillId="10" borderId="7002"/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25" fillId="10" borderId="7354" applyAlignment="1">
      <alignment horizontal="left" vertical="top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" fontId="154" fillId="66" borderId="7069" applyAlignment="1" applyProtection="1">
      <alignment horizontal="centerContinuous" vertical="center"/>
      <protection locked="0" hidden="0"/>
    </xf>
    <xf numFmtId="186" fontId="79" fillId="0" borderId="7346"/>
    <xf numFmtId="0" fontId="25" fillId="10" borderId="7354" applyAlignment="1">
      <alignment horizontal="left" vertical="top"/>
    </xf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0" fontId="241" fillId="95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293" fontId="234" fillId="10" borderId="7002"/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313" fontId="210" fillId="0" borderId="7347" applyProtection="1">
      <protection locked="0" hidden="0"/>
    </xf>
    <xf numFmtId="313" fontId="25" fillId="10" borderId="7008" applyAlignment="1">
      <alignment horizontal="left" vertical="top"/>
    </xf>
    <xf numFmtId="313" fontId="2" fillId="0" borderId="7352"/>
    <xf numFmtId="0" fontId="210" fillId="0" borderId="7347" applyProtection="1">
      <protection locked="0" hidden="0"/>
    </xf>
    <xf numFmtId="313" fontId="136" fillId="85" borderId="7004" applyAlignment="1">
      <alignment horizontal="left" vertical="top" indent="1"/>
    </xf>
    <xf numFmtId="0" fontId="166" fillId="0" borderId="7347" applyAlignment="1">
      <alignment horizontal="center"/>
    </xf>
    <xf numFmtId="313" fontId="214" fillId="0" borderId="7353"/>
    <xf numFmtId="0" fontId="135" fillId="0" borderId="7002"/>
    <xf numFmtId="0" fontId="276" fillId="55" borderId="7020"/>
    <xf numFmtId="186" fontId="79" fillId="0" borderId="7346"/>
    <xf numFmtId="0" fontId="25" fillId="10" borderId="7357" applyAlignment="1">
      <alignment horizontal="left" vertical="top"/>
    </xf>
    <xf numFmtId="0" fontId="101" fillId="0" borderId="7347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25" fillId="10" borderId="7355" applyAlignment="1">
      <alignment horizontal="left" vertical="top"/>
    </xf>
    <xf numFmtId="0" fontId="75" fillId="0" borderId="7348"/>
    <xf numFmtId="0" fontId="25" fillId="10" borderId="7356" applyAlignment="1">
      <alignment horizontal="left" vertical="top"/>
    </xf>
    <xf numFmtId="313" fontId="48" fillId="0" borderId="7359" applyAlignment="1">
      <alignment horizont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7" applyAlignment="1">
      <alignment horizontal="left" vertical="top"/>
    </xf>
    <xf numFmtId="0" fontId="2" fillId="0" borderId="7352"/>
    <xf numFmtId="313" fontId="241" fillId="95" borderId="7347" applyAlignment="1">
      <alignment horizontal="centerContinuous" vertical="center"/>
    </xf>
    <xf numFmtId="314" fontId="12" fillId="53" borderId="7004" applyAlignment="1">
      <alignment horizontal="left" vertical="center" indent="1"/>
    </xf>
    <xf numFmtId="314" fontId="25" fillId="10" borderId="7355" applyAlignment="1">
      <alignment horizontal="left" vertical="top"/>
    </xf>
    <xf numFmtId="314" fontId="25" fillId="10" borderId="7011" applyAlignment="1">
      <alignment horizontal="left" vertical="top"/>
    </xf>
    <xf numFmtId="187" fontId="296" fillId="0" borderId="7347" applyAlignment="1">
      <alignment horizontal="center"/>
    </xf>
    <xf numFmtId="314" fontId="12" fillId="0" borderId="7001"/>
    <xf numFmtId="190" fontId="12" fillId="14" borderId="7347" applyAlignment="1">
      <alignment horizontal="right"/>
    </xf>
    <xf numFmtId="0" fontId="75" fillId="0" borderId="7348"/>
    <xf numFmtId="314" fontId="165" fillId="0" borderId="7347" applyAlignment="1">
      <alignment horizontal="center"/>
    </xf>
    <xf numFmtId="0" fontId="25" fillId="10" borderId="7356" applyAlignment="1">
      <alignment horizontal="left" vertical="top"/>
    </xf>
    <xf numFmtId="314" fontId="12" fillId="85" borderId="7004" applyAlignment="1">
      <alignment horizontal="left" vertical="center" indent="1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0" fontId="101" fillId="0" borderId="7347"/>
    <xf numFmtId="252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313" fontId="12" fillId="85" borderId="7004" applyAlignment="1">
      <alignment horizontal="left" vertical="center" indent="1"/>
    </xf>
    <xf numFmtId="313" fontId="12" fillId="0" borderId="7347" applyAlignment="1">
      <alignment horizontal="center"/>
    </xf>
    <xf numFmtId="0" fontId="12" fillId="85" borderId="7004" applyAlignment="1">
      <alignment horizontal="left" vertical="center" indent="1"/>
    </xf>
    <xf numFmtId="0" fontId="214" fillId="0" borderId="7353"/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185" fontId="48" fillId="3" borderId="7359" applyAlignment="1">
      <alignment vertical="center"/>
    </xf>
    <xf numFmtId="0" fontId="25" fillId="10" borderId="7002" applyAlignment="1">
      <alignment horizontal="center" vertical="top"/>
    </xf>
    <xf numFmtId="252" fontId="9" fillId="3" borderId="7347" applyAlignment="1">
      <alignment horizontal="right" vertical="center"/>
    </xf>
    <xf numFmtId="187" fontId="250" fillId="0" borderId="7347" applyAlignment="1">
      <alignment horizontal="center"/>
    </xf>
    <xf numFmtId="252" fontId="9" fillId="3" borderId="7347" applyAlignment="1">
      <alignment horizontal="right" vertical="center"/>
    </xf>
    <xf numFmtId="0" fontId="2" fillId="0" borderId="7352"/>
    <xf numFmtId="185" fontId="140" fillId="3" borderId="7351" applyAlignment="1">
      <alignment horizontal="center" vertical="center"/>
    </xf>
    <xf numFmtId="0" fontId="12" fillId="0" borderId="7001"/>
    <xf numFmtId="0" fontId="25" fillId="10" borderId="7002" applyAlignment="1">
      <alignment horizontal="center" vertical="top"/>
    </xf>
    <xf numFmtId="186" fontId="79" fillId="0" borderId="7346"/>
    <xf numFmtId="313" fontId="214" fillId="0" borderId="7353"/>
    <xf numFmtId="10" fontId="12" fillId="3" borderId="7014" applyProtection="1">
      <protection locked="0" hidden="0"/>
    </xf>
    <xf numFmtId="314" fontId="75" fillId="0" borderId="7348"/>
    <xf numFmtId="314" fontId="75" fillId="0" borderId="7348"/>
    <xf numFmtId="314" fontId="101" fillId="0" borderId="7347"/>
    <xf numFmtId="0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172" fontId="234" fillId="10" borderId="7002"/>
    <xf numFmtId="0" fontId="25" fillId="10" borderId="7013" applyAlignment="1">
      <alignment horizontal="left" vertical="top"/>
    </xf>
    <xf numFmtId="314" fontId="113" fillId="0" borderId="7347"/>
    <xf numFmtId="314" fontId="75" fillId="0" borderId="7348"/>
    <xf numFmtId="0" fontId="46" fillId="0" borderId="7001"/>
    <xf numFmtId="5" fontId="114" fillId="0" borderId="7359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0" fontId="288" fillId="0" borderId="7022"/>
    <xf numFmtId="0" fontId="101" fillId="0" borderId="7347"/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314" fontId="12" fillId="3" borderId="7002"/>
    <xf numFmtId="314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2" fillId="0" borderId="7001"/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5" fillId="10" borderId="7357" applyAlignment="1">
      <alignment horizontal="left" vertical="top"/>
    </xf>
    <xf numFmtId="313" fontId="135" fillId="0" borderId="7002"/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0" fontId="12" fillId="10" borderId="7002"/>
    <xf numFmtId="313" fontId="25" fillId="10" borderId="7357" applyAlignment="1">
      <alignment horizontal="left" vertical="top"/>
    </xf>
    <xf numFmtId="0" fontId="166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0" fontId="12" fillId="0" borderId="7347" applyAlignment="1">
      <alignment horizontal="center"/>
    </xf>
    <xf numFmtId="4" fontId="229" fillId="85" borderId="7005" applyAlignment="1">
      <alignment horizontal="left" vertical="center" indent="1"/>
    </xf>
    <xf numFmtId="186" fontId="79" fillId="0" borderId="7346"/>
    <xf numFmtId="314" fontId="2" fillId="0" borderId="7352"/>
    <xf numFmtId="0" fontId="214" fillId="0" borderId="7353"/>
    <xf numFmtId="252" fontId="9" fillId="3" borderId="7347" applyAlignment="1">
      <alignment horizontal="right" vertical="center"/>
    </xf>
    <xf numFmtId="0" fontId="25" fillId="10" borderId="7011" applyAlignment="1">
      <alignment horizontal="left" vertical="top"/>
    </xf>
    <xf numFmtId="314" fontId="214" fillId="0" borderId="7353"/>
    <xf numFmtId="241" fontId="48" fillId="0" borderId="100"/>
    <xf numFmtId="0" fontId="159" fillId="68" borderId="7002"/>
    <xf numFmtId="0" fontId="78" fillId="14" borderId="7349"/>
    <xf numFmtId="185" fontId="140" fillId="3" borderId="7351" applyAlignment="1">
      <alignment horizontal="center" vertical="center"/>
    </xf>
    <xf numFmtId="0" fontId="78" fillId="14" borderId="7349"/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0" fontId="78" fillId="14" borderId="7349"/>
    <xf numFmtId="0" fontId="214" fillId="0" borderId="7353"/>
    <xf numFmtId="0" fontId="113" fillId="0" borderId="7347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75" fillId="0" borderId="7348"/>
    <xf numFmtId="183" fontId="9" fillId="3" borderId="7347" applyAlignment="1">
      <alignment horizontal="right" vertical="center"/>
    </xf>
    <xf numFmtId="0" fontId="25" fillId="10" borderId="7357" applyAlignment="1">
      <alignment horizontal="left" vertical="top"/>
    </xf>
    <xf numFmtId="313" fontId="75" fillId="0" borderId="7348"/>
    <xf numFmtId="313" fontId="78" fillId="14" borderId="7349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3" fontId="12" fillId="0" borderId="7001"/>
    <xf numFmtId="314" fontId="241" fillId="95" borderId="7347" applyAlignment="1">
      <alignment horizontal="centerContinuous" vertical="center"/>
    </xf>
    <xf numFmtId="314" fontId="184" fillId="0" borderId="7003" applyAlignment="1">
      <alignment horizontal="left" wrapText="1"/>
    </xf>
    <xf numFmtId="314" fontId="12" fillId="53" borderId="7004" applyAlignment="1">
      <alignment horizontal="left" vertical="top" indent="1"/>
    </xf>
    <xf numFmtId="314" fontId="12" fillId="10" borderId="7002"/>
    <xf numFmtId="314" fontId="25" fillId="10" borderId="7010" applyAlignment="1">
      <alignment horizontal="left" vertical="top"/>
    </xf>
    <xf numFmtId="314" fontId="25" fillId="10" borderId="7357" applyAlignment="1">
      <alignment horizontal="left" vertical="top"/>
    </xf>
    <xf numFmtId="187" fontId="296" fillId="0" borderId="7347" applyAlignment="1">
      <alignment horizontal="center"/>
    </xf>
    <xf numFmtId="314" fontId="12" fillId="0" borderId="7001"/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0" fontId="241" fillId="95" borderId="7347" applyAlignment="1">
      <alignment horizontal="centerContinuous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2" fillId="53" borderId="7004" applyAlignment="1">
      <alignment horizontal="left" vertical="center" indent="1"/>
    </xf>
    <xf numFmtId="185" fontId="146" fillId="3" borderId="7347" applyAlignment="1">
      <alignment horizontal="left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12" fillId="53" borderId="7004" applyAlignment="1">
      <alignment horizontal="left" vertical="top" indent="1"/>
    </xf>
    <xf numFmtId="4" fontId="12" fillId="61" borderId="7006"/>
    <xf numFmtId="0" fontId="25" fillId="10" borderId="7356" applyAlignment="1">
      <alignment horizontal="left" vertical="top"/>
    </xf>
    <xf numFmtId="314" fontId="12" fillId="10" borderId="7002"/>
    <xf numFmtId="314" fontId="25" fillId="10" borderId="7354" applyAlignment="1">
      <alignment horizontal="left" vertical="top"/>
    </xf>
    <xf numFmtId="4" fontId="226" fillId="11" borderId="7004" applyAlignment="1">
      <alignment vertical="center"/>
    </xf>
    <xf numFmtId="252" fontId="9" fillId="3" borderId="7347" applyAlignment="1">
      <alignment horizontal="right" vertic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159" fillId="0" borderId="7002"/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4" fontId="228" fillId="11" borderId="7004" applyAlignment="1">
      <alignment horizontal="right" vertical="center"/>
    </xf>
    <xf numFmtId="0" fontId="2" fillId="0" borderId="7352"/>
    <xf numFmtId="190" fontId="12" fillId="14" borderId="7347" applyAlignment="1">
      <alignment horizontal="right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4" fontId="226" fillId="78" borderId="7004" applyAlignment="1">
      <alignment horizontal="right" vertical="center"/>
    </xf>
    <xf numFmtId="185" fontId="146" fillId="3" borderId="7347" applyAlignment="1">
      <alignment horizontal="left" vertical="center"/>
    </xf>
    <xf numFmtId="0" fontId="2" fillId="0" borderId="7352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189" fontId="46" fillId="0" borderId="7347"/>
    <xf numFmtId="189" fontId="46" fillId="0" borderId="7347"/>
    <xf numFmtId="0" fontId="12" fillId="0" borderId="7001"/>
    <xf numFmtId="0" fontId="135" fillId="0" borderId="7002"/>
    <xf numFmtId="4" fontId="223" fillId="53" borderId="7004" applyAlignment="1">
      <alignment horizontal="left" vertical="center" indent="1"/>
    </xf>
    <xf numFmtId="4" fontId="228" fillId="11" borderId="7004" applyAlignment="1">
      <alignment vertical="center"/>
    </xf>
    <xf numFmtId="4" fontId="184" fillId="11" borderId="7004" applyAlignment="1">
      <alignment horizontal="righ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166" fillId="0" borderId="7347" applyAlignment="1">
      <alignment horizontal="center"/>
    </xf>
    <xf numFmtId="189" fontId="46" fillId="0" borderId="7347"/>
    <xf numFmtId="0" fontId="101" fillId="0" borderId="7347"/>
    <xf numFmtId="313" fontId="78" fillId="14" borderId="7349"/>
    <xf numFmtId="314" fontId="159" fillId="68" borderId="7002"/>
    <xf numFmtId="0" fontId="25" fillId="10" borderId="7357" applyAlignment="1">
      <alignment horizontal="left" vertical="top"/>
    </xf>
    <xf numFmtId="0" fontId="159" fillId="68" borderId="7002"/>
    <xf numFmtId="186" fontId="79" fillId="0" borderId="7346"/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189" fontId="46" fillId="0" borderId="7347"/>
    <xf numFmtId="0" fontId="25" fillId="10" borderId="7356" applyAlignment="1">
      <alignment horizontal="left" vertical="top"/>
    </xf>
    <xf numFmtId="313" fontId="12" fillId="0" borderId="7001"/>
    <xf numFmtId="203" fontId="25" fillId="0" borderId="701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314" fontId="12" fillId="11" borderId="7004" applyAlignment="1">
      <alignment horizontal="left" vertical="top" indent="1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313" fontId="159" fillId="0" borderId="7002"/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5" fontId="114" fillId="0" borderId="7359"/>
    <xf numFmtId="1" fontId="154" fillId="66" borderId="7069" applyAlignment="1" applyProtection="1">
      <alignment horizontal="centerContinuous" vertical="center"/>
      <protection locked="0" hidden="0"/>
    </xf>
    <xf numFmtId="185" fontId="146" fillId="3" borderId="7347" applyAlignment="1">
      <alignment horizontal="left" vertical="center"/>
    </xf>
    <xf numFmtId="0" fontId="25" fillId="10" borderId="7011" applyAlignment="1">
      <alignment horizontal="left" vertical="top"/>
    </xf>
    <xf numFmtId="185" fontId="146" fillId="3" borderId="7350" applyAlignment="1">
      <alignment horizontal="left"/>
    </xf>
    <xf numFmtId="0" fontId="214" fillId="0" borderId="7353"/>
    <xf numFmtId="0" fontId="241" fillId="95" borderId="7347" applyAlignment="1">
      <alignment horizontal="centerContinuous" vertical="center"/>
    </xf>
    <xf numFmtId="0" fontId="75" fillId="0" borderId="7348"/>
    <xf numFmtId="188" fontId="240" fillId="0" borderId="7347" applyAlignment="1">
      <alignment horizontal="right" vertical="center"/>
    </xf>
    <xf numFmtId="4" fontId="184" fillId="53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5" fillId="70" borderId="7002" applyAlignment="1">
      <alignment horizontal="left" vertical="center" wrapText="1"/>
    </xf>
    <xf numFmtId="0" fontId="46" fillId="0" borderId="7001"/>
    <xf numFmtId="172" fontId="234" fillId="3" borderId="7002"/>
    <xf numFmtId="0" fontId="12" fillId="53" borderId="7004" applyAlignment="1">
      <alignment horizontal="left" vertical="top" indent="1"/>
    </xf>
    <xf numFmtId="4" fontId="226" fillId="10" borderId="7004" applyAlignment="1">
      <alignment horizontal="right" vertical="center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310" fontId="267" fillId="0" borderId="7019" applyAlignment="1">
      <alignment horizontal="left"/>
    </xf>
    <xf numFmtId="314" fontId="242" fillId="0" borderId="7347" applyAlignment="1">
      <alignment horizontal="center"/>
    </xf>
    <xf numFmtId="185" fontId="140" fillId="3" borderId="7351" applyAlignment="1">
      <alignment horizontal="center" vertical="center"/>
    </xf>
    <xf numFmtId="10" fontId="12" fillId="3" borderId="7014" applyProtection="1">
      <protection locked="0" hidden="0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6" fillId="80" borderId="7004" applyAlignment="1">
      <alignment horizontal="right" vertical="center"/>
    </xf>
    <xf numFmtId="4" fontId="227" fillId="53" borderId="7005" applyAlignment="1">
      <alignment horizontal="left" vertical="center" indent="1"/>
    </xf>
    <xf numFmtId="293" fontId="234" fillId="10" borderId="7002"/>
    <xf numFmtId="186" fontId="79" fillId="0" borderId="7346"/>
    <xf numFmtId="0" fontId="105" fillId="0" borderId="7001"/>
    <xf numFmtId="0" fontId="184" fillId="0" borderId="7003" applyAlignment="1">
      <alignment horizontal="left" wrapText="1"/>
    </xf>
    <xf numFmtId="4" fontId="226" fillId="10" borderId="7004" applyAlignment="1">
      <alignment horizontal="right" vertical="center"/>
    </xf>
    <xf numFmtId="0" fontId="12" fillId="85" borderId="7004" applyAlignment="1">
      <alignment horizontal="left" vertical="top" inden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0" fontId="214" fillId="0" borderId="7353"/>
    <xf numFmtId="0" fontId="12" fillId="0" borderId="7001"/>
    <xf numFmtId="0" fontId="25" fillId="10" borderId="7008" applyAlignment="1">
      <alignment horizontal="left" vertical="top"/>
    </xf>
    <xf numFmtId="183" fontId="9" fillId="3" borderId="7347" applyAlignment="1">
      <alignment horizontal="right" vertical="center"/>
    </xf>
    <xf numFmtId="0" fontId="105" fillId="0" borderId="7001"/>
    <xf numFmtId="313" fontId="12" fillId="0" borderId="7001"/>
    <xf numFmtId="189" fontId="46" fillId="0" borderId="7347"/>
    <xf numFmtId="0" fontId="2" fillId="0" borderId="7352"/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190" fontId="12" fillId="14" borderId="7347" applyAlignment="1">
      <alignment horizontal="right"/>
    </xf>
    <xf numFmtId="314" fontId="242" fillId="0" borderId="7347" applyAlignment="1">
      <alignment horizontal="center"/>
    </xf>
    <xf numFmtId="4" fontId="226" fillId="83" borderId="7004" applyAlignment="1">
      <alignment horizontal="right" vertical="center"/>
    </xf>
    <xf numFmtId="313" fontId="165" fillId="0" borderId="7347" applyAlignment="1">
      <alignment horizontal="center"/>
    </xf>
    <xf numFmtId="0" fontId="78" fillId="14" borderId="7349"/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252" fontId="9" fillId="3" borderId="7347" applyAlignment="1">
      <alignment horizontal="right" vertical="center"/>
    </xf>
    <xf numFmtId="314" fontId="135" fillId="0" borderId="7002"/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5" fontId="48" fillId="3" borderId="7359" applyAlignment="1">
      <alignment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314" fontId="136" fillId="14" borderId="7004" applyAlignment="1">
      <alignment horizontal="left" vertical="top" indent="1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313" fontId="46" fillId="0" borderId="7001"/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46" fillId="0" borderId="7001"/>
    <xf numFmtId="293" fontId="234" fillId="10" borderId="7002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86" fillId="55" borderId="7021"/>
    <xf numFmtId="189" fontId="46" fillId="0" borderId="7347"/>
    <xf numFmtId="186" fontId="79" fillId="0" borderId="7346"/>
    <xf numFmtId="0" fontId="75" fillId="0" borderId="7348"/>
    <xf numFmtId="0" fontId="166" fillId="0" borderId="7347" applyAlignment="1">
      <alignment horizontal="center"/>
    </xf>
    <xf numFmtId="0" fontId="12" fillId="11" borderId="7004" applyAlignment="1">
      <alignment horizontal="left" vertical="center" indent="1"/>
    </xf>
    <xf numFmtId="4" fontId="226" fillId="80" borderId="7004" applyAlignment="1">
      <alignment horizontal="right" vertical="center"/>
    </xf>
    <xf numFmtId="203" fontId="25" fillId="0" borderId="7017" applyAlignment="1">
      <alignment horizont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12" fillId="0" borderId="7001"/>
    <xf numFmtId="0" fontId="136" fillId="85" borderId="7004" applyAlignment="1">
      <alignment horizontal="left" vertical="top" indent="1"/>
    </xf>
    <xf numFmtId="4" fontId="226" fillId="72" borderId="7004" applyAlignment="1">
      <alignment horizontal="right" vertical="center"/>
    </xf>
    <xf numFmtId="4" fontId="224" fillId="54" borderId="7004" applyAlignment="1">
      <alignment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314" fontId="159" fillId="0" borderId="7002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4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186" fontId="79" fillId="0" borderId="7346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0" fontId="12" fillId="3" borderId="7014" applyProtection="1">
      <protection locked="0" hidden="0"/>
    </xf>
    <xf numFmtId="0" fontId="25" fillId="10" borderId="7012" applyAlignment="1">
      <alignment horizontal="left" vertical="top"/>
    </xf>
    <xf numFmtId="0" fontId="25" fillId="10" borderId="7002" applyAlignment="1">
      <alignment horizontal="center" vertical="top"/>
    </xf>
    <xf numFmtId="0" fontId="136" fillId="14" borderId="7004" applyAlignment="1">
      <alignment horizontal="left" vertical="top" indent="1"/>
    </xf>
    <xf numFmtId="314" fontId="214" fillId="0" borderId="7353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86" fillId="55" borderId="7021"/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2" fillId="10" borderId="7002"/>
    <xf numFmtId="4" fontId="230" fillId="11" borderId="7004" applyAlignment="1">
      <alignment horizontal="right" vertical="center"/>
    </xf>
    <xf numFmtId="4" fontId="227" fillId="53" borderId="7005" applyAlignment="1">
      <alignment horizontal="left" vertical="center" indent="1"/>
    </xf>
    <xf numFmtId="313" fontId="136" fillId="14" borderId="7004" applyAlignment="1">
      <alignment horizontal="left" vertical="top" indent="1"/>
    </xf>
    <xf numFmtId="0" fontId="2" fillId="0" borderId="7352"/>
    <xf numFmtId="307" fontId="268" fillId="0" borderId="7019" applyAlignment="1">
      <alignment horizontal="right" wrapText="1"/>
    </xf>
    <xf numFmtId="187" fontId="250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183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35" fillId="0" borderId="7002"/>
    <xf numFmtId="313" fontId="12" fillId="11" borderId="7004" applyAlignment="1">
      <alignment horizontal="left" vertical="center" indent="1"/>
    </xf>
    <xf numFmtId="313" fontId="25" fillId="70" borderId="7002" applyAlignment="1">
      <alignment horizontal="left" vertical="center" wrapText="1"/>
    </xf>
    <xf numFmtId="252" fontId="9" fillId="3" borderId="7347" applyAlignment="1">
      <alignment horizontal="right" vertical="center"/>
    </xf>
    <xf numFmtId="186" fontId="79" fillId="0" borderId="7346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7" fontId="249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293" fontId="234" fillId="3" borderId="7002"/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01" fillId="0" borderId="7347"/>
    <xf numFmtId="0" fontId="25" fillId="10" borderId="7007" applyAlignment="1">
      <alignment horizontal="left"/>
    </xf>
    <xf numFmtId="0" fontId="136" fillId="85" borderId="7004" applyAlignment="1">
      <alignment horizontal="left" vertical="top" indent="1"/>
    </xf>
    <xf numFmtId="293" fontId="234" fillId="10" borderId="7002"/>
    <xf numFmtId="2" fontId="12" fillId="61" borderId="7006"/>
    <xf numFmtId="0" fontId="78" fillId="14" borderId="7349"/>
    <xf numFmtId="172" fontId="234" fillId="3" borderId="7002"/>
    <xf numFmtId="0" fontId="25" fillId="10" borderId="7002" applyAlignment="1">
      <alignment horizontal="center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" fontId="12" fillId="61" borderId="7006"/>
    <xf numFmtId="185" fontId="140" fillId="3" borderId="7351" applyAlignment="1">
      <alignment horizontal="center" vertic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313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2" fillId="0" borderId="7001"/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0" fontId="101" fillId="0" borderId="7347"/>
    <xf numFmtId="0" fontId="113" fillId="0" borderId="7347"/>
    <xf numFmtId="189" fontId="46" fillId="0" borderId="7347"/>
    <xf numFmtId="313" fontId="12" fillId="85" borderId="7004" applyAlignment="1">
      <alignment horizontal="left" vertical="top" indent="1"/>
    </xf>
    <xf numFmtId="0" fontId="12" fillId="10" borderId="700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1" fontId="145" fillId="3" borderId="7359" applyAlignment="1">
      <alignment horizontal="right" vertical="center"/>
    </xf>
    <xf numFmtId="4" fontId="226" fillId="77" borderId="7004" applyAlignment="1">
      <alignment horizontal="right" vertical="center"/>
    </xf>
    <xf numFmtId="4" fontId="226" fillId="83" borderId="7004" applyAlignment="1">
      <alignment horizontal="right" vertical="center"/>
    </xf>
    <xf numFmtId="0" fontId="12" fillId="85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horizontal="right" vertical="center"/>
    </xf>
    <xf numFmtId="3" fontId="12" fillId="61" borderId="7006"/>
    <xf numFmtId="9" fontId="12" fillId="61" borderId="7006"/>
    <xf numFmtId="314" fontId="113" fillId="0" borderId="7347"/>
    <xf numFmtId="314" fontId="46" fillId="0" borderId="7001"/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190" fontId="12" fillId="14" borderId="7347" applyAlignment="1">
      <alignment horizontal="right"/>
    </xf>
    <xf numFmtId="190" fontId="12" fillId="14" borderId="7347" applyAlignment="1">
      <alignment horizontal="right"/>
    </xf>
    <xf numFmtId="0" fontId="113" fillId="0" borderId="7347"/>
    <xf numFmtId="0" fontId="214" fillId="0" borderId="7353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5" fillId="0" borderId="7348"/>
    <xf numFmtId="186" fontId="79" fillId="0" borderId="7346"/>
    <xf numFmtId="0" fontId="12" fillId="0" borderId="7347" applyAlignment="1">
      <alignment horizont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85" fontId="140" fillId="3" borderId="7351" applyAlignment="1">
      <alignment horizontal="center" vertical="center"/>
    </xf>
    <xf numFmtId="0" fontId="214" fillId="0" borderId="7353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113" fillId="0" borderId="7347"/>
    <xf numFmtId="314" fontId="105" fillId="0" borderId="7001"/>
    <xf numFmtId="186" fontId="79" fillId="0" borderId="7346"/>
    <xf numFmtId="0" fontId="101" fillId="0" borderId="7347"/>
    <xf numFmtId="10" fontId="12" fillId="61" borderId="7006"/>
    <xf numFmtId="4" fontId="230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2" fillId="11" borderId="7004" applyAlignment="1">
      <alignment horizontal="left" vertical="top" indent="1"/>
    </xf>
    <xf numFmtId="4" fontId="184" fillId="53" borderId="7004" applyAlignment="1">
      <alignment horizontal="right" vertical="center"/>
    </xf>
    <xf numFmtId="0" fontId="12" fillId="85" borderId="7004" applyAlignment="1">
      <alignment horizontal="left" vertical="center" indent="1"/>
    </xf>
    <xf numFmtId="4" fontId="226" fillId="82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113" fillId="0" borderId="7347"/>
    <xf numFmtId="186" fontId="79" fillId="0" borderId="7346"/>
    <xf numFmtId="0" fontId="25" fillId="10" borderId="7011" applyAlignment="1">
      <alignment horizontal="left" vertical="top"/>
    </xf>
    <xf numFmtId="0" fontId="12" fillId="0" borderId="7001"/>
    <xf numFmtId="313" fontId="2" fillId="0" borderId="7352"/>
    <xf numFmtId="0" fontId="2" fillId="0" borderId="7352"/>
    <xf numFmtId="0" fontId="166" fillId="0" borderId="7347" applyAlignment="1">
      <alignment horizontal="center"/>
    </xf>
    <xf numFmtId="0" fontId="101" fillId="0" borderId="7347"/>
    <xf numFmtId="185" fontId="146" fillId="3" borderId="7347" applyAlignment="1">
      <alignment horizontal="left" vertical="center"/>
    </xf>
    <xf numFmtId="313" fontId="12" fillId="0" borderId="7001"/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0" fontId="25" fillId="10" borderId="7007" applyAlignment="1">
      <alignment horizontal="left"/>
    </xf>
    <xf numFmtId="0" fontId="74" fillId="0" borderId="7359" applyAlignment="1">
      <alignment horizontal="center"/>
    </xf>
    <xf numFmtId="0" fontId="135" fillId="0" borderId="7002"/>
    <xf numFmtId="0" fontId="159" fillId="68" borderId="7002"/>
    <xf numFmtId="0" fontId="184" fillId="0" borderId="7003" applyAlignment="1">
      <alignment horizontal="left" wrapText="1"/>
    </xf>
    <xf numFmtId="0" fontId="225" fillId="54" borderId="7004" applyAlignment="1">
      <alignment horizontal="left" vertical="top" indent="1"/>
    </xf>
    <xf numFmtId="4" fontId="226" fillId="81" borderId="7004" applyAlignment="1">
      <alignment horizontal="right" vertical="center"/>
    </xf>
    <xf numFmtId="0" fontId="12" fillId="76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313" fontId="184" fillId="0" borderId="7003" applyAlignment="1">
      <alignment horizontal="left" wrapText="1"/>
    </xf>
    <xf numFmtId="0" fontId="2" fillId="0" borderId="7352"/>
    <xf numFmtId="0" fontId="113" fillId="0" borderId="7347"/>
    <xf numFmtId="185" fontId="146" fillId="3" borderId="7350" applyAlignment="1">
      <alignment horizontal="left"/>
    </xf>
    <xf numFmtId="0" fontId="101" fillId="0" borderId="7347"/>
    <xf numFmtId="186" fontId="79" fillId="0" borderId="7346"/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101" fillId="0" borderId="7347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314" fontId="12" fillId="0" borderId="7001"/>
    <xf numFmtId="185" fontId="146" fillId="3" borderId="7347" applyAlignment="1">
      <alignment horizontal="left" vertical="center"/>
    </xf>
    <xf numFmtId="0" fontId="48" fillId="0" borderId="7001"/>
    <xf numFmtId="186" fontId="79" fillId="0" borderId="7346"/>
    <xf numFmtId="0" fontId="25" fillId="10" borderId="7354" applyAlignment="1">
      <alignment horizontal="left" vertical="top"/>
    </xf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0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0" fontId="25" fillId="10" borderId="7354" applyAlignment="1">
      <alignment horizontal="left" vertical="top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5" borderId="7347" applyAlignment="1">
      <alignment horizontal="centerContinuous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313" fontId="135" fillId="0" borderId="7002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8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4" fontId="226" fillId="78" borderId="7004" applyAlignment="1">
      <alignment horizontal="right" vertical="center"/>
    </xf>
    <xf numFmtId="252" fontId="9" fillId="3" borderId="7347" applyAlignment="1">
      <alignment horizontal="right" vertical="center"/>
    </xf>
    <xf numFmtId="0" fontId="25" fillId="70" borderId="7002" applyAlignment="1">
      <alignment horizontal="left" vertical="center" wrapText="1"/>
    </xf>
    <xf numFmtId="4" fontId="226" fillId="82" borderId="7004" applyAlignment="1">
      <alignment horizontal="right" vertical="center"/>
    </xf>
    <xf numFmtId="0" fontId="184" fillId="0" borderId="7003" applyAlignment="1">
      <alignment horizontal="left" wrapText="1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4" fillId="0" borderId="7353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6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8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313" fontId="159" fillId="0" borderId="7002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75" fillId="0" borderId="7348"/>
    <xf numFmtId="186" fontId="79" fillId="0" borderId="7346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4" fontId="226" fillId="83" borderId="7004" applyAlignment="1">
      <alignment horizontal="right" vertical="center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5" borderId="7020"/>
    <xf numFmtId="186" fontId="79" fillId="0" borderId="7346"/>
    <xf numFmtId="0" fontId="101" fillId="0" borderId="7347"/>
    <xf numFmtId="0" fontId="283" fillId="104" borderId="7020"/>
    <xf numFmtId="0" fontId="50" fillId="118" borderId="7003"/>
    <xf numFmtId="0" fontId="78" fillId="14" borderId="7349"/>
    <xf numFmtId="185" fontId="146" fillId="3" borderId="7350" applyAlignment="1">
      <alignment horizontal="left"/>
    </xf>
    <xf numFmtId="0" fontId="286" fillId="55" borderId="7021"/>
    <xf numFmtId="0" fontId="283" fillId="104" borderId="7020"/>
    <xf numFmtId="186" fontId="79" fillId="0" borderId="7346"/>
    <xf numFmtId="0" fontId="288" fillId="0" borderId="7022"/>
    <xf numFmtId="0" fontId="276" fillId="55" borderId="7020"/>
    <xf numFmtId="0" fontId="2" fillId="0" borderId="7352"/>
    <xf numFmtId="0" fontId="214" fillId="0" borderId="7353"/>
    <xf numFmtId="0" fontId="78" fillId="14" borderId="7349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5" borderId="7021"/>
    <xf numFmtId="185" fontId="146" fillId="3" borderId="7350" applyAlignment="1">
      <alignment horizontal="left"/>
    </xf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8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0" fontId="74" fillId="0" borderId="7359" applyAlignment="1">
      <alignment horizontal="center"/>
    </xf>
    <xf numFmtId="313" fontId="25" fillId="70" borderId="7002" applyAlignment="1">
      <alignment horizontal="left" vertical="center" wrapText="1"/>
    </xf>
    <xf numFmtId="313" fontId="184" fillId="0" borderId="7003" applyAlignment="1">
      <alignment horizontal="left" wrapText="1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4" borderId="7004" applyAlignment="1">
      <alignment horizontal="left" vertical="top" indent="1"/>
    </xf>
    <xf numFmtId="313" fontId="12" fillId="76" borderId="7004" applyAlignment="1">
      <alignment horizontal="left" vertical="center" indent="1"/>
    </xf>
    <xf numFmtId="313" fontId="12" fillId="76" borderId="7004" applyAlignment="1">
      <alignment horizontal="left" vertical="top" indent="1"/>
    </xf>
    <xf numFmtId="313" fontId="12" fillId="85" borderId="7004" applyAlignment="1">
      <alignment horizontal="left" vertical="center" indent="1"/>
    </xf>
    <xf numFmtId="313" fontId="12" fillId="85" borderId="7004" applyAlignment="1">
      <alignment horizontal="left" vertical="top" indent="1"/>
    </xf>
    <xf numFmtId="313" fontId="12" fillId="53" borderId="7004" applyAlignment="1">
      <alignment horizontal="left" vertical="center" indent="1"/>
    </xf>
    <xf numFmtId="313" fontId="12" fillId="53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5" borderId="7004" applyAlignment="1">
      <alignment horizontal="left" vertical="top" indent="1"/>
    </xf>
    <xf numFmtId="0" fontId="25" fillId="10" borderId="7355" applyAlignment="1">
      <alignment horizontal="left" vertical="top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5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0" fontId="165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9" fontId="46" fillId="0" borderId="7347"/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8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0" fontId="12" fillId="10" borderId="7002"/>
    <xf numFmtId="314" fontId="25" fillId="70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4" borderId="7004" applyAlignment="1">
      <alignment horizontal="left" vertical="top" indent="1"/>
    </xf>
    <xf numFmtId="314" fontId="12" fillId="76" borderId="7004" applyAlignment="1">
      <alignment horizontal="left" vertical="center" indent="1"/>
    </xf>
    <xf numFmtId="314" fontId="12" fillId="76" borderId="7004" applyAlignment="1">
      <alignment horizontal="left" vertical="top" indent="1"/>
    </xf>
    <xf numFmtId="314" fontId="12" fillId="85" borderId="7004" applyAlignment="1">
      <alignment horizontal="left" vertical="center" indent="1"/>
    </xf>
    <xf numFmtId="314" fontId="12" fillId="85" borderId="7004" applyAlignment="1">
      <alignment horizontal="left" vertical="top" indent="1"/>
    </xf>
    <xf numFmtId="314" fontId="12" fillId="53" borderId="7004" applyAlignment="1">
      <alignment horizontal="left" vertical="center" indent="1"/>
    </xf>
    <xf numFmtId="314" fontId="12" fillId="53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5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5" borderId="7347" applyAlignment="1">
      <alignment horizontal="centerContinuous" vertical="center"/>
    </xf>
    <xf numFmtId="10" fontId="12" fillId="3" borderId="7014" applyProtection="1">
      <protection locked="0" hidden="0"/>
    </xf>
    <xf numFmtId="0" fontId="241" fillId="95" borderId="7347" applyAlignment="1">
      <alignment horizontal="centerContinuous" vertical="center"/>
    </xf>
    <xf numFmtId="313" fontId="165" fillId="0" borderId="7347" applyAlignment="1">
      <alignment horizontal="center"/>
    </xf>
    <xf numFmtId="0" fontId="210" fillId="0" borderId="7347" applyProtection="1">
      <protection locked="0" hidden="0"/>
    </xf>
    <xf numFmtId="0" fontId="25" fillId="10" borderId="7357" applyAlignment="1">
      <alignment horizontal="left" vertical="top"/>
    </xf>
    <xf numFmtId="313" fontId="25" fillId="10" borderId="7354" applyAlignment="1">
      <alignment horizontal="left" vertical="top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59" fillId="0" borderId="7002"/>
    <xf numFmtId="0" fontId="159" fillId="68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203" fontId="25" fillId="0" borderId="701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7" fontId="249" fillId="0" borderId="7347" applyAlignment="1">
      <alignment horizontal="center"/>
    </xf>
    <xf numFmtId="0" fontId="12" fillId="0" borderId="7001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6" fontId="79" fillId="0" borderId="7346"/>
    <xf numFmtId="313" fontId="12" fillId="0" borderId="7001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12" fillId="3" borderId="7002"/>
    <xf numFmtId="0" fontId="241" fillId="95" borderId="7347" applyAlignment="1">
      <alignment horizontal="centerContinuous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002" applyAlignment="1">
      <alignment horizontal="center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59" fillId="0" borderId="7002"/>
    <xf numFmtId="0" fontId="159" fillId="68" borderId="7002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187" fontId="250" fillId="0" borderId="7347" applyAlignment="1">
      <alignment horizontal="center"/>
    </xf>
    <xf numFmtId="313" fontId="2" fillId="0" borderId="7352"/>
    <xf numFmtId="313" fontId="210" fillId="0" borderId="7347" applyProtection="1">
      <protection locked="0" hidden="0"/>
    </xf>
    <xf numFmtId="0" fontId="166" fillId="0" borderId="7347" applyAlignment="1">
      <alignment horizontal="center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5" borderId="7347" applyAlignment="1">
      <alignment horizontal="centerContinuous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8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347" applyAlignment="1">
      <alignment horizont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75" fillId="0" borderId="7348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6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8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0" fontId="113" fillId="0" borderId="7347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185" fontId="146" fillId="3" borderId="7350" applyAlignment="1">
      <alignment horizontal="left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5" borderId="7020"/>
    <xf numFmtId="186" fontId="79" fillId="0" borderId="7346"/>
    <xf numFmtId="0" fontId="101" fillId="0" borderId="7347"/>
    <xf numFmtId="0" fontId="283" fillId="104" borderId="7020"/>
    <xf numFmtId="0" fontId="50" fillId="118" borderId="7003"/>
    <xf numFmtId="0" fontId="78" fillId="14" borderId="7349"/>
    <xf numFmtId="0" fontId="286" fillId="55" borderId="7021"/>
    <xf numFmtId="0" fontId="283" fillId="104" borderId="7020"/>
    <xf numFmtId="186" fontId="79" fillId="0" borderId="7346"/>
    <xf numFmtId="0" fontId="288" fillId="0" borderId="7022"/>
    <xf numFmtId="0" fontId="276" fillId="55" borderId="7020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5" borderId="7021"/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8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313" fontId="25" fillId="70" borderId="7002" applyAlignment="1">
      <alignment horizontal="left" vertical="center" wrapText="1"/>
    </xf>
    <xf numFmtId="0" fontId="25" fillId="10" borderId="7355" applyAlignment="1">
      <alignment horizontal="left" vertical="top"/>
    </xf>
    <xf numFmtId="313" fontId="184" fillId="0" borderId="7003" applyAlignment="1">
      <alignment horizontal="left" wrapText="1"/>
    </xf>
    <xf numFmtId="190" fontId="12" fillId="14" borderId="7347" applyAlignment="1">
      <alignment horizontal="right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4" borderId="7004" applyAlignment="1">
      <alignment horizontal="left" vertical="top" indent="1"/>
    </xf>
    <xf numFmtId="313" fontId="12" fillId="76" borderId="7004" applyAlignment="1">
      <alignment horizontal="left" vertical="center" indent="1"/>
    </xf>
    <xf numFmtId="313" fontId="12" fillId="76" borderId="7004" applyAlignment="1">
      <alignment horizontal="left" vertical="top" indent="1"/>
    </xf>
    <xf numFmtId="313" fontId="12" fillId="85" borderId="7004" applyAlignment="1">
      <alignment horizontal="left" vertical="center" indent="1"/>
    </xf>
    <xf numFmtId="313" fontId="12" fillId="85" borderId="7004" applyAlignment="1">
      <alignment horizontal="left" vertical="top" indent="1"/>
    </xf>
    <xf numFmtId="313" fontId="12" fillId="53" borderId="7004" applyAlignment="1">
      <alignment horizontal="left" vertical="center" indent="1"/>
    </xf>
    <xf numFmtId="313" fontId="12" fillId="53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5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5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183" fontId="9" fillId="3" borderId="7347" applyAlignment="1">
      <alignment horizontal="right" vertical="center"/>
    </xf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8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314" fontId="25" fillId="70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4" borderId="7004" applyAlignment="1">
      <alignment horizontal="left" vertical="top" indent="1"/>
    </xf>
    <xf numFmtId="314" fontId="12" fillId="76" borderId="7004" applyAlignment="1">
      <alignment horizontal="left" vertical="center" indent="1"/>
    </xf>
    <xf numFmtId="314" fontId="12" fillId="76" borderId="7004" applyAlignment="1">
      <alignment horizontal="left" vertical="top" indent="1"/>
    </xf>
    <xf numFmtId="314" fontId="12" fillId="85" borderId="7004" applyAlignment="1">
      <alignment horizontal="left" vertical="center" indent="1"/>
    </xf>
    <xf numFmtId="314" fontId="12" fillId="85" borderId="7004" applyAlignment="1">
      <alignment horizontal="left" vertical="top" indent="1"/>
    </xf>
    <xf numFmtId="314" fontId="12" fillId="53" borderId="7004" applyAlignment="1">
      <alignment horizontal="left" vertical="center" indent="1"/>
    </xf>
    <xf numFmtId="314" fontId="12" fillId="53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5" borderId="7004" applyAlignment="1">
      <alignment horizontal="left" vertical="top" indent="1"/>
    </xf>
    <xf numFmtId="0" fontId="25" fillId="10" borderId="7356" applyAlignment="1">
      <alignment horizontal="left" vertical="top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186" fontId="79" fillId="0" borderId="7346"/>
    <xf numFmtId="186" fontId="79" fillId="0" borderId="7346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0" fontId="214" fillId="0" borderId="7353"/>
    <xf numFmtId="186" fontId="79" fillId="0" borderId="7346"/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9" fontId="46" fillId="0" borderId="7347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59" fillId="0" borderId="7002"/>
    <xf numFmtId="0" fontId="159" fillId="68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13" fillId="0" borderId="7347"/>
    <xf numFmtId="0" fontId="101" fillId="0" borderId="7347"/>
    <xf numFmtId="0" fontId="214" fillId="0" borderId="7353"/>
    <xf numFmtId="186" fontId="79" fillId="0" borderId="7346"/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0" fontId="12" fillId="0" borderId="7347" applyAlignment="1">
      <alignment horizont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3" fontId="9" fillId="3" borderId="7347" applyAlignment="1">
      <alignment horizontal="right" vertical="center"/>
    </xf>
    <xf numFmtId="0" fontId="113" fillId="0" borderId="7347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214" fillId="0" borderId="7353"/>
    <xf numFmtId="0" fontId="25" fillId="10" borderId="7354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" fillId="0" borderId="7352"/>
    <xf numFmtId="0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90" fontId="12" fillId="14" borderId="7347" applyAlignment="1">
      <alignment horizontal="right"/>
    </xf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" fillId="0" borderId="7352"/>
    <xf numFmtId="186" fontId="79" fillId="0" borderId="7346"/>
    <xf numFmtId="0" fontId="25" fillId="10" borderId="7356" applyAlignment="1">
      <alignment horizontal="left" vertical="top"/>
    </xf>
    <xf numFmtId="0" fontId="113" fillId="0" borderId="7347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75" fillId="0" borderId="7348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9" fontId="46" fillId="0" borderId="7347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252" fontId="9" fillId="3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13" fillId="0" borderId="7347"/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313" fontId="101" fillId="0" borderId="7347"/>
    <xf numFmtId="313" fontId="113" fillId="0" borderId="7347"/>
    <xf numFmtId="313" fontId="166" fillId="0" borderId="7347" applyAlignment="1">
      <alignment horizontal="center"/>
    </xf>
    <xf numFmtId="313" fontId="2" fillId="0" borderId="7352"/>
    <xf numFmtId="313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13" fillId="0" borderId="7347"/>
    <xf numFmtId="189" fontId="46" fillId="0" borderId="7347"/>
    <xf numFmtId="0" fontId="25" fillId="10" borderId="7355" applyAlignment="1">
      <alignment horizontal="left" vertical="top"/>
    </xf>
    <xf numFmtId="314" fontId="113" fillId="0" borderId="7347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0" fontId="101" fillId="0" borderId="7347"/>
    <xf numFmtId="186" fontId="79" fillId="0" borderId="7346"/>
    <xf numFmtId="0" fontId="113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01" fillId="0" borderId="7347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0" fontId="113" fillId="0" borderId="7347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187" fontId="250" fillId="0" borderId="7347" applyAlignment="1">
      <alignment horizontal="center"/>
    </xf>
    <xf numFmtId="0" fontId="12" fillId="0" borderId="7347" applyAlignment="1">
      <alignment horizontal="center"/>
    </xf>
    <xf numFmtId="0" fontId="214" fillId="0" borderId="7353"/>
    <xf numFmtId="187" fontId="296" fillId="0" borderId="7347" applyAlignment="1">
      <alignment horizontal="center"/>
    </xf>
    <xf numFmtId="189" fontId="46" fillId="0" borderId="7347"/>
    <xf numFmtId="314" fontId="214" fillId="0" borderId="7353"/>
    <xf numFmtId="314" fontId="2" fillId="0" borderId="7352"/>
    <xf numFmtId="314" fontId="242" fillId="0" borderId="7347" applyAlignment="1">
      <alignment horizontal="center"/>
    </xf>
    <xf numFmtId="314" fontId="165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314" fontId="78" fillId="14" borderId="7349"/>
    <xf numFmtId="185" fontId="146" fillId="3" borderId="7347" applyAlignment="1">
      <alignment horizontal="left" vertical="center"/>
    </xf>
    <xf numFmtId="314" fontId="75" fillId="0" borderId="7348"/>
    <xf numFmtId="314" fontId="101" fillId="0" borderId="7347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" fillId="0" borderId="7352"/>
    <xf numFmtId="0" fontId="166" fillId="0" borderId="7347" applyAlignment="1">
      <alignment horizontal="center"/>
    </xf>
    <xf numFmtId="313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313" fontId="210" fillId="0" borderId="7347" applyProtection="1">
      <protection locked="0" hidden="0"/>
    </xf>
    <xf numFmtId="313" fontId="165" fillId="0" borderId="7347" applyAlignment="1">
      <alignment horizontal="center"/>
    </xf>
    <xf numFmtId="190" fontId="12" fillId="14" borderId="7347" applyAlignment="1">
      <alignment horizontal="right"/>
    </xf>
    <xf numFmtId="313" fontId="78" fillId="14" borderId="7349"/>
    <xf numFmtId="313" fontId="75" fillId="0" borderId="7348"/>
    <xf numFmtId="313" fontId="113" fillId="0" borderId="7347"/>
    <xf numFmtId="313" fontId="101" fillId="0" borderId="7347"/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101" fillId="0" borderId="7347"/>
    <xf numFmtId="0" fontId="78" fillId="14" borderId="7349"/>
    <xf numFmtId="0" fontId="25" fillId="10" borderId="7355" applyAlignment="1">
      <alignment horizontal="left" vertical="top"/>
    </xf>
    <xf numFmtId="0" fontId="2" fillId="0" borderId="7352"/>
    <xf numFmtId="0" fontId="75" fillId="0" borderId="7348"/>
    <xf numFmtId="186" fontId="79" fillId="0" borderId="7346"/>
    <xf numFmtId="0" fontId="210" fillId="0" borderId="7347" applyProtection="1">
      <protection locked="0" hidden="0"/>
    </xf>
    <xf numFmtId="0" fontId="101" fillId="0" borderId="7347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186" fontId="79" fillId="0" borderId="7346"/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0" fontId="75" fillId="0" borderId="7348"/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2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" fillId="0" borderId="7352"/>
    <xf numFmtId="0" fontId="25" fillId="10" borderId="7354" applyAlignment="1">
      <alignment horizontal="left" vertical="top"/>
    </xf>
    <xf numFmtId="314" fontId="25" fillId="10" borderId="7354" applyAlignment="1">
      <alignment horizontal="left" vertical="top"/>
    </xf>
    <xf numFmtId="186" fontId="79" fillId="0" borderId="7346"/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314" fontId="75" fillId="0" borderId="7348"/>
    <xf numFmtId="314" fontId="25" fillId="10" borderId="7357" applyAlignment="1">
      <alignment horizontal="left" vertical="top"/>
    </xf>
    <xf numFmtId="0" fontId="75" fillId="0" borderId="7348"/>
    <xf numFmtId="0" fontId="214" fillId="0" borderId="7353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78" fillId="14" borderId="7349"/>
    <xf numFmtId="0" fontId="25" fillId="10" borderId="7355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0" fontId="2" fillId="0" borderId="7352"/>
    <xf numFmtId="0" fontId="75" fillId="0" borderId="7348"/>
    <xf numFmtId="0" fontId="25" fillId="10" borderId="7355" applyAlignment="1">
      <alignment horizontal="left" vertical="top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6" fontId="79" fillId="0" borderId="7346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3" fontId="9" fillId="3" borderId="50" applyAlignment="1">
      <alignment horizontal="right" vertical="center"/>
    </xf>
    <xf numFmtId="0" fontId="79" fillId="3" borderId="50" applyAlignment="1">
      <alignment vertical="center"/>
    </xf>
    <xf numFmtId="251" fontId="144" fillId="3" borderId="50" applyAlignment="1">
      <alignment vertical="center"/>
    </xf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83" fontId="9" fillId="3" borderId="7347" applyAlignment="1">
      <alignment horizontal="right" vertical="center"/>
    </xf>
    <xf numFmtId="189" fontId="46" fillId="0" borderId="7347"/>
    <xf numFmtId="0" fontId="165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186" fontId="79" fillId="0" borderId="7346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78" fillId="14" borderId="7349"/>
    <xf numFmtId="0" fontId="75" fillId="0" borderId="7348"/>
    <xf numFmtId="185" fontId="146" fillId="3" borderId="7347" applyAlignment="1">
      <alignment horizontal="left" vertical="center"/>
    </xf>
    <xf numFmtId="0" fontId="101" fillId="0" borderId="7347"/>
    <xf numFmtId="183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189" fontId="46" fillId="0" borderId="7347"/>
    <xf numFmtId="0" fontId="25" fillId="10" borderId="7357" applyAlignment="1">
      <alignment horizontal="left" vertical="top"/>
    </xf>
    <xf numFmtId="314" fontId="25" fillId="10" borderId="7356" applyAlignment="1">
      <alignment horizontal="left" vertical="top"/>
    </xf>
    <xf numFmtId="0" fontId="101" fillId="0" borderId="7347"/>
    <xf numFmtId="0" fontId="165" fillId="0" borderId="7347" applyAlignment="1">
      <alignment horizontal="center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78" fillId="14" borderId="7349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0" fontId="101" fillId="0" borderId="7347"/>
    <xf numFmtId="0" fontId="210" fillId="0" borderId="7347" applyProtection="1">
      <protection locked="0" hidden="0"/>
    </xf>
    <xf numFmtId="186" fontId="79" fillId="0" borderId="7346"/>
    <xf numFmtId="314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0" fontId="75" fillId="0" borderId="7348"/>
    <xf numFmtId="189" fontId="46" fillId="0" borderId="7347"/>
    <xf numFmtId="314" fontId="25" fillId="10" borderId="7355" applyAlignment="1">
      <alignment horizontal="left" vertical="top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01" fillId="0" borderId="7347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186" fontId="79" fillId="0" borderId="7346"/>
    <xf numFmtId="188" fontId="240" fillId="0" borderId="7347" applyAlignment="1">
      <alignment horizontal="right" vertical="center"/>
    </xf>
    <xf numFmtId="185" fontId="140" fillId="3" borderId="7351" applyAlignment="1">
      <alignment horizontal="center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13" fillId="0" borderId="7347"/>
    <xf numFmtId="0" fontId="75" fillId="0" borderId="7348"/>
    <xf numFmtId="0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0" fontId="214" fillId="0" borderId="7353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189" fontId="46" fillId="0" borderId="7347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113" fillId="0" borderId="7347"/>
    <xf numFmtId="0" fontId="75" fillId="0" borderId="7348"/>
    <xf numFmtId="186" fontId="79" fillId="0" borderId="7346"/>
    <xf numFmtId="186" fontId="79" fillId="0" borderId="7346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78" fillId="14" borderId="7349"/>
    <xf numFmtId="185" fontId="146" fillId="3" borderId="7347" applyAlignment="1">
      <alignment horizontal="left" vertical="center"/>
    </xf>
    <xf numFmtId="0" fontId="241" fillId="95" borderId="7347" applyAlignment="1">
      <alignment horizontal="centerContinuous" vertical="center"/>
    </xf>
    <xf numFmtId="0" fontId="2" fillId="0" borderId="7352"/>
    <xf numFmtId="186" fontId="79" fillId="0" borderId="7346"/>
    <xf numFmtId="313" fontId="25" fillId="10" borderId="7355" applyAlignment="1">
      <alignment horizontal="left" vertical="top"/>
    </xf>
    <xf numFmtId="0" fontId="101" fillId="0" borderId="7347"/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78" fillId="14" borderId="7349"/>
    <xf numFmtId="0" fontId="214" fillId="0" borderId="7353"/>
    <xf numFmtId="0" fontId="25" fillId="10" borderId="7357" applyAlignment="1">
      <alignment horizontal="left" vertical="top"/>
    </xf>
    <xf numFmtId="0" fontId="210" fillId="0" borderId="7347" applyProtection="1">
      <protection locked="0" hidden="0"/>
    </xf>
    <xf numFmtId="186" fontId="79" fillId="0" borderId="7346"/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8" fillId="14" borderId="7349"/>
    <xf numFmtId="186" fontId="79" fillId="0" borderId="7346"/>
    <xf numFmtId="0" fontId="101" fillId="0" borderId="7347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314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75" fillId="0" borderId="7348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90" fontId="12" fillId="14" borderId="7347" applyAlignment="1">
      <alignment horizontal="right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314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4" fontId="210" fillId="0" borderId="7347" applyProtection="1">
      <protection locked="0" hidden="0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186" fontId="79" fillId="0" borderId="7346"/>
    <xf numFmtId="0" fontId="101" fillId="0" borderId="7347"/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189" fontId="46" fillId="0" borderId="7347"/>
    <xf numFmtId="0" fontId="25" fillId="10" borderId="7356" applyAlignment="1">
      <alignment horizontal="left" vertical="top"/>
    </xf>
    <xf numFmtId="187" fontId="296" fillId="0" borderId="7347" applyAlignment="1">
      <alignment horizontal="center"/>
    </xf>
    <xf numFmtId="183" fontId="9" fillId="3" borderId="7347" applyAlignment="1">
      <alignment horizontal="right" vertical="center"/>
    </xf>
    <xf numFmtId="314" fontId="25" fillId="10" borderId="7356" applyAlignment="1">
      <alignment horizontal="left" vertical="top"/>
    </xf>
    <xf numFmtId="190" fontId="12" fillId="14" borderId="7347" applyAlignment="1">
      <alignment horizontal="right"/>
    </xf>
    <xf numFmtId="314" fontId="241" fillId="95" borderId="7347" applyAlignment="1">
      <alignment horizontal="centerContinuous" vertic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314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314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78" fillId="14" borderId="7349"/>
    <xf numFmtId="185" fontId="146" fillId="3" borderId="7350" applyAlignment="1">
      <alignment horizontal="left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0" fontId="78" fillId="14" borderId="7349"/>
    <xf numFmtId="0" fontId="2" fillId="0" borderId="7352"/>
    <xf numFmtId="0" fontId="78" fillId="14" borderId="7349"/>
    <xf numFmtId="0" fontId="241" fillId="95" borderId="7347" applyAlignment="1">
      <alignment horizontal="centerContinuous" vertical="center"/>
    </xf>
    <xf numFmtId="0" fontId="214" fillId="0" borderId="7353"/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6" fontId="79" fillId="0" borderId="7346"/>
    <xf numFmtId="0" fontId="165" fillId="0" borderId="7347" applyAlignment="1">
      <alignment horizontal="center"/>
    </xf>
    <xf numFmtId="189" fontId="46" fillId="0" borderId="7347"/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6" fontId="79" fillId="0" borderId="7346"/>
    <xf numFmtId="313" fontId="101" fillId="0" borderId="7347"/>
    <xf numFmtId="0" fontId="165" fillId="0" borderId="7347" applyAlignment="1">
      <alignment horizontal="center"/>
    </xf>
    <xf numFmtId="0" fontId="214" fillId="0" borderId="7353"/>
    <xf numFmtId="313" fontId="113" fillId="0" borderId="7347"/>
    <xf numFmtId="313" fontId="75" fillId="0" borderId="7348"/>
    <xf numFmtId="0" fontId="25" fillId="10" borderId="7355" applyAlignment="1">
      <alignment horizontal="left" vertical="top"/>
    </xf>
    <xf numFmtId="313" fontId="12" fillId="0" borderId="7347" applyAlignment="1">
      <alignment horizontal="center"/>
    </xf>
    <xf numFmtId="314" fontId="25" fillId="10" borderId="7355" applyAlignment="1">
      <alignment horizontal="left" vertical="top"/>
    </xf>
    <xf numFmtId="313" fontId="78" fillId="14" borderId="7349"/>
    <xf numFmtId="0" fontId="241" fillId="95" borderId="7347" applyAlignment="1">
      <alignment horizontal="centerContinuous" vertic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313" fontId="25" fillId="10" borderId="7356" applyAlignment="1">
      <alignment horizontal="left" vertical="top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0" fontId="113" fillId="0" borderId="7347"/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313" fontId="210" fillId="0" borderId="7347" applyProtection="1">
      <protection locked="0" hidden="0"/>
    </xf>
    <xf numFmtId="186" fontId="79" fillId="0" borderId="7346"/>
    <xf numFmtId="189" fontId="46" fillId="0" borderId="7347"/>
    <xf numFmtId="185" fontId="146" fillId="3" borderId="7347" applyAlignment="1">
      <alignment horizontal="left" vertic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313" fontId="2" fillId="0" borderId="7352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186" fontId="79" fillId="0" borderId="7346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0" fontId="214" fillId="0" borderId="7353"/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313" fontId="214" fillId="0" borderId="7353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78" fillId="14" borderId="7349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0" fontId="2" fillId="0" borderId="7352"/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186" fontId="79" fillId="0" borderId="7346"/>
    <xf numFmtId="314" fontId="25" fillId="10" borderId="7354" applyAlignment="1">
      <alignment horizontal="left" vertical="top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25" fillId="10" borderId="7357" applyAlignment="1">
      <alignment horizontal="left" vertical="top"/>
    </xf>
    <xf numFmtId="186" fontId="79" fillId="0" borderId="7346"/>
    <xf numFmtId="0" fontId="78" fillId="14" borderId="7349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8" fillId="14" borderId="7349"/>
    <xf numFmtId="0" fontId="12" fillId="0" borderId="734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314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9" fontId="46" fillId="0" borderId="7347"/>
    <xf numFmtId="314" fontId="214" fillId="0" borderId="7353"/>
    <xf numFmtId="0" fontId="25" fillId="10" borderId="7355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0" fontId="214" fillId="0" borderId="7353"/>
    <xf numFmtId="0" fontId="25" fillId="10" borderId="7355" applyAlignment="1">
      <alignment horizontal="left" vertical="top"/>
    </xf>
    <xf numFmtId="0" fontId="75" fillId="0" borderId="7348"/>
    <xf numFmtId="0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186" fontId="79" fillId="0" borderId="7346"/>
    <xf numFmtId="0" fontId="2" fillId="0" borderId="7352"/>
    <xf numFmtId="186" fontId="79" fillId="0" borderId="7346"/>
    <xf numFmtId="185" fontId="146" fillId="3" borderId="7350" applyAlignment="1">
      <alignment horizontal="left"/>
    </xf>
    <xf numFmtId="0" fontId="113" fillId="0" borderId="7347"/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9" fontId="46" fillId="0" borderId="7347"/>
    <xf numFmtId="314" fontId="101" fillId="0" borderId="7347"/>
    <xf numFmtId="252" fontId="9" fillId="3" borderId="7347" applyAlignment="1">
      <alignment horizontal="right" vertical="center"/>
    </xf>
    <xf numFmtId="314" fontId="113" fillId="0" borderId="7347"/>
    <xf numFmtId="314" fontId="75" fillId="0" borderId="7348"/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314" fontId="12" fillId="0" borderId="7347" applyAlignment="1">
      <alignment horizontal="center"/>
    </xf>
    <xf numFmtId="314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14" fillId="0" borderId="7353"/>
    <xf numFmtId="190" fontId="12" fillId="14" borderId="7347" applyAlignment="1">
      <alignment horizontal="right"/>
    </xf>
    <xf numFmtId="189" fontId="46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3" fontId="214" fillId="0" borderId="7353"/>
    <xf numFmtId="313" fontId="2" fillId="0" borderId="7352"/>
    <xf numFmtId="313" fontId="166" fillId="0" borderId="7347" applyAlignment="1">
      <alignment horizontal="center"/>
    </xf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314" fontId="210" fillId="0" borderId="7347" applyProtection="1">
      <protection locked="0" hidden="0"/>
    </xf>
    <xf numFmtId="0" fontId="113" fillId="0" borderId="7347"/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0" fontId="241" fillId="95" borderId="7347" applyAlignment="1">
      <alignment horizontal="centerContinuous" vertical="center"/>
    </xf>
    <xf numFmtId="314" fontId="2" fillId="0" borderId="7352"/>
    <xf numFmtId="0" fontId="25" fillId="10" borderId="7354" applyAlignment="1">
      <alignment horizontal="left" vertical="top"/>
    </xf>
    <xf numFmtId="0" fontId="78" fillId="14" borderId="7349"/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314" fontId="214" fillId="0" borderId="7353"/>
    <xf numFmtId="187" fontId="249" fillId="0" borderId="7347" applyAlignment="1">
      <alignment horizontal="center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" fillId="0" borderId="7352"/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214" fillId="0" borderId="7353"/>
    <xf numFmtId="189" fontId="46" fillId="0" borderId="7347"/>
    <xf numFmtId="0" fontId="214" fillId="0" borderId="7353"/>
    <xf numFmtId="185" fontId="146" fillId="3" borderId="7350" applyAlignment="1">
      <alignment horizontal="left"/>
    </xf>
    <xf numFmtId="0" fontId="101" fillId="0" borderId="7347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79" fillId="3" borderId="50" applyAlignment="1">
      <alignment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5" fillId="10" borderId="7354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0" fontId="78" fillId="14" borderId="7349"/>
    <xf numFmtId="252" fontId="9" fillId="3" borderId="7347" applyAlignment="1">
      <alignment horizontal="right" vertical="center"/>
    </xf>
    <xf numFmtId="0" fontId="2" fillId="0" borderId="7352"/>
    <xf numFmtId="186" fontId="79" fillId="0" borderId="7346"/>
    <xf numFmtId="189" fontId="46" fillId="0" borderId="7347"/>
    <xf numFmtId="314" fontId="2" fillId="0" borderId="7352"/>
    <xf numFmtId="0" fontId="78" fillId="14" borderId="7349"/>
    <xf numFmtId="0" fontId="75" fillId="0" borderId="7348"/>
    <xf numFmtId="314" fontId="25" fillId="10" borderId="7357" applyAlignment="1">
      <alignment horizontal="left" vertical="top"/>
    </xf>
    <xf numFmtId="0" fontId="113" fillId="0" borderId="7347"/>
    <xf numFmtId="314" fontId="210" fillId="0" borderId="7347" applyProtection="1">
      <protection locked="0" hidden="0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0" fontId="12" fillId="0" borderId="7347" applyAlignment="1">
      <alignment horizontal="center"/>
    </xf>
    <xf numFmtId="0" fontId="2" fillId="0" borderId="7352"/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78" fillId="14" borderId="7349"/>
    <xf numFmtId="0" fontId="165" fillId="0" borderId="7347" applyAlignment="1">
      <alignment horizontal="center"/>
    </xf>
    <xf numFmtId="314" fontId="25" fillId="10" borderId="7357" applyAlignment="1">
      <alignment horizontal="left" vertical="top"/>
    </xf>
    <xf numFmtId="314" fontId="101" fillId="0" borderId="7347"/>
    <xf numFmtId="314" fontId="113" fillId="0" borderId="7347"/>
    <xf numFmtId="0" fontId="113" fillId="0" borderId="7347"/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185" fontId="146" fillId="3" borderId="7350" applyAlignment="1">
      <alignment horizontal="left"/>
    </xf>
    <xf numFmtId="189" fontId="46" fillId="0" borderId="7347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186" fontId="79" fillId="0" borderId="7346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314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6" fontId="79" fillId="0" borderId="7346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5" fillId="0" borderId="7348"/>
    <xf numFmtId="185" fontId="140" fillId="3" borderId="7351" applyAlignment="1">
      <alignment horizontal="center"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113" fillId="0" borderId="7347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0" fontId="165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4" fontId="242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113" fillId="0" borderId="7347"/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314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113" fillId="0" borderId="7347"/>
    <xf numFmtId="0" fontId="101" fillId="0" borderId="7347"/>
    <xf numFmtId="190" fontId="12" fillId="14" borderId="7347" applyAlignment="1">
      <alignment horizontal="right"/>
    </xf>
    <xf numFmtId="0" fontId="75" fillId="0" borderId="7348"/>
    <xf numFmtId="183" fontId="9" fillId="3" borderId="7347" applyAlignment="1">
      <alignment horizontal="right" vertical="center"/>
    </xf>
    <xf numFmtId="314" fontId="78" fillId="14" borderId="7349"/>
    <xf numFmtId="314" fontId="165" fillId="0" borderId="7347" applyAlignment="1">
      <alignment horizontal="center"/>
    </xf>
    <xf numFmtId="0" fontId="214" fillId="0" borderId="7353"/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6" fontId="79" fillId="0" borderId="7346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314" fontId="12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8" fontId="240" fillId="0" borderId="7347" applyAlignment="1">
      <alignment horizontal="right" vertical="center"/>
    </xf>
    <xf numFmtId="189" fontId="46" fillId="0" borderId="7347"/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65" fillId="0" borderId="7347" applyAlignment="1">
      <alignment horizontal="center"/>
    </xf>
    <xf numFmtId="314" fontId="214" fillId="0" borderId="7353"/>
    <xf numFmtId="314" fontId="2" fillId="0" borderId="7352"/>
    <xf numFmtId="314" fontId="210" fillId="0" borderId="7347" applyProtection="1">
      <protection locked="0" hidden="0"/>
    </xf>
    <xf numFmtId="314" fontId="165" fillId="0" borderId="7347" applyAlignment="1">
      <alignment horizontal="center"/>
    </xf>
    <xf numFmtId="314" fontId="12" fillId="0" borderId="7347" applyAlignment="1">
      <alignment horizontal="center"/>
    </xf>
    <xf numFmtId="314" fontId="113" fillId="0" borderId="7347"/>
    <xf numFmtId="0" fontId="25" fillId="10" borderId="7355" applyAlignment="1">
      <alignment horizontal="left" vertical="top"/>
    </xf>
    <xf numFmtId="189" fontId="46" fillId="0" borderId="7347"/>
    <xf numFmtId="0" fontId="113" fillId="0" borderId="7347"/>
    <xf numFmtId="186" fontId="79" fillId="0" borderId="7346"/>
    <xf numFmtId="0" fontId="101" fillId="0" borderId="7347"/>
    <xf numFmtId="313" fontId="25" fillId="10" borderId="7357" applyAlignment="1">
      <alignment horizontal="left" vertical="top"/>
    </xf>
    <xf numFmtId="313" fontId="2" fillId="0" borderId="7352"/>
    <xf numFmtId="313" fontId="166" fillId="0" borderId="7347" applyAlignment="1">
      <alignment horizontal="center"/>
    </xf>
    <xf numFmtId="313" fontId="113" fillId="0" borderId="7347"/>
    <xf numFmtId="313" fontId="101" fillId="0" borderId="7347"/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189" fontId="46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78" fillId="14" borderId="7349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78" fillId="14" borderId="7349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101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0" fontId="78" fillId="14" borderId="7349"/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5" fontId="146" fillId="3" borderId="7350" applyAlignment="1">
      <alignment horizontal="left"/>
    </xf>
    <xf numFmtId="0" fontId="75" fillId="0" borderId="7348"/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86" fontId="79" fillId="0" borderId="7346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0" fontId="25" fillId="10" borderId="7354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314" fontId="101" fillId="0" borderId="7347"/>
    <xf numFmtId="0" fontId="75" fillId="0" borderId="7348"/>
    <xf numFmtId="0" fontId="75" fillId="0" borderId="7348"/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313" fontId="101" fillId="0" borderId="7347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3" fontId="113" fillId="0" borderId="7347"/>
    <xf numFmtId="313" fontId="75" fillId="0" borderId="7348"/>
    <xf numFmtId="313" fontId="241" fillId="95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313" fontId="75" fillId="0" borderId="7348"/>
    <xf numFmtId="313" fontId="78" fillId="14" borderId="7349"/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01" fillId="0" borderId="7347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314" fontId="75" fillId="0" borderId="7348"/>
    <xf numFmtId="314" fontId="101" fillId="0" borderId="7347"/>
    <xf numFmtId="0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314" fontId="113" fillId="0" borderId="7347"/>
    <xf numFmtId="314" fontId="75" fillId="0" borderId="7348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5" borderId="7347" applyAlignment="1">
      <alignment horizontal="centerContinuous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0" fontId="101" fillId="0" borderId="7347"/>
    <xf numFmtId="313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314" fontId="242" fillId="0" borderId="7347" applyAlignment="1">
      <alignment horizontal="center"/>
    </xf>
    <xf numFmtId="313" fontId="165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189" fontId="46" fillId="0" borderId="7347"/>
    <xf numFmtId="0" fontId="241" fillId="95" borderId="7347" applyAlignment="1">
      <alignment horizontal="centerContinuous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" fillId="0" borderId="7352"/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313" fontId="12" fillId="0" borderId="7347" applyAlignment="1">
      <alignment horizontal="center"/>
    </xf>
    <xf numFmtId="190" fontId="12" fillId="14" borderId="7347" applyAlignment="1">
      <alignment horizontal="right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01" fillId="0" borderId="7347"/>
    <xf numFmtId="314" fontId="113" fillId="0" borderId="7347"/>
    <xf numFmtId="185" fontId="140" fillId="3" borderId="7351" applyAlignment="1">
      <alignment horizontal="center" vertical="center"/>
    </xf>
    <xf numFmtId="0" fontId="210" fillId="0" borderId="7347" applyProtection="1">
      <protection locked="0" hidden="0"/>
    </xf>
    <xf numFmtId="189" fontId="46" fillId="0" borderId="7347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86" fontId="79" fillId="0" borderId="7346"/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0" fontId="101" fillId="0" borderId="7347"/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214" fillId="0" borderId="7353"/>
    <xf numFmtId="185" fontId="146" fillId="3" borderId="7347" applyAlignment="1">
      <alignment horizontal="left" vertical="center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186" fontId="79" fillId="0" borderId="7346"/>
    <xf numFmtId="0" fontId="101" fillId="0" borderId="7347"/>
    <xf numFmtId="0" fontId="78" fillId="14" borderId="7349"/>
    <xf numFmtId="186" fontId="79" fillId="0" borderId="7346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75" fillId="0" borderId="7348"/>
    <xf numFmtId="0" fontId="210" fillId="0" borderId="7347" applyProtection="1">
      <protection locked="0" hidden="0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88" fontId="240" fillId="0" borderId="7347" applyAlignment="1">
      <alignment horizontal="right" vertical="center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252" fontId="9" fillId="3" borderId="7347" applyAlignment="1">
      <alignment horizontal="righ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0" fontId="25" fillId="10" borderId="7357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188" fontId="240" fillId="0" borderId="7347" applyAlignment="1">
      <alignment horizontal="right" vertical="center"/>
    </xf>
    <xf numFmtId="0" fontId="113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6" fillId="0" borderId="7347" applyAlignment="1">
      <alignment horizontal="center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0" fontId="113" fillId="0" borderId="7347"/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101" fillId="0" borderId="7347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5" fillId="10" borderId="7357" applyAlignment="1">
      <alignment horizontal="left" vertical="top"/>
    </xf>
    <xf numFmtId="313" fontId="25" fillId="10" borderId="7354" applyAlignment="1">
      <alignment horizontal="left" vertical="top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0" fontId="113" fillId="0" borderId="7347"/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5" fontId="140" fillId="3" borderId="7351" applyAlignment="1">
      <alignment horizontal="center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01" fillId="0" borderId="7347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13" fillId="0" borderId="7347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189" fontId="46" fillId="0" borderId="7347"/>
    <xf numFmtId="187" fontId="249" fillId="0" borderId="7347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0" fontId="113" fillId="0" borderId="7347"/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5" fontId="146" fillId="3" borderId="7347" applyAlignment="1">
      <alignment horizontal="left" vertical="center"/>
    </xf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9" fontId="46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13" fillId="0" borderId="7347"/>
    <xf numFmtId="190" fontId="12" fillId="14" borderId="7347" applyAlignment="1">
      <alignment horizontal="right"/>
    </xf>
    <xf numFmtId="0" fontId="78" fillId="14" borderId="7349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41" fillId="95" borderId="7347" applyAlignment="1">
      <alignment horizontal="centerContinuous" vertic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190" fontId="12" fillId="14" borderId="7347" applyAlignment="1">
      <alignment horizontal="right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6" fontId="79" fillId="0" borderId="7346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113" fillId="0" borderId="7347"/>
    <xf numFmtId="0" fontId="12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186" fontId="79" fillId="0" borderId="7346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10" fillId="0" borderId="7347" applyProtection="1">
      <protection locked="0" hidden="0"/>
    </xf>
    <xf numFmtId="189" fontId="46" fillId="0" borderId="7347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5" fontId="146" fillId="3" borderId="7350" applyAlignment="1">
      <alignment horizontal="left"/>
    </xf>
    <xf numFmtId="0" fontId="75" fillId="0" borderId="7348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86" fontId="79" fillId="0" borderId="7346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0" fontId="25" fillId="10" borderId="7354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314" fontId="101" fillId="0" borderId="7347"/>
    <xf numFmtId="0" fontId="75" fillId="0" borderId="7348"/>
    <xf numFmtId="0" fontId="75" fillId="0" borderId="7348"/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313" fontId="101" fillId="0" borderId="7347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3" fontId="113" fillId="0" borderId="7347"/>
    <xf numFmtId="313" fontId="75" fillId="0" borderId="7348"/>
    <xf numFmtId="313" fontId="241" fillId="95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313" fontId="75" fillId="0" borderId="7348"/>
    <xf numFmtId="313" fontId="78" fillId="14" borderId="7349"/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01" fillId="0" borderId="7347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314" fontId="75" fillId="0" borderId="7348"/>
    <xf numFmtId="314" fontId="101" fillId="0" borderId="7347"/>
    <xf numFmtId="0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314" fontId="113" fillId="0" borderId="7347"/>
    <xf numFmtId="314" fontId="75" fillId="0" borderId="7348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5" borderId="7347" applyAlignment="1">
      <alignment horizontal="centerContinuous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0" fontId="101" fillId="0" borderId="7347"/>
    <xf numFmtId="313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314" fontId="242" fillId="0" borderId="7347" applyAlignment="1">
      <alignment horizontal="center"/>
    </xf>
    <xf numFmtId="313" fontId="165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5" borderId="7347" applyAlignment="1">
      <alignment horizontal="centerContinuous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8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6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8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5" borderId="7020"/>
    <xf numFmtId="186" fontId="79" fillId="0" borderId="7346"/>
    <xf numFmtId="0" fontId="101" fillId="0" borderId="7347"/>
    <xf numFmtId="0" fontId="283" fillId="104" borderId="7020"/>
    <xf numFmtId="0" fontId="50" fillId="118" borderId="7003"/>
    <xf numFmtId="0" fontId="78" fillId="14" borderId="7349"/>
    <xf numFmtId="0" fontId="286" fillId="55" borderId="7021"/>
    <xf numFmtId="0" fontId="283" fillId="104" borderId="7020"/>
    <xf numFmtId="186" fontId="79" fillId="0" borderId="7346"/>
    <xf numFmtId="0" fontId="288" fillId="0" borderId="7022"/>
    <xf numFmtId="0" fontId="276" fillId="55" borderId="7020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5" borderId="7021"/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8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313" fontId="25" fillId="70" borderId="7002" applyAlignment="1">
      <alignment horizontal="left" vertical="center" wrapText="1"/>
    </xf>
    <xf numFmtId="313" fontId="184" fillId="0" borderId="7003" applyAlignment="1">
      <alignment horizontal="left" wrapText="1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4" borderId="7004" applyAlignment="1">
      <alignment horizontal="left" vertical="top" indent="1"/>
    </xf>
    <xf numFmtId="313" fontId="12" fillId="76" borderId="7004" applyAlignment="1">
      <alignment horizontal="left" vertical="center" indent="1"/>
    </xf>
    <xf numFmtId="313" fontId="12" fillId="76" borderId="7004" applyAlignment="1">
      <alignment horizontal="left" vertical="top" indent="1"/>
    </xf>
    <xf numFmtId="313" fontId="12" fillId="85" borderId="7004" applyAlignment="1">
      <alignment horizontal="left" vertical="center" indent="1"/>
    </xf>
    <xf numFmtId="313" fontId="12" fillId="85" borderId="7004" applyAlignment="1">
      <alignment horizontal="left" vertical="top" indent="1"/>
    </xf>
    <xf numFmtId="313" fontId="12" fillId="53" borderId="7004" applyAlignment="1">
      <alignment horizontal="left" vertical="center" indent="1"/>
    </xf>
    <xf numFmtId="313" fontId="12" fillId="53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5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5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0" fontId="165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8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314" fontId="25" fillId="70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4" borderId="7004" applyAlignment="1">
      <alignment horizontal="left" vertical="top" indent="1"/>
    </xf>
    <xf numFmtId="314" fontId="12" fillId="76" borderId="7004" applyAlignment="1">
      <alignment horizontal="left" vertical="center" indent="1"/>
    </xf>
    <xf numFmtId="314" fontId="12" fillId="76" borderId="7004" applyAlignment="1">
      <alignment horizontal="left" vertical="top" indent="1"/>
    </xf>
    <xf numFmtId="314" fontId="12" fillId="85" borderId="7004" applyAlignment="1">
      <alignment horizontal="left" vertical="center" indent="1"/>
    </xf>
    <xf numFmtId="314" fontId="12" fillId="85" borderId="7004" applyAlignment="1">
      <alignment horizontal="left" vertical="top" indent="1"/>
    </xf>
    <xf numFmtId="314" fontId="12" fillId="53" borderId="7004" applyAlignment="1">
      <alignment horizontal="left" vertical="center" indent="1"/>
    </xf>
    <xf numFmtId="314" fontId="12" fillId="53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5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5" borderId="7347" applyAlignment="1">
      <alignment horizontal="centerContinuous" vertical="center"/>
    </xf>
    <xf numFmtId="10" fontId="12" fillId="3" borderId="7014" applyProtection="1">
      <protection locked="0" hidden="0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59" fillId="0" borderId="7002"/>
    <xf numFmtId="0" fontId="159" fillId="68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4" fontId="101" fillId="0" borderId="7347"/>
    <xf numFmtId="314" fontId="12" fillId="0" borderId="7001"/>
    <xf numFmtId="314" fontId="46" fillId="0" borderId="7001"/>
    <xf numFmtId="314" fontId="105" fillId="0" borderId="7001"/>
    <xf numFmtId="314" fontId="48" fillId="0" borderId="7001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314" fontId="135" fillId="0" borderId="7002"/>
    <xf numFmtId="314" fontId="135" fillId="0" borderId="7002"/>
    <xf numFmtId="314" fontId="159" fillId="0" borderId="7002"/>
    <xf numFmtId="314" fontId="159" fillId="68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5" fillId="70" borderId="7002" applyAlignment="1">
      <alignment horizontal="left" vertical="center" wrapText="1"/>
    </xf>
    <xf numFmtId="314" fontId="184" fillId="0" borderId="7003" applyAlignment="1">
      <alignment horizontal="left" wrapText="1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4" borderId="7004" applyAlignment="1">
      <alignment horizontal="left" vertical="top" indent="1"/>
    </xf>
    <xf numFmtId="314" fontId="12" fillId="76" borderId="7004" applyAlignment="1">
      <alignment horizontal="left" vertical="center" indent="1"/>
    </xf>
    <xf numFmtId="314" fontId="12" fillId="76" borderId="7004" applyAlignment="1">
      <alignment horizontal="left" vertical="top" indent="1"/>
    </xf>
    <xf numFmtId="314" fontId="12" fillId="85" borderId="7004" applyAlignment="1">
      <alignment horizontal="left" vertical="center" indent="1"/>
    </xf>
    <xf numFmtId="314" fontId="12" fillId="85" borderId="7004" applyAlignment="1">
      <alignment horizontal="left" vertical="top" indent="1"/>
    </xf>
    <xf numFmtId="314" fontId="12" fillId="53" borderId="7004" applyAlignment="1">
      <alignment horizontal="left" vertical="center" indent="1"/>
    </xf>
    <xf numFmtId="314" fontId="12" fillId="53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5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75" fillId="0" borderId="7348"/>
    <xf numFmtId="314" fontId="25" fillId="10" borderId="7357" applyAlignment="1">
      <alignment horizontal="left" vertical="top"/>
    </xf>
    <xf numFmtId="10" fontId="12" fillId="3" borderId="7014" applyProtection="1">
      <protection locked="0" hidden="0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59" fillId="0" borderId="7002"/>
    <xf numFmtId="0" fontId="159" fillId="68" borderId="7002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72" fontId="234" fillId="10" borderId="7002"/>
    <xf numFmtId="0" fontId="12" fillId="3" borderId="7002"/>
    <xf numFmtId="0" fontId="25" fillId="10" borderId="7007" applyAlignment="1">
      <alignment horizontal="left"/>
    </xf>
    <xf numFmtId="0" fontId="25" fillId="10" borderId="7012" applyAlignment="1">
      <alignment horizontal="left" vertical="top"/>
    </xf>
    <xf numFmtId="314" fontId="214" fillId="0" borderId="7353"/>
    <xf numFmtId="314" fontId="2" fillId="0" borderId="7352"/>
    <xf numFmtId="203" fontId="25" fillId="0" borderId="7017" applyAlignment="1">
      <alignment horizontal="center"/>
    </xf>
    <xf numFmtId="314" fontId="210" fillId="0" borderId="7347" applyProtection="1">
      <protection locked="0" hidden="0"/>
    </xf>
    <xf numFmtId="0" fontId="48" fillId="0" borderId="7001"/>
    <xf numFmtId="251" fontId="145" fillId="3" borderId="7359" applyAlignment="1">
      <alignment horizontal="right" vertical="center"/>
    </xf>
    <xf numFmtId="4" fontId="184" fillId="54" borderId="7004" applyAlignment="1">
      <alignment horizontal="left" vertical="center" indent="1"/>
    </xf>
    <xf numFmtId="4" fontId="226" fillId="78" borderId="7004" applyAlignment="1">
      <alignment horizontal="right" vertical="center"/>
    </xf>
    <xf numFmtId="4" fontId="226" fillId="82" borderId="7004" applyAlignment="1">
      <alignment horizontal="right" vertical="center"/>
    </xf>
    <xf numFmtId="0" fontId="12" fillId="76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0" fontId="241" fillId="95" borderId="7347" applyAlignment="1">
      <alignment horizontal="centerContinuous" vertical="center"/>
    </xf>
    <xf numFmtId="0" fontId="214" fillId="0" borderId="7353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" fillId="0" borderId="7352"/>
    <xf numFmtId="186" fontId="79" fillId="0" borderId="7346"/>
    <xf numFmtId="0" fontId="50" fillId="118" borderId="7003"/>
    <xf numFmtId="186" fontId="79" fillId="0" borderId="7346"/>
    <xf numFmtId="0" fontId="165" fillId="0" borderId="7347" applyAlignment="1">
      <alignment horizontal="center"/>
    </xf>
    <xf numFmtId="0" fontId="241" fillId="95" borderId="7347" applyAlignment="1">
      <alignment horizontal="centerContinuous" vertical="center"/>
    </xf>
    <xf numFmtId="186" fontId="79" fillId="0" borderId="7346"/>
    <xf numFmtId="0" fontId="25" fillId="10" borderId="7355" applyAlignment="1">
      <alignment horizontal="left" vertical="top"/>
    </xf>
    <xf numFmtId="314" fontId="165" fillId="0" borderId="7347" applyAlignment="1">
      <alignment horizont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186" fontId="79" fillId="0" borderId="7346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75" fillId="0" borderId="7348"/>
    <xf numFmtId="189" fontId="46" fillId="0" borderId="7347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10" applyAlignment="1">
      <alignment horizontal="left" vertical="top"/>
    </xf>
    <xf numFmtId="10" fontId="12" fillId="3" borderId="7014" applyProtection="1">
      <protection locked="0" hidden="0"/>
    </xf>
    <xf numFmtId="313" fontId="159" fillId="68" borderId="7002"/>
    <xf numFmtId="185" fontId="146" fillId="3" borderId="7350" applyAlignment="1">
      <alignment horizontal="left"/>
    </xf>
    <xf numFmtId="314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314" fontId="113" fillId="0" borderId="7347"/>
    <xf numFmtId="314" fontId="101" fillId="0" borderId="7347"/>
    <xf numFmtId="313" fontId="25" fillId="10" borderId="7002" applyAlignment="1">
      <alignment horizontal="center" vertical="top"/>
    </xf>
    <xf numFmtId="0" fontId="12" fillId="10" borderId="7002"/>
    <xf numFmtId="0" fontId="25" fillId="10" borderId="7355" applyAlignment="1">
      <alignment horizontal="left" vertical="top"/>
    </xf>
    <xf numFmtId="189" fontId="46" fillId="0" borderId="7347"/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2" fillId="0" borderId="7347" applyAlignment="1">
      <alignment horizontal="center"/>
    </xf>
    <xf numFmtId="313" fontId="25" fillId="10" borderId="7357" applyAlignment="1">
      <alignment horizontal="left" vertical="top"/>
    </xf>
    <xf numFmtId="313" fontId="2" fillId="0" borderId="7352"/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85" fontId="146" fillId="3" borderId="7347" applyAlignment="1">
      <alignment horizontal="left" vertical="center"/>
    </xf>
    <xf numFmtId="189" fontId="46" fillId="0" borderId="7347"/>
    <xf numFmtId="0" fontId="101" fillId="0" borderId="7347"/>
    <xf numFmtId="0" fontId="25" fillId="10" borderId="7356" applyAlignment="1">
      <alignment horizontal="left" vertical="top"/>
    </xf>
    <xf numFmtId="313" fontId="166" fillId="0" borderId="7347" applyAlignment="1">
      <alignment horizontal="center"/>
    </xf>
    <xf numFmtId="0" fontId="101" fillId="0" borderId="7347"/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313" fontId="113" fillId="0" borderId="7347"/>
    <xf numFmtId="314" fontId="12" fillId="0" borderId="7347" applyAlignment="1">
      <alignment horizontal="center"/>
    </xf>
    <xf numFmtId="313" fontId="101" fillId="0" borderId="7347"/>
    <xf numFmtId="314" fontId="210" fillId="0" borderId="7347" applyProtection="1">
      <protection locked="0" hidden="0"/>
    </xf>
    <xf numFmtId="314" fontId="12" fillId="76" borderId="7004" applyAlignment="1">
      <alignment horizontal="left" vertical="top" indent="1"/>
    </xf>
    <xf numFmtId="187" fontId="250" fillId="0" borderId="7347" applyAlignment="1">
      <alignment horizontal="center"/>
    </xf>
    <xf numFmtId="186" fontId="79" fillId="0" borderId="7346"/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5" applyAlignment="1">
      <alignment horizontal="left" vertical="top"/>
    </xf>
    <xf numFmtId="189" fontId="46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313" fontId="12" fillId="10" borderId="7002"/>
    <xf numFmtId="313" fontId="25" fillId="10" borderId="7007" applyAlignment="1">
      <alignment horizontal="left"/>
    </xf>
    <xf numFmtId="0" fontId="12" fillId="0" borderId="7001"/>
    <xf numFmtId="0" fontId="78" fillId="14" borderId="7349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78" fillId="14" borderId="7349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101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313" fontId="25" fillId="10" borderId="7356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011" applyAlignment="1">
      <alignment horizontal="left" vertical="top"/>
    </xf>
    <xf numFmtId="186" fontId="79" fillId="0" borderId="7346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313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313" fontId="25" fillId="10" borderId="7013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314" fontId="48" fillId="0" borderId="7359" applyAlignment="1">
      <alignment horizontal="center"/>
    </xf>
    <xf numFmtId="189" fontId="46" fillId="0" borderId="7347"/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101" fillId="0" borderId="7347"/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12" fillId="3" borderId="7002"/>
    <xf numFmtId="0" fontId="166" fillId="0" borderId="7347" applyAlignment="1">
      <alignment horizontal="center"/>
    </xf>
    <xf numFmtId="313" fontId="12" fillId="53" borderId="7004" applyAlignment="1">
      <alignment horizontal="left" vertical="center" indent="1"/>
    </xf>
    <xf numFmtId="10" fontId="12" fillId="3" borderId="7014" applyProtection="1">
      <protection locked="0" hidden="0"/>
    </xf>
    <xf numFmtId="0" fontId="210" fillId="0" borderId="7347" applyProtection="1">
      <protection locked="0" hidden="0"/>
    </xf>
    <xf numFmtId="313" fontId="12" fillId="53" borderId="7004" applyAlignment="1">
      <alignment horizontal="left" vertical="top" indent="1"/>
    </xf>
    <xf numFmtId="0" fontId="165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5" fillId="10" borderId="7009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6" fontId="79" fillId="0" borderId="7346"/>
    <xf numFmtId="0" fontId="25" fillId="10" borderId="7356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314" fontId="135" fillId="0" borderId="7002"/>
    <xf numFmtId="0" fontId="25" fillId="10" borderId="7355" applyAlignment="1">
      <alignment horizontal="left" vertical="top"/>
    </xf>
    <xf numFmtId="189" fontId="46" fillId="0" borderId="7347"/>
    <xf numFmtId="0" fontId="25" fillId="10" borderId="7356" applyAlignment="1">
      <alignment horizontal="left" vertical="top"/>
    </xf>
    <xf numFmtId="0" fontId="105" fillId="0" borderId="7001"/>
    <xf numFmtId="0" fontId="135" fillId="0" borderId="7002"/>
    <xf numFmtId="0" fontId="25" fillId="70" borderId="7002" applyAlignment="1">
      <alignment horizontal="left" vertical="center" wrapText="1"/>
    </xf>
    <xf numFmtId="4" fontId="184" fillId="54" borderId="7004" applyAlignment="1">
      <alignment horizontal="left" vertical="center" indent="1"/>
    </xf>
    <xf numFmtId="0" fontId="25" fillId="10" borderId="7008" applyAlignment="1">
      <alignment horizontal="left" vertical="top"/>
    </xf>
    <xf numFmtId="0" fontId="5" fillId="0" borderId="7017" applyAlignment="1">
      <alignment horizontal="left" vertical="center"/>
    </xf>
    <xf numFmtId="0" fontId="74" fillId="0" borderId="7359" applyAlignment="1">
      <alignment horizontal="center"/>
    </xf>
    <xf numFmtId="4" fontId="223" fillId="54" borderId="7004" applyAlignment="1">
      <alignment vertical="center"/>
    </xf>
    <xf numFmtId="4" fontId="226" fillId="72" borderId="7004" applyAlignment="1">
      <alignment horizontal="right" vertical="center"/>
    </xf>
    <xf numFmtId="4" fontId="228" fillId="11" borderId="7004" applyAlignment="1">
      <alignment vertical="center"/>
    </xf>
    <xf numFmtId="185" fontId="146" fillId="3" borderId="7347" applyAlignment="1">
      <alignment horizontal="left" vertical="center"/>
    </xf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83" fillId="104" borderId="7020"/>
    <xf numFmtId="0" fontId="286" fillId="55" borderId="7021"/>
    <xf numFmtId="185" fontId="146" fillId="3" borderId="7347" applyAlignment="1">
      <alignment horizontal="left" vertic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4" applyAlignment="1">
      <alignment horizontal="left" vertical="top"/>
    </xf>
    <xf numFmtId="186" fontId="79" fillId="0" borderId="7346"/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172" fontId="234" fillId="10" borderId="7002"/>
    <xf numFmtId="251" fontId="145" fillId="3" borderId="7359" applyAlignment="1">
      <alignment horizontal="right" vertical="center"/>
    </xf>
    <xf numFmtId="0" fontId="12" fillId="0" borderId="7001"/>
    <xf numFmtId="0" fontId="101" fillId="0" borderId="7347"/>
    <xf numFmtId="186" fontId="79" fillId="0" borderId="7346"/>
    <xf numFmtId="0" fontId="113" fillId="0" borderId="7347"/>
    <xf numFmtId="0" fontId="2" fillId="0" borderId="7352"/>
    <xf numFmtId="313" fontId="105" fillId="0" borderId="7001"/>
    <xf numFmtId="313" fontId="113" fillId="0" borderId="7347"/>
    <xf numFmtId="313" fontId="12" fillId="76" borderId="7004" applyAlignment="1">
      <alignment horizontal="left" vertical="center" indent="1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314" fontId="2" fillId="0" borderId="7352"/>
    <xf numFmtId="314" fontId="12" fillId="85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36" fillId="85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8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10" fontId="12" fillId="3" borderId="7014" applyProtection="1">
      <protection locked="0" hidden="0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0" fontId="12" fillId="3" borderId="7002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85" fontId="146" fillId="3" borderId="7347" applyAlignment="1">
      <alignment horizontal="left" vertical="center"/>
    </xf>
    <xf numFmtId="314" fontId="25" fillId="70" borderId="7002" applyAlignment="1">
      <alignment horizontal="left" vertical="center" wrapText="1"/>
    </xf>
    <xf numFmtId="0" fontId="159" fillId="0" borderId="7002"/>
    <xf numFmtId="0" fontId="25" fillId="10" borderId="7357" applyAlignment="1">
      <alignment horizontal="left" vertical="top"/>
    </xf>
    <xf numFmtId="313" fontId="12" fillId="11" borderId="7004" applyAlignment="1">
      <alignment horizontal="left" vertical="top" indent="1"/>
    </xf>
    <xf numFmtId="203" fontId="25" fillId="0" borderId="7017" applyAlignment="1">
      <alignment horizontal="center"/>
    </xf>
    <xf numFmtId="189" fontId="46" fillId="0" borderId="7347"/>
    <xf numFmtId="314" fontId="225" fillId="54" borderId="7004" applyAlignment="1">
      <alignment horizontal="left" vertical="top" indent="1"/>
    </xf>
    <xf numFmtId="0" fontId="12" fillId="0" borderId="7347" applyAlignment="1">
      <alignment horizontal="center"/>
    </xf>
    <xf numFmtId="0" fontId="25" fillId="70" borderId="7002" applyAlignment="1">
      <alignment horizontal="left" vertical="center" wrapText="1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6" fontId="79" fillId="0" borderId="7346"/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0" fontId="159" fillId="0" borderId="7002"/>
    <xf numFmtId="0" fontId="25" fillId="10" borderId="7010" applyAlignment="1">
      <alignment horizontal="left" vertical="top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0" fontId="12" fillId="76" borderId="7004" applyAlignment="1">
      <alignment horizontal="left" vertical="center" indent="1"/>
    </xf>
    <xf numFmtId="187" fontId="249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313" fontId="48" fillId="0" borderId="7001"/>
    <xf numFmtId="186" fontId="79" fillId="0" borderId="7346"/>
    <xf numFmtId="313" fontId="210" fillId="0" borderId="7347" applyProtection="1">
      <protection locked="0" hidden="0"/>
    </xf>
    <xf numFmtId="0" fontId="113" fillId="0" borderId="7347"/>
    <xf numFmtId="190" fontId="12" fillId="14" borderId="7347" applyAlignment="1">
      <alignment horizontal="right"/>
    </xf>
    <xf numFmtId="2" fontId="12" fillId="61" borderId="700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2" fillId="0" borderId="7001"/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313" fontId="166" fillId="0" borderId="7347" applyAlignment="1">
      <alignment horizontal="center"/>
    </xf>
    <xf numFmtId="313" fontId="225" fillId="54" borderId="7004" applyAlignment="1">
      <alignment horizontal="left" vertical="top" indent="1"/>
    </xf>
    <xf numFmtId="313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252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0" fontId="113" fillId="0" borderId="7347"/>
    <xf numFmtId="0" fontId="12" fillId="0" borderId="7001"/>
    <xf numFmtId="0" fontId="2" fillId="0" borderId="7352"/>
    <xf numFmtId="0" fontId="165" fillId="0" borderId="7347" applyAlignment="1">
      <alignment horizontal="center"/>
    </xf>
    <xf numFmtId="186" fontId="79" fillId="0" borderId="7346"/>
    <xf numFmtId="313" fontId="135" fillId="0" borderId="7002"/>
    <xf numFmtId="185" fontId="146" fillId="3" borderId="7350" applyAlignment="1">
      <alignment horizontal="left"/>
    </xf>
    <xf numFmtId="0" fontId="225" fillId="54" borderId="7004" applyAlignment="1">
      <alignment horizontal="left" vertical="top" indent="1"/>
    </xf>
    <xf numFmtId="188" fontId="240" fillId="0" borderId="7347" applyAlignment="1">
      <alignment horizontal="right" vertical="center"/>
    </xf>
    <xf numFmtId="313" fontId="25" fillId="10" borderId="7002" applyAlignment="1">
      <alignment horizontal="center" vertical="top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4" fontId="226" fillId="79" borderId="7004" applyAlignment="1">
      <alignment horizontal="right" vertical="center"/>
    </xf>
    <xf numFmtId="0" fontId="12" fillId="76" borderId="7004" applyAlignment="1">
      <alignment horizontal="left" vertical="center" indent="1"/>
    </xf>
    <xf numFmtId="289" fontId="12" fillId="61" borderId="7006"/>
    <xf numFmtId="0" fontId="25" fillId="10" borderId="7002" applyAlignment="1">
      <alignment horizontal="center" vertical="top"/>
    </xf>
    <xf numFmtId="0" fontId="25" fillId="10" borderId="7009" applyAlignment="1">
      <alignment horizontal="left" vertical="top"/>
    </xf>
    <xf numFmtId="0" fontId="12" fillId="0" borderId="7001"/>
    <xf numFmtId="0" fontId="48" fillId="0" borderId="7359" applyAlignment="1">
      <alignment horizontal="center"/>
    </xf>
    <xf numFmtId="4" fontId="224" fillId="54" borderId="7004" applyAlignment="1">
      <alignment vertical="center"/>
    </xf>
    <xf numFmtId="4" fontId="226" fillId="81" borderId="7004" applyAlignment="1">
      <alignment horizontal="right" vertical="center"/>
    </xf>
    <xf numFmtId="190" fontId="12" fillId="14" borderId="7347" applyAlignment="1">
      <alignment horizontal="right"/>
    </xf>
    <xf numFmtId="0" fontId="288" fillId="0" borderId="7022"/>
    <xf numFmtId="187" fontId="250" fillId="0" borderId="7347" applyAlignment="1">
      <alignment horizontal="center"/>
    </xf>
    <xf numFmtId="0" fontId="101" fillId="0" borderId="7347"/>
    <xf numFmtId="188" fontId="240" fillId="0" borderId="7347" applyAlignment="1">
      <alignment horizontal="right" vertical="center"/>
    </xf>
    <xf numFmtId="172" fontId="234" fillId="3" borderId="7002"/>
    <xf numFmtId="0" fontId="48" fillId="0" borderId="7359" applyAlignment="1">
      <alignment horizontal="center"/>
    </xf>
    <xf numFmtId="313" fontId="101" fillId="0" borderId="7347"/>
    <xf numFmtId="313" fontId="12" fillId="76" borderId="7004" applyAlignment="1">
      <alignment horizontal="left" vertical="top" indent="1"/>
    </xf>
    <xf numFmtId="10" fontId="12" fillId="3" borderId="7014" applyProtection="1">
      <protection locked="0" hidden="0"/>
    </xf>
    <xf numFmtId="314" fontId="78" fillId="14" borderId="7349"/>
    <xf numFmtId="314" fontId="74" fillId="0" borderId="7359" applyAlignment="1">
      <alignment horizont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186" fontId="79" fillId="0" borderId="7346"/>
    <xf numFmtId="0" fontId="75" fillId="0" borderId="7348"/>
    <xf numFmtId="185" fontId="146" fillId="3" borderId="7347" applyAlignment="1">
      <alignment horizontal="left" vertical="center"/>
    </xf>
    <xf numFmtId="185" fontId="140" fillId="3" borderId="7351" applyAlignment="1">
      <alignment horizontal="center" vertical="center"/>
    </xf>
    <xf numFmtId="10" fontId="12" fillId="3" borderId="7014" applyProtection="1">
      <protection locked="0" hidden="0"/>
    </xf>
    <xf numFmtId="186" fontId="79" fillId="0" borderId="7346"/>
    <xf numFmtId="183" fontId="9" fillId="3" borderId="7347" applyAlignment="1">
      <alignment horizontal="right" vertical="center"/>
    </xf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313" fontId="12" fillId="3" borderId="7002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10" fillId="0" borderId="7347" applyProtection="1">
      <protection locked="0" hidden="0"/>
    </xf>
    <xf numFmtId="0" fontId="25" fillId="10" borderId="7356" applyAlignment="1">
      <alignment horizontal="left" vertical="top"/>
    </xf>
    <xf numFmtId="0" fontId="25" fillId="10" borderId="7013" applyAlignment="1">
      <alignment horizontal="left" vertical="top"/>
    </xf>
    <xf numFmtId="185" fontId="146" fillId="3" borderId="7350" applyAlignment="1">
      <alignment horizontal="left"/>
    </xf>
    <xf numFmtId="186" fontId="79" fillId="0" borderId="7346"/>
    <xf numFmtId="0" fontId="75" fillId="0" borderId="7348"/>
    <xf numFmtId="293" fontId="234" fillId="3" borderId="7002"/>
    <xf numFmtId="0" fontId="75" fillId="0" borderId="7348"/>
    <xf numFmtId="252" fontId="9" fillId="3" borderId="7347" applyAlignment="1">
      <alignment horizontal="right" vertical="center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0" fontId="135" fillId="0" borderId="7002"/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25" fillId="10" borderId="7008" applyAlignment="1">
      <alignment horizontal="left" vertical="top"/>
    </xf>
    <xf numFmtId="313" fontId="12" fillId="10" borderId="7002"/>
    <xf numFmtId="0" fontId="25" fillId="10" borderId="7357" applyAlignment="1">
      <alignment horizontal="left" vertical="top"/>
    </xf>
    <xf numFmtId="314" fontId="12" fillId="76" borderId="7004" applyAlignment="1">
      <alignment horizontal="left" vertical="center" indent="1"/>
    </xf>
    <xf numFmtId="0" fontId="283" fillId="104" borderId="7020"/>
    <xf numFmtId="0" fontId="12" fillId="0" borderId="7001"/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4" fontId="226" fillId="79" borderId="7004" applyAlignment="1">
      <alignment horizontal="right" vertical="center"/>
    </xf>
    <xf numFmtId="0" fontId="25" fillId="10" borderId="7354" applyAlignment="1">
      <alignment horizontal="left" vertical="top"/>
    </xf>
    <xf numFmtId="0" fontId="75" fillId="0" borderId="7348"/>
    <xf numFmtId="314" fontId="25" fillId="10" borderId="7007" applyAlignment="1">
      <alignment horizontal="left"/>
    </xf>
    <xf numFmtId="314" fontId="12" fillId="0" borderId="7001"/>
    <xf numFmtId="314" fontId="25" fillId="10" borderId="7356" applyAlignment="1">
      <alignment horizontal="left" vertical="top"/>
    </xf>
    <xf numFmtId="293" fontId="234" fillId="3" borderId="7002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190" fontId="12" fillId="14" borderId="7347" applyAlignment="1">
      <alignment horizontal="right"/>
    </xf>
    <xf numFmtId="0" fontId="113" fillId="0" borderId="7347"/>
    <xf numFmtId="0" fontId="78" fillId="14" borderId="7349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0" fontId="48" fillId="0" borderId="7001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314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002" applyAlignment="1">
      <alignment horizontal="center" vertical="top"/>
    </xf>
    <xf numFmtId="0" fontId="25" fillId="10" borderId="7356" applyAlignment="1">
      <alignment horizontal="left" vertical="top"/>
    </xf>
    <xf numFmtId="10" fontId="12" fillId="61" borderId="7006"/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314" fontId="242" fillId="0" borderId="7347" applyAlignment="1">
      <alignment horizontal="center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0" fontId="113" fillId="0" borderId="7347"/>
    <xf numFmtId="0" fontId="2" fillId="0" borderId="7352"/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190" fontId="12" fillId="14" borderId="7347" applyAlignment="1">
      <alignment horizontal="right"/>
    </xf>
    <xf numFmtId="0" fontId="25" fillId="10" borderId="7013" applyAlignment="1">
      <alignment horizontal="left" vertical="top"/>
    </xf>
    <xf numFmtId="314" fontId="101" fillId="0" borderId="7347"/>
    <xf numFmtId="187" fontId="296" fillId="0" borderId="7347" applyAlignment="1">
      <alignment horizontal="center"/>
    </xf>
    <xf numFmtId="0" fontId="75" fillId="0" borderId="7348"/>
    <xf numFmtId="0" fontId="75" fillId="0" borderId="7348"/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5" fontId="146" fillId="3" borderId="7350" applyAlignment="1">
      <alignment horizontal="left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4" fontId="223" fillId="53" borderId="7004" applyAlignment="1">
      <alignment horizontal="left" vertical="center" indent="1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101" fillId="0" borderId="7347"/>
    <xf numFmtId="10" fontId="12" fillId="3" borderId="7014" applyProtection="1">
      <protection locked="0" hidden="0"/>
    </xf>
    <xf numFmtId="314" fontId="241" fillId="95" borderId="7347" applyAlignment="1">
      <alignment horizontal="centerContinuous" vertical="center"/>
    </xf>
    <xf numFmtId="0" fontId="25" fillId="10" borderId="7009" applyAlignment="1">
      <alignment horizontal="left" vertical="top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12" fillId="10" borderId="700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314" fontId="25" fillId="10" borderId="7009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2" fillId="0" borderId="7001"/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12" fillId="0" borderId="7347" applyAlignment="1">
      <alignment horizontal="center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4" fontId="2" fillId="0" borderId="7352"/>
    <xf numFmtId="10" fontId="12" fillId="3" borderId="7014" applyProtection="1">
      <protection locked="0" hidden="0"/>
    </xf>
    <xf numFmtId="314" fontId="214" fillId="0" borderId="7353"/>
    <xf numFmtId="203" fontId="25" fillId="0" borderId="701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0" fontId="75" fillId="0" borderId="7348"/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314" fontId="25" fillId="10" borderId="7355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313" fontId="74" fillId="0" borderId="7359" applyAlignment="1">
      <alignment horizontal="center"/>
    </xf>
    <xf numFmtId="0" fontId="25" fillId="10" borderId="7012" applyAlignment="1">
      <alignment horizontal="left" vertical="top"/>
    </xf>
    <xf numFmtId="0" fontId="74" fillId="0" borderId="7359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313" fontId="25" fillId="10" borderId="7012" applyAlignment="1">
      <alignment horizontal="left" vertical="top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4" fontId="25" fillId="10" borderId="7002" applyAlignment="1">
      <alignment horizontal="center" vertical="top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314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314" fontId="25" fillId="10" borderId="7356" applyAlignment="1">
      <alignment horizontal="left" vertical="top"/>
    </xf>
    <xf numFmtId="1" fontId="74" fillId="0" borderId="7017" applyAlignment="1">
      <alignment horizontal="right"/>
    </xf>
    <xf numFmtId="187" fontId="250" fillId="0" borderId="7347" applyAlignment="1">
      <alignment horizontal="center"/>
    </xf>
    <xf numFmtId="314" fontId="25" fillId="10" borderId="7357" applyAlignment="1">
      <alignment horizontal="left" vertical="top"/>
    </xf>
    <xf numFmtId="0" fontId="113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314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293" fontId="234" fillId="10" borderId="7002"/>
    <xf numFmtId="0" fontId="276" fillId="55" borderId="7020"/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0" fontId="75" fillId="0" borderId="7348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293" fontId="234" fillId="10" borderId="7002"/>
    <xf numFmtId="0" fontId="113" fillId="0" borderId="7347"/>
    <xf numFmtId="313" fontId="12" fillId="0" borderId="7001"/>
    <xf numFmtId="0" fontId="241" fillId="95" borderId="7347" applyAlignment="1">
      <alignment horizontal="centerContinuous" vertical="center"/>
    </xf>
    <xf numFmtId="314" fontId="48" fillId="0" borderId="7001"/>
    <xf numFmtId="313" fontId="101" fillId="0" borderId="7347"/>
    <xf numFmtId="9" fontId="12" fillId="61" borderId="7006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4" fontId="12" fillId="61" borderId="7006"/>
    <xf numFmtId="313" fontId="113" fillId="0" borderId="7347"/>
    <xf numFmtId="313" fontId="75" fillId="0" borderId="7348"/>
    <xf numFmtId="313" fontId="241" fillId="95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313" fontId="75" fillId="0" borderId="7348"/>
    <xf numFmtId="313" fontId="78" fillId="14" borderId="7349"/>
    <xf numFmtId="314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2" fillId="10" borderId="7002"/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25" fillId="10" borderId="7354" applyAlignment="1">
      <alignment horizontal="left" vertical="top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" fontId="154" fillId="66" borderId="7069" applyAlignment="1" applyProtection="1">
      <alignment horizontal="centerContinuous" vertical="center"/>
      <protection locked="0" hidden="0"/>
    </xf>
    <xf numFmtId="186" fontId="79" fillId="0" borderId="7346"/>
    <xf numFmtId="0" fontId="25" fillId="10" borderId="7354" applyAlignment="1">
      <alignment horizontal="left" vertical="top"/>
    </xf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0" fontId="241" fillId="95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293" fontId="234" fillId="10" borderId="7002"/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313" fontId="210" fillId="0" borderId="7347" applyProtection="1">
      <protection locked="0" hidden="0"/>
    </xf>
    <xf numFmtId="313" fontId="25" fillId="10" borderId="7008" applyAlignment="1">
      <alignment horizontal="left" vertical="top"/>
    </xf>
    <xf numFmtId="313" fontId="2" fillId="0" borderId="7352"/>
    <xf numFmtId="0" fontId="210" fillId="0" borderId="7347" applyProtection="1">
      <protection locked="0" hidden="0"/>
    </xf>
    <xf numFmtId="313" fontId="136" fillId="85" borderId="7004" applyAlignment="1">
      <alignment horizontal="left" vertical="top" indent="1"/>
    </xf>
    <xf numFmtId="0" fontId="166" fillId="0" borderId="7347" applyAlignment="1">
      <alignment horizontal="center"/>
    </xf>
    <xf numFmtId="313" fontId="214" fillId="0" borderId="7353"/>
    <xf numFmtId="0" fontId="135" fillId="0" borderId="7002"/>
    <xf numFmtId="0" fontId="276" fillId="55" borderId="7020"/>
    <xf numFmtId="186" fontId="79" fillId="0" borderId="7346"/>
    <xf numFmtId="0" fontId="25" fillId="10" borderId="7357" applyAlignment="1">
      <alignment horizontal="left" vertical="top"/>
    </xf>
    <xf numFmtId="0" fontId="101" fillId="0" borderId="7347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25" fillId="10" borderId="7355" applyAlignment="1">
      <alignment horizontal="left" vertical="top"/>
    </xf>
    <xf numFmtId="0" fontId="75" fillId="0" borderId="7348"/>
    <xf numFmtId="0" fontId="25" fillId="10" borderId="7356" applyAlignment="1">
      <alignment horizontal="left" vertical="top"/>
    </xf>
    <xf numFmtId="313" fontId="48" fillId="0" borderId="7359" applyAlignment="1">
      <alignment horizont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7" applyAlignment="1">
      <alignment horizontal="left" vertical="top"/>
    </xf>
    <xf numFmtId="0" fontId="2" fillId="0" borderId="7352"/>
    <xf numFmtId="313" fontId="241" fillId="95" borderId="7347" applyAlignment="1">
      <alignment horizontal="centerContinuous" vertical="center"/>
    </xf>
    <xf numFmtId="314" fontId="12" fillId="53" borderId="7004" applyAlignment="1">
      <alignment horizontal="left" vertical="center" indent="1"/>
    </xf>
    <xf numFmtId="314" fontId="25" fillId="10" borderId="7355" applyAlignment="1">
      <alignment horizontal="left" vertical="top"/>
    </xf>
    <xf numFmtId="314" fontId="25" fillId="10" borderId="7011" applyAlignment="1">
      <alignment horizontal="left" vertical="top"/>
    </xf>
    <xf numFmtId="187" fontId="296" fillId="0" borderId="7347" applyAlignment="1">
      <alignment horizontal="center"/>
    </xf>
    <xf numFmtId="314" fontId="12" fillId="0" borderId="7001"/>
    <xf numFmtId="190" fontId="12" fillId="14" borderId="7347" applyAlignment="1">
      <alignment horizontal="right"/>
    </xf>
    <xf numFmtId="0" fontId="75" fillId="0" borderId="7348"/>
    <xf numFmtId="314" fontId="165" fillId="0" borderId="7347" applyAlignment="1">
      <alignment horizontal="center"/>
    </xf>
    <xf numFmtId="0" fontId="25" fillId="10" borderId="7356" applyAlignment="1">
      <alignment horizontal="left" vertical="top"/>
    </xf>
    <xf numFmtId="314" fontId="12" fillId="85" borderId="7004" applyAlignment="1">
      <alignment horizontal="left" vertical="center" indent="1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0" fontId="101" fillId="0" borderId="7347"/>
    <xf numFmtId="252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313" fontId="12" fillId="85" borderId="7004" applyAlignment="1">
      <alignment horizontal="left" vertical="center" indent="1"/>
    </xf>
    <xf numFmtId="313" fontId="12" fillId="0" borderId="7347" applyAlignment="1">
      <alignment horizontal="center"/>
    </xf>
    <xf numFmtId="0" fontId="12" fillId="85" borderId="7004" applyAlignment="1">
      <alignment horizontal="left" vertical="center" indent="1"/>
    </xf>
    <xf numFmtId="0" fontId="214" fillId="0" borderId="7353"/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185" fontId="48" fillId="3" borderId="7359" applyAlignment="1">
      <alignment vertical="center"/>
    </xf>
    <xf numFmtId="0" fontId="25" fillId="10" borderId="7002" applyAlignment="1">
      <alignment horizontal="center" vertical="top"/>
    </xf>
    <xf numFmtId="252" fontId="9" fillId="3" borderId="7347" applyAlignment="1">
      <alignment horizontal="right" vertical="center"/>
    </xf>
    <xf numFmtId="187" fontId="250" fillId="0" borderId="7347" applyAlignment="1">
      <alignment horizontal="center"/>
    </xf>
    <xf numFmtId="252" fontId="9" fillId="3" borderId="7347" applyAlignment="1">
      <alignment horizontal="right" vertical="center"/>
    </xf>
    <xf numFmtId="0" fontId="2" fillId="0" borderId="7352"/>
    <xf numFmtId="185" fontId="140" fillId="3" borderId="7351" applyAlignment="1">
      <alignment horizontal="center" vertical="center"/>
    </xf>
    <xf numFmtId="0" fontId="12" fillId="0" borderId="7001"/>
    <xf numFmtId="0" fontId="25" fillId="10" borderId="7002" applyAlignment="1">
      <alignment horizontal="center" vertical="top"/>
    </xf>
    <xf numFmtId="186" fontId="79" fillId="0" borderId="7346"/>
    <xf numFmtId="313" fontId="214" fillId="0" borderId="7353"/>
    <xf numFmtId="10" fontId="12" fillId="3" borderId="7014" applyProtection="1">
      <protection locked="0" hidden="0"/>
    </xf>
    <xf numFmtId="314" fontId="75" fillId="0" borderId="7348"/>
    <xf numFmtId="314" fontId="75" fillId="0" borderId="7348"/>
    <xf numFmtId="314" fontId="101" fillId="0" borderId="7347"/>
    <xf numFmtId="0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172" fontId="234" fillId="10" borderId="7002"/>
    <xf numFmtId="0" fontId="25" fillId="10" borderId="7013" applyAlignment="1">
      <alignment horizontal="left" vertical="top"/>
    </xf>
    <xf numFmtId="314" fontId="113" fillId="0" borderId="7347"/>
    <xf numFmtId="314" fontId="75" fillId="0" borderId="7348"/>
    <xf numFmtId="0" fontId="46" fillId="0" borderId="7001"/>
    <xf numFmtId="5" fontId="114" fillId="0" borderId="7359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0" fontId="288" fillId="0" borderId="7022"/>
    <xf numFmtId="0" fontId="101" fillId="0" borderId="7347"/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314" fontId="12" fillId="3" borderId="7002"/>
    <xf numFmtId="314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2" fillId="0" borderId="7001"/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5" fillId="10" borderId="7357" applyAlignment="1">
      <alignment horizontal="left" vertical="top"/>
    </xf>
    <xf numFmtId="313" fontId="135" fillId="0" borderId="7002"/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0" fontId="12" fillId="10" borderId="7002"/>
    <xf numFmtId="313" fontId="25" fillId="10" borderId="7357" applyAlignment="1">
      <alignment horizontal="left" vertical="top"/>
    </xf>
    <xf numFmtId="0" fontId="166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0" fontId="12" fillId="0" borderId="7347" applyAlignment="1">
      <alignment horizontal="center"/>
    </xf>
    <xf numFmtId="4" fontId="229" fillId="85" borderId="7005" applyAlignment="1">
      <alignment horizontal="left" vertical="center" indent="1"/>
    </xf>
    <xf numFmtId="186" fontId="79" fillId="0" borderId="7346"/>
    <xf numFmtId="314" fontId="2" fillId="0" borderId="7352"/>
    <xf numFmtId="0" fontId="214" fillId="0" borderId="7353"/>
    <xf numFmtId="252" fontId="9" fillId="3" borderId="7347" applyAlignment="1">
      <alignment horizontal="right" vertical="center"/>
    </xf>
    <xf numFmtId="0" fontId="25" fillId="10" borderId="7011" applyAlignment="1">
      <alignment horizontal="left" vertical="top"/>
    </xf>
    <xf numFmtId="314" fontId="214" fillId="0" borderId="7353"/>
    <xf numFmtId="0" fontId="159" fillId="68" borderId="7002"/>
    <xf numFmtId="0" fontId="78" fillId="14" borderId="7349"/>
    <xf numFmtId="185" fontId="140" fillId="3" borderId="7351" applyAlignment="1">
      <alignment horizontal="center" vertical="center"/>
    </xf>
    <xf numFmtId="0" fontId="78" fillId="14" borderId="7349"/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0" fontId="78" fillId="14" borderId="7349"/>
    <xf numFmtId="0" fontId="214" fillId="0" borderId="7353"/>
    <xf numFmtId="0" fontId="113" fillId="0" borderId="7347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75" fillId="0" borderId="7348"/>
    <xf numFmtId="183" fontId="9" fillId="3" borderId="7347" applyAlignment="1">
      <alignment horizontal="right" vertical="center"/>
    </xf>
    <xf numFmtId="0" fontId="25" fillId="10" borderId="7357" applyAlignment="1">
      <alignment horizontal="left" vertical="top"/>
    </xf>
    <xf numFmtId="313" fontId="75" fillId="0" borderId="7348"/>
    <xf numFmtId="313" fontId="78" fillId="14" borderId="7349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3" fontId="12" fillId="0" borderId="7001"/>
    <xf numFmtId="314" fontId="241" fillId="95" borderId="7347" applyAlignment="1">
      <alignment horizontal="centerContinuous" vertical="center"/>
    </xf>
    <xf numFmtId="314" fontId="184" fillId="0" borderId="7003" applyAlignment="1">
      <alignment horizontal="left" wrapText="1"/>
    </xf>
    <xf numFmtId="314" fontId="12" fillId="53" borderId="7004" applyAlignment="1">
      <alignment horizontal="left" vertical="top" indent="1"/>
    </xf>
    <xf numFmtId="314" fontId="12" fillId="10" borderId="7002"/>
    <xf numFmtId="314" fontId="25" fillId="10" borderId="7010" applyAlignment="1">
      <alignment horizontal="left" vertical="top"/>
    </xf>
    <xf numFmtId="314" fontId="25" fillId="10" borderId="7357" applyAlignment="1">
      <alignment horizontal="left" vertical="top"/>
    </xf>
    <xf numFmtId="187" fontId="296" fillId="0" borderId="7347" applyAlignment="1">
      <alignment horizontal="center"/>
    </xf>
    <xf numFmtId="314" fontId="12" fillId="0" borderId="7001"/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0" fontId="241" fillId="95" borderId="7347" applyAlignment="1">
      <alignment horizontal="centerContinuous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2" fillId="53" borderId="7004" applyAlignment="1">
      <alignment horizontal="left" vertical="center" indent="1"/>
    </xf>
    <xf numFmtId="185" fontId="146" fillId="3" borderId="7347" applyAlignment="1">
      <alignment horizontal="left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12" fillId="53" borderId="7004" applyAlignment="1">
      <alignment horizontal="left" vertical="top" indent="1"/>
    </xf>
    <xf numFmtId="4" fontId="12" fillId="61" borderId="7006"/>
    <xf numFmtId="0" fontId="25" fillId="10" borderId="7356" applyAlignment="1">
      <alignment horizontal="left" vertical="top"/>
    </xf>
    <xf numFmtId="314" fontId="12" fillId="10" borderId="7002"/>
    <xf numFmtId="314" fontId="25" fillId="10" borderId="7354" applyAlignment="1">
      <alignment horizontal="left" vertical="top"/>
    </xf>
    <xf numFmtId="4" fontId="226" fillId="11" borderId="7004" applyAlignment="1">
      <alignment vertical="center"/>
    </xf>
    <xf numFmtId="252" fontId="9" fillId="3" borderId="7347" applyAlignment="1">
      <alignment horizontal="right" vertic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159" fillId="0" borderId="7002"/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4" fontId="228" fillId="11" borderId="7004" applyAlignment="1">
      <alignment horizontal="right" vertical="center"/>
    </xf>
    <xf numFmtId="0" fontId="2" fillId="0" borderId="7352"/>
    <xf numFmtId="190" fontId="12" fillId="14" borderId="7347" applyAlignment="1">
      <alignment horizontal="right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4" fontId="226" fillId="78" borderId="7004" applyAlignment="1">
      <alignment horizontal="right" vertical="center"/>
    </xf>
    <xf numFmtId="185" fontId="146" fillId="3" borderId="7347" applyAlignment="1">
      <alignment horizontal="left" vertical="center"/>
    </xf>
    <xf numFmtId="0" fontId="2" fillId="0" borderId="7352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189" fontId="46" fillId="0" borderId="7347"/>
    <xf numFmtId="189" fontId="46" fillId="0" borderId="7347"/>
    <xf numFmtId="0" fontId="12" fillId="0" borderId="7001"/>
    <xf numFmtId="0" fontId="135" fillId="0" borderId="7002"/>
    <xf numFmtId="4" fontId="223" fillId="53" borderId="7004" applyAlignment="1">
      <alignment horizontal="left" vertical="center" indent="1"/>
    </xf>
    <xf numFmtId="4" fontId="228" fillId="11" borderId="7004" applyAlignment="1">
      <alignment vertical="center"/>
    </xf>
    <xf numFmtId="4" fontId="184" fillId="11" borderId="7004" applyAlignment="1">
      <alignment horizontal="righ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166" fillId="0" borderId="7347" applyAlignment="1">
      <alignment horizontal="center"/>
    </xf>
    <xf numFmtId="189" fontId="46" fillId="0" borderId="7347"/>
    <xf numFmtId="0" fontId="101" fillId="0" borderId="7347"/>
    <xf numFmtId="313" fontId="78" fillId="14" borderId="7349"/>
    <xf numFmtId="314" fontId="159" fillId="68" borderId="7002"/>
    <xf numFmtId="0" fontId="25" fillId="10" borderId="7357" applyAlignment="1">
      <alignment horizontal="left" vertical="top"/>
    </xf>
    <xf numFmtId="0" fontId="159" fillId="68" borderId="7002"/>
    <xf numFmtId="186" fontId="79" fillId="0" borderId="7346"/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189" fontId="46" fillId="0" borderId="7347"/>
    <xf numFmtId="0" fontId="25" fillId="10" borderId="7356" applyAlignment="1">
      <alignment horizontal="left" vertical="top"/>
    </xf>
    <xf numFmtId="313" fontId="12" fillId="0" borderId="7001"/>
    <xf numFmtId="203" fontId="25" fillId="0" borderId="701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314" fontId="12" fillId="11" borderId="7004" applyAlignment="1">
      <alignment horizontal="left" vertical="top" indent="1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313" fontId="159" fillId="0" borderId="7002"/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5" fontId="114" fillId="0" borderId="7359"/>
    <xf numFmtId="1" fontId="154" fillId="66" borderId="7069" applyAlignment="1" applyProtection="1">
      <alignment horizontal="centerContinuous" vertical="center"/>
      <protection locked="0" hidden="0"/>
    </xf>
    <xf numFmtId="185" fontId="146" fillId="3" borderId="7347" applyAlignment="1">
      <alignment horizontal="left" vertical="center"/>
    </xf>
    <xf numFmtId="0" fontId="25" fillId="10" borderId="7011" applyAlignment="1">
      <alignment horizontal="left" vertical="top"/>
    </xf>
    <xf numFmtId="185" fontId="146" fillId="3" borderId="7350" applyAlignment="1">
      <alignment horizontal="left"/>
    </xf>
    <xf numFmtId="0" fontId="214" fillId="0" borderId="7353"/>
    <xf numFmtId="0" fontId="241" fillId="95" borderId="7347" applyAlignment="1">
      <alignment horizontal="centerContinuous" vertical="center"/>
    </xf>
    <xf numFmtId="0" fontId="75" fillId="0" borderId="7348"/>
    <xf numFmtId="188" fontId="240" fillId="0" borderId="7347" applyAlignment="1">
      <alignment horizontal="right" vertical="center"/>
    </xf>
    <xf numFmtId="4" fontId="184" fillId="53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5" fillId="70" borderId="7002" applyAlignment="1">
      <alignment horizontal="left" vertical="center" wrapText="1"/>
    </xf>
    <xf numFmtId="0" fontId="46" fillId="0" borderId="7001"/>
    <xf numFmtId="172" fontId="234" fillId="3" borderId="7002"/>
    <xf numFmtId="0" fontId="12" fillId="53" borderId="7004" applyAlignment="1">
      <alignment horizontal="left" vertical="top" indent="1"/>
    </xf>
    <xf numFmtId="4" fontId="226" fillId="10" borderId="7004" applyAlignment="1">
      <alignment horizontal="right" vertical="center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310" fontId="267" fillId="0" borderId="7019" applyAlignment="1">
      <alignment horizontal="left"/>
    </xf>
    <xf numFmtId="314" fontId="242" fillId="0" borderId="7347" applyAlignment="1">
      <alignment horizontal="center"/>
    </xf>
    <xf numFmtId="185" fontId="140" fillId="3" borderId="7351" applyAlignment="1">
      <alignment horizontal="center" vertical="center"/>
    </xf>
    <xf numFmtId="10" fontId="12" fillId="3" borderId="7014" applyProtection="1">
      <protection locked="0" hidden="0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6" fillId="80" borderId="7004" applyAlignment="1">
      <alignment horizontal="right" vertical="center"/>
    </xf>
    <xf numFmtId="4" fontId="227" fillId="53" borderId="7005" applyAlignment="1">
      <alignment horizontal="left" vertical="center" indent="1"/>
    </xf>
    <xf numFmtId="293" fontId="234" fillId="10" borderId="7002"/>
    <xf numFmtId="186" fontId="79" fillId="0" borderId="7346"/>
    <xf numFmtId="0" fontId="105" fillId="0" borderId="7001"/>
    <xf numFmtId="0" fontId="184" fillId="0" borderId="7003" applyAlignment="1">
      <alignment horizontal="left" wrapText="1"/>
    </xf>
    <xf numFmtId="4" fontId="226" fillId="10" borderId="7004" applyAlignment="1">
      <alignment horizontal="right" vertical="center"/>
    </xf>
    <xf numFmtId="0" fontId="12" fillId="85" borderId="7004" applyAlignment="1">
      <alignment horizontal="left" vertical="top" inden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0" fontId="214" fillId="0" borderId="7353"/>
    <xf numFmtId="0" fontId="12" fillId="0" borderId="7001"/>
    <xf numFmtId="0" fontId="25" fillId="10" borderId="7008" applyAlignment="1">
      <alignment horizontal="left" vertical="top"/>
    </xf>
    <xf numFmtId="183" fontId="9" fillId="3" borderId="7347" applyAlignment="1">
      <alignment horizontal="right" vertical="center"/>
    </xf>
    <xf numFmtId="0" fontId="105" fillId="0" borderId="7001"/>
    <xf numFmtId="313" fontId="12" fillId="0" borderId="7001"/>
    <xf numFmtId="189" fontId="46" fillId="0" borderId="7347"/>
    <xf numFmtId="0" fontId="2" fillId="0" borderId="7352"/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190" fontId="12" fillId="14" borderId="7347" applyAlignment="1">
      <alignment horizontal="right"/>
    </xf>
    <xf numFmtId="314" fontId="242" fillId="0" borderId="7347" applyAlignment="1">
      <alignment horizontal="center"/>
    </xf>
    <xf numFmtId="4" fontId="226" fillId="83" borderId="7004" applyAlignment="1">
      <alignment horizontal="right" vertical="center"/>
    </xf>
    <xf numFmtId="313" fontId="165" fillId="0" borderId="7347" applyAlignment="1">
      <alignment horizontal="center"/>
    </xf>
    <xf numFmtId="0" fontId="78" fillId="14" borderId="7349"/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252" fontId="9" fillId="3" borderId="7347" applyAlignment="1">
      <alignment horizontal="right" vertical="center"/>
    </xf>
    <xf numFmtId="314" fontId="135" fillId="0" borderId="7002"/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5" fontId="48" fillId="3" borderId="7359" applyAlignment="1">
      <alignment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314" fontId="136" fillId="14" borderId="7004" applyAlignment="1">
      <alignment horizontal="left" vertical="top" indent="1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313" fontId="46" fillId="0" borderId="7001"/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46" fillId="0" borderId="7001"/>
    <xf numFmtId="293" fontId="234" fillId="10" borderId="7002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86" fillId="55" borderId="7021"/>
    <xf numFmtId="189" fontId="46" fillId="0" borderId="7347"/>
    <xf numFmtId="186" fontId="79" fillId="0" borderId="7346"/>
    <xf numFmtId="0" fontId="75" fillId="0" borderId="7348"/>
    <xf numFmtId="0" fontId="166" fillId="0" borderId="7347" applyAlignment="1">
      <alignment horizontal="center"/>
    </xf>
    <xf numFmtId="0" fontId="12" fillId="11" borderId="7004" applyAlignment="1">
      <alignment horizontal="left" vertical="center" indent="1"/>
    </xf>
    <xf numFmtId="4" fontId="226" fillId="80" borderId="7004" applyAlignment="1">
      <alignment horizontal="right" vertical="center"/>
    </xf>
    <xf numFmtId="203" fontId="25" fillId="0" borderId="7017" applyAlignment="1">
      <alignment horizont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12" fillId="0" borderId="7001"/>
    <xf numFmtId="0" fontId="136" fillId="85" borderId="7004" applyAlignment="1">
      <alignment horizontal="left" vertical="top" indent="1"/>
    </xf>
    <xf numFmtId="4" fontId="226" fillId="72" borderId="7004" applyAlignment="1">
      <alignment horizontal="right" vertical="center"/>
    </xf>
    <xf numFmtId="4" fontId="224" fillId="54" borderId="7004" applyAlignment="1">
      <alignment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314" fontId="159" fillId="0" borderId="7002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4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186" fontId="79" fillId="0" borderId="7346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0" fontId="12" fillId="3" borderId="7014" applyProtection="1">
      <protection locked="0" hidden="0"/>
    </xf>
    <xf numFmtId="0" fontId="25" fillId="10" borderId="7012" applyAlignment="1">
      <alignment horizontal="left" vertical="top"/>
    </xf>
    <xf numFmtId="0" fontId="25" fillId="10" borderId="7002" applyAlignment="1">
      <alignment horizontal="center" vertical="top"/>
    </xf>
    <xf numFmtId="0" fontId="136" fillId="14" borderId="7004" applyAlignment="1">
      <alignment horizontal="left" vertical="top" indent="1"/>
    </xf>
    <xf numFmtId="314" fontId="214" fillId="0" borderId="7353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2" fillId="10" borderId="7002"/>
    <xf numFmtId="4" fontId="230" fillId="11" borderId="7004" applyAlignment="1">
      <alignment horizontal="right" vertical="center"/>
    </xf>
    <xf numFmtId="4" fontId="227" fillId="53" borderId="7005" applyAlignment="1">
      <alignment horizontal="left" vertical="center" indent="1"/>
    </xf>
    <xf numFmtId="313" fontId="136" fillId="14" borderId="7004" applyAlignment="1">
      <alignment horizontal="left" vertical="top" indent="1"/>
    </xf>
    <xf numFmtId="0" fontId="2" fillId="0" borderId="7352"/>
    <xf numFmtId="307" fontId="268" fillId="0" borderId="7019" applyAlignment="1">
      <alignment horizontal="right" wrapText="1"/>
    </xf>
    <xf numFmtId="187" fontId="250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183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35" fillId="0" borderId="7002"/>
    <xf numFmtId="313" fontId="12" fillId="11" borderId="7004" applyAlignment="1">
      <alignment horizontal="left" vertical="center" indent="1"/>
    </xf>
    <xf numFmtId="313" fontId="25" fillId="70" borderId="7002" applyAlignment="1">
      <alignment horizontal="left" vertical="center" wrapText="1"/>
    </xf>
    <xf numFmtId="252" fontId="9" fillId="3" borderId="7347" applyAlignment="1">
      <alignment horizontal="right" vertical="center"/>
    </xf>
    <xf numFmtId="186" fontId="79" fillId="0" borderId="7346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7" fontId="249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293" fontId="234" fillId="3" borderId="7002"/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01" fillId="0" borderId="7347"/>
    <xf numFmtId="0" fontId="25" fillId="10" borderId="7007" applyAlignment="1">
      <alignment horizontal="left"/>
    </xf>
    <xf numFmtId="0" fontId="136" fillId="85" borderId="7004" applyAlignment="1">
      <alignment horizontal="left" vertical="top" indent="1"/>
    </xf>
    <xf numFmtId="293" fontId="234" fillId="10" borderId="7002"/>
    <xf numFmtId="2" fontId="12" fillId="61" borderId="7006"/>
    <xf numFmtId="0" fontId="78" fillId="14" borderId="7349"/>
    <xf numFmtId="172" fontId="234" fillId="3" borderId="7002"/>
    <xf numFmtId="0" fontId="25" fillId="10" borderId="7002" applyAlignment="1">
      <alignment horizontal="center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" fontId="12" fillId="61" borderId="7006"/>
    <xf numFmtId="185" fontId="140" fillId="3" borderId="7351" applyAlignment="1">
      <alignment horizontal="center" vertic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313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2" fillId="0" borderId="7001"/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0" fontId="101" fillId="0" borderId="7347"/>
    <xf numFmtId="0" fontId="113" fillId="0" borderId="7347"/>
    <xf numFmtId="189" fontId="46" fillId="0" borderId="7347"/>
    <xf numFmtId="313" fontId="12" fillId="85" borderId="7004" applyAlignment="1">
      <alignment horizontal="left" vertical="top" indent="1"/>
    </xf>
    <xf numFmtId="0" fontId="12" fillId="10" borderId="700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1" fontId="145" fillId="3" borderId="7359" applyAlignment="1">
      <alignment horizontal="right" vertical="center"/>
    </xf>
    <xf numFmtId="4" fontId="226" fillId="77" borderId="7004" applyAlignment="1">
      <alignment horizontal="right" vertical="center"/>
    </xf>
    <xf numFmtId="4" fontId="226" fillId="83" borderId="7004" applyAlignment="1">
      <alignment horizontal="right" vertical="center"/>
    </xf>
    <xf numFmtId="0" fontId="12" fillId="85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horizontal="right" vertical="center"/>
    </xf>
    <xf numFmtId="3" fontId="12" fillId="61" borderId="7006"/>
    <xf numFmtId="9" fontId="12" fillId="61" borderId="7006"/>
    <xf numFmtId="314" fontId="113" fillId="0" borderId="7347"/>
    <xf numFmtId="314" fontId="46" fillId="0" borderId="7001"/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190" fontId="12" fillId="14" borderId="7347" applyAlignment="1">
      <alignment horizontal="right"/>
    </xf>
    <xf numFmtId="190" fontId="12" fillId="14" borderId="7347" applyAlignment="1">
      <alignment horizontal="right"/>
    </xf>
    <xf numFmtId="0" fontId="113" fillId="0" borderId="7347"/>
    <xf numFmtId="0" fontId="214" fillId="0" borderId="7353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5" fillId="0" borderId="7348"/>
    <xf numFmtId="186" fontId="79" fillId="0" borderId="7346"/>
    <xf numFmtId="0" fontId="12" fillId="0" borderId="7347" applyAlignment="1">
      <alignment horizont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85" fontId="140" fillId="3" borderId="7351" applyAlignment="1">
      <alignment horizontal="center" vertical="center"/>
    </xf>
    <xf numFmtId="0" fontId="214" fillId="0" borderId="7353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113" fillId="0" borderId="7347"/>
    <xf numFmtId="314" fontId="105" fillId="0" borderId="7001"/>
    <xf numFmtId="186" fontId="79" fillId="0" borderId="7346"/>
    <xf numFmtId="0" fontId="101" fillId="0" borderId="7347"/>
    <xf numFmtId="10" fontId="12" fillId="61" borderId="7006"/>
    <xf numFmtId="4" fontId="230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2" fillId="11" borderId="7004" applyAlignment="1">
      <alignment horizontal="left" vertical="top" indent="1"/>
    </xf>
    <xf numFmtId="4" fontId="184" fillId="53" borderId="7004" applyAlignment="1">
      <alignment horizontal="right" vertical="center"/>
    </xf>
    <xf numFmtId="0" fontId="12" fillId="85" borderId="7004" applyAlignment="1">
      <alignment horizontal="left" vertical="center" indent="1"/>
    </xf>
    <xf numFmtId="4" fontId="226" fillId="82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113" fillId="0" borderId="7347"/>
    <xf numFmtId="186" fontId="79" fillId="0" borderId="7346"/>
    <xf numFmtId="0" fontId="25" fillId="10" borderId="7011" applyAlignment="1">
      <alignment horizontal="left" vertical="top"/>
    </xf>
    <xf numFmtId="0" fontId="12" fillId="0" borderId="7001"/>
    <xf numFmtId="313" fontId="2" fillId="0" borderId="7352"/>
    <xf numFmtId="0" fontId="2" fillId="0" borderId="7352"/>
    <xf numFmtId="0" fontId="166" fillId="0" borderId="7347" applyAlignment="1">
      <alignment horizontal="center"/>
    </xf>
    <xf numFmtId="0" fontId="101" fillId="0" borderId="7347"/>
    <xf numFmtId="185" fontId="146" fillId="3" borderId="7347" applyAlignment="1">
      <alignment horizontal="left" vertical="center"/>
    </xf>
    <xf numFmtId="313" fontId="12" fillId="0" borderId="7001"/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0" fontId="25" fillId="10" borderId="7007" applyAlignment="1">
      <alignment horizontal="left"/>
    </xf>
    <xf numFmtId="0" fontId="74" fillId="0" borderId="7359" applyAlignment="1">
      <alignment horizontal="center"/>
    </xf>
    <xf numFmtId="0" fontId="135" fillId="0" borderId="7002"/>
    <xf numFmtId="0" fontId="159" fillId="68" borderId="7002"/>
    <xf numFmtId="0" fontId="184" fillId="0" borderId="7003" applyAlignment="1">
      <alignment horizontal="left" wrapText="1"/>
    </xf>
    <xf numFmtId="0" fontId="225" fillId="54" borderId="7004" applyAlignment="1">
      <alignment horizontal="left" vertical="top" indent="1"/>
    </xf>
    <xf numFmtId="4" fontId="226" fillId="81" borderId="7004" applyAlignment="1">
      <alignment horizontal="right" vertical="center"/>
    </xf>
    <xf numFmtId="0" fontId="12" fillId="76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313" fontId="184" fillId="0" borderId="7003" applyAlignment="1">
      <alignment horizontal="left" wrapText="1"/>
    </xf>
    <xf numFmtId="0" fontId="2" fillId="0" borderId="7352"/>
    <xf numFmtId="0" fontId="113" fillId="0" borderId="7347"/>
    <xf numFmtId="185" fontId="146" fillId="3" borderId="7350" applyAlignment="1">
      <alignment horizontal="left"/>
    </xf>
    <xf numFmtId="0" fontId="101" fillId="0" borderId="7347"/>
    <xf numFmtId="186" fontId="79" fillId="0" borderId="7346"/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101" fillId="0" borderId="7347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314" fontId="12" fillId="0" borderId="7001"/>
    <xf numFmtId="185" fontId="146" fillId="3" borderId="7347" applyAlignment="1">
      <alignment horizontal="left" vertical="center"/>
    </xf>
    <xf numFmtId="0" fontId="48" fillId="0" borderId="7001"/>
    <xf numFmtId="186" fontId="79" fillId="0" borderId="7346"/>
    <xf numFmtId="0" fontId="25" fillId="10" borderId="7354" applyAlignment="1">
      <alignment horizontal="left" vertical="top"/>
    </xf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0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5" borderId="7347" applyAlignment="1">
      <alignment horizontal="centerContinuous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8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6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8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5" borderId="7020"/>
    <xf numFmtId="186" fontId="79" fillId="0" borderId="7346"/>
    <xf numFmtId="0" fontId="101" fillId="0" borderId="7347"/>
    <xf numFmtId="0" fontId="283" fillId="104" borderId="7020"/>
    <xf numFmtId="0" fontId="50" fillId="118" borderId="7003"/>
    <xf numFmtId="0" fontId="78" fillId="14" borderId="7349"/>
    <xf numFmtId="0" fontId="286" fillId="55" borderId="7021"/>
    <xf numFmtId="0" fontId="283" fillId="104" borderId="7020"/>
    <xf numFmtId="186" fontId="79" fillId="0" borderId="7346"/>
    <xf numFmtId="0" fontId="288" fillId="0" borderId="7022"/>
    <xf numFmtId="0" fontId="276" fillId="55" borderId="7020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5" borderId="7021"/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8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313" fontId="25" fillId="70" borderId="7002" applyAlignment="1">
      <alignment horizontal="left" vertical="center" wrapText="1"/>
    </xf>
    <xf numFmtId="313" fontId="184" fillId="0" borderId="7003" applyAlignment="1">
      <alignment horizontal="left" wrapText="1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4" borderId="7004" applyAlignment="1">
      <alignment horizontal="left" vertical="top" indent="1"/>
    </xf>
    <xf numFmtId="313" fontId="12" fillId="76" borderId="7004" applyAlignment="1">
      <alignment horizontal="left" vertical="center" indent="1"/>
    </xf>
    <xf numFmtId="313" fontId="12" fillId="76" borderId="7004" applyAlignment="1">
      <alignment horizontal="left" vertical="top" indent="1"/>
    </xf>
    <xf numFmtId="313" fontId="12" fillId="85" borderId="7004" applyAlignment="1">
      <alignment horizontal="left" vertical="center" indent="1"/>
    </xf>
    <xf numFmtId="313" fontId="12" fillId="85" borderId="7004" applyAlignment="1">
      <alignment horizontal="left" vertical="top" indent="1"/>
    </xf>
    <xf numFmtId="313" fontId="12" fillId="53" borderId="7004" applyAlignment="1">
      <alignment horizontal="left" vertical="center" indent="1"/>
    </xf>
    <xf numFmtId="313" fontId="12" fillId="53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5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5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0" fontId="165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8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314" fontId="25" fillId="70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4" borderId="7004" applyAlignment="1">
      <alignment horizontal="left" vertical="top" indent="1"/>
    </xf>
    <xf numFmtId="314" fontId="12" fillId="76" borderId="7004" applyAlignment="1">
      <alignment horizontal="left" vertical="center" indent="1"/>
    </xf>
    <xf numFmtId="314" fontId="12" fillId="76" borderId="7004" applyAlignment="1">
      <alignment horizontal="left" vertical="top" indent="1"/>
    </xf>
    <xf numFmtId="314" fontId="12" fillId="85" borderId="7004" applyAlignment="1">
      <alignment horizontal="left" vertical="center" indent="1"/>
    </xf>
    <xf numFmtId="314" fontId="12" fillId="85" borderId="7004" applyAlignment="1">
      <alignment horizontal="left" vertical="top" indent="1"/>
    </xf>
    <xf numFmtId="314" fontId="12" fillId="53" borderId="7004" applyAlignment="1">
      <alignment horizontal="left" vertical="center" indent="1"/>
    </xf>
    <xf numFmtId="314" fontId="12" fillId="53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5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5" borderId="7347" applyAlignment="1">
      <alignment horizontal="centerContinuous" vertical="center"/>
    </xf>
    <xf numFmtId="10" fontId="12" fillId="3" borderId="7014" applyProtection="1">
      <protection locked="0" hidden="0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59" fillId="0" borderId="7002"/>
    <xf numFmtId="0" fontId="159" fillId="68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59" fillId="0" borderId="7002"/>
    <xf numFmtId="0" fontId="159" fillId="68" borderId="7002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187" fontId="250" fillId="0" borderId="7347" applyAlignment="1">
      <alignment horizontal="center"/>
    </xf>
    <xf numFmtId="313" fontId="2" fillId="0" borderId="7352"/>
    <xf numFmtId="313" fontId="210" fillId="0" borderId="7347" applyProtection="1">
      <protection locked="0" hidden="0"/>
    </xf>
    <xf numFmtId="0" fontId="166" fillId="0" borderId="7347" applyAlignment="1">
      <alignment horizontal="center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5" borderId="7347" applyAlignment="1">
      <alignment horizontal="centerContinuous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8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347" applyAlignment="1">
      <alignment horizont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75" fillId="0" borderId="7348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6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8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0" fontId="113" fillId="0" borderId="7347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185" fontId="146" fillId="3" borderId="7350" applyAlignment="1">
      <alignment horizontal="left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5" borderId="7020"/>
    <xf numFmtId="186" fontId="79" fillId="0" borderId="7346"/>
    <xf numFmtId="0" fontId="101" fillId="0" borderId="7347"/>
    <xf numFmtId="0" fontId="283" fillId="104" borderId="7020"/>
    <xf numFmtId="0" fontId="50" fillId="118" borderId="7003"/>
    <xf numFmtId="0" fontId="78" fillId="14" borderId="7349"/>
    <xf numFmtId="0" fontId="286" fillId="55" borderId="7021"/>
    <xf numFmtId="0" fontId="283" fillId="104" borderId="7020"/>
    <xf numFmtId="186" fontId="79" fillId="0" borderId="7346"/>
    <xf numFmtId="0" fontId="288" fillId="0" borderId="7022"/>
    <xf numFmtId="0" fontId="276" fillId="55" borderId="7020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5" borderId="7021"/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8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313" fontId="25" fillId="70" borderId="7002" applyAlignment="1">
      <alignment horizontal="left" vertical="center" wrapText="1"/>
    </xf>
    <xf numFmtId="0" fontId="25" fillId="10" borderId="7355" applyAlignment="1">
      <alignment horizontal="left" vertical="top"/>
    </xf>
    <xf numFmtId="313" fontId="184" fillId="0" borderId="7003" applyAlignment="1">
      <alignment horizontal="left" wrapText="1"/>
    </xf>
    <xf numFmtId="190" fontId="12" fillId="14" borderId="7347" applyAlignment="1">
      <alignment horizontal="right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4" borderId="7004" applyAlignment="1">
      <alignment horizontal="left" vertical="top" indent="1"/>
    </xf>
    <xf numFmtId="313" fontId="12" fillId="76" borderId="7004" applyAlignment="1">
      <alignment horizontal="left" vertical="center" indent="1"/>
    </xf>
    <xf numFmtId="313" fontId="12" fillId="76" borderId="7004" applyAlignment="1">
      <alignment horizontal="left" vertical="top" indent="1"/>
    </xf>
    <xf numFmtId="313" fontId="12" fillId="85" borderId="7004" applyAlignment="1">
      <alignment horizontal="left" vertical="center" indent="1"/>
    </xf>
    <xf numFmtId="313" fontId="12" fillId="85" borderId="7004" applyAlignment="1">
      <alignment horizontal="left" vertical="top" indent="1"/>
    </xf>
    <xf numFmtId="313" fontId="12" fillId="53" borderId="7004" applyAlignment="1">
      <alignment horizontal="left" vertical="center" indent="1"/>
    </xf>
    <xf numFmtId="313" fontId="12" fillId="53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5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5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183" fontId="9" fillId="3" borderId="7347" applyAlignment="1">
      <alignment horizontal="right" vertical="center"/>
    </xf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8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314" fontId="25" fillId="70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4" borderId="7004" applyAlignment="1">
      <alignment horizontal="left" vertical="top" indent="1"/>
    </xf>
    <xf numFmtId="314" fontId="12" fillId="76" borderId="7004" applyAlignment="1">
      <alignment horizontal="left" vertical="center" indent="1"/>
    </xf>
    <xf numFmtId="314" fontId="12" fillId="76" borderId="7004" applyAlignment="1">
      <alignment horizontal="left" vertical="top" indent="1"/>
    </xf>
    <xf numFmtId="314" fontId="12" fillId="85" borderId="7004" applyAlignment="1">
      <alignment horizontal="left" vertical="center" indent="1"/>
    </xf>
    <xf numFmtId="314" fontId="12" fillId="85" borderId="7004" applyAlignment="1">
      <alignment horizontal="left" vertical="top" indent="1"/>
    </xf>
    <xf numFmtId="314" fontId="12" fillId="53" borderId="7004" applyAlignment="1">
      <alignment horizontal="left" vertical="center" indent="1"/>
    </xf>
    <xf numFmtId="314" fontId="12" fillId="53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5" borderId="7004" applyAlignment="1">
      <alignment horizontal="left" vertical="top" indent="1"/>
    </xf>
    <xf numFmtId="0" fontId="25" fillId="10" borderId="7356" applyAlignment="1">
      <alignment horizontal="left" vertical="top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186" fontId="79" fillId="0" borderId="7346"/>
    <xf numFmtId="186" fontId="79" fillId="0" borderId="7346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0" fontId="214" fillId="0" borderId="7353"/>
    <xf numFmtId="186" fontId="79" fillId="0" borderId="7346"/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9" fontId="46" fillId="0" borderId="7347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59" fillId="0" borderId="7002"/>
    <xf numFmtId="0" fontId="159" fillId="68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13" fillId="0" borderId="7347"/>
    <xf numFmtId="0" fontId="101" fillId="0" borderId="7347"/>
    <xf numFmtId="0" fontId="214" fillId="0" borderId="7353"/>
    <xf numFmtId="186" fontId="79" fillId="0" borderId="7346"/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0" fontId="12" fillId="0" borderId="7347" applyAlignment="1">
      <alignment horizont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3" fontId="9" fillId="3" borderId="7347" applyAlignment="1">
      <alignment horizontal="right" vertical="center"/>
    </xf>
    <xf numFmtId="0" fontId="113" fillId="0" borderId="7347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214" fillId="0" borderId="7353"/>
    <xf numFmtId="0" fontId="25" fillId="10" borderId="7354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" fillId="0" borderId="7352"/>
    <xf numFmtId="0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90" fontId="12" fillId="14" borderId="7347" applyAlignment="1">
      <alignment horizontal="right"/>
    </xf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" fillId="0" borderId="7352"/>
    <xf numFmtId="186" fontId="79" fillId="0" borderId="7346"/>
    <xf numFmtId="0" fontId="25" fillId="10" borderId="7356" applyAlignment="1">
      <alignment horizontal="left" vertical="top"/>
    </xf>
    <xf numFmtId="0" fontId="113" fillId="0" borderId="7347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75" fillId="0" borderId="7348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9" fontId="46" fillId="0" borderId="7347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252" fontId="9" fillId="3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13" fillId="0" borderId="7347"/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313" fontId="101" fillId="0" borderId="7347"/>
    <xf numFmtId="313" fontId="113" fillId="0" borderId="7347"/>
    <xf numFmtId="313" fontId="166" fillId="0" borderId="7347" applyAlignment="1">
      <alignment horizontal="center"/>
    </xf>
    <xf numFmtId="313" fontId="2" fillId="0" borderId="7352"/>
    <xf numFmtId="313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13" fillId="0" borderId="7347"/>
    <xf numFmtId="189" fontId="46" fillId="0" borderId="7347"/>
    <xf numFmtId="0" fontId="25" fillId="10" borderId="7355" applyAlignment="1">
      <alignment horizontal="left" vertical="top"/>
    </xf>
    <xf numFmtId="314" fontId="113" fillId="0" borderId="7347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0" fontId="101" fillId="0" borderId="7347"/>
    <xf numFmtId="186" fontId="79" fillId="0" borderId="7346"/>
    <xf numFmtId="0" fontId="113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01" fillId="0" borderId="7347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0" fontId="113" fillId="0" borderId="7347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187" fontId="250" fillId="0" borderId="7347" applyAlignment="1">
      <alignment horizontal="center"/>
    </xf>
    <xf numFmtId="0" fontId="12" fillId="0" borderId="7347" applyAlignment="1">
      <alignment horizontal="center"/>
    </xf>
    <xf numFmtId="187" fontId="296" fillId="0" borderId="7347" applyAlignment="1">
      <alignment horizontal="center"/>
    </xf>
    <xf numFmtId="189" fontId="46" fillId="0" borderId="7347"/>
    <xf numFmtId="314" fontId="214" fillId="0" borderId="7353"/>
    <xf numFmtId="314" fontId="2" fillId="0" borderId="7352"/>
    <xf numFmtId="314" fontId="242" fillId="0" borderId="7347" applyAlignment="1">
      <alignment horizontal="center"/>
    </xf>
    <xf numFmtId="314" fontId="165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314" fontId="78" fillId="14" borderId="7349"/>
    <xf numFmtId="185" fontId="146" fillId="3" borderId="7347" applyAlignment="1">
      <alignment horizontal="left" vertical="center"/>
    </xf>
    <xf numFmtId="314" fontId="75" fillId="0" borderId="7348"/>
    <xf numFmtId="314" fontId="101" fillId="0" borderId="7347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" fillId="0" borderId="7352"/>
    <xf numFmtId="0" fontId="166" fillId="0" borderId="7347" applyAlignment="1">
      <alignment horizontal="center"/>
    </xf>
    <xf numFmtId="313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313" fontId="210" fillId="0" borderId="7347" applyProtection="1">
      <protection locked="0" hidden="0"/>
    </xf>
    <xf numFmtId="313" fontId="165" fillId="0" borderId="7347" applyAlignment="1">
      <alignment horizontal="center"/>
    </xf>
    <xf numFmtId="190" fontId="12" fillId="14" borderId="7347" applyAlignment="1">
      <alignment horizontal="right"/>
    </xf>
    <xf numFmtId="313" fontId="78" fillId="14" borderId="7349"/>
    <xf numFmtId="313" fontId="75" fillId="0" borderId="7348"/>
    <xf numFmtId="313" fontId="113" fillId="0" borderId="7347"/>
    <xf numFmtId="313" fontId="101" fillId="0" borderId="7347"/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101" fillId="0" borderId="7347"/>
    <xf numFmtId="0" fontId="78" fillId="14" borderId="7349"/>
    <xf numFmtId="0" fontId="25" fillId="10" borderId="7355" applyAlignment="1">
      <alignment horizontal="left" vertical="top"/>
    </xf>
    <xf numFmtId="0" fontId="2" fillId="0" borderId="7352"/>
    <xf numFmtId="0" fontId="75" fillId="0" borderId="7348"/>
    <xf numFmtId="186" fontId="79" fillId="0" borderId="7346"/>
    <xf numFmtId="0" fontId="210" fillId="0" borderId="7347" applyProtection="1">
      <protection locked="0" hidden="0"/>
    </xf>
    <xf numFmtId="0" fontId="101" fillId="0" borderId="7347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186" fontId="79" fillId="0" borderId="7346"/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0" fontId="75" fillId="0" borderId="7348"/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2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" fillId="0" borderId="7352"/>
    <xf numFmtId="0" fontId="25" fillId="10" borderId="7354" applyAlignment="1">
      <alignment horizontal="left" vertical="top"/>
    </xf>
    <xf numFmtId="314" fontId="25" fillId="10" borderId="7354" applyAlignment="1">
      <alignment horizontal="left" vertical="top"/>
    </xf>
    <xf numFmtId="186" fontId="79" fillId="0" borderId="7346"/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314" fontId="75" fillId="0" borderId="7348"/>
    <xf numFmtId="314" fontId="25" fillId="10" borderId="7357" applyAlignment="1">
      <alignment horizontal="left" vertical="top"/>
    </xf>
    <xf numFmtId="0" fontId="75" fillId="0" borderId="7348"/>
    <xf numFmtId="0" fontId="214" fillId="0" borderId="7353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78" fillId="14" borderId="7349"/>
    <xf numFmtId="0" fontId="25" fillId="10" borderId="7355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0" fontId="2" fillId="0" borderId="7352"/>
    <xf numFmtId="0" fontId="75" fillId="0" borderId="7348"/>
    <xf numFmtId="0" fontId="25" fillId="10" borderId="7355" applyAlignment="1">
      <alignment horizontal="left" vertical="top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6" fontId="79" fillId="0" borderId="7346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83" fontId="9" fillId="3" borderId="7347" applyAlignment="1">
      <alignment horizontal="right" vertical="center"/>
    </xf>
    <xf numFmtId="189" fontId="46" fillId="0" borderId="7347"/>
    <xf numFmtId="0" fontId="165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186" fontId="79" fillId="0" borderId="7346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78" fillId="14" borderId="7349"/>
    <xf numFmtId="0" fontId="75" fillId="0" borderId="7348"/>
    <xf numFmtId="185" fontId="146" fillId="3" borderId="7347" applyAlignment="1">
      <alignment horizontal="left" vertical="center"/>
    </xf>
    <xf numFmtId="0" fontId="101" fillId="0" borderId="7347"/>
    <xf numFmtId="183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189" fontId="46" fillId="0" borderId="7347"/>
    <xf numFmtId="0" fontId="25" fillId="10" borderId="7357" applyAlignment="1">
      <alignment horizontal="left" vertical="top"/>
    </xf>
    <xf numFmtId="314" fontId="25" fillId="10" borderId="7356" applyAlignment="1">
      <alignment horizontal="left" vertical="top"/>
    </xf>
    <xf numFmtId="0" fontId="101" fillId="0" borderId="7347"/>
    <xf numFmtId="0" fontId="165" fillId="0" borderId="7347" applyAlignment="1">
      <alignment horizontal="center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78" fillId="14" borderId="7349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0" fontId="101" fillId="0" borderId="7347"/>
    <xf numFmtId="0" fontId="210" fillId="0" borderId="7347" applyProtection="1">
      <protection locked="0" hidden="0"/>
    </xf>
    <xf numFmtId="186" fontId="79" fillId="0" borderId="7346"/>
    <xf numFmtId="314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0" fontId="75" fillId="0" borderId="7348"/>
    <xf numFmtId="189" fontId="46" fillId="0" borderId="7347"/>
    <xf numFmtId="314" fontId="25" fillId="10" borderId="7355" applyAlignment="1">
      <alignment horizontal="left" vertical="top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01" fillId="0" borderId="7347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186" fontId="79" fillId="0" borderId="7346"/>
    <xf numFmtId="188" fontId="240" fillId="0" borderId="7347" applyAlignment="1">
      <alignment horizontal="right" vertical="center"/>
    </xf>
    <xf numFmtId="185" fontId="140" fillId="3" borderId="7351" applyAlignment="1">
      <alignment horizontal="center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13" fillId="0" borderId="7347"/>
    <xf numFmtId="0" fontId="75" fillId="0" borderId="7348"/>
    <xf numFmtId="0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0" fontId="214" fillId="0" borderId="7353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189" fontId="46" fillId="0" borderId="7347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113" fillId="0" borderId="7347"/>
    <xf numFmtId="0" fontId="75" fillId="0" borderId="7348"/>
    <xf numFmtId="186" fontId="79" fillId="0" borderId="7346"/>
    <xf numFmtId="186" fontId="79" fillId="0" borderId="7346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78" fillId="14" borderId="7349"/>
    <xf numFmtId="185" fontId="146" fillId="3" borderId="7347" applyAlignment="1">
      <alignment horizontal="left" vertical="center"/>
    </xf>
    <xf numFmtId="0" fontId="241" fillId="95" borderId="7347" applyAlignment="1">
      <alignment horizontal="centerContinuous" vertical="center"/>
    </xf>
    <xf numFmtId="0" fontId="2" fillId="0" borderId="7352"/>
    <xf numFmtId="186" fontId="79" fillId="0" borderId="7346"/>
    <xf numFmtId="313" fontId="25" fillId="10" borderId="7355" applyAlignment="1">
      <alignment horizontal="left" vertical="top"/>
    </xf>
    <xf numFmtId="0" fontId="101" fillId="0" borderId="7347"/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78" fillId="14" borderId="7349"/>
    <xf numFmtId="0" fontId="214" fillId="0" borderId="7353"/>
    <xf numFmtId="0" fontId="25" fillId="10" borderId="7357" applyAlignment="1">
      <alignment horizontal="left" vertical="top"/>
    </xf>
    <xf numFmtId="0" fontId="210" fillId="0" borderId="7347" applyProtection="1">
      <protection locked="0" hidden="0"/>
    </xf>
    <xf numFmtId="186" fontId="79" fillId="0" borderId="7346"/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8" fillId="14" borderId="7349"/>
    <xf numFmtId="186" fontId="79" fillId="0" borderId="7346"/>
    <xf numFmtId="0" fontId="101" fillId="0" borderId="7347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314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75" fillId="0" borderId="7348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90" fontId="12" fillId="14" borderId="7347" applyAlignment="1">
      <alignment horizontal="right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314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4" fontId="210" fillId="0" borderId="7347" applyProtection="1">
      <protection locked="0" hidden="0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186" fontId="79" fillId="0" borderId="7346"/>
    <xf numFmtId="0" fontId="101" fillId="0" borderId="7347"/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189" fontId="46" fillId="0" borderId="7347"/>
    <xf numFmtId="0" fontId="25" fillId="10" borderId="7356" applyAlignment="1">
      <alignment horizontal="left" vertical="top"/>
    </xf>
    <xf numFmtId="187" fontId="296" fillId="0" borderId="7347" applyAlignment="1">
      <alignment horizontal="center"/>
    </xf>
    <xf numFmtId="183" fontId="9" fillId="3" borderId="7347" applyAlignment="1">
      <alignment horizontal="right" vertical="center"/>
    </xf>
    <xf numFmtId="314" fontId="25" fillId="10" borderId="7356" applyAlignment="1">
      <alignment horizontal="left" vertical="top"/>
    </xf>
    <xf numFmtId="190" fontId="12" fillId="14" borderId="7347" applyAlignment="1">
      <alignment horizontal="right"/>
    </xf>
    <xf numFmtId="314" fontId="241" fillId="95" borderId="7347" applyAlignment="1">
      <alignment horizontal="centerContinuous" vertic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314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314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78" fillId="14" borderId="7349"/>
    <xf numFmtId="185" fontId="146" fillId="3" borderId="7350" applyAlignment="1">
      <alignment horizontal="left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0" fontId="78" fillId="14" borderId="7349"/>
    <xf numFmtId="0" fontId="2" fillId="0" borderId="7352"/>
    <xf numFmtId="0" fontId="78" fillId="14" borderId="7349"/>
    <xf numFmtId="0" fontId="241" fillId="95" borderId="7347" applyAlignment="1">
      <alignment horizontal="centerContinuous" vertical="center"/>
    </xf>
    <xf numFmtId="0" fontId="214" fillId="0" borderId="7353"/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6" fontId="79" fillId="0" borderId="7346"/>
    <xf numFmtId="0" fontId="165" fillId="0" borderId="7347" applyAlignment="1">
      <alignment horizontal="center"/>
    </xf>
    <xf numFmtId="189" fontId="46" fillId="0" borderId="7347"/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6" fontId="79" fillId="0" borderId="7346"/>
    <xf numFmtId="313" fontId="101" fillId="0" borderId="7347"/>
    <xf numFmtId="0" fontId="165" fillId="0" borderId="7347" applyAlignment="1">
      <alignment horizontal="center"/>
    </xf>
    <xf numFmtId="0" fontId="214" fillId="0" borderId="7353"/>
    <xf numFmtId="313" fontId="113" fillId="0" borderId="7347"/>
    <xf numFmtId="313" fontId="75" fillId="0" borderId="7348"/>
    <xf numFmtId="0" fontId="25" fillId="10" borderId="7355" applyAlignment="1">
      <alignment horizontal="left" vertical="top"/>
    </xf>
    <xf numFmtId="313" fontId="12" fillId="0" borderId="7347" applyAlignment="1">
      <alignment horizontal="center"/>
    </xf>
    <xf numFmtId="314" fontId="25" fillId="10" borderId="7355" applyAlignment="1">
      <alignment horizontal="left" vertical="top"/>
    </xf>
    <xf numFmtId="313" fontId="78" fillId="14" borderId="7349"/>
    <xf numFmtId="0" fontId="241" fillId="95" borderId="7347" applyAlignment="1">
      <alignment horizontal="centerContinuous" vertic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313" fontId="25" fillId="10" borderId="7356" applyAlignment="1">
      <alignment horizontal="left" vertical="top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0" fontId="113" fillId="0" borderId="7347"/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313" fontId="210" fillId="0" borderId="7347" applyProtection="1">
      <protection locked="0" hidden="0"/>
    </xf>
    <xf numFmtId="186" fontId="79" fillId="0" borderId="7346"/>
    <xf numFmtId="189" fontId="46" fillId="0" borderId="7347"/>
    <xf numFmtId="185" fontId="146" fillId="3" borderId="7347" applyAlignment="1">
      <alignment horizontal="left" vertic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313" fontId="2" fillId="0" borderId="7352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186" fontId="79" fillId="0" borderId="7346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0" fontId="214" fillId="0" borderId="7353"/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313" fontId="214" fillId="0" borderId="7353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78" fillId="14" borderId="7349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186" fontId="79" fillId="0" borderId="7346"/>
    <xf numFmtId="314" fontId="25" fillId="10" borderId="7354" applyAlignment="1">
      <alignment horizontal="left" vertical="top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25" fillId="10" borderId="7357" applyAlignment="1">
      <alignment horizontal="left" vertical="top"/>
    </xf>
    <xf numFmtId="186" fontId="79" fillId="0" borderId="7346"/>
    <xf numFmtId="0" fontId="78" fillId="14" borderId="7349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8" fillId="14" borderId="7349"/>
    <xf numFmtId="0" fontId="12" fillId="0" borderId="734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314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9" fontId="46" fillId="0" borderId="7347"/>
    <xf numFmtId="314" fontId="214" fillId="0" borderId="7353"/>
    <xf numFmtId="0" fontId="25" fillId="10" borderId="7355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0" fontId="214" fillId="0" borderId="7353"/>
    <xf numFmtId="0" fontId="25" fillId="10" borderId="7355" applyAlignment="1">
      <alignment horizontal="left" vertical="top"/>
    </xf>
    <xf numFmtId="0" fontId="75" fillId="0" borderId="7348"/>
    <xf numFmtId="0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186" fontId="79" fillId="0" borderId="7346"/>
    <xf numFmtId="0" fontId="2" fillId="0" borderId="7352"/>
    <xf numFmtId="186" fontId="79" fillId="0" borderId="7346"/>
    <xf numFmtId="185" fontId="146" fillId="3" borderId="7350" applyAlignment="1">
      <alignment horizontal="left"/>
    </xf>
    <xf numFmtId="0" fontId="113" fillId="0" borderId="7347"/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9" fontId="46" fillId="0" borderId="7347"/>
    <xf numFmtId="314" fontId="101" fillId="0" borderId="7347"/>
    <xf numFmtId="252" fontId="9" fillId="3" borderId="7347" applyAlignment="1">
      <alignment horizontal="right" vertical="center"/>
    </xf>
    <xf numFmtId="314" fontId="113" fillId="0" borderId="7347"/>
    <xf numFmtId="314" fontId="75" fillId="0" borderId="7348"/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314" fontId="12" fillId="0" borderId="7347" applyAlignment="1">
      <alignment horizontal="center"/>
    </xf>
    <xf numFmtId="314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14" fillId="0" borderId="7353"/>
    <xf numFmtId="190" fontId="12" fillId="14" borderId="7347" applyAlignment="1">
      <alignment horizontal="right"/>
    </xf>
    <xf numFmtId="189" fontId="46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3" fontId="214" fillId="0" borderId="7353"/>
    <xf numFmtId="313" fontId="2" fillId="0" borderId="7352"/>
    <xf numFmtId="313" fontId="166" fillId="0" borderId="7347" applyAlignment="1">
      <alignment horizontal="center"/>
    </xf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314" fontId="210" fillId="0" borderId="7347" applyProtection="1">
      <protection locked="0" hidden="0"/>
    </xf>
    <xf numFmtId="0" fontId="113" fillId="0" borderId="7347"/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0" fontId="241" fillId="95" borderId="7347" applyAlignment="1">
      <alignment horizontal="centerContinuous" vertical="center"/>
    </xf>
    <xf numFmtId="314" fontId="2" fillId="0" borderId="7352"/>
    <xf numFmtId="0" fontId="25" fillId="10" borderId="7354" applyAlignment="1">
      <alignment horizontal="left" vertical="top"/>
    </xf>
    <xf numFmtId="0" fontId="78" fillId="14" borderId="7349"/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314" fontId="214" fillId="0" borderId="7353"/>
    <xf numFmtId="187" fontId="249" fillId="0" borderId="7347" applyAlignment="1">
      <alignment horizontal="center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" fillId="0" borderId="7352"/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214" fillId="0" borderId="7353"/>
    <xf numFmtId="189" fontId="46" fillId="0" borderId="7347"/>
    <xf numFmtId="0" fontId="214" fillId="0" borderId="7353"/>
    <xf numFmtId="185" fontId="146" fillId="3" borderId="7350" applyAlignment="1">
      <alignment horizontal="left"/>
    </xf>
    <xf numFmtId="0" fontId="101" fillId="0" borderId="7347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5" fillId="10" borderId="7354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0" fontId="78" fillId="14" borderId="7349"/>
    <xf numFmtId="252" fontId="9" fillId="3" borderId="7347" applyAlignment="1">
      <alignment horizontal="right" vertical="center"/>
    </xf>
    <xf numFmtId="0" fontId="2" fillId="0" borderId="7352"/>
    <xf numFmtId="186" fontId="79" fillId="0" borderId="7346"/>
    <xf numFmtId="189" fontId="46" fillId="0" borderId="7347"/>
    <xf numFmtId="314" fontId="2" fillId="0" borderId="7352"/>
    <xf numFmtId="0" fontId="78" fillId="14" borderId="7349"/>
    <xf numFmtId="0" fontId="75" fillId="0" borderId="7348"/>
    <xf numFmtId="314" fontId="25" fillId="10" borderId="7357" applyAlignment="1">
      <alignment horizontal="left" vertical="top"/>
    </xf>
    <xf numFmtId="0" fontId="113" fillId="0" borderId="7347"/>
    <xf numFmtId="314" fontId="210" fillId="0" borderId="7347" applyProtection="1">
      <protection locked="0" hidden="0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0" fontId="12" fillId="0" borderId="7347" applyAlignment="1">
      <alignment horizontal="center"/>
    </xf>
    <xf numFmtId="0" fontId="2" fillId="0" borderId="7352"/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78" fillId="14" borderId="7349"/>
    <xf numFmtId="0" fontId="165" fillId="0" borderId="7347" applyAlignment="1">
      <alignment horizontal="center"/>
    </xf>
    <xf numFmtId="314" fontId="25" fillId="10" borderId="7357" applyAlignment="1">
      <alignment horizontal="left" vertical="top"/>
    </xf>
    <xf numFmtId="314" fontId="101" fillId="0" borderId="7347"/>
    <xf numFmtId="314" fontId="113" fillId="0" borderId="7347"/>
    <xf numFmtId="0" fontId="113" fillId="0" borderId="7347"/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185" fontId="146" fillId="3" borderId="7350" applyAlignment="1">
      <alignment horizontal="left"/>
    </xf>
    <xf numFmtId="189" fontId="46" fillId="0" borderId="7347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186" fontId="79" fillId="0" borderId="7346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314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6" fontId="79" fillId="0" borderId="7346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5" fillId="0" borderId="7348"/>
    <xf numFmtId="185" fontId="140" fillId="3" borderId="7351" applyAlignment="1">
      <alignment horizontal="center"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113" fillId="0" borderId="7347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0" fontId="165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4" fontId="242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113" fillId="0" borderId="7347"/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314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113" fillId="0" borderId="7347"/>
    <xf numFmtId="0" fontId="101" fillId="0" borderId="7347"/>
    <xf numFmtId="190" fontId="12" fillId="14" borderId="7347" applyAlignment="1">
      <alignment horizontal="right"/>
    </xf>
    <xf numFmtId="0" fontId="75" fillId="0" borderId="7348"/>
    <xf numFmtId="183" fontId="9" fillId="3" borderId="7347" applyAlignment="1">
      <alignment horizontal="right" vertical="center"/>
    </xf>
    <xf numFmtId="314" fontId="78" fillId="14" borderId="7349"/>
    <xf numFmtId="314" fontId="165" fillId="0" borderId="7347" applyAlignment="1">
      <alignment horizontal="center"/>
    </xf>
    <xf numFmtId="0" fontId="214" fillId="0" borderId="7353"/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6" fontId="79" fillId="0" borderId="7346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314" fontId="12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8" fontId="240" fillId="0" borderId="7347" applyAlignment="1">
      <alignment horizontal="right" vertical="center"/>
    </xf>
    <xf numFmtId="189" fontId="46" fillId="0" borderId="7347"/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65" fillId="0" borderId="7347" applyAlignment="1">
      <alignment horizontal="center"/>
    </xf>
    <xf numFmtId="314" fontId="214" fillId="0" borderId="7353"/>
    <xf numFmtId="314" fontId="2" fillId="0" borderId="7352"/>
    <xf numFmtId="314" fontId="210" fillId="0" borderId="7347" applyProtection="1">
      <protection locked="0" hidden="0"/>
    </xf>
    <xf numFmtId="314" fontId="165" fillId="0" borderId="7347" applyAlignment="1">
      <alignment horizontal="center"/>
    </xf>
    <xf numFmtId="314" fontId="12" fillId="0" borderId="7347" applyAlignment="1">
      <alignment horizontal="center"/>
    </xf>
    <xf numFmtId="314" fontId="113" fillId="0" borderId="7347"/>
    <xf numFmtId="0" fontId="25" fillId="10" borderId="7355" applyAlignment="1">
      <alignment horizontal="left" vertical="top"/>
    </xf>
    <xf numFmtId="189" fontId="46" fillId="0" borderId="7347"/>
    <xf numFmtId="0" fontId="113" fillId="0" borderId="7347"/>
    <xf numFmtId="186" fontId="79" fillId="0" borderId="7346"/>
    <xf numFmtId="0" fontId="101" fillId="0" borderId="7347"/>
    <xf numFmtId="313" fontId="25" fillId="10" borderId="7357" applyAlignment="1">
      <alignment horizontal="left" vertical="top"/>
    </xf>
    <xf numFmtId="313" fontId="2" fillId="0" borderId="7352"/>
    <xf numFmtId="313" fontId="166" fillId="0" borderId="7347" applyAlignment="1">
      <alignment horizontal="center"/>
    </xf>
    <xf numFmtId="313" fontId="113" fillId="0" borderId="7347"/>
    <xf numFmtId="313" fontId="101" fillId="0" borderId="7347"/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189" fontId="46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78" fillId="14" borderId="7349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78" fillId="14" borderId="7349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101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0" fontId="78" fillId="14" borderId="7349"/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5" fontId="146" fillId="3" borderId="7350" applyAlignment="1">
      <alignment horizontal="left"/>
    </xf>
    <xf numFmtId="0" fontId="75" fillId="0" borderId="7348"/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86" fontId="79" fillId="0" borderId="7346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0" fontId="25" fillId="10" borderId="7354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314" fontId="101" fillId="0" borderId="7347"/>
    <xf numFmtId="0" fontId="75" fillId="0" borderId="7348"/>
    <xf numFmtId="0" fontId="75" fillId="0" borderId="7348"/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313" fontId="101" fillId="0" borderId="7347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3" fontId="113" fillId="0" borderId="7347"/>
    <xf numFmtId="313" fontId="75" fillId="0" borderId="7348"/>
    <xf numFmtId="313" fontId="241" fillId="95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313" fontId="75" fillId="0" borderId="7348"/>
    <xf numFmtId="313" fontId="78" fillId="14" borderId="7349"/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01" fillId="0" borderId="7347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314" fontId="75" fillId="0" borderId="7348"/>
    <xf numFmtId="314" fontId="101" fillId="0" borderId="7347"/>
    <xf numFmtId="0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314" fontId="113" fillId="0" borderId="7347"/>
    <xf numFmtId="314" fontId="75" fillId="0" borderId="7348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5" borderId="7347" applyAlignment="1">
      <alignment horizontal="centerContinuous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0" fontId="101" fillId="0" borderId="7347"/>
    <xf numFmtId="313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314" fontId="242" fillId="0" borderId="7347" applyAlignment="1">
      <alignment horizontal="center"/>
    </xf>
    <xf numFmtId="313" fontId="165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189" fontId="46" fillId="0" borderId="7347"/>
    <xf numFmtId="0" fontId="241" fillId="95" borderId="7347" applyAlignment="1">
      <alignment horizontal="centerContinuous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" fillId="0" borderId="7352"/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313" fontId="12" fillId="0" borderId="7347" applyAlignment="1">
      <alignment horizontal="center"/>
    </xf>
    <xf numFmtId="190" fontId="12" fillId="14" borderId="7347" applyAlignment="1">
      <alignment horizontal="right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01" fillId="0" borderId="7347"/>
    <xf numFmtId="314" fontId="113" fillId="0" borderId="7347"/>
    <xf numFmtId="185" fontId="140" fillId="3" borderId="7351" applyAlignment="1">
      <alignment horizontal="center" vertical="center"/>
    </xf>
    <xf numFmtId="0" fontId="210" fillId="0" borderId="7347" applyProtection="1">
      <protection locked="0" hidden="0"/>
    </xf>
    <xf numFmtId="189" fontId="46" fillId="0" borderId="7347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86" fontId="79" fillId="0" borderId="7346"/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0" fontId="101" fillId="0" borderId="7347"/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214" fillId="0" borderId="7353"/>
    <xf numFmtId="185" fontId="146" fillId="3" borderId="7347" applyAlignment="1">
      <alignment horizontal="left" vertical="center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186" fontId="79" fillId="0" borderId="7346"/>
    <xf numFmtId="0" fontId="101" fillId="0" borderId="7347"/>
    <xf numFmtId="0" fontId="78" fillId="14" borderId="7349"/>
    <xf numFmtId="186" fontId="79" fillId="0" borderId="7346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75" fillId="0" borderId="7348"/>
    <xf numFmtId="0" fontId="210" fillId="0" borderId="7347" applyProtection="1">
      <protection locked="0" hidden="0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88" fontId="240" fillId="0" borderId="7347" applyAlignment="1">
      <alignment horizontal="right" vertical="center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252" fontId="9" fillId="3" borderId="7347" applyAlignment="1">
      <alignment horizontal="righ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0" fontId="25" fillId="10" borderId="7357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188" fontId="240" fillId="0" borderId="7347" applyAlignment="1">
      <alignment horizontal="right" vertical="center"/>
    </xf>
    <xf numFmtId="0" fontId="113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6" fillId="0" borderId="7347" applyAlignment="1">
      <alignment horizontal="center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0" fontId="113" fillId="0" borderId="7347"/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101" fillId="0" borderId="7347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5" fillId="10" borderId="7357" applyAlignment="1">
      <alignment horizontal="left" vertical="top"/>
    </xf>
    <xf numFmtId="313" fontId="25" fillId="10" borderId="7354" applyAlignment="1">
      <alignment horizontal="left" vertical="top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0" fontId="113" fillId="0" borderId="7347"/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5" fontId="140" fillId="3" borderId="7351" applyAlignment="1">
      <alignment horizontal="center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01" fillId="0" borderId="7347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13" fillId="0" borderId="7347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189" fontId="46" fillId="0" borderId="7347"/>
    <xf numFmtId="187" fontId="249" fillId="0" borderId="7347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0" fontId="113" fillId="0" borderId="7347"/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5" fontId="146" fillId="3" borderId="7347" applyAlignment="1">
      <alignment horizontal="left" vertical="center"/>
    </xf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9" fontId="46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13" fillId="0" borderId="7347"/>
    <xf numFmtId="190" fontId="12" fillId="14" borderId="7347" applyAlignment="1">
      <alignment horizontal="right"/>
    </xf>
    <xf numFmtId="0" fontId="78" fillId="14" borderId="7349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41" fillId="95" borderId="7347" applyAlignment="1">
      <alignment horizontal="centerContinuous" vertic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190" fontId="12" fillId="14" borderId="7347" applyAlignment="1">
      <alignment horizontal="right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6" fontId="79" fillId="0" borderId="7346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113" fillId="0" borderId="7347"/>
    <xf numFmtId="0" fontId="12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186" fontId="79" fillId="0" borderId="7346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10" fillId="0" borderId="7347" applyProtection="1">
      <protection locked="0" hidden="0"/>
    </xf>
    <xf numFmtId="189" fontId="46" fillId="0" borderId="7347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5" fontId="146" fillId="3" borderId="7350" applyAlignment="1">
      <alignment horizontal="left"/>
    </xf>
    <xf numFmtId="0" fontId="75" fillId="0" borderId="7348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86" fontId="79" fillId="0" borderId="7346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0" fontId="25" fillId="10" borderId="7354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314" fontId="101" fillId="0" borderId="7347"/>
    <xf numFmtId="0" fontId="75" fillId="0" borderId="7348"/>
    <xf numFmtId="0" fontId="75" fillId="0" borderId="7348"/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313" fontId="101" fillId="0" borderId="7347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3" fontId="113" fillId="0" borderId="7347"/>
    <xf numFmtId="313" fontId="75" fillId="0" borderId="7348"/>
    <xf numFmtId="313" fontId="241" fillId="95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313" fontId="75" fillId="0" borderId="7348"/>
    <xf numFmtId="313" fontId="78" fillId="14" borderId="7349"/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01" fillId="0" borderId="7347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314" fontId="75" fillId="0" borderId="7348"/>
    <xf numFmtId="314" fontId="101" fillId="0" borderId="7347"/>
    <xf numFmtId="0" fontId="241" fillId="95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314" fontId="113" fillId="0" borderId="7347"/>
    <xf numFmtId="314" fontId="75" fillId="0" borderId="7348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5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5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5" borderId="7347" applyAlignment="1">
      <alignment horizontal="centerContinuous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0" fontId="101" fillId="0" borderId="7347"/>
    <xf numFmtId="313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314" fontId="242" fillId="0" borderId="7347" applyAlignment="1">
      <alignment horizontal="center"/>
    </xf>
    <xf numFmtId="313" fontId="165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5" borderId="7347" applyAlignment="1">
      <alignment horizontal="centerContinuous" vertical="center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5" borderId="7347" applyAlignment="1">
      <alignment horizontal="centerContinuous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8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6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8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5" borderId="7020"/>
    <xf numFmtId="186" fontId="79" fillId="0" borderId="7346"/>
    <xf numFmtId="0" fontId="101" fillId="0" borderId="7347"/>
    <xf numFmtId="0" fontId="283" fillId="104" borderId="7020"/>
    <xf numFmtId="0" fontId="50" fillId="118" borderId="7003"/>
    <xf numFmtId="0" fontId="78" fillId="14" borderId="7349"/>
    <xf numFmtId="0" fontId="286" fillId="55" borderId="7021"/>
    <xf numFmtId="0" fontId="283" fillId="104" borderId="7020"/>
    <xf numFmtId="186" fontId="79" fillId="0" borderId="7346"/>
    <xf numFmtId="0" fontId="288" fillId="0" borderId="7022"/>
    <xf numFmtId="0" fontId="276" fillId="55" borderId="7020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5" borderId="7021"/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241" fillId="95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8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313" fontId="25" fillId="70" borderId="7002" applyAlignment="1">
      <alignment horizontal="left" vertical="center" wrapText="1"/>
    </xf>
    <xf numFmtId="313" fontId="184" fillId="0" borderId="7003" applyAlignment="1">
      <alignment horizontal="left" wrapText="1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4" borderId="7004" applyAlignment="1">
      <alignment horizontal="left" vertical="top" indent="1"/>
    </xf>
    <xf numFmtId="313" fontId="12" fillId="76" borderId="7004" applyAlignment="1">
      <alignment horizontal="left" vertical="center" indent="1"/>
    </xf>
    <xf numFmtId="313" fontId="12" fillId="76" borderId="7004" applyAlignment="1">
      <alignment horizontal="left" vertical="top" indent="1"/>
    </xf>
    <xf numFmtId="313" fontId="12" fillId="85" borderId="7004" applyAlignment="1">
      <alignment horizontal="left" vertical="center" indent="1"/>
    </xf>
    <xf numFmtId="313" fontId="12" fillId="85" borderId="7004" applyAlignment="1">
      <alignment horizontal="left" vertical="top" indent="1"/>
    </xf>
    <xf numFmtId="313" fontId="12" fillId="53" borderId="7004" applyAlignment="1">
      <alignment horizontal="left" vertical="center" indent="1"/>
    </xf>
    <xf numFmtId="313" fontId="12" fillId="53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5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5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0" fontId="165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8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314" fontId="25" fillId="70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4" borderId="7004" applyAlignment="1">
      <alignment horizontal="left" vertical="top" indent="1"/>
    </xf>
    <xf numFmtId="314" fontId="12" fillId="76" borderId="7004" applyAlignment="1">
      <alignment horizontal="left" vertical="center" indent="1"/>
    </xf>
    <xf numFmtId="314" fontId="12" fillId="76" borderId="7004" applyAlignment="1">
      <alignment horizontal="left" vertical="top" indent="1"/>
    </xf>
    <xf numFmtId="314" fontId="12" fillId="85" borderId="7004" applyAlignment="1">
      <alignment horizontal="left" vertical="center" indent="1"/>
    </xf>
    <xf numFmtId="314" fontId="12" fillId="85" borderId="7004" applyAlignment="1">
      <alignment horizontal="left" vertical="top" indent="1"/>
    </xf>
    <xf numFmtId="314" fontId="12" fillId="53" borderId="7004" applyAlignment="1">
      <alignment horizontal="left" vertical="center" indent="1"/>
    </xf>
    <xf numFmtId="314" fontId="12" fillId="53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5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5" borderId="7347" applyAlignment="1">
      <alignment horizontal="centerContinuous" vertical="center"/>
    </xf>
    <xf numFmtId="10" fontId="12" fillId="3" borderId="7014" applyProtection="1">
      <protection locked="0" hidden="0"/>
    </xf>
    <xf numFmtId="0" fontId="241" fillId="95" borderId="7347" applyAlignment="1">
      <alignment horizontal="centerContinuous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59" fillId="0" borderId="7002"/>
    <xf numFmtId="0" fontId="159" fillId="68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25" fillId="70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4" borderId="7004" applyAlignment="1">
      <alignment vertical="center"/>
    </xf>
    <xf numFmtId="4" fontId="224" fillId="54" borderId="7004" applyAlignment="1">
      <alignment vertical="center"/>
    </xf>
    <xf numFmtId="4" fontId="184" fillId="54" borderId="7004" applyAlignment="1">
      <alignment horizontal="left" vertical="center" indent="1"/>
    </xf>
    <xf numFmtId="0" fontId="225" fillId="54" borderId="7004" applyAlignment="1">
      <alignment horizontal="left" vertical="top" indent="1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184" fillId="53" borderId="7004" applyAlignment="1">
      <alignment horizontal="right" vertical="center"/>
    </xf>
    <xf numFmtId="0" fontId="12" fillId="76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3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3" borderId="7004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9" fillId="85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1" borderId="7006"/>
    <xf numFmtId="4" fontId="12" fillId="61" borderId="7006"/>
    <xf numFmtId="289" fontId="12" fillId="61" borderId="7006"/>
    <xf numFmtId="10" fontId="12" fillId="61" borderId="7006"/>
    <xf numFmtId="9" fontId="12" fillId="61" borderId="7006"/>
    <xf numFmtId="2" fontId="12" fillId="61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6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1" borderId="7006"/>
    <xf numFmtId="9" fontId="12" fillId="61" borderId="7006"/>
    <xf numFmtId="10" fontId="12" fillId="61" borderId="7006"/>
    <xf numFmtId="289" fontId="12" fillId="61" borderId="7006"/>
    <xf numFmtId="4" fontId="12" fillId="61" borderId="7006"/>
    <xf numFmtId="3" fontId="12" fillId="61" borderId="7006"/>
    <xf numFmtId="4" fontId="230" fillId="11" borderId="7004" applyAlignment="1">
      <alignment horizontal="right" vertical="center"/>
    </xf>
    <xf numFmtId="4" fontId="229" fillId="85" borderId="7005" applyAlignment="1">
      <alignment horizontal="left" vertical="center" indent="1"/>
    </xf>
    <xf numFmtId="0" fontId="136" fillId="85" borderId="7004" applyAlignment="1">
      <alignment horizontal="left" vertical="top" indent="1"/>
    </xf>
    <xf numFmtId="4" fontId="223" fillId="53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3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3" borderId="7004" applyAlignment="1">
      <alignment horizontal="left" vertical="top" indent="1"/>
    </xf>
    <xf numFmtId="0" fontId="12" fillId="53" borderId="7004" applyAlignment="1">
      <alignment horizontal="left" vertical="center" indent="1"/>
    </xf>
    <xf numFmtId="0" fontId="12" fillId="85" borderId="7004" applyAlignment="1">
      <alignment horizontal="left" vertical="top" indent="1"/>
    </xf>
    <xf numFmtId="0" fontId="12" fillId="85" borderId="7004" applyAlignment="1">
      <alignment horizontal="left" vertical="center" indent="1"/>
    </xf>
    <xf numFmtId="0" fontId="12" fillId="76" borderId="7004" applyAlignment="1">
      <alignment horizontal="left" vertical="top" indent="1"/>
    </xf>
    <xf numFmtId="0" fontId="12" fillId="76" borderId="7004" applyAlignment="1">
      <alignment horizontal="left" vertical="center" indent="1"/>
    </xf>
    <xf numFmtId="4" fontId="184" fillId="53" borderId="7004" applyAlignment="1">
      <alignment horizontal="right" vertical="center"/>
    </xf>
    <xf numFmtId="4" fontId="226" fillId="83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72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0" fontId="225" fillId="54" borderId="7004" applyAlignment="1">
      <alignment horizontal="left" vertical="top" indent="1"/>
    </xf>
    <xf numFmtId="4" fontId="184" fillId="54" borderId="7004" applyAlignment="1">
      <alignment horizontal="left" vertical="center" indent="1"/>
    </xf>
    <xf numFmtId="4" fontId="224" fillId="54" borderId="7004" applyAlignment="1">
      <alignment vertical="center"/>
    </xf>
    <xf numFmtId="4" fontId="223" fillId="54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70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8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5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5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5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5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5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" fillId="0" borderId="0" applyAlignment="1">
      <alignment horizontal="left" wrapText="1"/>
    </xf>
    <xf numFmtId="0" fontId="14" fillId="0" borderId="0"/>
    <xf numFmtId="43" fontId="50" fillId="0" borderId="0"/>
    <xf numFmtId="9" fontId="50" fillId="0" borderId="0"/>
    <xf numFmtId="0" fontId="272" fillId="0" borderId="0"/>
    <xf numFmtId="44" fontId="50" fillId="0" borderId="0"/>
    <xf numFmtId="0" fontId="265" fillId="0" borderId="0"/>
    <xf numFmtId="0" fontId="265" fillId="0" borderId="0"/>
    <xf numFmtId="0" fontId="265" fillId="0" borderId="0"/>
    <xf numFmtId="0" fontId="265" fillId="0" borderId="0"/>
    <xf numFmtId="0" fontId="265" fillId="0" borderId="0"/>
    <xf numFmtId="9" fontId="12" fillId="0" borderId="0"/>
    <xf numFmtId="318" fontId="1" fillId="0" borderId="0"/>
    <xf numFmtId="0" fontId="59" fillId="0" borderId="0"/>
    <xf numFmtId="0" fontId="265" fillId="0" borderId="0"/>
    <xf numFmtId="44" fontId="265" fillId="0" borderId="0"/>
    <xf numFmtId="0" fontId="12" fillId="0" borderId="0"/>
    <xf numFmtId="0" fontId="59" fillId="0" borderId="0"/>
    <xf numFmtId="43" fontId="265" fillId="0" borderId="0"/>
    <xf numFmtId="0" fontId="12" fillId="0" borderId="0"/>
    <xf numFmtId="0" fontId="1" fillId="0" borderId="0"/>
    <xf numFmtId="43" fontId="12" fillId="0" borderId="0"/>
    <xf numFmtId="43" fontId="50" fillId="0" borderId="0"/>
    <xf numFmtId="0" fontId="12" fillId="0" borderId="0"/>
    <xf numFmtId="43" fontId="12" fillId="0" borderId="0"/>
    <xf numFmtId="43" fontId="50" fillId="0" borderId="0"/>
    <xf numFmtId="9" fontId="50" fillId="0" borderId="0"/>
    <xf numFmtId="0" fontId="273" fillId="22" borderId="0"/>
    <xf numFmtId="0" fontId="72" fillId="30" borderId="0"/>
    <xf numFmtId="0" fontId="72" fillId="34" borderId="0"/>
    <xf numFmtId="0" fontId="72" fillId="38" borderId="0"/>
    <xf numFmtId="0" fontId="72" fillId="42" borderId="0"/>
    <xf numFmtId="0" fontId="72" fillId="46" borderId="0"/>
    <xf numFmtId="0" fontId="72" fillId="50" borderId="0"/>
    <xf numFmtId="0" fontId="12" fillId="0" borderId="0"/>
  </cellStyleXfs>
  <cellXfs count="554">
    <xf numFmtId="0" fontId="0" fillId="0" borderId="0" pivotButton="0" quotePrefix="0" xfId="0"/>
    <xf numFmtId="0" fontId="3" fillId="2" borderId="0" applyAlignment="1" pivotButton="0" quotePrefix="0" xfId="4">
      <alignment horizontal="centerContinuous"/>
    </xf>
    <xf numFmtId="0" fontId="4" fillId="2" borderId="0" applyAlignment="1" pivotButton="0" quotePrefix="0" xfId="0">
      <alignment horizontal="centerContinuous"/>
    </xf>
    <xf numFmtId="0" fontId="4" fillId="2" borderId="0" pivotButton="0" quotePrefix="0" xfId="0"/>
    <xf numFmtId="0" fontId="5" fillId="3" borderId="0" applyAlignment="1" pivotButton="0" quotePrefix="0" xfId="0">
      <alignment horizontal="centerContinuous"/>
    </xf>
    <xf numFmtId="0" fontId="6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8" fillId="2" borderId="0" pivotButton="0" quotePrefix="0" xfId="0"/>
    <xf numFmtId="0" fontId="9" fillId="2" borderId="0" pivotButton="0" quotePrefix="0" xfId="4"/>
    <xf numFmtId="164" fontId="10" fillId="4" borderId="1" applyAlignment="1" applyProtection="1" pivotButton="0" quotePrefix="0" xfId="2">
      <alignment horizontal="center"/>
      <protection locked="0" hidden="0"/>
    </xf>
    <xf numFmtId="0" fontId="0" fillId="2" borderId="0" pivotButton="0" quotePrefix="0" xfId="0"/>
    <xf numFmtId="165" fontId="9" fillId="2" borderId="1" applyAlignment="1" pivotButton="0" quotePrefix="0" xfId="2">
      <alignment horizontal="center"/>
    </xf>
    <xf numFmtId="166" fontId="10" fillId="4" borderId="1" applyAlignment="1" applyProtection="1" pivotButton="0" quotePrefix="0" xfId="2">
      <alignment horizontal="center"/>
      <protection locked="0" hidden="0"/>
    </xf>
    <xf numFmtId="10" fontId="4" fillId="2" borderId="0" pivotButton="0" quotePrefix="0" xfId="3"/>
    <xf numFmtId="10" fontId="4" fillId="2" borderId="0" pivotButton="0" quotePrefix="0" xfId="0"/>
    <xf numFmtId="0" fontId="11" fillId="3" borderId="0" applyAlignment="1" pivotButton="0" quotePrefix="0" xfId="0">
      <alignment horizontal="centerContinuous"/>
    </xf>
    <xf numFmtId="0" fontId="9" fillId="3" borderId="0" applyAlignment="1" pivotButton="0" quotePrefix="0" xfId="5">
      <alignment horizontal="centerContinuous"/>
    </xf>
    <xf numFmtId="0" fontId="9" fillId="3" borderId="0" applyAlignment="1" pivotButton="0" quotePrefix="0" xfId="0">
      <alignment horizontal="centerContinuous"/>
    </xf>
    <xf numFmtId="0" fontId="9" fillId="2" borderId="0" pivotButton="0" quotePrefix="0" xfId="5"/>
    <xf numFmtId="0" fontId="13" fillId="2" borderId="0" pivotButton="0" quotePrefix="0" xfId="5"/>
    <xf numFmtId="0" fontId="14" fillId="2" borderId="0" pivotButton="0" quotePrefix="0" xfId="0"/>
    <xf numFmtId="0" fontId="15" fillId="2" borderId="0" pivotButton="0" quotePrefix="0" xfId="5"/>
    <xf numFmtId="0" fontId="11" fillId="2" borderId="0" applyAlignment="1" pivotButton="0" quotePrefix="0" xfId="0">
      <alignment vertical="center"/>
    </xf>
    <xf numFmtId="0" fontId="9" fillId="2" borderId="0" pivotButton="0" quotePrefix="0" xfId="0"/>
    <xf numFmtId="164" fontId="9" fillId="0" borderId="1" applyAlignment="1" pivotButton="0" quotePrefix="0" xfId="2">
      <alignment horizontal="center" vertical="center"/>
    </xf>
    <xf numFmtId="0" fontId="14" fillId="2" borderId="2" pivotButton="0" quotePrefix="0" xfId="0"/>
    <xf numFmtId="167" fontId="9" fillId="2" borderId="1" applyAlignment="1" pivotButton="0" quotePrefix="0" xfId="2">
      <alignment horizontal="center" vertical="center"/>
    </xf>
    <xf numFmtId="168" fontId="17" fillId="0" borderId="0" pivotButton="0" quotePrefix="0" xfId="5"/>
    <xf numFmtId="0" fontId="9" fillId="0" borderId="0" pivotButton="0" quotePrefix="0" xfId="5"/>
    <xf numFmtId="0" fontId="9" fillId="2" borderId="3" pivotButton="0" quotePrefix="0" xfId="5"/>
    <xf numFmtId="0" fontId="11" fillId="2" borderId="0" pivotButton="0" quotePrefix="0" xfId="5"/>
    <xf numFmtId="165" fontId="11" fillId="2" borderId="4" pivotButton="0" quotePrefix="0" xfId="5"/>
    <xf numFmtId="169" fontId="19" fillId="2" borderId="0" applyAlignment="1" pivotButton="0" quotePrefix="0" xfId="1">
      <alignment horizontal="right"/>
    </xf>
    <xf numFmtId="37" fontId="20" fillId="2" borderId="0" pivotButton="0" quotePrefix="0" xfId="5"/>
    <xf numFmtId="0" fontId="21" fillId="0" borderId="5" applyAlignment="1" pivotButton="0" quotePrefix="0" xfId="0">
      <alignment horizontal="left"/>
    </xf>
    <xf numFmtId="43" fontId="14" fillId="0" borderId="6" pivotButton="0" quotePrefix="0" xfId="1"/>
    <xf numFmtId="4" fontId="9" fillId="2" borderId="0" pivotButton="0" quotePrefix="0" xfId="5"/>
    <xf numFmtId="170" fontId="14" fillId="0" borderId="7" applyAlignment="1" pivotButton="0" quotePrefix="0" xfId="2">
      <alignment horizontal="center"/>
    </xf>
    <xf numFmtId="43" fontId="14" fillId="0" borderId="8" pivotButton="0" quotePrefix="0" xfId="1"/>
    <xf numFmtId="0" fontId="9" fillId="2" borderId="0" applyAlignment="1" pivotButton="0" quotePrefix="0" xfId="5">
      <alignment horizontal="center"/>
    </xf>
    <xf numFmtId="165" fontId="9" fillId="2" borderId="4" pivotButton="0" quotePrefix="0" xfId="1"/>
    <xf numFmtId="169" fontId="19" fillId="0" borderId="0" applyAlignment="1" pivotButton="0" quotePrefix="0" xfId="1">
      <alignment horizontal="right"/>
    </xf>
    <xf numFmtId="43" fontId="14" fillId="0" borderId="9" pivotButton="0" quotePrefix="0" xfId="1"/>
    <xf numFmtId="165" fontId="9" fillId="2" borderId="0" pivotButton="0" quotePrefix="0" xfId="1"/>
    <xf numFmtId="170" fontId="22" fillId="4" borderId="9" pivotButton="0" quotePrefix="0" xfId="2"/>
    <xf numFmtId="43" fontId="22" fillId="0" borderId="10" pivotButton="0" quotePrefix="0" xfId="1"/>
    <xf numFmtId="170" fontId="14" fillId="0" borderId="7" applyAlignment="1" pivotButton="0" quotePrefix="0" xfId="2">
      <alignment horizontal="center"/>
    </xf>
    <xf numFmtId="165" fontId="11" fillId="2" borderId="0" pivotButton="0" quotePrefix="0" xfId="1"/>
    <xf numFmtId="37" fontId="23" fillId="2" borderId="0" applyAlignment="1" pivotButton="0" quotePrefix="0" xfId="5">
      <alignment horizontal="center"/>
    </xf>
    <xf numFmtId="171" fontId="10" fillId="2" borderId="0" applyAlignment="1" pivotButton="0" quotePrefix="0" xfId="3">
      <alignment horizontal="right"/>
    </xf>
    <xf numFmtId="9" fontId="23" fillId="2" borderId="0" applyAlignment="1" pivotButton="0" quotePrefix="0" xfId="5">
      <alignment horizontal="center"/>
    </xf>
    <xf numFmtId="165" fontId="9" fillId="0" borderId="0" pivotButton="0" quotePrefix="0" xfId="1"/>
    <xf numFmtId="169" fontId="17" fillId="2" borderId="0" applyAlignment="1" pivotButton="0" quotePrefix="0" xfId="1">
      <alignment horizontal="left"/>
    </xf>
    <xf numFmtId="0" fontId="14" fillId="0" borderId="0" pivotButton="0" quotePrefix="0" xfId="0"/>
    <xf numFmtId="43" fontId="14" fillId="0" borderId="0" pivotButton="0" quotePrefix="0" xfId="1"/>
    <xf numFmtId="165" fontId="22" fillId="4" borderId="1" pivotButton="0" quotePrefix="0" xfId="0"/>
    <xf numFmtId="169" fontId="10" fillId="4" borderId="1" applyAlignment="1" applyProtection="1" pivotButton="0" quotePrefix="0" xfId="1">
      <alignment horizontal="right"/>
      <protection locked="0" hidden="0"/>
    </xf>
    <xf numFmtId="165" fontId="14" fillId="0" borderId="0" pivotButton="0" quotePrefix="0" xfId="1"/>
    <xf numFmtId="0" fontId="4" fillId="2" borderId="2" pivotButton="0" quotePrefix="0" xfId="0"/>
    <xf numFmtId="0" fontId="11" fillId="2" borderId="2" pivotButton="0" quotePrefix="0" xfId="5"/>
    <xf numFmtId="0" fontId="9" fillId="2" borderId="2" pivotButton="0" quotePrefix="0" xfId="5"/>
    <xf numFmtId="165" fontId="24" fillId="0" borderId="4" pivotButton="0" quotePrefix="0" xfId="1"/>
    <xf numFmtId="43" fontId="14" fillId="0" borderId="0" pivotButton="0" quotePrefix="0" xfId="1"/>
    <xf numFmtId="172" fontId="22" fillId="4" borderId="1" pivotButton="0" quotePrefix="0" xfId="0"/>
    <xf numFmtId="43" fontId="19" fillId="2" borderId="0" applyAlignment="1" pivotButton="0" quotePrefix="0" xfId="1">
      <alignment horizontal="right"/>
    </xf>
    <xf numFmtId="172" fontId="22" fillId="4" borderId="11" pivotButton="0" quotePrefix="0" xfId="0"/>
    <xf numFmtId="10" fontId="9" fillId="2" borderId="0" pivotButton="0" quotePrefix="0" xfId="1"/>
    <xf numFmtId="169" fontId="19" fillId="0" borderId="0" applyAlignment="1" pivotButton="0" quotePrefix="0" xfId="1">
      <alignment horizontal="right"/>
    </xf>
    <xf numFmtId="0" fontId="22" fillId="0" borderId="12" pivotButton="0" quotePrefix="0" xfId="0"/>
    <xf numFmtId="43" fontId="14" fillId="0" borderId="13" pivotButton="0" quotePrefix="0" xfId="1"/>
    <xf numFmtId="43" fontId="25" fillId="4" borderId="7" pivotButton="0" quotePrefix="0" xfId="1"/>
    <xf numFmtId="43" fontId="22" fillId="4" borderId="8" pivotButton="0" quotePrefix="0" xfId="1"/>
    <xf numFmtId="169" fontId="26" fillId="0" borderId="0" applyAlignment="1" pivotButton="0" quotePrefix="0" xfId="1">
      <alignment horizontal="left"/>
    </xf>
    <xf numFmtId="43" fontId="27" fillId="0" borderId="7" pivotButton="0" quotePrefix="0" xfId="1"/>
    <xf numFmtId="43" fontId="14" fillId="0" borderId="8" pivotButton="0" quotePrefix="0" xfId="1"/>
    <xf numFmtId="165" fontId="9" fillId="2" borderId="0" pivotButton="0" quotePrefix="0" xfId="1"/>
    <xf numFmtId="43" fontId="22" fillId="4" borderId="6" pivotButton="0" quotePrefix="0" xfId="1"/>
    <xf numFmtId="165" fontId="24" fillId="0" borderId="2" pivotButton="0" quotePrefix="0" xfId="1"/>
    <xf numFmtId="43" fontId="14" fillId="0" borderId="7" pivotButton="0" quotePrefix="0" xfId="1"/>
    <xf numFmtId="0" fontId="14" fillId="0" borderId="8" applyAlignment="1" pivotButton="0" quotePrefix="0" xfId="0">
      <alignment horizontal="left"/>
    </xf>
    <xf numFmtId="0" fontId="9" fillId="2" borderId="0" pivotButton="0" quotePrefix="1" xfId="5"/>
    <xf numFmtId="165" fontId="24" fillId="0" borderId="0" pivotButton="0" quotePrefix="0" xfId="1"/>
    <xf numFmtId="0" fontId="11" fillId="2" borderId="0" pivotButton="0" quotePrefix="0" xfId="1"/>
    <xf numFmtId="43" fontId="11" fillId="2" borderId="0" applyAlignment="1" pivotButton="0" quotePrefix="1" xfId="1">
      <alignment horizontal="left"/>
    </xf>
    <xf numFmtId="43" fontId="11" fillId="2" borderId="0" pivotButton="0" quotePrefix="0" xfId="1"/>
    <xf numFmtId="10" fontId="11" fillId="2" borderId="0" pivotButton="0" quotePrefix="0" xfId="3"/>
    <xf numFmtId="43" fontId="11" fillId="2" borderId="0" applyAlignment="1" pivotButton="0" quotePrefix="0" xfId="1">
      <alignment horizontal="right"/>
    </xf>
    <xf numFmtId="0" fontId="9" fillId="2" borderId="0" applyAlignment="1" pivotButton="0" quotePrefix="1" xfId="5">
      <alignment horizontal="left"/>
    </xf>
    <xf numFmtId="165" fontId="10" fillId="4" borderId="1" applyAlignment="1" applyProtection="1" pivotButton="0" quotePrefix="0" xfId="2">
      <alignment horizontal="right"/>
      <protection locked="0" hidden="0"/>
    </xf>
    <xf numFmtId="10" fontId="19" fillId="2" borderId="0" applyAlignment="1" pivotButton="0" quotePrefix="0" xfId="3">
      <alignment horizontal="right"/>
    </xf>
    <xf numFmtId="0" fontId="11" fillId="2" borderId="0" applyAlignment="1" pivotButton="0" quotePrefix="1" xfId="5">
      <alignment horizontal="left"/>
    </xf>
    <xf numFmtId="165" fontId="11" fillId="2" borderId="14" applyAlignment="1" pivotButton="0" quotePrefix="0" xfId="1">
      <alignment horizontal="right"/>
    </xf>
    <xf numFmtId="173" fontId="19" fillId="2" borderId="0" applyAlignment="1" pivotButton="0" quotePrefix="0" xfId="3">
      <alignment horizontal="right"/>
    </xf>
    <xf numFmtId="43" fontId="11" fillId="2" borderId="0" pivotButton="0" quotePrefix="0" xfId="5"/>
    <xf numFmtId="165" fontId="11" fillId="2" borderId="0" applyAlignment="1" pivotButton="0" quotePrefix="0" xfId="1">
      <alignment horizontal="right"/>
    </xf>
    <xf numFmtId="165" fontId="20" fillId="2" borderId="0" pivotButton="0" quotePrefix="0" xfId="5"/>
    <xf numFmtId="43" fontId="22" fillId="4" borderId="9" pivotButton="0" quotePrefix="0" xfId="1"/>
    <xf numFmtId="43" fontId="22" fillId="4" borderId="10" pivotButton="0" quotePrefix="0" xfId="1"/>
    <xf numFmtId="165" fontId="11" fillId="2" borderId="0" applyAlignment="1" pivotButton="0" quotePrefix="0" xfId="1">
      <alignment horizontal="right"/>
    </xf>
    <xf numFmtId="39" fontId="9" fillId="2" borderId="0" applyAlignment="1" pivotButton="0" quotePrefix="0" xfId="5">
      <alignment horizontal="left"/>
    </xf>
    <xf numFmtId="0" fontId="9" fillId="2" borderId="3" pivotButton="0" quotePrefix="0" xfId="0"/>
    <xf numFmtId="43" fontId="15" fillId="2" borderId="0" pivotButton="0" quotePrefix="0" xfId="5"/>
    <xf numFmtId="43" fontId="22" fillId="4" borderId="7" pivotButton="0" quotePrefix="0" xfId="1"/>
    <xf numFmtId="165" fontId="11" fillId="2" borderId="1" applyAlignment="1" pivotButton="0" quotePrefix="0" xfId="1">
      <alignment horizontal="center"/>
    </xf>
    <xf numFmtId="43" fontId="14" fillId="0" borderId="8" pivotButton="0" quotePrefix="0" xfId="1"/>
    <xf numFmtId="43" fontId="14" fillId="0" borderId="10" pivotButton="0" quotePrefix="0" xfId="1"/>
    <xf numFmtId="165" fontId="10" fillId="4" borderId="1" applyAlignment="1" applyProtection="1" pivotButton="0" quotePrefix="0" xfId="2">
      <alignment horizontal="center"/>
      <protection locked="0" hidden="0"/>
    </xf>
    <xf numFmtId="43" fontId="14" fillId="0" borderId="7" pivotButton="0" quotePrefix="0" xfId="1"/>
    <xf numFmtId="165" fontId="4" fillId="2" borderId="0" pivotButton="0" quotePrefix="0" xfId="0"/>
    <xf numFmtId="0" fontId="4" fillId="3" borderId="0" pivotButton="0" quotePrefix="0" xfId="0"/>
    <xf numFmtId="0" fontId="22" fillId="0" borderId="0" applyAlignment="1" pivotButton="0" quotePrefix="1" xfId="0">
      <alignment horizontal="left" vertical="top"/>
    </xf>
    <xf numFmtId="0" fontId="28" fillId="0" borderId="0" applyAlignment="1" pivotButton="0" quotePrefix="1" xfId="0">
      <alignment horizontal="centerContinuous" vertical="top"/>
    </xf>
    <xf numFmtId="0" fontId="25" fillId="0" borderId="0" pivotButton="0" quotePrefix="0" xfId="6"/>
    <xf numFmtId="0" fontId="12" fillId="0" borderId="0" pivotButton="0" quotePrefix="0" xfId="6"/>
    <xf numFmtId="0" fontId="12" fillId="0" borderId="15" pivotButton="0" quotePrefix="0" xfId="6"/>
    <xf numFmtId="0" fontId="25" fillId="0" borderId="15" pivotButton="0" quotePrefix="0" xfId="6"/>
    <xf numFmtId="0" fontId="4" fillId="5" borderId="0" pivotButton="0" quotePrefix="0" xfId="0"/>
    <xf numFmtId="43" fontId="12" fillId="0" borderId="8" pivotButton="0" quotePrefix="0" xfId="1"/>
    <xf numFmtId="14" fontId="25" fillId="0" borderId="15" pivotButton="0" quotePrefix="0" xfId="6"/>
    <xf numFmtId="43" fontId="12" fillId="0" borderId="7" pivotButton="0" quotePrefix="0" xfId="1"/>
    <xf numFmtId="0" fontId="3" fillId="2" borderId="0" applyAlignment="1" pivotButton="0" quotePrefix="0" xfId="4">
      <alignment horizontal="left"/>
    </xf>
    <xf numFmtId="0" fontId="12" fillId="2" borderId="0" pivotButton="0" quotePrefix="0" xfId="0"/>
    <xf numFmtId="43" fontId="12" fillId="2" borderId="0" pivotButton="0" quotePrefix="0" xfId="1"/>
    <xf numFmtId="168" fontId="12" fillId="2" borderId="0" pivotButton="0" quotePrefix="0" xfId="0"/>
    <xf numFmtId="49" fontId="12" fillId="2" borderId="0" applyAlignment="1" pivotButton="0" quotePrefix="0" xfId="0">
      <alignment horizontal="center"/>
    </xf>
    <xf numFmtId="42" fontId="12" fillId="2" borderId="0" applyAlignment="1" pivotButton="0" quotePrefix="0" xfId="2">
      <alignment horizontal="right"/>
    </xf>
    <xf numFmtId="10" fontId="12" fillId="2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25" fillId="2" borderId="16" applyAlignment="1" pivotButton="0" quotePrefix="0" xfId="0">
      <alignment horizontal="centerContinuous"/>
    </xf>
    <xf numFmtId="0" fontId="25" fillId="2" borderId="17" applyAlignment="1" pivotButton="0" quotePrefix="0" xfId="0">
      <alignment horizontal="centerContinuous"/>
    </xf>
    <xf numFmtId="0" fontId="25" fillId="2" borderId="18" applyAlignment="1" pivotButton="0" quotePrefix="0" xfId="0">
      <alignment horizontal="centerContinuous"/>
    </xf>
    <xf numFmtId="1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43" fontId="11" fillId="0" borderId="0" applyAlignment="1" pivotButton="0" quotePrefix="0" xfId="1">
      <alignment horizontal="center"/>
    </xf>
    <xf numFmtId="10" fontId="9" fillId="0" borderId="2" applyAlignment="1" pivotButton="0" quotePrefix="0" xfId="3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10" fontId="9" fillId="0" borderId="0" applyAlignment="1" pivotButton="0" quotePrefix="0" xfId="3">
      <alignment horizontal="center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5" fillId="2" borderId="0" pivotButton="0" quotePrefix="0" xfId="0"/>
    <xf numFmtId="172" fontId="12" fillId="2" borderId="0" pivotButton="0" quotePrefix="0" xfId="0"/>
    <xf numFmtId="0" fontId="29" fillId="2" borderId="0" pivotButton="0" quotePrefix="0" xfId="0"/>
    <xf numFmtId="0" fontId="12" fillId="2" borderId="19" applyAlignment="1" pivotButton="0" quotePrefix="0" xfId="0">
      <alignment horizontal="center"/>
    </xf>
    <xf numFmtId="0" fontId="12" fillId="2" borderId="20" applyAlignment="1" pivotButton="0" quotePrefix="0" xfId="0">
      <alignment horizontal="center"/>
    </xf>
    <xf numFmtId="10" fontId="11" fillId="2" borderId="0" applyAlignment="1" pivotButton="0" quotePrefix="0" xfId="3">
      <alignment horizontal="right"/>
    </xf>
    <xf numFmtId="10" fontId="30" fillId="2" borderId="0" applyAlignment="1" pivotButton="0" quotePrefix="0" xfId="3">
      <alignment horizontal="center"/>
    </xf>
    <xf numFmtId="10" fontId="11" fillId="0" borderId="0" applyAlignment="1" pivotButton="0" quotePrefix="0" xfId="3">
      <alignment horizontal="center"/>
    </xf>
    <xf numFmtId="10" fontId="9" fillId="0" borderId="1" applyAlignment="1" pivotButton="0" quotePrefix="0" xfId="3">
      <alignment horizontal="center"/>
    </xf>
    <xf numFmtId="169" fontId="9" fillId="0" borderId="0" applyAlignment="1" pivotButton="0" quotePrefix="0" xfId="0">
      <alignment horizontal="center"/>
    </xf>
    <xf numFmtId="0" fontId="9" fillId="0" borderId="1" applyAlignment="1" pivotButton="0" quotePrefix="0" xfId="3">
      <alignment horizontal="center"/>
    </xf>
    <xf numFmtId="169" fontId="9" fillId="0" borderId="1" pivotButton="0" quotePrefix="0" xfId="1"/>
    <xf numFmtId="10" fontId="12" fillId="2" borderId="0" pivotButton="0" quotePrefix="0" xfId="3"/>
    <xf numFmtId="171" fontId="29" fillId="2" borderId="0" pivotButton="0" quotePrefix="0" xfId="0"/>
    <xf numFmtId="174" fontId="9" fillId="0" borderId="19" applyAlignment="1" applyProtection="1" pivotButton="0" quotePrefix="0" xfId="2">
      <alignment horizontal="center"/>
      <protection locked="0" hidden="0"/>
    </xf>
    <xf numFmtId="174" fontId="9" fillId="0" borderId="0" applyAlignment="1" applyProtection="1" pivotButton="0" quotePrefix="0" xfId="2">
      <alignment horizontal="center"/>
      <protection locked="0" hidden="0"/>
    </xf>
    <xf numFmtId="174" fontId="9" fillId="0" borderId="20" applyAlignment="1" applyProtection="1" pivotButton="0" quotePrefix="0" xfId="2">
      <alignment horizontal="center"/>
      <protection locked="0" hidden="0"/>
    </xf>
    <xf numFmtId="10" fontId="29" fillId="2" borderId="0" pivotButton="0" quotePrefix="0" xfId="0"/>
    <xf numFmtId="10" fontId="11" fillId="2" borderId="0" applyAlignment="1" pivotButton="0" quotePrefix="0" xfId="3">
      <alignment horizontal="center"/>
    </xf>
    <xf numFmtId="175" fontId="11" fillId="0" borderId="0" applyAlignment="1" pivotButton="0" quotePrefix="0" xfId="1">
      <alignment horizontal="center"/>
    </xf>
    <xf numFmtId="169" fontId="11" fillId="0" borderId="0" applyAlignment="1" pivotButton="0" quotePrefix="1" xfId="0">
      <alignment horizontal="center"/>
    </xf>
    <xf numFmtId="43" fontId="11" fillId="0" borderId="0" applyAlignment="1" pivotButton="0" quotePrefix="1" xfId="0">
      <alignment horizontal="center"/>
    </xf>
    <xf numFmtId="169" fontId="9" fillId="0" borderId="0" pivotButton="0" quotePrefix="0" xfId="0"/>
    <xf numFmtId="0" fontId="9" fillId="0" borderId="1" applyAlignment="1" pivotButton="0" quotePrefix="0" xfId="0">
      <alignment horizontal="center"/>
    </xf>
    <xf numFmtId="176" fontId="25" fillId="2" borderId="0" applyAlignment="1" pivotButton="0" quotePrefix="0" xfId="0">
      <alignment horizontal="right"/>
    </xf>
    <xf numFmtId="0" fontId="31" fillId="2" borderId="0" pivotButton="0" quotePrefix="0" xfId="0"/>
    <xf numFmtId="43" fontId="12" fillId="2" borderId="0" applyAlignment="1" pivotButton="0" quotePrefix="0" xfId="1">
      <alignment horizontal="center"/>
    </xf>
    <xf numFmtId="43" fontId="12" fillId="2" borderId="0" applyAlignment="1" pivotButton="0" quotePrefix="0" xfId="0">
      <alignment horizontal="center"/>
    </xf>
    <xf numFmtId="170" fontId="12" fillId="2" borderId="0" pivotButton="0" quotePrefix="0" xfId="2"/>
    <xf numFmtId="14" fontId="12" fillId="2" borderId="0" pivotButton="0" quotePrefix="0" xfId="0"/>
    <xf numFmtId="169" fontId="29" fillId="0" borderId="0" pivotButton="0" quotePrefix="0" xfId="1"/>
    <xf numFmtId="43" fontId="11" fillId="2" borderId="0" applyAlignment="1" pivotButton="0" quotePrefix="0" xfId="0">
      <alignment horizontal="center"/>
    </xf>
    <xf numFmtId="175" fontId="32" fillId="2" borderId="0" applyAlignment="1" pivotButton="0" quotePrefix="0" xfId="3">
      <alignment horizontal="center"/>
    </xf>
    <xf numFmtId="10" fontId="32" fillId="2" borderId="0" applyAlignment="1" pivotButton="0" quotePrefix="0" xfId="3">
      <alignment horizontal="center"/>
    </xf>
    <xf numFmtId="176" fontId="31" fillId="2" borderId="0" applyAlignment="1" pivotButton="0" quotePrefix="0" xfId="0">
      <alignment horizontal="right"/>
    </xf>
    <xf numFmtId="176" fontId="25" fillId="2" borderId="0" applyAlignment="1" pivotButton="0" quotePrefix="0" xfId="0">
      <alignment horizontal="left"/>
    </xf>
    <xf numFmtId="0" fontId="33" fillId="2" borderId="0" pivotButton="0" quotePrefix="0" xfId="0"/>
    <xf numFmtId="169" fontId="29" fillId="2" borderId="0" pivotButton="0" quotePrefix="0" xfId="1"/>
    <xf numFmtId="174" fontId="9" fillId="0" borderId="21" applyAlignment="1" applyProtection="1" pivotButton="0" quotePrefix="0" xfId="2">
      <alignment horizontal="center"/>
      <protection locked="0" hidden="0"/>
    </xf>
    <xf numFmtId="174" fontId="9" fillId="0" borderId="15" applyAlignment="1" applyProtection="1" pivotButton="0" quotePrefix="0" xfId="2">
      <alignment horizontal="center"/>
      <protection locked="0" hidden="0"/>
    </xf>
    <xf numFmtId="174" fontId="9" fillId="0" borderId="22" applyAlignment="1" applyProtection="1" pivotButton="0" quotePrefix="0" xfId="2">
      <alignment horizontal="center"/>
      <protection locked="0" hidden="0"/>
    </xf>
    <xf numFmtId="169" fontId="11" fillId="0" borderId="0" applyAlignment="1" pivotButton="0" quotePrefix="0" xfId="1">
      <alignment horizontal="right"/>
    </xf>
    <xf numFmtId="169" fontId="11" fillId="0" borderId="0" applyAlignment="1" pivotButton="0" quotePrefix="0" xfId="0">
      <alignment horizontal="center"/>
    </xf>
    <xf numFmtId="175" fontId="11" fillId="0" borderId="0" applyAlignment="1" pivotButton="0" quotePrefix="0" xfId="0">
      <alignment horizontal="right"/>
    </xf>
    <xf numFmtId="169" fontId="11" fillId="0" borderId="0" pivotButton="0" quotePrefix="0" xfId="0"/>
    <xf numFmtId="43" fontId="11" fillId="0" borderId="0" pivotButton="0" quotePrefix="0" xfId="0"/>
    <xf numFmtId="0" fontId="9" fillId="6" borderId="1" applyAlignment="1" pivotButton="0" quotePrefix="0" xfId="0">
      <alignment horizontal="center"/>
    </xf>
    <xf numFmtId="176" fontId="31" fillId="2" borderId="0" applyAlignment="1" pivotButton="0" quotePrefix="0" xfId="0">
      <alignment horizontal="left"/>
    </xf>
    <xf numFmtId="169" fontId="34" fillId="0" borderId="0" applyAlignment="1" pivotButton="0" quotePrefix="0" xfId="1">
      <alignment horizontal="center"/>
    </xf>
    <xf numFmtId="170" fontId="9" fillId="2" borderId="0" pivotButton="0" quotePrefix="0" xfId="0"/>
    <xf numFmtId="43" fontId="11" fillId="0" borderId="0" applyAlignment="1" pivotButton="0" quotePrefix="0" xfId="0">
      <alignment horizontal="center"/>
    </xf>
    <xf numFmtId="10" fontId="11" fillId="0" borderId="0" pivotButton="0" quotePrefix="0" xfId="3"/>
    <xf numFmtId="169" fontId="12" fillId="0" borderId="0" pivotButton="0" quotePrefix="0" xfId="0"/>
    <xf numFmtId="167" fontId="11" fillId="2" borderId="0" applyAlignment="1" pivotButton="0" quotePrefix="0" xfId="0">
      <alignment horizontal="center"/>
    </xf>
    <xf numFmtId="177" fontId="11" fillId="2" borderId="0" applyAlignment="1" pivotButton="0" quotePrefix="0" xfId="0">
      <alignment horizontal="center"/>
    </xf>
    <xf numFmtId="43" fontId="26" fillId="2" borderId="0" applyAlignment="1" pivotButton="0" quotePrefix="0" xfId="0">
      <alignment horizontal="center"/>
    </xf>
    <xf numFmtId="9" fontId="11" fillId="0" borderId="0" applyAlignment="1" pivotButton="0" quotePrefix="0" xfId="3">
      <alignment horizontal="center"/>
    </xf>
    <xf numFmtId="169" fontId="0" fillId="0" borderId="0" pivotButton="0" quotePrefix="0" xfId="0"/>
    <xf numFmtId="172" fontId="12" fillId="0" borderId="0" pivotButton="0" quotePrefix="0" xfId="0"/>
    <xf numFmtId="172" fontId="14" fillId="0" borderId="0" pivotButton="0" quotePrefix="0" xfId="0"/>
    <xf numFmtId="172" fontId="22" fillId="0" borderId="0" pivotButton="0" quotePrefix="0" xfId="0"/>
    <xf numFmtId="49" fontId="12" fillId="0" borderId="0" applyAlignment="1" pivotButton="0" quotePrefix="0" xfId="0">
      <alignment horizontal="center"/>
    </xf>
    <xf numFmtId="14" fontId="12" fillId="2" borderId="0" applyAlignment="1" pivotButton="0" quotePrefix="0" xfId="0">
      <alignment horizontal="center"/>
    </xf>
    <xf numFmtId="0" fontId="8" fillId="8" borderId="12" applyAlignment="1" pivotButton="0" quotePrefix="0" xfId="0">
      <alignment horizontal="centerContinuous"/>
    </xf>
    <xf numFmtId="0" fontId="8" fillId="8" borderId="13" applyAlignment="1" pivotButton="0" quotePrefix="0" xfId="0">
      <alignment horizontal="centerContinuous"/>
    </xf>
    <xf numFmtId="0" fontId="11" fillId="8" borderId="12" applyAlignment="1" pivotButton="0" quotePrefix="0" xfId="0">
      <alignment horizontal="centerContinuous"/>
    </xf>
    <xf numFmtId="0" fontId="11" fillId="8" borderId="4" applyAlignment="1" pivotButton="0" quotePrefix="0" xfId="0">
      <alignment horizontal="centerContinuous"/>
    </xf>
    <xf numFmtId="0" fontId="11" fillId="8" borderId="13" applyAlignment="1" pivotButton="0" quotePrefix="0" xfId="0">
      <alignment horizontal="centerContinuous"/>
    </xf>
    <xf numFmtId="43" fontId="11" fillId="8" borderId="12" applyAlignment="1" pivotButton="0" quotePrefix="0" xfId="0">
      <alignment horizontal="centerContinuous"/>
    </xf>
    <xf numFmtId="43" fontId="11" fillId="8" borderId="4" applyAlignment="1" pivotButton="0" quotePrefix="0" xfId="0">
      <alignment horizontal="centerContinuous"/>
    </xf>
    <xf numFmtId="49" fontId="25" fillId="8" borderId="12" applyAlignment="1" pivotButton="0" quotePrefix="0" xfId="0">
      <alignment horizontal="centerContinuous"/>
    </xf>
    <xf numFmtId="49" fontId="25" fillId="8" borderId="4" applyAlignment="1" pivotButton="0" quotePrefix="0" xfId="0">
      <alignment horizontal="centerContinuous"/>
    </xf>
    <xf numFmtId="0" fontId="8" fillId="8" borderId="4" applyAlignment="1" pivotButton="0" quotePrefix="0" xfId="0">
      <alignment horizontal="centerContinuous"/>
    </xf>
    <xf numFmtId="0" fontId="8" fillId="8" borderId="1" applyAlignment="1" pivotButton="0" quotePrefix="0" xfId="0">
      <alignment horizontal="centerContinuous"/>
    </xf>
    <xf numFmtId="170" fontId="9" fillId="0" borderId="0" pivotButton="0" quotePrefix="0" xfId="0"/>
    <xf numFmtId="172" fontId="25" fillId="0" borderId="0" pivotButton="0" quotePrefix="0" xfId="0"/>
    <xf numFmtId="178" fontId="22" fillId="0" borderId="0" pivotButton="0" quotePrefix="0" xfId="0"/>
    <xf numFmtId="0" fontId="11" fillId="9" borderId="1" applyAlignment="1" pivotButton="0" quotePrefix="0" xfId="0">
      <alignment horizontal="center" wrapText="1"/>
    </xf>
    <xf numFmtId="0" fontId="11" fillId="9" borderId="1" applyAlignment="1" pivotButton="0" quotePrefix="0" xfId="0">
      <alignment horizontal="center"/>
    </xf>
    <xf numFmtId="42" fontId="11" fillId="9" borderId="1" applyAlignment="1" pivotButton="0" quotePrefix="0" xfId="0">
      <alignment horizontal="center" wrapText="1"/>
    </xf>
    <xf numFmtId="0" fontId="11" fillId="9" borderId="1" applyAlignment="1" pivotButton="0" quotePrefix="1" xfId="0">
      <alignment horizontal="center" wrapText="1"/>
    </xf>
    <xf numFmtId="10" fontId="11" fillId="9" borderId="1" applyAlignment="1" pivotButton="0" quotePrefix="0" xfId="3">
      <alignment horizontal="center" wrapText="1"/>
    </xf>
    <xf numFmtId="0" fontId="11" fillId="9" borderId="11" applyAlignment="1" pivotButton="0" quotePrefix="0" xfId="0">
      <alignment horizontal="center" wrapText="1"/>
    </xf>
    <xf numFmtId="0" fontId="11" fillId="0" borderId="0" applyAlignment="1" pivotButton="0" quotePrefix="1" xfId="0">
      <alignment horizontal="center" wrapText="1"/>
    </xf>
    <xf numFmtId="0" fontId="11" fillId="10" borderId="1" applyAlignment="1" pivotButton="0" quotePrefix="0" xfId="0">
      <alignment horizontal="center" wrapText="1"/>
    </xf>
    <xf numFmtId="4" fontId="11" fillId="11" borderId="12" applyAlignment="1" pivotButton="0" quotePrefix="0" xfId="0">
      <alignment horizontal="center" wrapText="1"/>
    </xf>
    <xf numFmtId="4" fontId="11" fillId="11" borderId="4" applyAlignment="1" pivotButton="0" quotePrefix="0" xfId="0">
      <alignment horizontal="center" wrapText="1"/>
    </xf>
    <xf numFmtId="4" fontId="11" fillId="11" borderId="13" applyAlignment="1" pivotButton="0" quotePrefix="0" xfId="0">
      <alignment horizontal="center" wrapText="1"/>
    </xf>
    <xf numFmtId="4" fontId="11" fillId="12" borderId="12" applyAlignment="1" pivotButton="0" quotePrefix="0" xfId="0">
      <alignment horizontal="center" wrapText="1"/>
    </xf>
    <xf numFmtId="4" fontId="11" fillId="12" borderId="4" applyAlignment="1" pivotButton="0" quotePrefix="0" xfId="0">
      <alignment horizontal="center" wrapText="1"/>
    </xf>
    <xf numFmtId="4" fontId="11" fillId="12" borderId="13" applyAlignment="1" pivotButton="0" quotePrefix="0" xfId="0">
      <alignment horizontal="center" wrapText="1"/>
    </xf>
    <xf numFmtId="0" fontId="11" fillId="7" borderId="1" applyAlignment="1" pivotButton="0" quotePrefix="1" xfId="0">
      <alignment horizontal="center" wrapText="1"/>
    </xf>
    <xf numFmtId="0" fontId="11" fillId="7" borderId="1" applyAlignment="1" pivotButton="0" quotePrefix="0" xfId="0">
      <alignment horizontal="center" wrapText="1"/>
    </xf>
    <xf numFmtId="0" fontId="11" fillId="7" borderId="7" applyAlignment="1" pivotButton="0" quotePrefix="0" xfId="0">
      <alignment horizontal="center" wrapText="1"/>
    </xf>
    <xf numFmtId="42" fontId="25" fillId="9" borderId="1" applyAlignment="1" pivotButton="0" quotePrefix="0" xfId="0">
      <alignment horizontal="center" wrapText="1"/>
    </xf>
    <xf numFmtId="0" fontId="25" fillId="7" borderId="12" applyAlignment="1" pivotButton="0" quotePrefix="0" xfId="0">
      <alignment horizontal="center" wrapText="1"/>
    </xf>
    <xf numFmtId="0" fontId="25" fillId="7" borderId="4" applyAlignment="1" pivotButton="0" quotePrefix="0" xfId="0">
      <alignment horizontal="center" wrapText="1"/>
    </xf>
    <xf numFmtId="0" fontId="25" fillId="7" borderId="13" applyAlignment="1" pivotButton="0" quotePrefix="0" xfId="0">
      <alignment horizontal="center" wrapText="1"/>
    </xf>
    <xf numFmtId="0" fontId="25" fillId="13" borderId="12" applyAlignment="1" pivotButton="0" quotePrefix="0" xfId="0">
      <alignment horizontal="center" wrapText="1"/>
    </xf>
    <xf numFmtId="0" fontId="25" fillId="13" borderId="4" applyAlignment="1" pivotButton="0" quotePrefix="0" xfId="0">
      <alignment horizontal="center" wrapText="1"/>
    </xf>
    <xf numFmtId="0" fontId="25" fillId="13" borderId="13" applyAlignment="1" pivotButton="0" quotePrefix="0" xfId="0">
      <alignment horizontal="center" wrapText="1"/>
    </xf>
    <xf numFmtId="0" fontId="9" fillId="0" borderId="23" applyAlignment="1" applyProtection="1" pivotButton="0" quotePrefix="0" xfId="0">
      <alignment horizontal="center"/>
      <protection locked="0" hidden="0"/>
    </xf>
    <xf numFmtId="0" fontId="10" fillId="14" borderId="23" applyAlignment="1" applyProtection="1" pivotButton="0" quotePrefix="0" xfId="0">
      <alignment horizontal="left"/>
      <protection locked="0" hidden="0"/>
    </xf>
    <xf numFmtId="14" fontId="10" fillId="14" borderId="23" applyAlignment="1" applyProtection="1" pivotButton="0" quotePrefix="0" xfId="0">
      <alignment horizontal="center"/>
      <protection locked="0" hidden="0"/>
    </xf>
    <xf numFmtId="170" fontId="10" fillId="14" borderId="23" applyAlignment="1" applyProtection="1" pivotButton="0" quotePrefix="0" xfId="2">
      <alignment horizontal="center"/>
      <protection locked="0" hidden="0"/>
    </xf>
    <xf numFmtId="2" fontId="4" fillId="0" borderId="23" applyAlignment="1" applyProtection="1" pivotButton="0" quotePrefix="0" xfId="2">
      <alignment horizontal="center"/>
      <protection locked="0" hidden="0"/>
    </xf>
    <xf numFmtId="172" fontId="9" fillId="0" borderId="23" applyAlignment="1" applyProtection="1" pivotButton="0" quotePrefix="0" xfId="2">
      <alignment horizontal="center"/>
      <protection locked="0" hidden="0"/>
    </xf>
    <xf numFmtId="0" fontId="10" fillId="14" borderId="24" applyAlignment="1" applyProtection="1" pivotButton="0" quotePrefix="0" xfId="0">
      <alignment horizontal="center"/>
      <protection locked="0" hidden="0"/>
    </xf>
    <xf numFmtId="2" fontId="9" fillId="0" borderId="24" applyAlignment="1" applyProtection="1" pivotButton="0" quotePrefix="0" xfId="0">
      <alignment horizontal="center"/>
      <protection locked="0" hidden="0"/>
    </xf>
    <xf numFmtId="10" fontId="10" fillId="14" borderId="23" applyAlignment="1" applyProtection="1" pivotButton="0" quotePrefix="0" xfId="3">
      <alignment horizontal="center"/>
      <protection locked="0" hidden="0"/>
    </xf>
    <xf numFmtId="0" fontId="9" fillId="0" borderId="24" applyAlignment="1" applyProtection="1" pivotButton="0" quotePrefix="0" xfId="0">
      <alignment horizontal="center"/>
      <protection locked="0" hidden="0"/>
    </xf>
    <xf numFmtId="10" fontId="35" fillId="0" borderId="23" applyAlignment="1" applyProtection="1" pivotButton="0" quotePrefix="0" xfId="3">
      <alignment horizontal="center"/>
      <protection locked="0" hidden="0"/>
    </xf>
    <xf numFmtId="170" fontId="9" fillId="0" borderId="23" applyAlignment="1" pivotButton="0" quotePrefix="0" xfId="2">
      <alignment horizontal="center"/>
    </xf>
    <xf numFmtId="0" fontId="10" fillId="14" borderId="23" applyAlignment="1" applyProtection="1" pivotButton="0" quotePrefix="0" xfId="0">
      <alignment horizontal="center"/>
      <protection locked="0" hidden="0"/>
    </xf>
    <xf numFmtId="177" fontId="10" fillId="14" borderId="23" applyAlignment="1" applyProtection="1" pivotButton="0" quotePrefix="0" xfId="3">
      <alignment horizontal="center"/>
      <protection locked="0" hidden="0"/>
    </xf>
    <xf numFmtId="174" fontId="10" fillId="15" borderId="23" applyAlignment="1" applyProtection="1" pivotButton="0" quotePrefix="0" xfId="2">
      <alignment horizontal="center"/>
      <protection locked="0" hidden="0"/>
    </xf>
    <xf numFmtId="9" fontId="10" fillId="15" borderId="23" applyAlignment="1" applyProtection="1" pivotButton="0" quotePrefix="0" xfId="3">
      <alignment horizontal="center"/>
      <protection locked="0" hidden="0"/>
    </xf>
    <xf numFmtId="174" fontId="10" fillId="14" borderId="23" applyAlignment="1" applyProtection="1" pivotButton="0" quotePrefix="0" xfId="2">
      <alignment horizontal="center"/>
      <protection locked="0" hidden="0"/>
    </xf>
    <xf numFmtId="172" fontId="10" fillId="15" borderId="23" applyAlignment="1" applyProtection="1" pivotButton="0" quotePrefix="0" xfId="2">
      <alignment horizontal="center"/>
      <protection locked="0" hidden="0"/>
    </xf>
    <xf numFmtId="14" fontId="10" fillId="14" borderId="23" applyAlignment="1" applyProtection="1" pivotButton="0" quotePrefix="0" xfId="1">
      <alignment horizontal="center"/>
      <protection locked="0" hidden="0"/>
    </xf>
    <xf numFmtId="177" fontId="9" fillId="0" borderId="23" applyAlignment="1" pivotButton="0" quotePrefix="0" xfId="0">
      <alignment horizontal="center"/>
    </xf>
    <xf numFmtId="10" fontId="9" fillId="0" borderId="23" applyAlignment="1" applyProtection="1" pivotButton="0" quotePrefix="0" xfId="3">
      <alignment horizontal="center"/>
      <protection locked="0" hidden="0"/>
    </xf>
    <xf numFmtId="179" fontId="10" fillId="14" borderId="23" applyProtection="1" pivotButton="0" quotePrefix="0" xfId="0">
      <protection locked="0" hidden="0"/>
    </xf>
    <xf numFmtId="170" fontId="9" fillId="2" borderId="23" applyAlignment="1" pivotButton="0" quotePrefix="0" xfId="0">
      <alignment horizontal="center"/>
    </xf>
    <xf numFmtId="43" fontId="9" fillId="0" borderId="0" applyAlignment="1" pivotButton="0" quotePrefix="0" xfId="1">
      <alignment horizontal="center"/>
    </xf>
    <xf numFmtId="180" fontId="9" fillId="0" borderId="0" pivotButton="0" quotePrefix="0" xfId="0"/>
    <xf numFmtId="180" fontId="9" fillId="0" borderId="0" pivotButton="0" quotePrefix="0" xfId="2"/>
    <xf numFmtId="181" fontId="9" fillId="0" borderId="0" applyAlignment="1" pivotButton="0" quotePrefix="0" xfId="0">
      <alignment horizontal="center"/>
    </xf>
    <xf numFmtId="179" fontId="9" fillId="0" borderId="0" applyAlignment="1" pivotButton="0" quotePrefix="0" xfId="0">
      <alignment horizontal="center"/>
    </xf>
    <xf numFmtId="42" fontId="9" fillId="0" borderId="0" pivotButton="0" quotePrefix="0" xfId="0"/>
    <xf numFmtId="169" fontId="9" fillId="0" borderId="0" pivotButton="0" quotePrefix="0" xfId="1"/>
    <xf numFmtId="10" fontId="9" fillId="0" borderId="0" pivotButton="0" quotePrefix="0" xfId="3"/>
    <xf numFmtId="170" fontId="9" fillId="14" borderId="23" applyAlignment="1" applyProtection="1" pivotButton="0" quotePrefix="0" xfId="2">
      <alignment horizontal="center"/>
      <protection locked="0" hidden="0"/>
    </xf>
    <xf numFmtId="1" fontId="14" fillId="0" borderId="0" applyAlignment="1" pivotButton="0" quotePrefix="0" xfId="0">
      <alignment horizontal="center"/>
    </xf>
    <xf numFmtId="179" fontId="12" fillId="0" borderId="23" applyAlignment="1" pivotButton="0" quotePrefix="0" xfId="0">
      <alignment horizontal="center"/>
    </xf>
    <xf numFmtId="14" fontId="10" fillId="14" borderId="23" applyAlignment="1" applyProtection="1" pivotButton="0" quotePrefix="0" xfId="2">
      <alignment horizontal="center"/>
      <protection locked="0" hidden="0"/>
    </xf>
    <xf numFmtId="0" fontId="10" fillId="4" borderId="23" applyAlignment="1" applyProtection="1" pivotButton="0" quotePrefix="0" xfId="0">
      <alignment horizontal="center"/>
      <protection locked="0" hidden="0"/>
    </xf>
    <xf numFmtId="175" fontId="10" fillId="14" borderId="23" applyAlignment="1" applyProtection="1" pivotButton="0" quotePrefix="0" xfId="3">
      <alignment horizontal="center"/>
      <protection locked="0" hidden="0"/>
    </xf>
    <xf numFmtId="172" fontId="9" fillId="14" borderId="23" applyAlignment="1" applyProtection="1" pivotButton="0" quotePrefix="0" xfId="2">
      <alignment horizontal="center"/>
      <protection locked="0" hidden="0"/>
    </xf>
    <xf numFmtId="10" fontId="9" fillId="14" borderId="23" applyAlignment="1" applyProtection="1" pivotButton="0" quotePrefix="0" xfId="3">
      <alignment horizontal="center"/>
      <protection locked="0" hidden="0"/>
    </xf>
    <xf numFmtId="170" fontId="12" fillId="0" borderId="0" pivotButton="0" quotePrefix="0" xfId="2"/>
    <xf numFmtId="42" fontId="12" fillId="0" borderId="0" applyAlignment="1" pivotButton="0" quotePrefix="0" xfId="2">
      <alignment horizontal="right"/>
    </xf>
    <xf numFmtId="4" fontId="12" fillId="0" borderId="0" pivotButton="0" quotePrefix="0" xfId="0"/>
    <xf numFmtId="0" fontId="4" fillId="2" borderId="3" pivotButton="0" quotePrefix="0" xfId="0"/>
    <xf numFmtId="0" fontId="8" fillId="2" borderId="1" applyAlignment="1" pivotButton="0" quotePrefix="0" xfId="0">
      <alignment horizontal="right"/>
    </xf>
    <xf numFmtId="14" fontId="4" fillId="2" borderId="0" pivotButton="0" quotePrefix="0" xfId="0"/>
    <xf numFmtId="177" fontId="4" fillId="2" borderId="0" pivotButton="0" quotePrefix="0" xfId="0"/>
    <xf numFmtId="0" fontId="37" fillId="2" borderId="0" pivotButton="0" quotePrefix="0" xfId="0"/>
    <xf numFmtId="0" fontId="38" fillId="2" borderId="0" pivotButton="0" quotePrefix="0" xfId="0"/>
    <xf numFmtId="0" fontId="38" fillId="2" borderId="0" applyAlignment="1" pivotButton="0" quotePrefix="0" xfId="0">
      <alignment horizontal="center"/>
    </xf>
    <xf numFmtId="0" fontId="38" fillId="2" borderId="0" applyAlignment="1" pivotButton="0" quotePrefix="0" xfId="0">
      <alignment horizontal="left"/>
    </xf>
    <xf numFmtId="10" fontId="4" fillId="2" borderId="0" applyAlignment="1" pivotButton="0" quotePrefix="0" xfId="0">
      <alignment horizontal="center"/>
    </xf>
    <xf numFmtId="0" fontId="38" fillId="2" borderId="3" pivotButton="0" quotePrefix="0" xfId="0"/>
    <xf numFmtId="0" fontId="38" fillId="2" borderId="3" applyAlignment="1" pivotButton="0" quotePrefix="0" xfId="0">
      <alignment horizontal="left"/>
    </xf>
    <xf numFmtId="10" fontId="4" fillId="2" borderId="3" pivotButton="0" quotePrefix="0" xfId="0"/>
    <xf numFmtId="0" fontId="39" fillId="2" borderId="0" applyAlignment="1" pivotButton="0" quotePrefix="0" xfId="0">
      <alignment horizontal="center"/>
    </xf>
    <xf numFmtId="167" fontId="4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167" fontId="0" fillId="2" borderId="0" pivotButton="0" quotePrefix="0" xfId="0"/>
    <xf numFmtId="169" fontId="0" fillId="2" borderId="0" pivotButton="0" quotePrefix="0" xfId="1"/>
    <xf numFmtId="167" fontId="8" fillId="2" borderId="0" applyAlignment="1" pivotButton="0" quotePrefix="0" xfId="0">
      <alignment horizontal="center"/>
    </xf>
    <xf numFmtId="0" fontId="4" fillId="0" borderId="0" pivotButton="0" quotePrefix="0" xfId="0"/>
    <xf numFmtId="167" fontId="4" fillId="2" borderId="0" pivotButton="0" quotePrefix="0" xfId="0"/>
    <xf numFmtId="0" fontId="40" fillId="0" borderId="0" pivotButton="0" quotePrefix="0" xfId="0"/>
    <xf numFmtId="0" fontId="8" fillId="2" borderId="1" applyAlignment="1" pivotButton="0" quotePrefix="0" xfId="0">
      <alignment horizontal="center"/>
    </xf>
    <xf numFmtId="165" fontId="9" fillId="2" borderId="0" pivotButton="0" quotePrefix="0" xfId="0"/>
    <xf numFmtId="0" fontId="41" fillId="0" borderId="0" pivotButton="0" quotePrefix="0" xfId="0"/>
    <xf numFmtId="14" fontId="10" fillId="4" borderId="1" applyAlignment="1" applyProtection="1" pivotButton="0" quotePrefix="0" xfId="2">
      <alignment horizontal="right"/>
      <protection locked="0" hidden="0"/>
    </xf>
    <xf numFmtId="0" fontId="10" fillId="4" borderId="1" applyAlignment="1" applyProtection="1" pivotButton="0" quotePrefix="0" xfId="3">
      <alignment horizontal="right"/>
      <protection locked="0" hidden="0"/>
    </xf>
    <xf numFmtId="0" fontId="24" fillId="0" borderId="0" applyAlignment="1" pivotButton="0" quotePrefix="0" xfId="0">
      <alignment horizontal="left" indent="1"/>
    </xf>
    <xf numFmtId="14" fontId="42" fillId="0" borderId="0" pivotButton="0" quotePrefix="0" xfId="0"/>
    <xf numFmtId="0" fontId="4" fillId="2" borderId="0" applyAlignment="1" pivotButton="0" quotePrefix="0" xfId="0">
      <alignment horizontal="left" indent="1"/>
    </xf>
    <xf numFmtId="14" fontId="9" fillId="2" borderId="0" pivotButton="0" quotePrefix="0" xfId="5"/>
    <xf numFmtId="182" fontId="9" fillId="4" borderId="1" pivotButton="0" quotePrefix="0" xfId="1"/>
    <xf numFmtId="0" fontId="43" fillId="0" borderId="0" pivotButton="0" quotePrefix="0" xfId="0"/>
    <xf numFmtId="14" fontId="44" fillId="0" borderId="0" pivotButton="0" quotePrefix="0" xfId="0"/>
    <xf numFmtId="183" fontId="9" fillId="2" borderId="0" pivotButton="0" quotePrefix="0" xfId="1"/>
    <xf numFmtId="10" fontId="45" fillId="4" borderId="1" applyAlignment="1" applyProtection="1" pivotButton="0" quotePrefix="0" xfId="0">
      <alignment horizontal="center"/>
      <protection locked="0" hidden="0"/>
    </xf>
    <xf numFmtId="9" fontId="10" fillId="4" borderId="1" applyAlignment="1" applyProtection="1" pivotButton="0" quotePrefix="0" xfId="3">
      <alignment horizontal="right"/>
      <protection locked="0" hidden="0"/>
    </xf>
    <xf numFmtId="43" fontId="0" fillId="0" borderId="0" pivotButton="0" quotePrefix="0" xfId="1"/>
    <xf numFmtId="43" fontId="0" fillId="0" borderId="0" pivotButton="0" quotePrefix="0" xfId="0"/>
    <xf numFmtId="165" fontId="11" fillId="2" borderId="0" applyAlignment="1" pivotButton="0" quotePrefix="0" xfId="2">
      <alignment horizontal="right"/>
    </xf>
    <xf numFmtId="9" fontId="11" fillId="2" borderId="0" applyAlignment="1" pivotButton="0" quotePrefix="0" xfId="3">
      <alignment horizontal="right"/>
    </xf>
    <xf numFmtId="165" fontId="10" fillId="2" borderId="0" applyAlignment="1" pivotButton="0" quotePrefix="0" xfId="2">
      <alignment horizontal="right"/>
    </xf>
    <xf numFmtId="9" fontId="40" fillId="0" borderId="0" pivotButton="0" quotePrefix="0" xfId="3"/>
    <xf numFmtId="165" fontId="8" fillId="2" borderId="0" applyAlignment="1" pivotButton="0" quotePrefix="0" xfId="0">
      <alignment horizontal="right"/>
    </xf>
    <xf numFmtId="183" fontId="40" fillId="0" borderId="0" pivotButton="0" quotePrefix="0" xfId="0"/>
    <xf numFmtId="165" fontId="0" fillId="0" borderId="0" pivotButton="0" quotePrefix="0" xfId="0"/>
    <xf numFmtId="0" fontId="46" fillId="16" borderId="12" applyAlignment="1" pivotButton="0" quotePrefix="0" xfId="7">
      <alignment horizontal="center" wrapText="1"/>
    </xf>
    <xf numFmtId="0" fontId="46" fillId="16" borderId="4" applyAlignment="1" pivotButton="0" quotePrefix="0" xfId="7">
      <alignment horizontal="center" wrapText="1"/>
    </xf>
    <xf numFmtId="0" fontId="47" fillId="2" borderId="0" pivotButton="0" quotePrefix="0" xfId="0"/>
    <xf numFmtId="0" fontId="46" fillId="16" borderId="4" applyAlignment="1" pivotButton="0" quotePrefix="1" xfId="7">
      <alignment horizontal="center" wrapText="1"/>
    </xf>
    <xf numFmtId="0" fontId="47" fillId="0" borderId="0" pivotButton="0" quotePrefix="0" xfId="0"/>
    <xf numFmtId="0" fontId="48" fillId="2" borderId="5" applyAlignment="1" pivotButton="0" quotePrefix="0" xfId="0">
      <alignment horizontal="center"/>
    </xf>
    <xf numFmtId="0" fontId="46" fillId="2" borderId="3" applyAlignment="1" pivotButton="0" quotePrefix="0" xfId="7">
      <alignment horizontal="center"/>
    </xf>
    <xf numFmtId="0" fontId="48" fillId="2" borderId="3" applyAlignment="1" pivotButton="0" quotePrefix="0" xfId="0">
      <alignment horizontal="center"/>
    </xf>
    <xf numFmtId="0" fontId="47" fillId="2" borderId="0" applyAlignment="1" pivotButton="0" quotePrefix="0" xfId="0">
      <alignment horizontal="center"/>
    </xf>
    <xf numFmtId="0" fontId="48" fillId="2" borderId="7" applyAlignment="1" pivotButton="0" quotePrefix="0" xfId="0">
      <alignment horizontal="center"/>
    </xf>
    <xf numFmtId="0" fontId="48" fillId="2" borderId="0" applyAlignment="1" pivotButton="0" quotePrefix="0" xfId="0">
      <alignment horizontal="center"/>
    </xf>
    <xf numFmtId="14" fontId="47" fillId="2" borderId="0" pivotButton="0" quotePrefix="0" xfId="0"/>
    <xf numFmtId="43" fontId="48" fillId="2" borderId="0" applyAlignment="1" pivotButton="0" quotePrefix="0" xfId="8">
      <alignment horizontal="center"/>
    </xf>
    <xf numFmtId="43" fontId="48" fillId="2" borderId="7" applyAlignment="1" pivotButton="0" quotePrefix="0" xfId="8">
      <alignment horizontal="center"/>
    </xf>
    <xf numFmtId="0" fontId="48" fillId="2" borderId="9" applyAlignment="1" pivotButton="0" quotePrefix="0" xfId="0">
      <alignment horizontal="center"/>
    </xf>
    <xf numFmtId="0" fontId="48" fillId="2" borderId="2" applyAlignment="1" pivotButton="0" quotePrefix="0" xfId="0">
      <alignment horizontal="center"/>
    </xf>
    <xf numFmtId="0" fontId="47" fillId="2" borderId="2" applyAlignment="1" pivotButton="0" quotePrefix="0" xfId="0">
      <alignment horizontal="center"/>
    </xf>
    <xf numFmtId="0" fontId="47" fillId="0" borderId="2" pivotButton="0" quotePrefix="0" xfId="0"/>
    <xf numFmtId="184" fontId="11" fillId="2" borderId="0" applyAlignment="1" pivotButton="0" quotePrefix="0" xfId="0">
      <alignment horizontal="center"/>
    </xf>
    <xf numFmtId="0" fontId="26" fillId="2" borderId="0" pivotButton="0" quotePrefix="0" xfId="0"/>
    <xf numFmtId="10" fontId="9" fillId="2" borderId="2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  <xf numFmtId="10" fontId="0" fillId="2" borderId="0" applyAlignment="1" pivotButton="0" quotePrefix="0" xfId="3">
      <alignment horizontal="center"/>
    </xf>
    <xf numFmtId="0" fontId="40" fillId="2" borderId="0" pivotButton="0" quotePrefix="0" xfId="0"/>
    <xf numFmtId="10" fontId="9" fillId="2" borderId="0" applyAlignment="1" pivotButton="0" quotePrefix="0" xfId="3">
      <alignment horizontal="center"/>
    </xf>
    <xf numFmtId="174" fontId="9" fillId="2" borderId="19" applyAlignment="1" applyProtection="1" pivotButton="0" quotePrefix="0" xfId="2">
      <alignment horizontal="center"/>
      <protection locked="0" hidden="0"/>
    </xf>
    <xf numFmtId="174" fontId="9" fillId="2" borderId="0" applyAlignment="1" applyProtection="1" pivotButton="0" quotePrefix="0" xfId="2">
      <alignment horizontal="center"/>
      <protection locked="0" hidden="0"/>
    </xf>
    <xf numFmtId="174" fontId="9" fillId="2" borderId="20" applyAlignment="1" applyProtection="1" pivotButton="0" quotePrefix="0" xfId="2">
      <alignment horizontal="center"/>
      <protection locked="0" hidden="0"/>
    </xf>
    <xf numFmtId="174" fontId="9" fillId="2" borderId="21" applyAlignment="1" applyProtection="1" pivotButton="0" quotePrefix="0" xfId="2">
      <alignment horizontal="center"/>
      <protection locked="0" hidden="0"/>
    </xf>
    <xf numFmtId="174" fontId="9" fillId="2" borderId="15" applyAlignment="1" applyProtection="1" pivotButton="0" quotePrefix="0" xfId="2">
      <alignment horizontal="center"/>
      <protection locked="0" hidden="0"/>
    </xf>
    <xf numFmtId="174" fontId="9" fillId="2" borderId="22" applyAlignment="1" applyProtection="1" pivotButton="0" quotePrefix="0" xfId="2">
      <alignment horizontal="center"/>
      <protection locked="0" hidden="0"/>
    </xf>
    <xf numFmtId="2" fontId="11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 wrapText="1"/>
    </xf>
    <xf numFmtId="43" fontId="52" fillId="0" borderId="0" applyAlignment="1" pivotButton="0" quotePrefix="0" xfId="1">
      <alignment horizontal="left"/>
    </xf>
    <xf numFmtId="0" fontId="52" fillId="0" borderId="0" pivotButton="0" quotePrefix="0" xfId="11"/>
    <xf numFmtId="0" fontId="53" fillId="0" borderId="0" pivotButton="0" quotePrefix="0" xfId="11"/>
    <xf numFmtId="169" fontId="52" fillId="0" borderId="0" pivotButton="0" quotePrefix="0" xfId="1"/>
    <xf numFmtId="43" fontId="52" fillId="0" borderId="0" pivotButton="0" quotePrefix="0" xfId="1"/>
    <xf numFmtId="0" fontId="52" fillId="0" borderId="0" applyAlignment="1" pivotButton="0" quotePrefix="0" xfId="11">
      <alignment horizontal="center"/>
    </xf>
    <xf numFmtId="43" fontId="52" fillId="0" borderId="0" applyAlignment="1" pivotButton="0" quotePrefix="0" xfId="1">
      <alignment horizontal="center"/>
    </xf>
    <xf numFmtId="40" fontId="52" fillId="0" borderId="0" pivotButton="0" quotePrefix="0" xfId="10"/>
    <xf numFmtId="38" fontId="52" fillId="0" borderId="26" applyAlignment="1" pivotButton="0" quotePrefix="0" xfId="10">
      <alignment horizontal="left" indent="1"/>
    </xf>
    <xf numFmtId="38" fontId="52" fillId="0" borderId="25" applyAlignment="1" pivotButton="0" quotePrefix="0" xfId="10">
      <alignment horizontal="center"/>
    </xf>
    <xf numFmtId="169" fontId="52" fillId="0" borderId="27" applyAlignment="1" pivotButton="0" quotePrefix="0" xfId="1">
      <alignment horizontal="center"/>
    </xf>
    <xf numFmtId="38" fontId="52" fillId="0" borderId="26" pivotButton="0" quotePrefix="0" xfId="10"/>
    <xf numFmtId="38" fontId="52" fillId="0" borderId="25" pivotButton="0" quotePrefix="0" xfId="10"/>
    <xf numFmtId="10" fontId="52" fillId="0" borderId="27" applyAlignment="1" pivotButton="0" quotePrefix="0" xfId="3">
      <alignment horizontal="center"/>
    </xf>
    <xf numFmtId="169" fontId="52" fillId="0" borderId="0" applyAlignment="1" pivotButton="0" quotePrefix="0" xfId="1">
      <alignment horizontal="right"/>
    </xf>
    <xf numFmtId="43" fontId="52" fillId="0" borderId="0" pivotButton="0" quotePrefix="0" xfId="1"/>
    <xf numFmtId="38" fontId="52" fillId="0" borderId="19" applyAlignment="1" pivotButton="0" quotePrefix="0" xfId="10">
      <alignment horizontal="left" indent="4"/>
    </xf>
    <xf numFmtId="38" fontId="52" fillId="0" borderId="0" applyAlignment="1" pivotButton="0" quotePrefix="0" xfId="10">
      <alignment horizontal="center"/>
    </xf>
    <xf numFmtId="169" fontId="52" fillId="0" borderId="20" applyAlignment="1" pivotButton="0" quotePrefix="0" xfId="1">
      <alignment horizontal="center"/>
    </xf>
    <xf numFmtId="38" fontId="52" fillId="0" borderId="19" pivotButton="0" quotePrefix="0" xfId="10"/>
    <xf numFmtId="38" fontId="52" fillId="0" borderId="0" pivotButton="0" quotePrefix="0" xfId="10"/>
    <xf numFmtId="10" fontId="52" fillId="0" borderId="20" applyAlignment="1" pivotButton="0" quotePrefix="0" xfId="3">
      <alignment horizontal="center"/>
    </xf>
    <xf numFmtId="38" fontId="52" fillId="0" borderId="21" pivotButton="0" quotePrefix="0" xfId="10"/>
    <xf numFmtId="38" fontId="52" fillId="0" borderId="15" pivotButton="0" quotePrefix="0" xfId="10"/>
    <xf numFmtId="10" fontId="52" fillId="0" borderId="22" applyAlignment="1" pivotButton="0" quotePrefix="0" xfId="3">
      <alignment horizontal="center"/>
    </xf>
    <xf numFmtId="14" fontId="52" fillId="0" borderId="19" applyAlignment="1" pivotButton="0" quotePrefix="0" xfId="11">
      <alignment horizontal="left" indent="4"/>
    </xf>
    <xf numFmtId="169" fontId="52" fillId="0" borderId="20" pivotButton="0" quotePrefix="0" xfId="11"/>
    <xf numFmtId="0" fontId="52" fillId="0" borderId="21" applyAlignment="1" pivotButton="0" quotePrefix="0" xfId="11">
      <alignment horizontal="center"/>
    </xf>
    <xf numFmtId="0" fontId="52" fillId="0" borderId="15" applyAlignment="1" pivotButton="0" quotePrefix="1" xfId="11">
      <alignment horizontal="center"/>
    </xf>
    <xf numFmtId="40" fontId="52" fillId="0" borderId="0" applyAlignment="1" pivotButton="0" quotePrefix="0" xfId="10">
      <alignment horizontal="left"/>
    </xf>
    <xf numFmtId="43" fontId="52" fillId="0" borderId="0" applyAlignment="1" pivotButton="0" quotePrefix="0" xfId="1">
      <alignment horizontal="right"/>
    </xf>
    <xf numFmtId="0" fontId="52" fillId="0" borderId="0" applyAlignment="1" pivotButton="0" quotePrefix="0" xfId="11">
      <alignment horizontal="left"/>
    </xf>
    <xf numFmtId="40" fontId="52" fillId="0" borderId="0" applyAlignment="1" pivotButton="0" quotePrefix="0" xfId="10">
      <alignment horizontal="left"/>
    </xf>
    <xf numFmtId="43" fontId="52" fillId="0" borderId="0" applyAlignment="1" pivotButton="0" quotePrefix="0" xfId="1">
      <alignment horizontal="right"/>
    </xf>
    <xf numFmtId="0" fontId="54" fillId="0" borderId="0" pivotButton="0" quotePrefix="0" xfId="11"/>
    <xf numFmtId="169" fontId="54" fillId="0" borderId="0" pivotButton="0" quotePrefix="0" xfId="1"/>
    <xf numFmtId="43" fontId="54" fillId="0" borderId="0" pivotButton="0" quotePrefix="0" xfId="1"/>
    <xf numFmtId="0" fontId="55" fillId="0" borderId="0" pivotButton="0" quotePrefix="0" xfId="0"/>
    <xf numFmtId="37" fontId="56" fillId="0" borderId="0" pivotButton="0" quotePrefix="0" xfId="0"/>
    <xf numFmtId="183" fontId="0" fillId="0" borderId="0" pivotButton="0" quotePrefix="0" xfId="0"/>
    <xf numFmtId="169" fontId="52" fillId="0" borderId="0" pivotButton="0" quotePrefix="0" xfId="11"/>
    <xf numFmtId="165" fontId="19" fillId="2" borderId="0" applyAlignment="1" pivotButton="0" quotePrefix="0" xfId="1">
      <alignment horizontal="right"/>
    </xf>
    <xf numFmtId="14" fontId="10" fillId="14" borderId="24" applyAlignment="1" applyProtection="1" pivotButton="0" quotePrefix="0" xfId="0">
      <alignment horizontal="center"/>
      <protection locked="0" hidden="0"/>
    </xf>
    <xf numFmtId="38" fontId="52" fillId="8" borderId="26" pivotButton="0" quotePrefix="0" xfId="10"/>
    <xf numFmtId="0" fontId="56" fillId="0" borderId="0" pivotButton="0" quotePrefix="0" xfId="0"/>
    <xf numFmtId="43" fontId="52" fillId="0" borderId="0" applyAlignment="1" pivotButton="0" quotePrefix="0" xfId="11">
      <alignment horizontal="left"/>
    </xf>
    <xf numFmtId="0" fontId="11" fillId="8" borderId="5460" applyAlignment="1" pivotButton="0" quotePrefix="0" xfId="0">
      <alignment horizontal="centerContinuous"/>
    </xf>
    <xf numFmtId="0" fontId="11" fillId="18" borderId="1" applyAlignment="1" pivotButton="0" quotePrefix="0" xfId="0">
      <alignment horizontal="center" wrapText="1"/>
    </xf>
    <xf numFmtId="43" fontId="48" fillId="0" borderId="0" pivotButton="0" quotePrefix="0" xfId="1"/>
    <xf numFmtId="43" fontId="52" fillId="0" borderId="0" pivotButton="0" quotePrefix="0" xfId="1"/>
    <xf numFmtId="10" fontId="10" fillId="2" borderId="23" applyAlignment="1" applyProtection="1" pivotButton="0" quotePrefix="0" xfId="3">
      <alignment horizontal="center"/>
      <protection locked="0" hidden="0"/>
    </xf>
    <xf numFmtId="0" fontId="9" fillId="2" borderId="24" applyAlignment="1" applyProtection="1" pivotButton="0" quotePrefix="0" xfId="0">
      <alignment horizontal="center"/>
      <protection locked="0" hidden="0"/>
    </xf>
    <xf numFmtId="0" fontId="9" fillId="0" borderId="7359" applyAlignment="1" pivotButton="0" quotePrefix="0" xfId="0">
      <alignment horizontal="center"/>
    </xf>
    <xf numFmtId="10" fontId="9" fillId="0" borderId="7359" applyAlignment="1" pivotButton="0" quotePrefix="0" xfId="3">
      <alignment horizontal="center"/>
    </xf>
    <xf numFmtId="169" fontId="9" fillId="0" borderId="7359" pivotButton="0" quotePrefix="0" xfId="1"/>
    <xf numFmtId="0" fontId="11" fillId="2" borderId="0" applyAlignment="1" pivotButton="0" quotePrefix="0" xfId="0">
      <alignment horizontal="center" wrapText="1"/>
    </xf>
    <xf numFmtId="0" fontId="11" fillId="119" borderId="1" applyAlignment="1" pivotButton="0" quotePrefix="0" xfId="0">
      <alignment horizontal="center" wrapText="1"/>
    </xf>
    <xf numFmtId="169" fontId="9" fillId="0" borderId="0" applyAlignment="1" pivotButton="0" quotePrefix="0" xfId="1">
      <alignment horizontal="center"/>
    </xf>
    <xf numFmtId="0" fontId="9" fillId="2" borderId="0" applyAlignment="1" pivotButton="0" quotePrefix="0" xfId="0">
      <alignment horizontal="center"/>
    </xf>
    <xf numFmtId="43" fontId="22" fillId="4" borderId="4821" pivotButton="0" quotePrefix="0" xfId="1"/>
    <xf numFmtId="170" fontId="14" fillId="0" borderId="101" applyAlignment="1" pivotButton="0" quotePrefix="0" xfId="2">
      <alignment horizontal="center"/>
    </xf>
    <xf numFmtId="43" fontId="14" fillId="0" borderId="101" pivotButton="0" quotePrefix="0" xfId="1"/>
    <xf numFmtId="165" fontId="26" fillId="0" borderId="0" applyAlignment="1" pivotButton="0" quotePrefix="0" xfId="3">
      <alignment horizontal="left"/>
    </xf>
    <xf numFmtId="10" fontId="52" fillId="19" borderId="27" applyAlignment="1" pivotButton="0" quotePrefix="0" xfId="3">
      <alignment horizontal="center"/>
    </xf>
    <xf numFmtId="43" fontId="4" fillId="2" borderId="0" pivotButton="0" quotePrefix="0" xfId="0"/>
    <xf numFmtId="169" fontId="53" fillId="0" borderId="22" pivotButton="0" quotePrefix="0" xfId="1"/>
    <xf numFmtId="0" fontId="10" fillId="17" borderId="23" applyAlignment="1" applyProtection="1" pivotButton="0" quotePrefix="0" xfId="0">
      <alignment horizontal="left"/>
      <protection locked="0" hidden="0"/>
    </xf>
    <xf numFmtId="0" fontId="10" fillId="8" borderId="23" applyAlignment="1" applyProtection="1" pivotButton="0" quotePrefix="0" xfId="0">
      <alignment horizontal="left"/>
      <protection locked="0" hidden="0"/>
    </xf>
    <xf numFmtId="14" fontId="10" fillId="0" borderId="23" applyAlignment="1" applyProtection="1" pivotButton="0" quotePrefix="0" xfId="0">
      <alignment horizontal="center"/>
      <protection locked="0" hidden="0"/>
    </xf>
    <xf numFmtId="0" fontId="10" fillId="0" borderId="24" applyAlignment="1" applyProtection="1" pivotButton="0" quotePrefix="0" xfId="0">
      <alignment horizontal="center"/>
      <protection locked="0" hidden="0"/>
    </xf>
    <xf numFmtId="10" fontId="10" fillId="0" borderId="23" applyAlignment="1" applyProtection="1" pivotButton="0" quotePrefix="0" xfId="3">
      <alignment horizontal="center"/>
      <protection locked="0" hidden="0"/>
    </xf>
    <xf numFmtId="0" fontId="10" fillId="0" borderId="23" applyAlignment="1" applyProtection="1" pivotButton="0" quotePrefix="0" xfId="0">
      <alignment horizontal="center"/>
      <protection locked="0" hidden="0"/>
    </xf>
    <xf numFmtId="177" fontId="10" fillId="0" borderId="23" applyAlignment="1" applyProtection="1" pivotButton="0" quotePrefix="0" xfId="3">
      <alignment horizontal="center"/>
      <protection locked="0" hidden="0"/>
    </xf>
    <xf numFmtId="174" fontId="10" fillId="0" borderId="23" applyAlignment="1" applyProtection="1" pivotButton="0" quotePrefix="0" xfId="2">
      <alignment horizontal="center"/>
      <protection locked="0" hidden="0"/>
    </xf>
    <xf numFmtId="9" fontId="10" fillId="0" borderId="23" applyAlignment="1" applyProtection="1" pivotButton="0" quotePrefix="0" xfId="3">
      <alignment horizontal="center"/>
      <protection locked="0" hidden="0"/>
    </xf>
    <xf numFmtId="172" fontId="10" fillId="0" borderId="23" applyAlignment="1" applyProtection="1" pivotButton="0" quotePrefix="0" xfId="2">
      <alignment horizontal="center"/>
      <protection locked="0" hidden="0"/>
    </xf>
    <xf numFmtId="14" fontId="10" fillId="0" borderId="23" applyAlignment="1" applyProtection="1" pivotButton="0" quotePrefix="0" xfId="1">
      <alignment horizontal="center"/>
      <protection locked="0" hidden="0"/>
    </xf>
    <xf numFmtId="179" fontId="10" fillId="0" borderId="23" applyProtection="1" pivotButton="0" quotePrefix="0" xfId="0">
      <protection locked="0" hidden="0"/>
    </xf>
    <xf numFmtId="170" fontId="9" fillId="0" borderId="23" applyAlignment="1" pivotButton="0" quotePrefix="0" xfId="0">
      <alignment horizontal="center"/>
    </xf>
    <xf numFmtId="170" fontId="9" fillId="0" borderId="23" applyAlignment="1" applyProtection="1" pivotButton="0" quotePrefix="0" xfId="2">
      <alignment horizontal="center"/>
      <protection locked="0" hidden="0"/>
    </xf>
    <xf numFmtId="10" fontId="0" fillId="0" borderId="0" applyAlignment="1" pivotButton="0" quotePrefix="0" xfId="3">
      <alignment horizontal="center"/>
    </xf>
    <xf numFmtId="43" fontId="12" fillId="2" borderId="0" applyAlignment="1" pivotButton="0" quotePrefix="0" xfId="1">
      <alignment horizontal="center"/>
    </xf>
    <xf numFmtId="0" fontId="7" fillId="2" borderId="0" applyAlignment="1" pivotButton="0" quotePrefix="0" xfId="0">
      <alignment horizontal="center"/>
    </xf>
    <xf numFmtId="0" fontId="16" fillId="3" borderId="0" applyAlignment="1" pivotButton="0" quotePrefix="0" xfId="5">
      <alignment horizontal="center"/>
    </xf>
    <xf numFmtId="43" fontId="18" fillId="2" borderId="0" applyAlignment="1" pivotButton="0" quotePrefix="0" xfId="1">
      <alignment horizontal="center"/>
    </xf>
    <xf numFmtId="0" fontId="11" fillId="2" borderId="0" applyAlignment="1" pivotButton="0" quotePrefix="0" xfId="5">
      <alignment horizontal="left" wrapText="1"/>
    </xf>
    <xf numFmtId="14" fontId="25" fillId="0" borderId="15" applyAlignment="1" pivotButton="0" quotePrefix="0" xfId="6">
      <alignment horizontal="left"/>
    </xf>
    <xf numFmtId="0" fontId="25" fillId="7" borderId="7358" applyAlignment="1" pivotButton="0" quotePrefix="0" xfId="0">
      <alignment horizontal="center" wrapText="1"/>
    </xf>
    <xf numFmtId="0" fontId="25" fillId="7" borderId="11" applyAlignment="1" pivotButton="0" quotePrefix="0" xfId="0">
      <alignment horizontal="center" wrapText="1"/>
    </xf>
    <xf numFmtId="0" fontId="25" fillId="2" borderId="16" applyAlignment="1" pivotButton="0" quotePrefix="0" xfId="0">
      <alignment horizontal="center"/>
    </xf>
    <xf numFmtId="0" fontId="25" fillId="2" borderId="17" applyAlignment="1" pivotButton="0" quotePrefix="0" xfId="0">
      <alignment horizontal="center"/>
    </xf>
    <xf numFmtId="0" fontId="25" fillId="2" borderId="18" applyAlignment="1" pivotButton="0" quotePrefix="0" xfId="0">
      <alignment horizontal="center"/>
    </xf>
    <xf numFmtId="184" fontId="17" fillId="2" borderId="25" applyAlignment="1" pivotButton="0" quotePrefix="0" xfId="0">
      <alignment horizontal="center"/>
    </xf>
    <xf numFmtId="43" fontId="17" fillId="0" borderId="2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167" fontId="9" fillId="2" borderId="1" applyAlignment="1" pivotButton="0" quotePrefix="0" xfId="2">
      <alignment horizontal="center" vertical="center"/>
    </xf>
    <xf numFmtId="168" fontId="17" fillId="0" borderId="0" pivotButton="0" quotePrefix="0" xfId="5"/>
    <xf numFmtId="169" fontId="19" fillId="2" borderId="0" applyAlignment="1" pivotButton="0" quotePrefix="0" xfId="1">
      <alignment horizontal="right"/>
    </xf>
    <xf numFmtId="170" fontId="14" fillId="0" borderId="7" applyAlignment="1" pivotButton="0" quotePrefix="0" xfId="2">
      <alignment horizontal="center"/>
    </xf>
    <xf numFmtId="169" fontId="19" fillId="0" borderId="0" applyAlignment="1" pivotButton="0" quotePrefix="0" xfId="1">
      <alignment horizontal="right"/>
    </xf>
    <xf numFmtId="170" fontId="22" fillId="4" borderId="9" pivotButton="0" quotePrefix="0" xfId="2"/>
    <xf numFmtId="170" fontId="14" fillId="0" borderId="101" applyAlignment="1" pivotButton="0" quotePrefix="0" xfId="2">
      <alignment horizontal="center"/>
    </xf>
    <xf numFmtId="171" fontId="10" fillId="2" borderId="0" applyAlignment="1" pivotButton="0" quotePrefix="0" xfId="3">
      <alignment horizontal="right"/>
    </xf>
    <xf numFmtId="169" fontId="17" fillId="2" borderId="0" applyAlignment="1" pivotButton="0" quotePrefix="0" xfId="1">
      <alignment horizontal="left"/>
    </xf>
    <xf numFmtId="169" fontId="10" fillId="4" borderId="1" applyAlignment="1" applyProtection="1" pivotButton="0" quotePrefix="0" xfId="1">
      <alignment horizontal="right"/>
      <protection locked="0" hidden="0"/>
    </xf>
    <xf numFmtId="172" fontId="22" fillId="4" borderId="1" pivotButton="0" quotePrefix="0" xfId="0"/>
    <xf numFmtId="172" fontId="22" fillId="4" borderId="11" pivotButton="0" quotePrefix="0" xfId="0"/>
    <xf numFmtId="169" fontId="26" fillId="0" borderId="0" applyAlignment="1" pivotButton="0" quotePrefix="0" xfId="1">
      <alignment horizontal="left"/>
    </xf>
    <xf numFmtId="173" fontId="19" fillId="2" borderId="0" applyAlignment="1" pivotButton="0" quotePrefix="0" xfId="3">
      <alignment horizontal="right"/>
    </xf>
    <xf numFmtId="0" fontId="0" fillId="0" borderId="15" pivotButton="0" quotePrefix="0" xfId="0"/>
    <xf numFmtId="170" fontId="12" fillId="0" borderId="0" pivotButton="0" quotePrefix="0" xfId="2"/>
    <xf numFmtId="168" fontId="12" fillId="2" borderId="0" pivotButton="0" quotePrefix="0" xfId="0"/>
    <xf numFmtId="0" fontId="25" fillId="2" borderId="7360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172" fontId="12" fillId="2" borderId="0" pivotButton="0" quotePrefix="0" xfId="0"/>
    <xf numFmtId="169" fontId="9" fillId="0" borderId="0" applyAlignment="1" pivotButton="0" quotePrefix="0" xfId="0">
      <alignment horizontal="center"/>
    </xf>
    <xf numFmtId="169" fontId="9" fillId="0" borderId="1" pivotButton="0" quotePrefix="0" xfId="1"/>
    <xf numFmtId="171" fontId="29" fillId="2" borderId="0" pivotButton="0" quotePrefix="0" xfId="0"/>
    <xf numFmtId="174" fontId="9" fillId="0" borderId="19" applyAlignment="1" applyProtection="1" pivotButton="0" quotePrefix="0" xfId="2">
      <alignment horizontal="center"/>
      <protection locked="0" hidden="0"/>
    </xf>
    <xf numFmtId="174" fontId="9" fillId="0" borderId="0" applyAlignment="1" applyProtection="1" pivotButton="0" quotePrefix="0" xfId="2">
      <alignment horizontal="center"/>
      <protection locked="0" hidden="0"/>
    </xf>
    <xf numFmtId="174" fontId="9" fillId="0" borderId="20" applyAlignment="1" applyProtection="1" pivotButton="0" quotePrefix="0" xfId="2">
      <alignment horizontal="center"/>
      <protection locked="0" hidden="0"/>
    </xf>
    <xf numFmtId="174" fontId="9" fillId="2" borderId="19" applyAlignment="1" applyProtection="1" pivotButton="0" quotePrefix="0" xfId="2">
      <alignment horizontal="center"/>
      <protection locked="0" hidden="0"/>
    </xf>
    <xf numFmtId="174" fontId="9" fillId="2" borderId="0" applyAlignment="1" applyProtection="1" pivotButton="0" quotePrefix="0" xfId="2">
      <alignment horizontal="center"/>
      <protection locked="0" hidden="0"/>
    </xf>
    <xf numFmtId="174" fontId="9" fillId="2" borderId="20" applyAlignment="1" applyProtection="1" pivotButton="0" quotePrefix="0" xfId="2">
      <alignment horizontal="center"/>
      <protection locked="0" hidden="0"/>
    </xf>
    <xf numFmtId="175" fontId="11" fillId="0" borderId="0" applyAlignment="1" pivotButton="0" quotePrefix="0" xfId="1">
      <alignment horizontal="center"/>
    </xf>
    <xf numFmtId="169" fontId="11" fillId="0" borderId="0" applyAlignment="1" pivotButton="0" quotePrefix="1" xfId="0">
      <alignment horizontal="center"/>
    </xf>
    <xf numFmtId="169" fontId="9" fillId="0" borderId="0" pivotButton="0" quotePrefix="0" xfId="0"/>
    <xf numFmtId="169" fontId="9" fillId="0" borderId="7359" pivotButton="0" quotePrefix="0" xfId="1"/>
    <xf numFmtId="176" fontId="25" fillId="2" borderId="0" applyAlignment="1" pivotButton="0" quotePrefix="0" xfId="0">
      <alignment horizontal="right"/>
    </xf>
    <xf numFmtId="170" fontId="12" fillId="2" borderId="0" pivotButton="0" quotePrefix="0" xfId="2"/>
    <xf numFmtId="169" fontId="29" fillId="0" borderId="0" pivotButton="0" quotePrefix="0" xfId="1"/>
    <xf numFmtId="175" fontId="32" fillId="2" borderId="0" applyAlignment="1" pivotButton="0" quotePrefix="0" xfId="3">
      <alignment horizontal="center"/>
    </xf>
    <xf numFmtId="176" fontId="31" fillId="2" borderId="0" applyAlignment="1" pivotButton="0" quotePrefix="0" xfId="0">
      <alignment horizontal="right"/>
    </xf>
    <xf numFmtId="176" fontId="25" fillId="2" borderId="0" applyAlignment="1" pivotButton="0" quotePrefix="0" xfId="0">
      <alignment horizontal="left"/>
    </xf>
    <xf numFmtId="169" fontId="29" fillId="2" borderId="0" pivotButton="0" quotePrefix="0" xfId="1"/>
    <xf numFmtId="174" fontId="9" fillId="0" borderId="21" applyAlignment="1" applyProtection="1" pivotButton="0" quotePrefix="0" xfId="2">
      <alignment horizontal="center"/>
      <protection locked="0" hidden="0"/>
    </xf>
    <xf numFmtId="174" fontId="9" fillId="0" borderId="15" applyAlignment="1" applyProtection="1" pivotButton="0" quotePrefix="0" xfId="2">
      <alignment horizontal="center"/>
      <protection locked="0" hidden="0"/>
    </xf>
    <xf numFmtId="174" fontId="9" fillId="0" borderId="22" applyAlignment="1" applyProtection="1" pivotButton="0" quotePrefix="0" xfId="2">
      <alignment horizontal="center"/>
      <protection locked="0" hidden="0"/>
    </xf>
    <xf numFmtId="174" fontId="9" fillId="2" borderId="21" applyAlignment="1" applyProtection="1" pivotButton="0" quotePrefix="0" xfId="2">
      <alignment horizontal="center"/>
      <protection locked="0" hidden="0"/>
    </xf>
    <xf numFmtId="174" fontId="9" fillId="2" borderId="15" applyAlignment="1" applyProtection="1" pivotButton="0" quotePrefix="0" xfId="2">
      <alignment horizontal="center"/>
      <protection locked="0" hidden="0"/>
    </xf>
    <xf numFmtId="174" fontId="9" fillId="2" borderId="22" applyAlignment="1" applyProtection="1" pivotButton="0" quotePrefix="0" xfId="2">
      <alignment horizontal="center"/>
      <protection locked="0" hidden="0"/>
    </xf>
    <xf numFmtId="169" fontId="11" fillId="0" borderId="0" applyAlignment="1" pivotButton="0" quotePrefix="0" xfId="1">
      <alignment horizontal="right"/>
    </xf>
    <xf numFmtId="169" fontId="11" fillId="0" borderId="0" applyAlignment="1" pivotButton="0" quotePrefix="0" xfId="0">
      <alignment horizontal="center"/>
    </xf>
    <xf numFmtId="175" fontId="11" fillId="0" borderId="0" applyAlignment="1" pivotButton="0" quotePrefix="0" xfId="0">
      <alignment horizontal="right"/>
    </xf>
    <xf numFmtId="169" fontId="11" fillId="0" borderId="0" pivotButton="0" quotePrefix="0" xfId="0"/>
    <xf numFmtId="176" fontId="31" fillId="2" borderId="0" applyAlignment="1" pivotButton="0" quotePrefix="0" xfId="0">
      <alignment horizontal="left"/>
    </xf>
    <xf numFmtId="169" fontId="34" fillId="0" borderId="0" applyAlignment="1" pivotButton="0" quotePrefix="0" xfId="1">
      <alignment horizontal="center"/>
    </xf>
    <xf numFmtId="170" fontId="9" fillId="2" borderId="0" pivotButton="0" quotePrefix="0" xfId="0"/>
    <xf numFmtId="184" fontId="11" fillId="2" borderId="0" applyAlignment="1" pivotButton="0" quotePrefix="0" xfId="0">
      <alignment horizontal="center"/>
    </xf>
    <xf numFmtId="184" fontId="17" fillId="2" borderId="25" applyAlignment="1" pivotButton="0" quotePrefix="0" xfId="0">
      <alignment horizontal="center"/>
    </xf>
    <xf numFmtId="0" fontId="0" fillId="0" borderId="25" pivotButton="0" quotePrefix="0" xfId="0"/>
    <xf numFmtId="169" fontId="12" fillId="0" borderId="0" pivotButton="0" quotePrefix="0" xfId="0"/>
    <xf numFmtId="0" fontId="25" fillId="7" borderId="1" applyAlignment="1" pivotButton="0" quotePrefix="0" xfId="0">
      <alignment horizontal="center" wrapText="1"/>
    </xf>
    <xf numFmtId="167" fontId="11" fillId="2" borderId="0" applyAlignment="1" pivotButton="0" quotePrefix="0" xfId="0">
      <alignment horizontal="center"/>
    </xf>
    <xf numFmtId="177" fontId="11" fillId="2" borderId="0" applyAlignment="1" pivotButton="0" quotePrefix="0" xfId="0">
      <alignment horizontal="center"/>
    </xf>
    <xf numFmtId="43" fontId="17" fillId="0" borderId="7347" applyAlignment="1" pivotButton="0" quotePrefix="0" xfId="0">
      <alignment horizontal="center"/>
    </xf>
    <xf numFmtId="0" fontId="0" fillId="0" borderId="7347" pivotButton="0" quotePrefix="0" xfId="0"/>
    <xf numFmtId="169" fontId="0" fillId="0" borderId="0" pivotButton="0" quotePrefix="0" xfId="0"/>
    <xf numFmtId="172" fontId="12" fillId="0" borderId="0" pivotButton="0" quotePrefix="0" xfId="0"/>
    <xf numFmtId="172" fontId="14" fillId="0" borderId="0" pivotButton="0" quotePrefix="0" xfId="0"/>
    <xf numFmtId="0" fontId="0" fillId="0" borderId="11" pivotButton="0" quotePrefix="0" xfId="0"/>
    <xf numFmtId="172" fontId="22" fillId="0" borderId="0" pivotButton="0" quotePrefix="0" xfId="0"/>
    <xf numFmtId="170" fontId="9" fillId="0" borderId="0" pivotButton="0" quotePrefix="0" xfId="0"/>
    <xf numFmtId="172" fontId="25" fillId="0" borderId="0" pivotButton="0" quotePrefix="0" xfId="0"/>
    <xf numFmtId="178" fontId="22" fillId="0" borderId="0" pivotButton="0" quotePrefix="0" xfId="0"/>
    <xf numFmtId="170" fontId="10" fillId="14" borderId="23" applyAlignment="1" applyProtection="1" pivotButton="0" quotePrefix="0" xfId="2">
      <alignment horizontal="center"/>
      <protection locked="0" hidden="0"/>
    </xf>
    <xf numFmtId="172" fontId="9" fillId="0" borderId="23" applyAlignment="1" applyProtection="1" pivotButton="0" quotePrefix="0" xfId="2">
      <alignment horizontal="center"/>
      <protection locked="0" hidden="0"/>
    </xf>
    <xf numFmtId="170" fontId="9" fillId="0" borderId="23" applyAlignment="1" pivotButton="0" quotePrefix="0" xfId="2">
      <alignment horizontal="center"/>
    </xf>
    <xf numFmtId="177" fontId="10" fillId="14" borderId="23" applyAlignment="1" applyProtection="1" pivotButton="0" quotePrefix="0" xfId="3">
      <alignment horizontal="center"/>
      <protection locked="0" hidden="0"/>
    </xf>
    <xf numFmtId="174" fontId="10" fillId="15" borderId="23" applyAlignment="1" applyProtection="1" pivotButton="0" quotePrefix="0" xfId="2">
      <alignment horizontal="center"/>
      <protection locked="0" hidden="0"/>
    </xf>
    <xf numFmtId="174" fontId="10" fillId="14" borderId="23" applyAlignment="1" applyProtection="1" pivotButton="0" quotePrefix="0" xfId="2">
      <alignment horizontal="center"/>
      <protection locked="0" hidden="0"/>
    </xf>
    <xf numFmtId="172" fontId="10" fillId="15" borderId="23" applyAlignment="1" applyProtection="1" pivotButton="0" quotePrefix="0" xfId="2">
      <alignment horizontal="center"/>
      <protection locked="0" hidden="0"/>
    </xf>
    <xf numFmtId="177" fontId="9" fillId="0" borderId="23" applyAlignment="1" pivotButton="0" quotePrefix="0" xfId="0">
      <alignment horizontal="center"/>
    </xf>
    <xf numFmtId="179" fontId="10" fillId="14" borderId="23" applyProtection="1" pivotButton="0" quotePrefix="0" xfId="0">
      <protection locked="0" hidden="0"/>
    </xf>
    <xf numFmtId="170" fontId="9" fillId="2" borderId="23" applyAlignment="1" pivotButton="0" quotePrefix="0" xfId="0">
      <alignment horizontal="center"/>
    </xf>
    <xf numFmtId="180" fontId="9" fillId="0" borderId="0" pivotButton="0" quotePrefix="0" xfId="0"/>
    <xf numFmtId="180" fontId="9" fillId="0" borderId="0" pivotButton="0" quotePrefix="0" xfId="2"/>
    <xf numFmtId="181" fontId="9" fillId="0" borderId="0" applyAlignment="1" pivotButton="0" quotePrefix="0" xfId="0">
      <alignment horizontal="center"/>
    </xf>
    <xf numFmtId="179" fontId="9" fillId="0" borderId="0" applyAlignment="1" pivotButton="0" quotePrefix="0" xfId="0">
      <alignment horizontal="center"/>
    </xf>
    <xf numFmtId="169" fontId="9" fillId="0" borderId="0" pivotButton="0" quotePrefix="0" xfId="1"/>
    <xf numFmtId="169" fontId="9" fillId="0" borderId="0" applyAlignment="1" pivotButton="0" quotePrefix="0" xfId="1">
      <alignment horizontal="center"/>
    </xf>
    <xf numFmtId="170" fontId="9" fillId="14" borderId="23" applyAlignment="1" applyProtection="1" pivotButton="0" quotePrefix="0" xfId="2">
      <alignment horizontal="center"/>
      <protection locked="0" hidden="0"/>
    </xf>
    <xf numFmtId="179" fontId="12" fillId="0" borderId="23" applyAlignment="1" pivotButton="0" quotePrefix="0" xfId="0">
      <alignment horizontal="center"/>
    </xf>
    <xf numFmtId="177" fontId="10" fillId="0" borderId="23" applyAlignment="1" applyProtection="1" pivotButton="0" quotePrefix="0" xfId="3">
      <alignment horizontal="center"/>
      <protection locked="0" hidden="0"/>
    </xf>
    <xf numFmtId="174" fontId="10" fillId="0" borderId="23" applyAlignment="1" applyProtection="1" pivotButton="0" quotePrefix="0" xfId="2">
      <alignment horizontal="center"/>
      <protection locked="0" hidden="0"/>
    </xf>
    <xf numFmtId="172" fontId="10" fillId="0" borderId="23" applyAlignment="1" applyProtection="1" pivotButton="0" quotePrefix="0" xfId="2">
      <alignment horizontal="center"/>
      <protection locked="0" hidden="0"/>
    </xf>
    <xf numFmtId="179" fontId="10" fillId="0" borderId="23" applyProtection="1" pivotButton="0" quotePrefix="0" xfId="0">
      <protection locked="0" hidden="0"/>
    </xf>
    <xf numFmtId="170" fontId="9" fillId="0" borderId="23" applyAlignment="1" pivotButton="0" quotePrefix="0" xfId="0">
      <alignment horizontal="center"/>
    </xf>
    <xf numFmtId="170" fontId="9" fillId="0" borderId="23" applyAlignment="1" applyProtection="1" pivotButton="0" quotePrefix="0" xfId="2">
      <alignment horizontal="center"/>
      <protection locked="0" hidden="0"/>
    </xf>
    <xf numFmtId="175" fontId="10" fillId="14" borderId="23" applyAlignment="1" applyProtection="1" pivotButton="0" quotePrefix="0" xfId="3">
      <alignment horizontal="center"/>
      <protection locked="0" hidden="0"/>
    </xf>
    <xf numFmtId="172" fontId="9" fillId="14" borderId="23" applyAlignment="1" applyProtection="1" pivotButton="0" quotePrefix="0" xfId="2">
      <alignment horizontal="center"/>
      <protection locked="0" hidden="0"/>
    </xf>
  </cellXfs>
  <cellStyles count="54250">
    <cellStyle name="Normal" xfId="0" builtinId="0"/>
    <cellStyle name="Comma" xfId="1" builtinId="3"/>
    <cellStyle name="Currency" xfId="2" builtinId="4"/>
    <cellStyle name="Percent" xfId="3" builtinId="5"/>
    <cellStyle name="Normal_CS-CLT 2007-1 Monthly Report 8-15-2007" xfId="4"/>
    <cellStyle name="Normal_Allied borrbase" xfId="5"/>
    <cellStyle name="Normal_Sample Borrowing Base Certificate" xfId="6"/>
    <cellStyle name="Normal_Conduit" xfId="7"/>
    <cellStyle name="Comma 2" xfId="8"/>
    <cellStyle name="Percent 2" xfId="9"/>
    <cellStyle name="Comma 7" xfId="10"/>
    <cellStyle name="Normal 2 2" xfId="11"/>
    <cellStyle name="Title" xfId="12" builtinId="15"/>
    <cellStyle name="Heading 1" xfId="13" builtinId="16"/>
    <cellStyle name="Heading 2" xfId="14" builtinId="17"/>
    <cellStyle name="Heading 3" xfId="15" builtinId="18"/>
    <cellStyle name="Heading 4" xfId="16" builtinId="19"/>
    <cellStyle name="Good" xfId="17" builtinId="26"/>
    <cellStyle name="Bad" xfId="18" builtinId="27"/>
    <cellStyle name="Neutral" xfId="19" builtinId="28"/>
    <cellStyle name="Input" xfId="20" builtinId="20"/>
    <cellStyle name="Output" xfId="21" builtinId="21"/>
    <cellStyle name="Calculation" xfId="22" builtinId="22"/>
    <cellStyle name="Linked Cell" xfId="23" builtinId="24"/>
    <cellStyle name="Check Cell" xfId="24" builtinId="23"/>
    <cellStyle name="Warning Text" xfId="25" builtinId="11"/>
    <cellStyle name="Note" xfId="26" builtinId="10"/>
    <cellStyle name="Explanatory Text" xfId="27" builtinId="53"/>
    <cellStyle name="Total" xfId="28" builtinId="25"/>
    <cellStyle name="Accent1" xfId="29" builtinId="29"/>
    <cellStyle name="20% - Accent1" xfId="30" builtinId="30"/>
    <cellStyle name="40% - Accent1" xfId="31" builtinId="31"/>
    <cellStyle name="60% - Accent1" xfId="32" builtinId="32"/>
    <cellStyle name="Accent2" xfId="33" builtinId="33"/>
    <cellStyle name="20% - Accent2" xfId="34" builtinId="34"/>
    <cellStyle name="40% - Accent2" xfId="35" builtinId="35"/>
    <cellStyle name="60% - Accent2" xfId="36" builtinId="36"/>
    <cellStyle name="Accent3" xfId="37" builtinId="37"/>
    <cellStyle name="20% - Accent3" xfId="38" builtinId="38"/>
    <cellStyle name="40% - Accent3" xfId="39" builtinId="39"/>
    <cellStyle name="60% - Accent3" xfId="40" builtinId="40"/>
    <cellStyle name="Accent4" xfId="41" builtinId="41"/>
    <cellStyle name="20% - Accent4" xfId="42" builtinId="42"/>
    <cellStyle name="40% - Accent4" xfId="43" builtinId="43"/>
    <cellStyle name="60% - Accent4" xfId="44" builtinId="44"/>
    <cellStyle name="Accent5" xfId="45" builtinId="45"/>
    <cellStyle name="20% - Accent5" xfId="46" builtinId="46"/>
    <cellStyle name="40% - Accent5" xfId="47" builtinId="47"/>
    <cellStyle name="60% - Accent5" xfId="48" builtinId="48"/>
    <cellStyle name="Accent6" xfId="49" builtinId="49"/>
    <cellStyle name="20% - Accent6" xfId="50" builtinId="50"/>
    <cellStyle name="40% - Accent6" xfId="51" builtinId="51"/>
    <cellStyle name="60% - Accent6" xfId="52" builtinId="52"/>
    <cellStyle name="Border Thin 4 4" xfId="53"/>
    <cellStyle name="dp*SheetSubTitle 2 2 7" xfId="54"/>
    <cellStyle name="Afjusted 2 2 5 4" xfId="55"/>
    <cellStyle name="Title [Palat] 2 9" xfId="56"/>
    <cellStyle name="Neutral 3" xfId="57"/>
    <cellStyle name="ac 2 2 2 4 4" xfId="58"/>
    <cellStyle name="Table Head Aligned 2 2 2 3 4" xfId="59"/>
    <cellStyle name="Style 44 2 4 4" xfId="60"/>
    <cellStyle name="Table Head Aligned 2 2 2 7" xfId="61"/>
    <cellStyle name="PB Table Standard Row 2 4 4" xfId="62"/>
    <cellStyle name="Date [mmm-yyyy] 3 4" xfId="63"/>
    <cellStyle name="Date [mmm-yyyy] 2 4 4" xfId="64"/>
    <cellStyle name="Magic 2 4 4" xfId="65"/>
    <cellStyle name="Style 49 3 4 4" xfId="66"/>
    <cellStyle name="Heading [Helv] 2 4 4" xfId="67"/>
    <cellStyle name="Bold/Border 2 4 4" xfId="68"/>
    <cellStyle name="Style 49 2 4 4" xfId="69"/>
    <cellStyle name="Total 2 4" xfId="70"/>
    <cellStyle name="Style 44 3 4 4" xfId="71"/>
    <cellStyle name="Note 4" xfId="72"/>
    <cellStyle name="dp*SheetSubTitle 2 4 4" xfId="73"/>
    <cellStyle name="Normal 2" xfId="74"/>
    <cellStyle name="Comma 13" xfId="75"/>
    <cellStyle name="Normal 8" xfId="76"/>
    <cellStyle name="Percent 4" xfId="77"/>
    <cellStyle name="Percent 6" xfId="78"/>
    <cellStyle name="Normal 11" xfId="79"/>
    <cellStyle name="Comma 4 2" xfId="80"/>
    <cellStyle name="Normal 8 3" xfId="81"/>
    <cellStyle name="Percent 4 2" xfId="82"/>
    <cellStyle name="Normal 9" xfId="83"/>
    <cellStyle name="Percent 5" xfId="84"/>
    <cellStyle name="Normal 2 2 2" xfId="85"/>
    <cellStyle name="Currency 3" xfId="86"/>
    <cellStyle name="Normal 3" xfId="87"/>
    <cellStyle name="Normal 6 2" xfId="88"/>
    <cellStyle name="Percent 3 2" xfId="89"/>
    <cellStyle name="-" xfId="90"/>
    <cellStyle name="&quot;X&quot; Men" xfId="91"/>
    <cellStyle name="$" xfId="92"/>
    <cellStyle name="$ [1]" xfId="93"/>
    <cellStyle name="$ [2]" xfId="94"/>
    <cellStyle name="%" xfId="95"/>
    <cellStyle name="% [1]" xfId="96"/>
    <cellStyle name="% [2]" xfId="97"/>
    <cellStyle name="% Growth" xfId="98"/>
    <cellStyle name="% Input" xfId="99"/>
    <cellStyle name="% of Revenues" xfId="100"/>
    <cellStyle name="% Presentation" xfId="101"/>
    <cellStyle name="%_Consolidated Model v48.xls Chart 1" xfId="102"/>
    <cellStyle name="%_Consolidated Model v48.xls Chart 2" xfId="103"/>
    <cellStyle name="%_Consolidated Model v48.xls Chart 3" xfId="104"/>
    <cellStyle name="%_Consolidated Model v48.xls Chart 4" xfId="105"/>
    <cellStyle name="%_Consolidated Model v48.xls Chart 5" xfId="106"/>
    <cellStyle name="%_Kan Loral model" xfId="107"/>
    <cellStyle name="%_Rental Model 050404v5VINAY" xfId="108"/>
    <cellStyle name="%_Rental Model 050404v5VINAY_Kan Loral model" xfId="109"/>
    <cellStyle name="%_Rental Model 050404v5VINAY_Trading Comps_062405 v4" xfId="110"/>
    <cellStyle name="%_Rental Model 050404v5VINAY_Trading Comps_070105 v2" xfId="111"/>
    <cellStyle name="%_Revenue build model v23.xls Chart 1" xfId="112"/>
    <cellStyle name="%_Revenue build model v23.xls Chart 1_Kan Loral model" xfId="113"/>
    <cellStyle name="%_Revenue build model v23.xls Chart 1_Trading Comps_062405 v4" xfId="114"/>
    <cellStyle name="%_Revenue build model v23.xls Chart 1_Trading Comps_070105 v2" xfId="115"/>
    <cellStyle name="%_Revenue build model v23.xls Chart 2" xfId="116"/>
    <cellStyle name="%_Revenue build model v23.xls Chart 2_Kan Loral model" xfId="117"/>
    <cellStyle name="%_Revenue build model v23.xls Chart 2_Trading Comps_062405 v4" xfId="118"/>
    <cellStyle name="%_Revenue build model v23.xls Chart 2_Trading Comps_070105 v2" xfId="119"/>
    <cellStyle name="%_Revenue build model v23.xls Chart 3" xfId="120"/>
    <cellStyle name="%_Revenue build model v23.xls Chart 3_Kan Loral model" xfId="121"/>
    <cellStyle name="%_Revenue build model v23.xls Chart 3_Trading Comps_062405 v4" xfId="122"/>
    <cellStyle name="%_Revenue build model v23.xls Chart 3_Trading Comps_070105 v2" xfId="123"/>
    <cellStyle name="%_Revenue build model v23.xls Chart 4" xfId="124"/>
    <cellStyle name="%_Revenue build model v23.xls Chart 4_Kan Loral model" xfId="125"/>
    <cellStyle name="%_Revenue build model v23.xls Chart 4_Trading Comps_062405 v4" xfId="126"/>
    <cellStyle name="%_Revenue build model v23.xls Chart 4_Trading Comps_070105 v2" xfId="127"/>
    <cellStyle name="%_Revenue build model v23.xls Chart 5" xfId="128"/>
    <cellStyle name="%_Revenue build model v23.xls Chart 5_Kan Loral model" xfId="129"/>
    <cellStyle name="%_Revenue build model v23.xls Chart 5_Trading Comps_062405 v4" xfId="130"/>
    <cellStyle name="%_Revenue build model v23.xls Chart 5_Trading Comps_070105 v2" xfId="131"/>
    <cellStyle name="%_Revenue build model v24" xfId="132"/>
    <cellStyle name="%_Sobol Football Field" xfId="133"/>
    <cellStyle name="%_Trading Comps_062405 v4" xfId="134"/>
    <cellStyle name="%_Trading Comps_070105 v2" xfId="135"/>
    <cellStyle name="%-of" xfId="136"/>
    <cellStyle name="******************************************" xfId="137"/>
    <cellStyle name="." xfId="138"/>
    <cellStyle name=".1" xfId="139"/>
    <cellStyle name=";;;" xfId="140"/>
    <cellStyle name="?? [0.00]_??????cula" xfId="141"/>
    <cellStyle name="?? [0]_VERA" xfId="142"/>
    <cellStyle name="?????_VERA" xfId="143"/>
    <cellStyle name="??_??????_???" xfId="144"/>
    <cellStyle name="_%(SignOnly)" xfId="145"/>
    <cellStyle name="_%(SignSpaceOnly)" xfId="146"/>
    <cellStyle name="_Briefing Book Outputs - Pro Forma 1 4.27" xfId="147"/>
    <cellStyle name="_Briefing Book Outputs - Standalone 4.27" xfId="148"/>
    <cellStyle name="_Charts for Apollo Exec Brief v3" xfId="149"/>
    <cellStyle name="_Comma" xfId="150"/>
    <cellStyle name="_Comma_01 Template without numbers sent out" xfId="151"/>
    <cellStyle name="_Comma_20020403 Regional Data 04" xfId="152"/>
    <cellStyle name="_Comma_20020403 Regional Data 04 Final" xfId="153"/>
    <cellStyle name="_Comma_20020403 Template for Exchange - Regional Data 01" xfId="154"/>
    <cellStyle name="_Comma_20020404 Capex 02 All" xfId="155"/>
    <cellStyle name="_Currency" xfId="156"/>
    <cellStyle name="_Currency_01 Template without numbers sent out" xfId="157"/>
    <cellStyle name="_Currency_20020403 Regional Data 04" xfId="158"/>
    <cellStyle name="_Currency_20020403 Regional Data 04 Final" xfId="159"/>
    <cellStyle name="_Currency_20020403 Template for Exchange - Regional Data 01" xfId="160"/>
    <cellStyle name="_Currency_20020404 Capex 02 All" xfId="161"/>
    <cellStyle name="_Currency_Analysis v6" xfId="162"/>
    <cellStyle name="_Currency_Embarq_Model_v44" xfId="163"/>
    <cellStyle name="_Currency_MSS Comps v01" xfId="164"/>
    <cellStyle name="_Currency_RBOC_RLEC_Comps_092806_v34" xfId="165"/>
    <cellStyle name="_Currency_RLEC_Comps_AccrDil_092706_v9" xfId="166"/>
    <cellStyle name="_Currency_Synergy Analysis_v01xls" xfId="167"/>
    <cellStyle name="_Currency_Trading Comps v11" xfId="168"/>
    <cellStyle name="_Currency_Valuation Model_v26" xfId="169"/>
    <cellStyle name="_CurrencySpace" xfId="170"/>
    <cellStyle name="_CurrencySpace_01 Template without numbers sent out" xfId="171"/>
    <cellStyle name="_CurrencySpace_20020326Viper Numbers sent out" xfId="172"/>
    <cellStyle name="_CurrencySpace_20020403 Regional Data 04" xfId="173"/>
    <cellStyle name="_CurrencySpace_20020403 Regional Data 04 Final" xfId="174"/>
    <cellStyle name="_CurrencySpace_20020403 Template for Exchange - Regional Data 01" xfId="175"/>
    <cellStyle name="_CurrencySpace_20020404 Capex 02 All" xfId="176"/>
    <cellStyle name="_CurrencySpace_20020405 Final Company Model" xfId="177"/>
    <cellStyle name="_CurrencySpace_Analysis v6" xfId="178"/>
    <cellStyle name="_CurrencySpace_April 2002 combined model - key factors only" xfId="179"/>
    <cellStyle name="_CurrencySpace_April 2002 combined model - key factors only (rec 5 apr)" xfId="180"/>
    <cellStyle name="_CurrencySpace_Embarq_Model_v44" xfId="181"/>
    <cellStyle name="_CurrencySpace_MSS Comps v01" xfId="182"/>
    <cellStyle name="_CurrencySpace_RBOC_RLEC_Comps_092806_v34" xfId="183"/>
    <cellStyle name="_CurrencySpace_RLEC_Comps_AccrDil_092706_v9" xfId="184"/>
    <cellStyle name="_CurrencySpace_Synergy Analysis_v01xls" xfId="185"/>
    <cellStyle name="_CurrencySpace_Trading Comps v11" xfId="186"/>
    <cellStyle name="_CurrencySpace_Valuation Model_v26" xfId="187"/>
    <cellStyle name="_Euro" xfId="188"/>
    <cellStyle name="_Global Comps - Full Service - 12 Jan  2001" xfId="189"/>
    <cellStyle name="_Global Comps - Full Service - 18 June 2001" xfId="190"/>
    <cellStyle name="_Global Comps - Full Service - 20 June 2001" xfId="191"/>
    <cellStyle name="_GS Equity Research Driver Comparison" xfId="192"/>
    <cellStyle name="_GS Model of VSTR" xfId="193"/>
    <cellStyle name="_Heading" xfId="194"/>
    <cellStyle name="_Highlight" xfId="195"/>
    <cellStyle name="_MCIT" xfId="196"/>
    <cellStyle name="_ML.3.30.03" xfId="197"/>
    <cellStyle name="_ML_VZ_092806" xfId="198"/>
    <cellStyle name="_model_v11" xfId="199"/>
    <cellStyle name="_MS_VZ_081506" xfId="200"/>
    <cellStyle name="_Multiple" xfId="201"/>
    <cellStyle name="_Multiple_01 Template without numbers sent out" xfId="202"/>
    <cellStyle name="_Multiple_20020403 Regional Data 04" xfId="203"/>
    <cellStyle name="_Multiple_20020403 Regional Data 04 Final" xfId="204"/>
    <cellStyle name="_Multiple_20020403 Template for Exchange - Regional Data 01" xfId="205"/>
    <cellStyle name="_Multiple_20020404 Capex 02 All" xfId="206"/>
    <cellStyle name="_MultipleSpace" xfId="207"/>
    <cellStyle name="_MultipleSpace_01 Template without numbers sent out" xfId="208"/>
    <cellStyle name="_MultipleSpace_20020403 Regional Data 04" xfId="209"/>
    <cellStyle name="_MultipleSpace_20020403 Regional Data 04 Final" xfId="210"/>
    <cellStyle name="_MultipleSpace_20020403 Template for Exchange - Regional Data 01" xfId="211"/>
    <cellStyle name="_MultipleSpace_20020404 Capex 02 All" xfId="212"/>
    <cellStyle name="_New WCOM" xfId="213"/>
    <cellStyle name="_Overview_v7" xfId="214"/>
    <cellStyle name="_Percent" xfId="215"/>
    <cellStyle name="_PercentSpace" xfId="216"/>
    <cellStyle name="_Revised Comps Template" xfId="217"/>
    <cellStyle name="_Round4_Revised_v142" xfId="218"/>
    <cellStyle name="_SubHeading" xfId="219"/>
    <cellStyle name="_Table" xfId="220"/>
    <cellStyle name="_TableHead" xfId="221"/>
    <cellStyle name="_TableRowHead" xfId="222"/>
    <cellStyle name="_TableSuperHead" xfId="223"/>
    <cellStyle name="_valsumfinal" xfId="224"/>
    <cellStyle name="_VNTModellastestimates" xfId="225"/>
    <cellStyle name="’Ê‰Ý [0.00]_GE 3 MINIMUM" xfId="226"/>
    <cellStyle name="’Ê‰Ý_GE 3 MINIMUM" xfId="227"/>
    <cellStyle name="=C:\WINNT35\SYSTEM32\COMMAND.COM" xfId="228"/>
    <cellStyle name="£ BP" xfId="229"/>
    <cellStyle name="¥ JY" xfId="230"/>
    <cellStyle name="•W_GE 3 MINIMUM" xfId="231"/>
    <cellStyle name="•W€_Comparables" xfId="232"/>
    <cellStyle name="0" xfId="233"/>
    <cellStyle name="0%" xfId="234"/>
    <cellStyle name="0.0" xfId="235"/>
    <cellStyle name="0.0&quot;x&quot;" xfId="236"/>
    <cellStyle name="0.0%" xfId="237"/>
    <cellStyle name="0.00" xfId="238"/>
    <cellStyle name="0.00&quot;x&quot;" xfId="239"/>
    <cellStyle name="0.00%" xfId="240"/>
    <cellStyle name="0_MS_VZ_081506" xfId="241"/>
    <cellStyle name="000" xfId="242"/>
    <cellStyle name="1" xfId="243"/>
    <cellStyle name="1,comma" xfId="244"/>
    <cellStyle name="1Decimal" xfId="245"/>
    <cellStyle name="2 Decimal Places" xfId="246"/>
    <cellStyle name="2DecimalPercent" xfId="247"/>
    <cellStyle name="2Decimals" xfId="248"/>
    <cellStyle name="752131" xfId="249"/>
    <cellStyle name="–á%@" xfId="250"/>
    <cellStyle name="ac" xfId="251"/>
    <cellStyle name="Accounting" xfId="252"/>
    <cellStyle name="Acctg" xfId="253"/>
    <cellStyle name="Actual Date" xfId="254"/>
    <cellStyle name="adj_share" xfId="255"/>
    <cellStyle name="AFE" xfId="256"/>
    <cellStyle name="Afjusted" xfId="257"/>
    <cellStyle name="Arial" xfId="258"/>
    <cellStyle name="Arial 10" xfId="259"/>
    <cellStyle name="Arial 12" xfId="260"/>
    <cellStyle name="Arial6Bold" xfId="261"/>
    <cellStyle name="Arial8Bold" xfId="262"/>
    <cellStyle name="Arial8Italic" xfId="263"/>
    <cellStyle name="ArialNormal" xfId="264"/>
    <cellStyle name="Array" xfId="265"/>
    <cellStyle name="Array Enter" xfId="266"/>
    <cellStyle name="Austral." xfId="267"/>
    <cellStyle name="Balance Sheet" xfId="268"/>
    <cellStyle name="BalanceSheet" xfId="269"/>
    <cellStyle name="Band 2" xfId="270"/>
    <cellStyle name="BB_Date_mmm" xfId="271"/>
    <cellStyle name="BLACK" xfId="272"/>
    <cellStyle name="blank" xfId="273"/>
    <cellStyle name="Blue" xfId="274"/>
    <cellStyle name="blue$00" xfId="275"/>
    <cellStyle name="bold big" xfId="276"/>
    <cellStyle name="Bold/Border" xfId="277"/>
    <cellStyle name="Border" xfId="278"/>
    <cellStyle name="Border Heavy" xfId="279"/>
    <cellStyle name="Border Thin" xfId="280"/>
    <cellStyle name="Border_AV Model_MS_012505" xfId="281"/>
    <cellStyle name="bp--" xfId="282"/>
    <cellStyle name="British Pound" xfId="283"/>
    <cellStyle name="Bullet" xfId="284"/>
    <cellStyle name="c" xfId="285"/>
    <cellStyle name="C05_Style E Text" xfId="286"/>
    <cellStyle name="c1" xfId="287"/>
    <cellStyle name="Calc Currency (0)" xfId="288"/>
    <cellStyle name="Calc Currency (2)" xfId="289"/>
    <cellStyle name="Calc Percent (0)" xfId="290"/>
    <cellStyle name="Calc Percent (1)" xfId="291"/>
    <cellStyle name="Calc Percent (2)" xfId="292"/>
    <cellStyle name="Calc Units (0)" xfId="293"/>
    <cellStyle name="Calc Units (1)" xfId="294"/>
    <cellStyle name="Calc Units (2)" xfId="295"/>
    <cellStyle name="Canada" xfId="296"/>
    <cellStyle name="Case" xfId="297"/>
    <cellStyle name="Cash Flow Statement" xfId="298"/>
    <cellStyle name="CashFlow" xfId="299"/>
    <cellStyle name="Category Name" xfId="300"/>
    <cellStyle name="Cents" xfId="301"/>
    <cellStyle name="Change" xfId="302"/>
    <cellStyle name="Changeable" xfId="303"/>
    <cellStyle name="Co. Names" xfId="304"/>
    <cellStyle name="Co. Names - Bold" xfId="305"/>
    <cellStyle name="Co. Names_Merrill_WACC" xfId="306"/>
    <cellStyle name="COL HEADINGS" xfId="307"/>
    <cellStyle name="Colhead_left" xfId="308"/>
    <cellStyle name="ColHeading" xfId="309"/>
    <cellStyle name="Collegamento ipertestuale_PLDT" xfId="310"/>
    <cellStyle name="ColumnHeadings" xfId="311"/>
    <cellStyle name="ColumnHeadings2" xfId="312"/>
    <cellStyle name="Comma  - Style1" xfId="313"/>
    <cellStyle name="Comma  - Style2" xfId="314"/>
    <cellStyle name="Comma  - Style3" xfId="315"/>
    <cellStyle name="Comma  - Style4" xfId="316"/>
    <cellStyle name="Comma  - Style5" xfId="317"/>
    <cellStyle name="Comma  - Style6" xfId="318"/>
    <cellStyle name="Comma  - Style7" xfId="319"/>
    <cellStyle name="Comma  - Style8" xfId="320"/>
    <cellStyle name="Comma (1)" xfId="321"/>
    <cellStyle name="Comma [00]" xfId="322"/>
    <cellStyle name="Comma [1]" xfId="323"/>
    <cellStyle name="Comma [2]" xfId="324"/>
    <cellStyle name="Comma 0" xfId="325"/>
    <cellStyle name="Comma 0*" xfId="326"/>
    <cellStyle name="Comma 2 6" xfId="327"/>
    <cellStyle name="Comma 2*" xfId="328"/>
    <cellStyle name="Comma 3" xfId="329"/>
    <cellStyle name="Comma 3*" xfId="330"/>
    <cellStyle name="comma zerodec" xfId="331"/>
    <cellStyle name="Comma.2" xfId="332"/>
    <cellStyle name="Comma0" xfId="333"/>
    <cellStyle name="Comma1" xfId="334"/>
    <cellStyle name="CommaKM" xfId="335"/>
    <cellStyle name="Comment" xfId="336"/>
    <cellStyle name="Company" xfId="337"/>
    <cellStyle name="CompanyName" xfId="338"/>
    <cellStyle name="Comps" xfId="339"/>
    <cellStyle name="CurRatio" xfId="340"/>
    <cellStyle name="Currency--" xfId="341"/>
    <cellStyle name="Currency (1)" xfId="342"/>
    <cellStyle name="Currency (no dec.)" xfId="343"/>
    <cellStyle name="Currency [00]" xfId="344"/>
    <cellStyle name="Currency [1]" xfId="345"/>
    <cellStyle name="Currency [2]" xfId="346"/>
    <cellStyle name="Currency 0" xfId="347"/>
    <cellStyle name="Currency 0.0" xfId="348"/>
    <cellStyle name="Currency 2" xfId="349"/>
    <cellStyle name="Currency 2*" xfId="350"/>
    <cellStyle name="Currency 3*" xfId="351"/>
    <cellStyle name="Currency Input" xfId="352"/>
    <cellStyle name="Currency0" xfId="353"/>
    <cellStyle name="Currency1" xfId="354"/>
    <cellStyle name="Currency1Blue" xfId="355"/>
    <cellStyle name="Currency2" xfId="356"/>
    <cellStyle name="d2" xfId="357"/>
    <cellStyle name="DARK" xfId="358"/>
    <cellStyle name="Dash" xfId="359"/>
    <cellStyle name="data" xfId="360"/>
    <cellStyle name="DATASTYLE" xfId="361"/>
    <cellStyle name="Date" xfId="362"/>
    <cellStyle name="Date [d-mmm-yy]" xfId="363"/>
    <cellStyle name="Date [mm-d-yy]" xfId="364"/>
    <cellStyle name="Date [mm-d-yyyy]" xfId="365"/>
    <cellStyle name="Date [mmm-d-yyyy]" xfId="366"/>
    <cellStyle name="Date [mmm-yy]" xfId="367"/>
    <cellStyle name="Date [mmm-yyyy]" xfId="368"/>
    <cellStyle name="Date Aligned" xfId="369"/>
    <cellStyle name="Date Day" xfId="370"/>
    <cellStyle name="Date m/d/yy" xfId="371"/>
    <cellStyle name="Date Short" xfId="372"/>
    <cellStyle name="Date Year" xfId="373"/>
    <cellStyle name="Date_Accretion-Dilution OLD" xfId="374"/>
    <cellStyle name="Date1" xfId="375"/>
    <cellStyle name="Date2" xfId="376"/>
    <cellStyle name="DATES" xfId="377"/>
    <cellStyle name="DateYear" xfId="378"/>
    <cellStyle name="DateYearEstimate" xfId="379"/>
    <cellStyle name="DateYearWholeEstimate" xfId="380"/>
    <cellStyle name="Decimal" xfId="381"/>
    <cellStyle name="Define your own named style" xfId="382"/>
    <cellStyle name="Design" xfId="383"/>
    <cellStyle name="Dezimal [0]_AddIn P+L Total" xfId="384"/>
    <cellStyle name="Dezimal_AddIn P+L Total" xfId="385"/>
    <cellStyle name="dolar" xfId="386"/>
    <cellStyle name="Dollar" xfId="387"/>
    <cellStyle name="Dollar (Canadian)" xfId="388"/>
    <cellStyle name="Dollar (zero dec)" xfId="389"/>
    <cellStyle name="Dollar Whole" xfId="390"/>
    <cellStyle name="Dollar_AV Model_MS_012505" xfId="391"/>
    <cellStyle name="Dollar1" xfId="392"/>
    <cellStyle name="Dollar1Blue" xfId="393"/>
    <cellStyle name="Dollar2" xfId="394"/>
    <cellStyle name="dollars" xfId="395"/>
    <cellStyle name="DollarWhole" xfId="396"/>
    <cellStyle name="Dotted Line" xfId="397"/>
    <cellStyle name="Double Accounting" xfId="398"/>
    <cellStyle name="Download" xfId="399"/>
    <cellStyle name="dp*Accent" xfId="400"/>
    <cellStyle name="dp*ChartSubTitle" xfId="401"/>
    <cellStyle name="dp*ChartTitle" xfId="402"/>
    <cellStyle name="dp*ColumnHeading1" xfId="403"/>
    <cellStyle name="dp*ColumnHeading2" xfId="404"/>
    <cellStyle name="dp*ColumnHeadingDate" xfId="405"/>
    <cellStyle name="dp*FiscalDate" xfId="406"/>
    <cellStyle name="dp*Footnote" xfId="407"/>
    <cellStyle name="dp*Information" xfId="408"/>
    <cellStyle name="dp*LabelItalics" xfId="409"/>
    <cellStyle name="dp*LabelItalicsLineAbove" xfId="410"/>
    <cellStyle name="dp*LabelLine" xfId="411"/>
    <cellStyle name="dp*Labels" xfId="412"/>
    <cellStyle name="dp*Normal" xfId="413"/>
    <cellStyle name="dp*NormalCurrency1Dec." xfId="414"/>
    <cellStyle name="dp*NormalCurrency2Dec." xfId="415"/>
    <cellStyle name="dp*Number%Italics" xfId="416"/>
    <cellStyle name="dp*Number%ItalicsLineAbove" xfId="417"/>
    <cellStyle name="dp*NumberCurrencyLine" xfId="418"/>
    <cellStyle name="dp*NumberGeneral" xfId="419"/>
    <cellStyle name="dp*NumberGeneral2Dec." xfId="420"/>
    <cellStyle name="dp*NumberLine" xfId="421"/>
    <cellStyle name="dp*NumberLineEPS" xfId="422"/>
    <cellStyle name="dp*NumberSpecial" xfId="423"/>
    <cellStyle name="dp*RatioX" xfId="424"/>
    <cellStyle name="dp*SeriesName" xfId="425"/>
    <cellStyle name="dp*SheetSubTitle" xfId="426"/>
    <cellStyle name="dp*SheetTitle" xfId="427"/>
    <cellStyle name="dp*SubTitle" xfId="428"/>
    <cellStyle name="dp*ThickLineAbove" xfId="429"/>
    <cellStyle name="dp*ThickLineBelow" xfId="430"/>
    <cellStyle name="dp*ThinLineAbove" xfId="431"/>
    <cellStyle name="dp*ThinLineBelow" xfId="432"/>
    <cellStyle name="dp*XAxisTitle" xfId="433"/>
    <cellStyle name="dp*Y2AxisTitle" xfId="434"/>
    <cellStyle name="dp*YAxisTitle" xfId="435"/>
    <cellStyle name="Draw lines around data in range" xfId="436"/>
    <cellStyle name="Draw shadow and lines within range" xfId="437"/>
    <cellStyle name="Driver" xfId="438"/>
    <cellStyle name="Driver Lable" xfId="439"/>
    <cellStyle name="Enlarge title text, yellow on blue" xfId="440"/>
    <cellStyle name="Enter Currency (0)" xfId="441"/>
    <cellStyle name="Enter Currency (2)" xfId="442"/>
    <cellStyle name="Enter Here" xfId="443"/>
    <cellStyle name="Enter Units (0)" xfId="444"/>
    <cellStyle name="Enter Units (1)" xfId="445"/>
    <cellStyle name="Enter Units (2)" xfId="446"/>
    <cellStyle name="En-tête" xfId="447"/>
    <cellStyle name="Est - $" xfId="448"/>
    <cellStyle name="Est - %" xfId="449"/>
    <cellStyle name="Est 0,000.0" xfId="450"/>
    <cellStyle name="Euro" xfId="451"/>
    <cellStyle name="factsheet" xfId="452"/>
    <cellStyle name="Fail" xfId="453"/>
    <cellStyle name="FF_EURO" xfId="454"/>
    <cellStyle name="FieldName" xfId="455"/>
    <cellStyle name="FiscalPeriod" xfId="456"/>
    <cellStyle name="Fixed" xfId="457"/>
    <cellStyle name="Fixed (1)" xfId="458"/>
    <cellStyle name="Fixed [0]" xfId="459"/>
    <cellStyle name="Fixed_AV Model_MS_012505" xfId="460"/>
    <cellStyle name="Fon10" xfId="461"/>
    <cellStyle name="Fon10B" xfId="462"/>
    <cellStyle name="Fon12" xfId="463"/>
    <cellStyle name="Fon12B" xfId="464"/>
    <cellStyle name="Fon14B" xfId="465"/>
    <cellStyle name="Fon18B" xfId="466"/>
    <cellStyle name="Fon6" xfId="467"/>
    <cellStyle name="Fon8B" xfId="468"/>
    <cellStyle name="Footnote" xfId="469"/>
    <cellStyle name="Footnotes" xfId="470"/>
    <cellStyle name="Format a column of totals" xfId="471"/>
    <cellStyle name="Format a row of totals" xfId="472"/>
    <cellStyle name="Format text as bold, black on yellow" xfId="473"/>
    <cellStyle name="fourdecplace" xfId="474"/>
    <cellStyle name="G02 Table Text" xfId="475"/>
    <cellStyle name="G04_Main head" xfId="476"/>
    <cellStyle name="G05 Tab Head Bold" xfId="477"/>
    <cellStyle name="G05 Tab Head Light" xfId="478"/>
    <cellStyle name="General" xfId="479"/>
    <cellStyle name="Global" xfId="480"/>
    <cellStyle name="Grand Total" xfId="481"/>
    <cellStyle name="Green" xfId="482"/>
    <cellStyle name="Grey" xfId="483"/>
    <cellStyle name="Growth" xfId="484"/>
    <cellStyle name="Growth%" xfId="485"/>
    <cellStyle name="GrowthLarge" xfId="486"/>
    <cellStyle name="GrowthRate" xfId="487"/>
    <cellStyle name="GrowthSeq" xfId="488"/>
    <cellStyle name="GrowthSmall" xfId="489"/>
    <cellStyle name="hard no" xfId="490"/>
    <cellStyle name="hard no." xfId="491"/>
    <cellStyle name="Hard Percent" xfId="492"/>
    <cellStyle name="hardno" xfId="493"/>
    <cellStyle name="Header" xfId="494"/>
    <cellStyle name="Header1" xfId="495"/>
    <cellStyle name="Header2" xfId="496"/>
    <cellStyle name="headers" xfId="497"/>
    <cellStyle name="heading" xfId="498"/>
    <cellStyle name="Heading [Helv]" xfId="499"/>
    <cellStyle name="Heading [Palat]" xfId="500"/>
    <cellStyle name="Heading Left" xfId="501"/>
    <cellStyle name="Heading Right" xfId="502"/>
    <cellStyle name="Heading1" xfId="503"/>
    <cellStyle name="Heading2" xfId="504"/>
    <cellStyle name="Heading3" xfId="505"/>
    <cellStyle name="HeadingB" xfId="506"/>
    <cellStyle name="HeadingBU" xfId="507"/>
    <cellStyle name="HeadingS" xfId="508"/>
    <cellStyle name="Hidden" xfId="509"/>
    <cellStyle name="Hide" xfId="510"/>
    <cellStyle name="HIGHLIGHT" xfId="511"/>
    <cellStyle name="HiLite" xfId="512"/>
    <cellStyle name="Income Statement" xfId="513"/>
    <cellStyle name="IncomeStatement" xfId="514"/>
    <cellStyle name="Input [yellow]" xfId="515"/>
    <cellStyle name="Input Cell #" xfId="516"/>
    <cellStyle name="Input Currency" xfId="517"/>
    <cellStyle name="Input Date" xfId="518"/>
    <cellStyle name="Input Fixed [0]" xfId="519"/>
    <cellStyle name="Input Normal" xfId="520"/>
    <cellStyle name="Input Percent" xfId="521"/>
    <cellStyle name="Input Percent [2]" xfId="522"/>
    <cellStyle name="Input Percent_short_valuation_model" xfId="523"/>
    <cellStyle name="Input Titles" xfId="524"/>
    <cellStyle name="InputBlueFont" xfId="525"/>
    <cellStyle name="InputPop" xfId="526"/>
    <cellStyle name="Inputs" xfId="527"/>
    <cellStyle name="Integer" xfId="528"/>
    <cellStyle name="IntInput" xfId="529"/>
    <cellStyle name="IntInputBk" xfId="530"/>
    <cellStyle name="IntInputBu" xfId="531"/>
    <cellStyle name="Item" xfId="532"/>
    <cellStyle name="ItemTypeClass" xfId="533"/>
    <cellStyle name="JustOneDec" xfId="534"/>
    <cellStyle name="kopregel" xfId="535"/>
    <cellStyle name="KP_Normal" xfId="536"/>
    <cellStyle name="Lable8Left" xfId="537"/>
    <cellStyle name="LB Style" xfId="538"/>
    <cellStyle name="Line" xfId="539"/>
    <cellStyle name="LineItems" xfId="540"/>
    <cellStyle name="Link" xfId="541"/>
    <cellStyle name="Link Currency (0)" xfId="542"/>
    <cellStyle name="Link Currency (2)" xfId="543"/>
    <cellStyle name="Link Units (0)" xfId="544"/>
    <cellStyle name="Link Units (1)" xfId="545"/>
    <cellStyle name="Link Units (2)" xfId="546"/>
    <cellStyle name="Link_ML_VZ_092806" xfId="547"/>
    <cellStyle name="Linked" xfId="548"/>
    <cellStyle name="Linked Cell #" xfId="549"/>
    <cellStyle name="Locked" xfId="550"/>
    <cellStyle name="lou" xfId="551"/>
    <cellStyle name="m/d/yy" xfId="552"/>
    <cellStyle name="MacroCode" xfId="553"/>
    <cellStyle name="Magic" xfId="554"/>
    <cellStyle name="Main" xfId="555"/>
    <cellStyle name="Map Labels" xfId="556"/>
    <cellStyle name="Map Legend" xfId="557"/>
    <cellStyle name="Map Title" xfId="558"/>
    <cellStyle name="margin" xfId="559"/>
    <cellStyle name="Margins" xfId="560"/>
    <cellStyle name="MetricLabel" xfId="561"/>
    <cellStyle name="MetricLabelBlue" xfId="562"/>
    <cellStyle name="MetricValue" xfId="563"/>
    <cellStyle name="Migliaia (0)_PLDT" xfId="564"/>
    <cellStyle name="Migliaia_PLDT" xfId="565"/>
    <cellStyle name="Mike" xfId="566"/>
    <cellStyle name="mil" xfId="567"/>
    <cellStyle name="Milliers [0]_EDYAN" xfId="568"/>
    <cellStyle name="Milliers_EDYAN" xfId="569"/>
    <cellStyle name="Millions" xfId="570"/>
    <cellStyle name="millions ($)" xfId="571"/>
    <cellStyle name="millions (no dec.)" xfId="572"/>
    <cellStyle name="Monétaire [0]_EDYAN" xfId="573"/>
    <cellStyle name="Monétaire_EDYAN" xfId="574"/>
    <cellStyle name="month-year" xfId="575"/>
    <cellStyle name="MonthYears" xfId="576"/>
    <cellStyle name="MSectionHeadings" xfId="577"/>
    <cellStyle name="Multiple" xfId="578"/>
    <cellStyle name="Multiple [0]" xfId="579"/>
    <cellStyle name="Multiple Without" xfId="580"/>
    <cellStyle name="Multiple_Analysis v6" xfId="581"/>
    <cellStyle name="Multiples" xfId="582"/>
    <cellStyle name="Multiples1decimal" xfId="583"/>
    <cellStyle name="n0" xfId="584"/>
    <cellStyle name="n2" xfId="585"/>
    <cellStyle name="NA is zero" xfId="586"/>
    <cellStyle name="Name" xfId="587"/>
    <cellStyle name="NavStyleDefault" xfId="588"/>
    <cellStyle name="new" xfId="589"/>
    <cellStyle name="NewAcct" xfId="590"/>
    <cellStyle name="NINA" xfId="591"/>
    <cellStyle name="No Commas" xfId="592"/>
    <cellStyle name="no dec" xfId="593"/>
    <cellStyle name="nobuild" xfId="594"/>
    <cellStyle name="Normal--" xfId="595"/>
    <cellStyle name="Normal - Style1" xfId="596"/>
    <cellStyle name="Normal [0]" xfId="597"/>
    <cellStyle name="Normal [1]" xfId="598"/>
    <cellStyle name="Normal [2]" xfId="599"/>
    <cellStyle name="Normal [3]" xfId="600"/>
    <cellStyle name="Normal 0.0" xfId="601"/>
    <cellStyle name="Normal 2 2 11" xfId="602"/>
    <cellStyle name="Normal 3 2" xfId="603"/>
    <cellStyle name="Normal 4" xfId="604"/>
    <cellStyle name="Normal 5" xfId="605"/>
    <cellStyle name="Normal 6" xfId="606"/>
    <cellStyle name="Normal Bold" xfId="607"/>
    <cellStyle name="Normal Pct" xfId="608"/>
    <cellStyle name="Normal-%-1" xfId="609"/>
    <cellStyle name="Normal1" xfId="610"/>
    <cellStyle name="NormalBold" xfId="611"/>
    <cellStyle name="Normale_Intro (gotty)" xfId="612"/>
    <cellStyle name="NormalEPS" xfId="613"/>
    <cellStyle name="NormalGB" xfId="614"/>
    <cellStyle name="Normall" xfId="615"/>
    <cellStyle name="NormalMultiple" xfId="616"/>
    <cellStyle name="NormalNumber%" xfId="617"/>
    <cellStyle name="NormalPop" xfId="618"/>
    <cellStyle name="Normalx" xfId="619"/>
    <cellStyle name="NormalxShadow" xfId="620"/>
    <cellStyle name="NOT" xfId="621"/>
    <cellStyle name="NPPESalesPct" xfId="622"/>
    <cellStyle name="Num0Un" xfId="623"/>
    <cellStyle name="Num1" xfId="624"/>
    <cellStyle name="Num1Blue" xfId="625"/>
    <cellStyle name="Num2" xfId="626"/>
    <cellStyle name="Num2Un" xfId="627"/>
    <cellStyle name="number" xfId="628"/>
    <cellStyle name="numbers" xfId="629"/>
    <cellStyle name="Numbers - Bold" xfId="630"/>
    <cellStyle name="Numbers - Bold - Italic" xfId="631"/>
    <cellStyle name="Numbers - Bold_Merrill_WACC" xfId="632"/>
    <cellStyle name="Numbers - Large" xfId="633"/>
    <cellStyle name="numbers one decimal" xfId="634"/>
    <cellStyle name="Numbers_Accretion Dilution Model.v2" xfId="635"/>
    <cellStyle name="Œ…‹æØ‚è [0.00]_GE 3 MINIMUM" xfId="636"/>
    <cellStyle name="Œ…‹æØ‚è_GE 3 MINIMUM" xfId="637"/>
    <cellStyle name="ON HOLD" xfId="638"/>
    <cellStyle name="Onedec_FT Valuation " xfId="639"/>
    <cellStyle name="OneDecimal" xfId="640"/>
    <cellStyle name="OSW_ColumnLabels" xfId="641"/>
    <cellStyle name="Other%" xfId="642"/>
    <cellStyle name="outh America" xfId="643"/>
    <cellStyle name="Output Amounts" xfId="644"/>
    <cellStyle name="Output Column Headings" xfId="645"/>
    <cellStyle name="Output Line Items" xfId="646"/>
    <cellStyle name="Output Report Heading" xfId="647"/>
    <cellStyle name="Output Report Title" xfId="648"/>
    <cellStyle name="OutputPlain" xfId="649"/>
    <cellStyle name="Outputs" xfId="650"/>
    <cellStyle name="P" xfId="651"/>
    <cellStyle name="Page Heading" xfId="652"/>
    <cellStyle name="Page Heading Large" xfId="653"/>
    <cellStyle name="Page Heading Small" xfId="654"/>
    <cellStyle name="Page Heading_Kan Loral model" xfId="655"/>
    <cellStyle name="Page Number" xfId="656"/>
    <cellStyle name="Pass" xfId="657"/>
    <cellStyle name="PB Table Heading" xfId="658"/>
    <cellStyle name="PB Table Highlight2" xfId="659"/>
    <cellStyle name="PB Table Standard Row" xfId="660"/>
    <cellStyle name="PB Table Total Row" xfId="661"/>
    <cellStyle name="pc1" xfId="662"/>
    <cellStyle name="Perc1" xfId="663"/>
    <cellStyle name="Percent (1)" xfId="664"/>
    <cellStyle name="Percent [0]" xfId="665"/>
    <cellStyle name="Percent [00]" xfId="666"/>
    <cellStyle name="Percent [1]" xfId="667"/>
    <cellStyle name="Percent [1] --" xfId="668"/>
    <cellStyle name="Percent [1]_Consolidated Model v164(Tenovis Model)" xfId="669"/>
    <cellStyle name="Percent [2]" xfId="670"/>
    <cellStyle name="Percent [3]" xfId="671"/>
    <cellStyle name="Percent [3]--" xfId="672"/>
    <cellStyle name="Percent 0.0" xfId="673"/>
    <cellStyle name="Percent 2 7" xfId="674"/>
    <cellStyle name="Percent 3" xfId="675"/>
    <cellStyle name="Percent Hard" xfId="676"/>
    <cellStyle name="Percent two decimals" xfId="677"/>
    <cellStyle name="Percent0" xfId="678"/>
    <cellStyle name="Percent1" xfId="679"/>
    <cellStyle name="Percent1Blue" xfId="680"/>
    <cellStyle name="Percent2" xfId="681"/>
    <cellStyle name="Percent2Blue" xfId="682"/>
    <cellStyle name="Percentage" xfId="683"/>
    <cellStyle name="PercentChange" xfId="684"/>
    <cellStyle name="PercentPresentation" xfId="685"/>
    <cellStyle name="PercentSales" xfId="686"/>
    <cellStyle name="pershare" xfId="687"/>
    <cellStyle name="P-Green Rule" xfId="688"/>
    <cellStyle name="PlainDollar" xfId="689"/>
    <cellStyle name="POPS" xfId="690"/>
    <cellStyle name="PrePop Currency (0)" xfId="691"/>
    <cellStyle name="PrePop Currency (2)" xfId="692"/>
    <cellStyle name="PrePop Units (0)" xfId="693"/>
    <cellStyle name="PrePop Units (1)" xfId="694"/>
    <cellStyle name="PrePop Units (2)" xfId="695"/>
    <cellStyle name="PresentationZero" xfId="696"/>
    <cellStyle name="Price" xfId="697"/>
    <cellStyle name="PriceUn" xfId="698"/>
    <cellStyle name="prin" xfId="699"/>
    <cellStyle name="Proj" xfId="700"/>
    <cellStyle name="PROJECT" xfId="701"/>
    <cellStyle name="PROJECT R" xfId="702"/>
    <cellStyle name="ProjectionInput" xfId="703"/>
    <cellStyle name="Protected" xfId="704"/>
    <cellStyle name="ProtectedDates" xfId="705"/>
    <cellStyle name="Provisional" xfId="706"/>
    <cellStyle name="PSChar" xfId="707"/>
    <cellStyle name="PSDate" xfId="708"/>
    <cellStyle name="PSDec" xfId="709"/>
    <cellStyle name="PSHeading" xfId="710"/>
    <cellStyle name="PSInt" xfId="711"/>
    <cellStyle name="PSSpacer" xfId="712"/>
    <cellStyle name="Quantity" xfId="713"/>
    <cellStyle name="r" xfId="714"/>
    <cellStyle name="RatioX" xfId="715"/>
    <cellStyle name="RED" xfId="716"/>
    <cellStyle name="Red font" xfId="717"/>
    <cellStyle name="Red Text" xfId="718"/>
    <cellStyle name="Reset range style to defaults" xfId="719"/>
    <cellStyle name="Restruct" xfId="720"/>
    <cellStyle name="Right" xfId="721"/>
    <cellStyle name="Row Ignore" xfId="722"/>
    <cellStyle name="Row Sub Total" xfId="723"/>
    <cellStyle name="Row Title 1" xfId="724"/>
    <cellStyle name="Row Title 2" xfId="725"/>
    <cellStyle name="Row Title 3" xfId="726"/>
    <cellStyle name="Row Total" xfId="727"/>
    <cellStyle name="Salomon Logo" xfId="728"/>
    <cellStyle name="SAPBEXaggData" xfId="729"/>
    <cellStyle name="SAPBEXaggDataEmph" xfId="730"/>
    <cellStyle name="SAPBEXaggItem" xfId="731"/>
    <cellStyle name="SAPBEXaggItemX" xfId="732"/>
    <cellStyle name="SAPBEXchaText" xfId="733"/>
    <cellStyle name="SAPBEXexcBad7" xfId="734"/>
    <cellStyle name="SAPBEXexcBad8" xfId="735"/>
    <cellStyle name="SAPBEXexcBad9" xfId="736"/>
    <cellStyle name="SAPBEXexcCritical4" xfId="737"/>
    <cellStyle name="SAPBEXexcCritical5" xfId="738"/>
    <cellStyle name="SAPBEXexcCritical6" xfId="739"/>
    <cellStyle name="SAPBEXexcGood1" xfId="740"/>
    <cellStyle name="SAPBEXexcGood2" xfId="741"/>
    <cellStyle name="SAPBEXexcGood3" xfId="742"/>
    <cellStyle name="SAPBEXfilterDrill" xfId="743"/>
    <cellStyle name="SAPBEXfilterItem" xfId="744"/>
    <cellStyle name="SAPBEXfilterText" xfId="745"/>
    <cellStyle name="SAPBEXformats" xfId="746"/>
    <cellStyle name="SAPBEXheaderItem" xfId="747"/>
    <cellStyle name="SAPBEXheaderText" xfId="748"/>
    <cellStyle name="SAPBEXHLevel0" xfId="749"/>
    <cellStyle name="SAPBEXHLevel0X" xfId="750"/>
    <cellStyle name="SAPBEXHLevel1" xfId="751"/>
    <cellStyle name="SAPBEXHLevel1X" xfId="752"/>
    <cellStyle name="SAPBEXHLevel2" xfId="753"/>
    <cellStyle name="SAPBEXHLevel2X" xfId="754"/>
    <cellStyle name="SAPBEXHLevel3" xfId="755"/>
    <cellStyle name="SAPBEXHLevel3X" xfId="756"/>
    <cellStyle name="SAPBEXresData" xfId="757"/>
    <cellStyle name="SAPBEXresDataEmph" xfId="758"/>
    <cellStyle name="SAPBEXresItem" xfId="759"/>
    <cellStyle name="SAPBEXresItemX" xfId="760"/>
    <cellStyle name="SAPBEXstdData" xfId="761"/>
    <cellStyle name="SAPBEXstdDataEmph" xfId="762"/>
    <cellStyle name="SAPBEXstdItem" xfId="763"/>
    <cellStyle name="SAPBEXstdItemX" xfId="764"/>
    <cellStyle name="SAPBEXtitle" xfId="765"/>
    <cellStyle name="SAPBEXundefined" xfId="766"/>
    <cellStyle name="ScotchRule" xfId="767"/>
    <cellStyle name="SectionHeading" xfId="768"/>
    <cellStyle name="shade" xfId="769"/>
    <cellStyle name="Shaded" xfId="770"/>
    <cellStyle name="Shares" xfId="771"/>
    <cellStyle name="sharesout" xfId="772"/>
    <cellStyle name="Single Accounting" xfId="773"/>
    <cellStyle name="SPOl" xfId="774"/>
    <cellStyle name="SS Col Hdr" xfId="775"/>
    <cellStyle name="SS Dim 1 Blank" xfId="776"/>
    <cellStyle name="SS Dim 1 Title" xfId="777"/>
    <cellStyle name="SS Dim 1 Value" xfId="778"/>
    <cellStyle name="SS Dim 2 Blank" xfId="779"/>
    <cellStyle name="SS Dim 2 Title" xfId="780"/>
    <cellStyle name="SS Dim 2 Value" xfId="781"/>
    <cellStyle name="SS Dim 3 Blank" xfId="782"/>
    <cellStyle name="SS Dim 3 Title" xfId="783"/>
    <cellStyle name="SS Dim 3 Value" xfId="784"/>
    <cellStyle name="SS Dim 4 Blank" xfId="785"/>
    <cellStyle name="SS Dim 4 Title" xfId="786"/>
    <cellStyle name="SS Dim 4 Value" xfId="787"/>
    <cellStyle name="SS Dim 5 Blank" xfId="788"/>
    <cellStyle name="SS Dim 5 Title" xfId="789"/>
    <cellStyle name="SS Dim 5 Value" xfId="790"/>
    <cellStyle name="SS Other Measure" xfId="791"/>
    <cellStyle name="SS Sum Measure" xfId="792"/>
    <cellStyle name="SS Unbound Dim" xfId="793"/>
    <cellStyle name="SS WAvg Measure" xfId="794"/>
    <cellStyle name="SSComma0" xfId="795"/>
    <cellStyle name="SSComma2" xfId="796"/>
    <cellStyle name="SSDecs3" xfId="797"/>
    <cellStyle name="SSDflt" xfId="798"/>
    <cellStyle name="SSDfltPct" xfId="799"/>
    <cellStyle name="SSDfltPct0" xfId="800"/>
    <cellStyle name="SSFixed2" xfId="801"/>
    <cellStyle name="Standaard_TELECOM" xfId="802"/>
    <cellStyle name="Standard_020109_IMP_DetailedDATA_Long run business plan_GS" xfId="803"/>
    <cellStyle name="Std Currency" xfId="804"/>
    <cellStyle name="Std Input" xfId="805"/>
    <cellStyle name="Std Number" xfId="806"/>
    <cellStyle name="Std Percent" xfId="807"/>
    <cellStyle name="Std Text" xfId="808"/>
    <cellStyle name="Strange" xfId="809"/>
    <cellStyle name="STYL1 - Style1" xfId="810"/>
    <cellStyle name="STYL2 - Style2" xfId="811"/>
    <cellStyle name="STYL3 - Style3" xfId="812"/>
    <cellStyle name="STYL4 - Style4" xfId="813"/>
    <cellStyle name="STYL5 - Style5" xfId="814"/>
    <cellStyle name="Style 1" xfId="815"/>
    <cellStyle name="Style 2" xfId="816"/>
    <cellStyle name="Style 21" xfId="817"/>
    <cellStyle name="Style 22" xfId="818"/>
    <cellStyle name="Style 23" xfId="819"/>
    <cellStyle name="Style 24" xfId="820"/>
    <cellStyle name="Style 25" xfId="821"/>
    <cellStyle name="Style 26" xfId="822"/>
    <cellStyle name="Style 27" xfId="823"/>
    <cellStyle name="Style 28" xfId="824"/>
    <cellStyle name="Style 29" xfId="825"/>
    <cellStyle name="Style 30" xfId="826"/>
    <cellStyle name="Style 31" xfId="827"/>
    <cellStyle name="Style 32" xfId="828"/>
    <cellStyle name="Style 33" xfId="829"/>
    <cellStyle name="Style 34" xfId="830"/>
    <cellStyle name="Style 35" xfId="831"/>
    <cellStyle name="Style 36" xfId="832"/>
    <cellStyle name="Style 37" xfId="833"/>
    <cellStyle name="Style 38" xfId="834"/>
    <cellStyle name="Style 39" xfId="835"/>
    <cellStyle name="Style 40" xfId="836"/>
    <cellStyle name="Style 41" xfId="837"/>
    <cellStyle name="Style 42" xfId="838"/>
    <cellStyle name="Style 43" xfId="839"/>
    <cellStyle name="Style 44" xfId="840"/>
    <cellStyle name="Style 45" xfId="841"/>
    <cellStyle name="Style 46" xfId="842"/>
    <cellStyle name="Style 47" xfId="843"/>
    <cellStyle name="Style 48" xfId="844"/>
    <cellStyle name="Style 49" xfId="845"/>
    <cellStyle name="Style 50" xfId="846"/>
    <cellStyle name="Style 51" xfId="847"/>
    <cellStyle name="Style 52" xfId="848"/>
    <cellStyle name="Style 53" xfId="849"/>
    <cellStyle name="Style 87" xfId="850"/>
    <cellStyle name="Style 93" xfId="851"/>
    <cellStyle name="SubDollar" xfId="852"/>
    <cellStyle name="SubGrowth" xfId="853"/>
    <cellStyle name="SubGrowthRate" xfId="854"/>
    <cellStyle name="Subhead" xfId="855"/>
    <cellStyle name="Sub-Heading" xfId="856"/>
    <cellStyle name="SubHeading1" xfId="857"/>
    <cellStyle name="SubMargins" xfId="858"/>
    <cellStyle name="Subscribers" xfId="859"/>
    <cellStyle name="Subtitle" xfId="860"/>
    <cellStyle name="Subtotal_left" xfId="861"/>
    <cellStyle name="SubVariable" xfId="862"/>
    <cellStyle name="summary info only" xfId="863"/>
    <cellStyle name="SymbolBlue" xfId="864"/>
    <cellStyle name="Table" xfId="865"/>
    <cellStyle name="Table Col Head" xfId="866"/>
    <cellStyle name="Table Head" xfId="867"/>
    <cellStyle name="Table Head Aligned" xfId="868"/>
    <cellStyle name="Table Head Blue" xfId="869"/>
    <cellStyle name="Table Head Green" xfId="870"/>
    <cellStyle name="Table Head_Briefing Book Outputs - Pro Forma 1 4.27" xfId="871"/>
    <cellStyle name="Table Sub Head" xfId="872"/>
    <cellStyle name="Table Text" xfId="873"/>
    <cellStyle name="Table Title" xfId="874"/>
    <cellStyle name="Table Units" xfId="875"/>
    <cellStyle name="Table-#" xfId="876"/>
    <cellStyle name="Table-Body" xfId="877"/>
    <cellStyle name="Table-Headings" xfId="878"/>
    <cellStyle name="Table-Titles" xfId="879"/>
    <cellStyle name="Test [green]" xfId="880"/>
    <cellStyle name="Text 1" xfId="881"/>
    <cellStyle name="Text 8" xfId="882"/>
    <cellStyle name="Text Head 1" xfId="883"/>
    <cellStyle name="Text Indent A" xfId="884"/>
    <cellStyle name="Text Indent B" xfId="885"/>
    <cellStyle name="Text Indent C" xfId="886"/>
    <cellStyle name="text left" xfId="887"/>
    <cellStyle name="textbold" xfId="888"/>
    <cellStyle name="TFCF" xfId="889"/>
    <cellStyle name="thenums" xfId="890"/>
    <cellStyle name="threedecplace" xfId="891"/>
    <cellStyle name="Time Strip" xfId="892"/>
    <cellStyle name="Times 10" xfId="893"/>
    <cellStyle name="Times 12" xfId="894"/>
    <cellStyle name="Times New Roman" xfId="895"/>
    <cellStyle name="Title - PROJECT" xfId="896"/>
    <cellStyle name="Title - Underline" xfId="897"/>
    <cellStyle name="Title [Helv]" xfId="898"/>
    <cellStyle name="Title [Palat]" xfId="899"/>
    <cellStyle name="Title II" xfId="900"/>
    <cellStyle name="Title1" xfId="901"/>
    <cellStyle name="Title10" xfId="902"/>
    <cellStyle name="Title2" xfId="903"/>
    <cellStyle name="Title8" xfId="904"/>
    <cellStyle name="Title8Left" xfId="905"/>
    <cellStyle name="TitleCenter" xfId="906"/>
    <cellStyle name="TitleII" xfId="907"/>
    <cellStyle name="TitleLeft" xfId="908"/>
    <cellStyle name="Titles" xfId="909"/>
    <cellStyle name="Titles - Col. Headings" xfId="910"/>
    <cellStyle name="Titles - Other" xfId="911"/>
    <cellStyle name="Titles_MS_VZ_081506" xfId="912"/>
    <cellStyle name="TopCaption" xfId="913"/>
    <cellStyle name="TopGrey" xfId="914"/>
    <cellStyle name="topline" xfId="915"/>
    <cellStyle name="Totals" xfId="916"/>
    <cellStyle name="TransVal" xfId="917"/>
    <cellStyle name="twodecplace" xfId="918"/>
    <cellStyle name="u" xfId="919"/>
    <cellStyle name="ubordinated Debt" xfId="920"/>
    <cellStyle name="underline" xfId="921"/>
    <cellStyle name="Units" xfId="922"/>
    <cellStyle name="UNLOCKED" xfId="923"/>
    <cellStyle name="UN-Locked" xfId="924"/>
    <cellStyle name="Unprot" xfId="925"/>
    <cellStyle name="Unprot$" xfId="926"/>
    <cellStyle name="Unprotect" xfId="927"/>
    <cellStyle name="UnProtectedCalc" xfId="928"/>
    <cellStyle name="Unsure" xfId="929"/>
    <cellStyle name="Upload Only" xfId="930"/>
    <cellStyle name="User_Defined_A" xfId="931"/>
    <cellStyle name="Valuation" xfId="932"/>
    <cellStyle name="Valuation Bold" xfId="933"/>
    <cellStyle name="Valuation_Citi_VZ_090806" xfId="934"/>
    <cellStyle name="Value_TABLE-A" xfId="935"/>
    <cellStyle name="ValueşTABLE-A" xfId="936"/>
    <cellStyle name="Valuta (0)_riep" xfId="937"/>
    <cellStyle name="Valuta_Company Summary (2)" xfId="938"/>
    <cellStyle name="Valutš_CompanŹ SummarŹ (2)" xfId="939"/>
    <cellStyle name="Volume" xfId="940"/>
    <cellStyle name="Währung [0]_AddIn P+L Total" xfId="941"/>
    <cellStyle name="Währung_AddIn P+L Total" xfId="942"/>
    <cellStyle name="WähŲung_Addŉn P+L Total" xfId="943"/>
    <cellStyle name="Web Row Title 1" xfId="944"/>
    <cellStyle name="Web Row Title 2" xfId="945"/>
    <cellStyle name="web_ normal" xfId="946"/>
    <cellStyle name="WǤhrung [0]_AddInĠP+L Total" xfId="947"/>
    <cellStyle name="White" xfId="948"/>
    <cellStyle name="WholeNumber" xfId="949"/>
    <cellStyle name="WingdingsBlack" xfId="950"/>
    <cellStyle name="WingdingsRed" xfId="951"/>
    <cellStyle name="WingdingsWhite" xfId="952"/>
    <cellStyle name="WP" xfId="953"/>
    <cellStyle name="WrappedBold" xfId="954"/>
    <cellStyle name="x Men" xfId="955"/>
    <cellStyle name="Year" xfId="956"/>
    <cellStyle name="YearInput" xfId="957"/>
    <cellStyle name="YearInputBk" xfId="958"/>
    <cellStyle name="YearInputBu" xfId="959"/>
    <cellStyle name="yellow" xfId="960"/>
    <cellStyle name="Yen" xfId="961"/>
    <cellStyle name="ZZ_Figures_Main" xfId="962"/>
    <cellStyle name="ハイパーリンク" xfId="963"/>
    <cellStyle name="標準_1951_0006" xfId="964"/>
    <cellStyle name="Normal 2 3" xfId="965"/>
    <cellStyle name="Normal 3 3" xfId="966"/>
    <cellStyle name="Percent 2 2" xfId="967"/>
    <cellStyle name="Normal 6 2 2" xfId="968"/>
    <cellStyle name="Percent 3 2 2" xfId="969"/>
    <cellStyle name="TextNormal" xfId="970"/>
    <cellStyle name="Normal 16" xfId="971"/>
    <cellStyle name="Normal 7" xfId="972"/>
    <cellStyle name="Normal 3 2 2" xfId="973"/>
    <cellStyle name="Normal 10" xfId="974"/>
    <cellStyle name="Comma 4" xfId="975"/>
    <cellStyle name="Percent 7" xfId="976"/>
    <cellStyle name="Array 2" xfId="977"/>
    <cellStyle name="Array Enter 2" xfId="978"/>
    <cellStyle name="Band 2 2" xfId="979"/>
    <cellStyle name="Currency 0.0 2" xfId="980"/>
    <cellStyle name="Normal 0.0 2" xfId="981"/>
    <cellStyle name="PB Table Highlight2 2" xfId="982"/>
    <cellStyle name="Percent 0.0 2" xfId="983"/>
    <cellStyle name="Quantity 2" xfId="984"/>
    <cellStyle name="Red Text 2" xfId="985"/>
    <cellStyle name="Table Units 2" xfId="986"/>
    <cellStyle name="UnProtectedCalc 2" xfId="987"/>
    <cellStyle name="Normal 12" xfId="988"/>
    <cellStyle name="Comma 5" xfId="989"/>
    <cellStyle name="Percent 8" xfId="990"/>
    <cellStyle name="Blue_AV Model_MS_012505" xfId="991"/>
    <cellStyle name="Comma 0_Kan Loral model" xfId="992"/>
    <cellStyle name="Comma 2_Kan Loral model" xfId="993"/>
    <cellStyle name="Currency 0_MS_VZ_081506" xfId="994"/>
    <cellStyle name="Currency 2_Consolidated Model v164(Tenovis Model)" xfId="995"/>
    <cellStyle name="Currency--_Kan Loral model" xfId="996"/>
    <cellStyle name="Growth_Citi_VZ_090806" xfId="997"/>
    <cellStyle name="Normal--_Kan Loral model" xfId="998"/>
    <cellStyle name="Percent [3]_Kan Loral model" xfId="999"/>
    <cellStyle name="Percent [3]--_Kan Loral model" xfId="1000"/>
    <cellStyle name="Percent [3]_Round4_Revised_v142" xfId="1001"/>
    <cellStyle name="Percent [3]--_Round4_Revised_v142" xfId="1002"/>
    <cellStyle name="Percent [3]_Round4_Revised_v142_Kan Loral model" xfId="1003"/>
    <cellStyle name="Percent [3]--_Trading Comps_062405 v4" xfId="1004"/>
    <cellStyle name="Percent [3]_Trading Comps_070105 v2" xfId="1005"/>
    <cellStyle name="Percent [3]--_Trading Comps_070105 v2" xfId="1006"/>
    <cellStyle name="UNLOCKED_Paragon" xfId="1007"/>
    <cellStyle name="Unprot_CurrencySKorea" xfId="1008"/>
    <cellStyle name="Normal 13" xfId="1009"/>
    <cellStyle name="Comma 6" xfId="1010"/>
    <cellStyle name="Percent 9" xfId="1011"/>
    <cellStyle name="Date [mm-d-yyyy] 2" xfId="1012"/>
    <cellStyle name="Normal 9 2" xfId="1013"/>
    <cellStyle name="_Table_Summary" xfId="1014"/>
    <cellStyle name="Normal 10 2" xfId="1015"/>
    <cellStyle name="Normal 2 2 3" xfId="1016"/>
    <cellStyle name="Normal 11 2" xfId="1017"/>
    <cellStyle name="Normal 14" xfId="1018"/>
    <cellStyle name="Percent 10" xfId="1019"/>
    <cellStyle name="_Table 3" xfId="1020"/>
    <cellStyle name="Afjusted 3" xfId="1021"/>
    <cellStyle name="Percent 2 4" xfId="1022"/>
    <cellStyle name="Normal 2 2 2 2" xfId="1023"/>
    <cellStyle name="Normal 6 2 3" xfId="1024"/>
    <cellStyle name="Percent 3 2 3" xfId="1025"/>
    <cellStyle name="_x000a_386grabber=M" xfId="1026"/>
    <cellStyle name="Normal 3 4" xfId="1027"/>
    <cellStyle name="Normal 6 2 2 2" xfId="1028"/>
    <cellStyle name="Normal 6 2 3 2" xfId="1029"/>
    <cellStyle name="Normal 6 3" xfId="1030"/>
    <cellStyle name="Normal 7 2" xfId="1031"/>
    <cellStyle name="Percent 3 2 3 2" xfId="1032"/>
    <cellStyle name="Percent 4 3" xfId="1033"/>
    <cellStyle name="Percent 5 3" xfId="1034"/>
    <cellStyle name="Normal 9 3" xfId="1035"/>
    <cellStyle name="_Table 2" xfId="1036"/>
    <cellStyle name="ac 2" xfId="1037"/>
    <cellStyle name="Afjusted 2" xfId="1038"/>
    <cellStyle name="Bold/Border 2" xfId="1039"/>
    <cellStyle name="Border Thin 2" xfId="1040"/>
    <cellStyle name="COL HEADINGS 2" xfId="1041"/>
    <cellStyle name="Comma 3 2" xfId="1042"/>
    <cellStyle name="Currency-- 4" xfId="1043"/>
    <cellStyle name="Currency-- 2" xfId="1044"/>
    <cellStyle name="Date [mmm-yyyy] 2" xfId="1045"/>
    <cellStyle name="dp*LabelItalicsLineAbove 2" xfId="1046"/>
    <cellStyle name="dp*LabelLine 2" xfId="1047"/>
    <cellStyle name="dp*NumberCurrencyLine 2" xfId="1048"/>
    <cellStyle name="dp*NumberLine 2" xfId="1049"/>
    <cellStyle name="dp*NumberLineEPS 2" xfId="1050"/>
    <cellStyle name="dp*SheetSubTitle 2" xfId="1051"/>
    <cellStyle name="dp*SubTitle 2" xfId="1052"/>
    <cellStyle name="dp*ThinLineBelow 2" xfId="1053"/>
    <cellStyle name="Millions 3" xfId="1054"/>
    <cellStyle name="Global 2" xfId="1055"/>
    <cellStyle name="Header2 2" xfId="1056"/>
    <cellStyle name="Heading [Helv] 2" xfId="1057"/>
    <cellStyle name="Heading [Palat] 2" xfId="1058"/>
    <cellStyle name="Millions 4" xfId="1059"/>
    <cellStyle name="Magic 2" xfId="1060"/>
    <cellStyle name="Millions 2" xfId="1061"/>
    <cellStyle name="dp*NumberCurrencyLine 3" xfId="1062"/>
    <cellStyle name="dp*LabelLine 3" xfId="1063"/>
    <cellStyle name="dp*LabelItalicsLineAbove 3" xfId="1064"/>
    <cellStyle name="Outputs 2" xfId="1065"/>
    <cellStyle name="PB Table Standard Row 2" xfId="1066"/>
    <cellStyle name="Percent 2 3" xfId="1067"/>
    <cellStyle name="P-Green Rule 2" xfId="1068"/>
    <cellStyle name="Currency-- 3" xfId="1069"/>
    <cellStyle name="Band 2 3" xfId="1070"/>
    <cellStyle name="Style 44 3" xfId="1071"/>
    <cellStyle name="Style 45 3" xfId="1072"/>
    <cellStyle name="Style 49 3" xfId="1073"/>
    <cellStyle name="Style 51 3" xfId="1074"/>
    <cellStyle name="Style 41 2" xfId="1075"/>
    <cellStyle name="Style 44 2" xfId="1076"/>
    <cellStyle name="Style 45 2" xfId="1077"/>
    <cellStyle name="Style 46 2" xfId="1078"/>
    <cellStyle name="Style 49 2" xfId="1079"/>
    <cellStyle name="Style 51 2" xfId="1080"/>
    <cellStyle name="Table Head Aligned 2" xfId="1081"/>
    <cellStyle name="Table Head Green 2" xfId="1082"/>
    <cellStyle name="Time Strip 2" xfId="1083"/>
    <cellStyle name="Title [Helv] 2" xfId="1084"/>
    <cellStyle name="Title [Palat] 2" xfId="1085"/>
    <cellStyle name="Normal 6 2 4" xfId="1086"/>
    <cellStyle name="Percent 3 2 4" xfId="1087"/>
    <cellStyle name="Normal 6 4" xfId="1088"/>
    <cellStyle name="Percent 3 3" xfId="1089"/>
    <cellStyle name="Normal 6 2 2 3" xfId="1090"/>
    <cellStyle name="Percent 3 2 2 2" xfId="1091"/>
    <cellStyle name="Normal 6 2 3 3" xfId="1092"/>
    <cellStyle name="Percent 3 2 3 3" xfId="1093"/>
    <cellStyle name="Normal 3 4 2" xfId="1094"/>
    <cellStyle name="Normal 6 2 2 2 2" xfId="1095"/>
    <cellStyle name="Normal 6 2 3 2 2" xfId="1096"/>
    <cellStyle name="Normal 6 3 2" xfId="1097"/>
    <cellStyle name="Normal 8 2" xfId="1098"/>
    <cellStyle name="Percent 3 2 3 2 2" xfId="1099"/>
    <cellStyle name="Percent 5 2" xfId="1100"/>
    <cellStyle name="Normal 8 2 2" xfId="1101"/>
    <cellStyle name="Normal 12 2" xfId="1102"/>
    <cellStyle name="Normal 15" xfId="1103"/>
    <cellStyle name="Percent 11" xfId="1104"/>
    <cellStyle name="Currency-- 5" xfId="1105"/>
    <cellStyle name="Millions 5" xfId="1106"/>
    <cellStyle name="Comma 7 3" xfId="1107"/>
    <cellStyle name="Normal 49 3" xfId="1108"/>
    <cellStyle name="Currency 5" xfId="1109"/>
    <cellStyle name="Normal 13 2" xfId="1110"/>
    <cellStyle name="Comma 4 3" xfId="1111"/>
    <cellStyle name="Currency 4" xfId="1112"/>
    <cellStyle name="Percent 6 2" xfId="1113"/>
    <cellStyle name="Normal 17" xfId="1114"/>
    <cellStyle name="Comma 8" xfId="1115"/>
    <cellStyle name="Percent 12" xfId="1116"/>
    <cellStyle name="Arial6Bold 2" xfId="1117"/>
    <cellStyle name="Arial8Bold 2" xfId="1118"/>
    <cellStyle name="Arial8Italic 2" xfId="1119"/>
    <cellStyle name="ArialNormal 2" xfId="1120"/>
    <cellStyle name="Border 2" xfId="1121"/>
    <cellStyle name="Currency-- 6" xfId="1122"/>
    <cellStyle name="DateYearEstimate 2" xfId="1123"/>
    <cellStyle name="DateYearWholeEstimate 2" xfId="1124"/>
    <cellStyle name="dp*Number%ItalicsLineAbove 2" xfId="1125"/>
    <cellStyle name="dp*ThinLineAbove 2" xfId="1126"/>
    <cellStyle name="Draw lines around data in range 2" xfId="1127"/>
    <cellStyle name="Draw shadow and lines within range 2" xfId="1128"/>
    <cellStyle name="FieldName 2" xfId="1129"/>
    <cellStyle name="Format a row of totals 2" xfId="1130"/>
    <cellStyle name="Format text as bold, black on yellow 2" xfId="1131"/>
    <cellStyle name="ItemTypeClass 2" xfId="1132"/>
    <cellStyle name="Main 2" xfId="1133"/>
    <cellStyle name="Millions 6" xfId="1134"/>
    <cellStyle name="SAPBEXaggData 2" xfId="1135"/>
    <cellStyle name="SAPBEXaggDataEmph 2" xfId="1136"/>
    <cellStyle name="SAPBEXaggItem 2" xfId="1137"/>
    <cellStyle name="SAPBEXaggItemX 2" xfId="1138"/>
    <cellStyle name="SAPBEXexcBad7 2" xfId="1139"/>
    <cellStyle name="SAPBEXexcBad8 2" xfId="1140"/>
    <cellStyle name="SAPBEXexcBad9 2" xfId="1141"/>
    <cellStyle name="SAPBEXexcCritical4 2" xfId="1142"/>
    <cellStyle name="SAPBEXexcCritical5 2" xfId="1143"/>
    <cellStyle name="SAPBEXexcCritical6 2" xfId="1144"/>
    <cellStyle name="SAPBEXexcGood1 2" xfId="1145"/>
    <cellStyle name="SAPBEXexcGood2 2" xfId="1146"/>
    <cellStyle name="SAPBEXexcGood3 2" xfId="1147"/>
    <cellStyle name="SAPBEXformats 2" xfId="1148"/>
    <cellStyle name="SAPBEXHLevel0 2" xfId="1149"/>
    <cellStyle name="SAPBEXHLevel0X 2" xfId="1150"/>
    <cellStyle name="SAPBEXHLevel1 2" xfId="1151"/>
    <cellStyle name="SAPBEXHLevel1X 2" xfId="1152"/>
    <cellStyle name="SAPBEXHLevel2 2" xfId="1153"/>
    <cellStyle name="SAPBEXHLevel2X 2" xfId="1154"/>
    <cellStyle name="SAPBEXHLevel3 2" xfId="1155"/>
    <cellStyle name="SAPBEXHLevel3X 2" xfId="1156"/>
    <cellStyle name="SAPBEXresData 2" xfId="1157"/>
    <cellStyle name="SAPBEXresDataEmph 2" xfId="1158"/>
    <cellStyle name="SAPBEXresItem 2" xfId="1159"/>
    <cellStyle name="SAPBEXresItemX 2" xfId="1160"/>
    <cellStyle name="SAPBEXstdData 2" xfId="1161"/>
    <cellStyle name="SAPBEXstdDataEmph 2" xfId="1162"/>
    <cellStyle name="SAPBEXstdItem 2" xfId="1163"/>
    <cellStyle name="SAPBEXstdItemX 2" xfId="1164"/>
    <cellStyle name="SAPBEXtitle 2" xfId="1165"/>
    <cellStyle name="SAPBEXundefined 2" xfId="1166"/>
    <cellStyle name="SSComma0 2" xfId="1167"/>
    <cellStyle name="SSComma2 2" xfId="1168"/>
    <cellStyle name="SSDecs3 2" xfId="1169"/>
    <cellStyle name="SSDfltPct 2" xfId="1170"/>
    <cellStyle name="SSDfltPct0 2" xfId="1171"/>
    <cellStyle name="SSFixed2 2" xfId="1172"/>
    <cellStyle name="Style 21 2" xfId="1173"/>
    <cellStyle name="Style 22 2" xfId="1174"/>
    <cellStyle name="Style 24 2" xfId="1175"/>
    <cellStyle name="Style 25 2" xfId="1176"/>
    <cellStyle name="Style 26 2" xfId="1177"/>
    <cellStyle name="Style 27 2" xfId="1178"/>
    <cellStyle name="Style 28 2" xfId="1179"/>
    <cellStyle name="Style 35 2" xfId="1180"/>
    <cellStyle name="Style 36 2" xfId="1181"/>
    <cellStyle name="Style 37 2" xfId="1182"/>
    <cellStyle name="Style 40 2" xfId="1183"/>
    <cellStyle name="Style 42 2" xfId="1184"/>
    <cellStyle name="Style 43 2" xfId="1185"/>
    <cellStyle name="Style 48 2" xfId="1186"/>
    <cellStyle name="Style 50 2" xfId="1187"/>
    <cellStyle name="Style 52 2" xfId="1188"/>
    <cellStyle name="Style 53 2" xfId="1189"/>
    <cellStyle name="SymbolBlue 2" xfId="1190"/>
    <cellStyle name="UNLOCKED 2" xfId="1191"/>
    <cellStyle name="WingdingsBlack 2" xfId="1192"/>
    <cellStyle name="WingdingsRed 2" xfId="1193"/>
    <cellStyle name="WingdingsWhite 2" xfId="1194"/>
    <cellStyle name="Normal 18" xfId="1195"/>
    <cellStyle name="Comma 9" xfId="1196"/>
    <cellStyle name="Percent 13" xfId="1197"/>
    <cellStyle name="Date [mm-d-yyyy] 3" xfId="1198"/>
    <cellStyle name="UnProtectedCalc 3" xfId="1199"/>
    <cellStyle name="UNLOCKED 4" xfId="1200"/>
    <cellStyle name="Table Units 3" xfId="1201"/>
    <cellStyle name="Style 51 4" xfId="1202"/>
    <cellStyle name="Style 49 4" xfId="1203"/>
    <cellStyle name="Style 45 4" xfId="1204"/>
    <cellStyle name="Style 44 4" xfId="1205"/>
    <cellStyle name="Currency-- 7" xfId="1206"/>
    <cellStyle name="P-Green Rule 3" xfId="1207"/>
    <cellStyle name="PB Table Standard Row 3" xfId="1208"/>
    <cellStyle name="Millions 7" xfId="1209"/>
    <cellStyle name="dp*ThinLineBelow 3" xfId="1210"/>
    <cellStyle name="dp*SubTitle 3" xfId="1211"/>
    <cellStyle name="dp*NumberCurrencyLine 4" xfId="1212"/>
    <cellStyle name="dp*LabelLine 4" xfId="1213"/>
    <cellStyle name="dp*LabelItalicsLineAbove 4" xfId="1214"/>
    <cellStyle name="Currency-- 8" xfId="1215"/>
    <cellStyle name="Border Thin 3" xfId="1216"/>
    <cellStyle name="_Table 4" xfId="1217"/>
    <cellStyle name="UNLOCKED 3" xfId="1218"/>
    <cellStyle name="Percent 14" xfId="1219"/>
    <cellStyle name="Comma 10" xfId="1220"/>
    <cellStyle name="Normal 19" xfId="1221"/>
    <cellStyle name="Normal 20" xfId="1222"/>
    <cellStyle name="Comma 11" xfId="1223"/>
    <cellStyle name="Percent 15" xfId="1224"/>
    <cellStyle name="Currency-- 9" xfId="1225"/>
    <cellStyle name="UNLOCKED 5" xfId="1226"/>
    <cellStyle name="Normal 21" xfId="1227"/>
    <cellStyle name="Percent 16" xfId="1228"/>
    <cellStyle name="Afjusted 4" xfId="1229"/>
    <cellStyle name="Currency-- 10" xfId="1230"/>
    <cellStyle name="UNLOCKED 6" xfId="1231"/>
    <cellStyle name="_Table 2 2" xfId="1232"/>
    <cellStyle name="ac 2 2" xfId="1233"/>
    <cellStyle name="Afjusted 2 2" xfId="1234"/>
    <cellStyle name="Bold/Border 2 2" xfId="1235"/>
    <cellStyle name="COL HEADINGS 2 2" xfId="1236"/>
    <cellStyle name="Date [mmm-yyyy] 2 2" xfId="1237"/>
    <cellStyle name="dp*LabelItalicsLineAbove 2 2" xfId="1238"/>
    <cellStyle name="dp*LabelLine 2 2" xfId="1239"/>
    <cellStyle name="dp*NumberCurrencyLine 2 2" xfId="1240"/>
    <cellStyle name="dp*NumberLine 2 2" xfId="1241"/>
    <cellStyle name="dp*NumberLineEPS 2 2" xfId="1242"/>
    <cellStyle name="dp*SheetSubTitle 2 2" xfId="1243"/>
    <cellStyle name="Heading [Helv] 2 2" xfId="1244"/>
    <cellStyle name="Heading [Palat] 2 2" xfId="1245"/>
    <cellStyle name="Magic 2 2" xfId="1246"/>
    <cellStyle name="Outputs 2 2" xfId="1247"/>
    <cellStyle name="Table Head Aligned 2 2" xfId="1248"/>
    <cellStyle name="Table Head Green 2 2" xfId="1249"/>
    <cellStyle name="Title [Helv] 2 2" xfId="1250"/>
    <cellStyle name="Title [Palat] 2 2" xfId="1251"/>
    <cellStyle name="Comma 12" xfId="1252"/>
    <cellStyle name="Currency 6" xfId="1253"/>
    <cellStyle name="Normal 189" xfId="1254"/>
    <cellStyle name="Percent 109" xfId="1255"/>
    <cellStyle name="Normal 191" xfId="1256"/>
    <cellStyle name="Normal 193" xfId="1257"/>
    <cellStyle name="Normal 194" xfId="1258"/>
    <cellStyle name="Normal 195" xfId="1259"/>
    <cellStyle name="Normal 196" xfId="1260"/>
    <cellStyle name="Normal 197" xfId="1261"/>
    <cellStyle name="Comma 120" xfId="1262"/>
    <cellStyle name="Comma 114" xfId="1263"/>
    <cellStyle name="Normal 2 2 2 2 3" xfId="1264"/>
    <cellStyle name="Normal 9 4" xfId="1265"/>
    <cellStyle name="Normal 3 2 2 3 2" xfId="1266"/>
    <cellStyle name="Normal 2 2 2 2 2" xfId="1267"/>
    <cellStyle name="Normal 3 2 2 3 3 2 2 2" xfId="1268"/>
    <cellStyle name="Comma 2 2" xfId="1269"/>
    <cellStyle name="Percent 2 3 2" xfId="1270"/>
    <cellStyle name="Normal 22" xfId="1271"/>
    <cellStyle name="Comma 14" xfId="1272"/>
    <cellStyle name="Percent 17" xfId="1273"/>
    <cellStyle name="Currency-- 11" xfId="1274"/>
    <cellStyle name="UNLOCKED 7" xfId="1275"/>
    <cellStyle name="Normal 23" xfId="1276"/>
    <cellStyle name="Comma 15" xfId="1277"/>
    <cellStyle name="Percent 18" xfId="1278"/>
    <cellStyle name="Currency-- 12" xfId="1279"/>
    <cellStyle name="UNLOCKED 8" xfId="1280"/>
    <cellStyle name="Normal 24" xfId="1281"/>
    <cellStyle name="Comma 16" xfId="1282"/>
    <cellStyle name="Currency 7" xfId="1283"/>
    <cellStyle name="Percent 19" xfId="1284"/>
    <cellStyle name="Normal 2 4" xfId="1285"/>
    <cellStyle name="Normal 13 3" xfId="1286"/>
    <cellStyle name="EYtext 10" xfId="1287"/>
    <cellStyle name="EY0dp 3" xfId="1288"/>
    <cellStyle name="Normal 4 2" xfId="1289"/>
    <cellStyle name="EYtext" xfId="1290"/>
    <cellStyle name="EY0dp" xfId="1291"/>
    <cellStyle name="Normal 8 4" xfId="1292"/>
    <cellStyle name="Normal 154" xfId="1293"/>
    <cellStyle name="Normal 13 2 2" xfId="1294"/>
    <cellStyle name="EYtext 10 2" xfId="1295"/>
    <cellStyle name="EYCurrency 2" xfId="1296"/>
    <cellStyle name="EY1dp" xfId="1297"/>
    <cellStyle name="EYColumnHeading 10" xfId="1298"/>
    <cellStyle name="EYSource 2" xfId="1299"/>
    <cellStyle name="Currency 3 2" xfId="1300"/>
    <cellStyle name="_RangeRows" xfId="1301"/>
    <cellStyle name="Normal 2 2 2 3" xfId="1302"/>
    <cellStyle name="Comma 2 3" xfId="1303"/>
    <cellStyle name="Percent 2 5" xfId="1304"/>
    <cellStyle name="Normal 2 2 2_DCF" xfId="1305"/>
    <cellStyle name="Normal 41" xfId="1306"/>
    <cellStyle name="Normal 2 5" xfId="1307"/>
    <cellStyle name="Normal 2 2 6" xfId="1308"/>
    <cellStyle name="Normal 3 6" xfId="1309"/>
    <cellStyle name="Normal 2 2 4" xfId="1310"/>
    <cellStyle name="dp*SubTitle 2 2" xfId="1311"/>
    <cellStyle name="Border Thin 2 2" xfId="1312"/>
    <cellStyle name="Normal 4 4" xfId="1313"/>
    <cellStyle name="Comma 4 4" xfId="1314"/>
    <cellStyle name="Comma 2 5" xfId="1315"/>
    <cellStyle name="Normal 2 3 3" xfId="1316"/>
    <cellStyle name="Percent 3 5" xfId="1317"/>
    <cellStyle name="Title 2" xfId="1318"/>
    <cellStyle name="Neutral 2" xfId="1319"/>
    <cellStyle name="Normal 5 3" xfId="1320"/>
    <cellStyle name="60% - Accent1 2" xfId="1321"/>
    <cellStyle name="60% - Accent2 2" xfId="1322"/>
    <cellStyle name="60% - Accent3 2" xfId="1323"/>
    <cellStyle name="Normal 9 6" xfId="1324"/>
    <cellStyle name="60% - Accent4 2" xfId="1325"/>
    <cellStyle name="60% - Accent5 2" xfId="1326"/>
    <cellStyle name="60% - Accent6 2" xfId="1327"/>
    <cellStyle name="Currency 2 5" xfId="1328"/>
    <cellStyle name="Normal 14 3" xfId="1329"/>
    <cellStyle name="Normal 7 4" xfId="1330"/>
    <cellStyle name="Normal 25" xfId="1331"/>
    <cellStyle name="Normal 26" xfId="1332"/>
    <cellStyle name="Normal 9 5" xfId="1333"/>
    <cellStyle name="Normal 2 2 2 4" xfId="1334"/>
    <cellStyle name="Normal 3 5" xfId="1335"/>
    <cellStyle name="Bold/Border 2 2 3 4" xfId="1336"/>
    <cellStyle name="Currency-- 15" xfId="1337"/>
    <cellStyle name="Magic 2 2 3 4" xfId="1338"/>
    <cellStyle name="Title [Helv] 2 2 3 4" xfId="1339"/>
    <cellStyle name="Style 51 2 2" xfId="1340"/>
    <cellStyle name="Style 45 2 2" xfId="1341"/>
    <cellStyle name="Style 49 2 2" xfId="1342"/>
    <cellStyle name="Style 44 2 2" xfId="1343"/>
    <cellStyle name="Style 51 3 2" xfId="1344"/>
    <cellStyle name="Style 49 3 2" xfId="1345"/>
    <cellStyle name="Style 45 3 2" xfId="1346"/>
    <cellStyle name="Style 44 3 2" xfId="1347"/>
    <cellStyle name="P-Green Rule 2 2" xfId="1348"/>
    <cellStyle name="PB Table Standard Row 2 2" xfId="1349"/>
    <cellStyle name="dp*ThinLineBelow 2 2" xfId="1350"/>
    <cellStyle name="Currency 2 8" xfId="1351"/>
    <cellStyle name="dp*ThinLineBelow 2 3" xfId="1352"/>
    <cellStyle name="Style 44 3 3" xfId="1353"/>
    <cellStyle name="COL HEADINGS 2 2 3 4" xfId="1354"/>
    <cellStyle name="Style 49 4 3 4" xfId="1355"/>
    <cellStyle name="Normal 2 7" xfId="1356"/>
    <cellStyle name="Comma 2 4" xfId="1357"/>
    <cellStyle name="Currency-- 13" xfId="1358"/>
    <cellStyle name="Currency 2 2" xfId="1359"/>
    <cellStyle name="Afjusted 3 3 4" xfId="1360"/>
    <cellStyle name="Date [mm-d-yyyy] 3 3 4" xfId="1361"/>
    <cellStyle name="Afjusted 4 3 4" xfId="1362"/>
    <cellStyle name="ac 2 2 3 4" xfId="1363"/>
    <cellStyle name="Afjusted 2 2 3 4" xfId="1364"/>
    <cellStyle name="Date [mmm-yyyy] 2 2 3 4" xfId="1365"/>
    <cellStyle name="dp*NumberLine 2 2 3 4" xfId="1366"/>
    <cellStyle name="dp*NumberLineEPS 2 2 3 4" xfId="1367"/>
    <cellStyle name="dp*SheetSubTitle 2 2 3 4" xfId="1368"/>
    <cellStyle name="Heading [Helv] 2 2 3 4" xfId="1369"/>
    <cellStyle name="Outputs 2 2 3 4" xfId="1370"/>
    <cellStyle name="Table Head Aligned 2 2 3 4" xfId="1371"/>
    <cellStyle name="Title [Palat] 2 2 3 4" xfId="1372"/>
    <cellStyle name="UNLOCKED 12" xfId="1373"/>
    <cellStyle name="Normal 4 3" xfId="1374"/>
    <cellStyle name="Normal 5 2" xfId="1375"/>
    <cellStyle name="Percent 2 6" xfId="1376"/>
    <cellStyle name="Percent 3 4" xfId="1377"/>
    <cellStyle name="Normal 2 2 7" xfId="1378"/>
    <cellStyle name="Normal 2 8" xfId="1379"/>
    <cellStyle name="Normal 44" xfId="1380"/>
    <cellStyle name="Currency-- 14" xfId="1381"/>
    <cellStyle name="Afjusted 3 5" xfId="1382"/>
    <cellStyle name="Style 45 3 3" xfId="1383"/>
    <cellStyle name="Style 51 3 3" xfId="1384"/>
    <cellStyle name="Style 44 2 3" xfId="1385"/>
    <cellStyle name="Style 45 2 3" xfId="1386"/>
    <cellStyle name="Style 49 2 3" xfId="1387"/>
    <cellStyle name="Border Thin 3 5" xfId="1388"/>
    <cellStyle name="ac 2 2 4" xfId="1389"/>
    <cellStyle name="Afjusted 2 2 5" xfId="1390"/>
    <cellStyle name="Bold/Border 2 2 4" xfId="1391"/>
    <cellStyle name="COL HEADINGS 2 2 4" xfId="1392"/>
    <cellStyle name="Date [mmm-yyyy] 2 2 4" xfId="1393"/>
    <cellStyle name="dp*NumberLine 2 2 4" xfId="1394"/>
    <cellStyle name="dp*NumberLineEPS 2 2 4" xfId="1395"/>
    <cellStyle name="dp*SheetSubTitle 2 2 4" xfId="1396"/>
    <cellStyle name="Heading [Palat] 2 2 4" xfId="1397"/>
    <cellStyle name="Outputs 2 2 4" xfId="1398"/>
    <cellStyle name="Magic 2 2 4" xfId="1399"/>
    <cellStyle name="Title [Helv] 2 2 4" xfId="1400"/>
    <cellStyle name="Title [Palat] 2 2 4" xfId="1401"/>
    <cellStyle name="Title [Palat] 2 2 3 3" xfId="1402"/>
    <cellStyle name="Title [Helv] 2 2 3 3" xfId="1403"/>
    <cellStyle name="Table Head Aligned 2 2 3 3" xfId="1404"/>
    <cellStyle name="Magic 2 2 3 3" xfId="1405"/>
    <cellStyle name="Heading [Helv] 2 2 3 3" xfId="1406"/>
    <cellStyle name="dp*NumberLineEPS 2 2 3 3" xfId="1407"/>
    <cellStyle name="COL HEADINGS 2 2 3 3" xfId="1408"/>
    <cellStyle name="ac 2 2 3 3" xfId="1409"/>
    <cellStyle name="Afjusted 4 3 3" xfId="1410"/>
    <cellStyle name="Border Thin 3 3 3" xfId="1411"/>
    <cellStyle name="PB Table Standard Row 3 3 3" xfId="1412"/>
    <cellStyle name="Style 44 4 3 3" xfId="1413"/>
    <cellStyle name="Style 51 4 3 3" xfId="1414"/>
    <cellStyle name="Afjusted 3 3 3" xfId="1415"/>
    <cellStyle name="Currency 2 6" xfId="1416"/>
    <cellStyle name="Style 49 4 5" xfId="1417"/>
    <cellStyle name="UNLOCKED 9" xfId="1418"/>
    <cellStyle name="Style 44 4 5" xfId="1419"/>
    <cellStyle name="P-Green Rule 3 5" xfId="1420"/>
    <cellStyle name="dp*SubTitle 3 5" xfId="1421"/>
    <cellStyle name="Afjusted 4 5" xfId="1422"/>
    <cellStyle name="Normal 2 2 5" xfId="1423"/>
    <cellStyle name="Normal 2 6" xfId="1424"/>
    <cellStyle name="Normal 42" xfId="1425"/>
    <cellStyle name="Normal 2 3 2" xfId="1426"/>
    <cellStyle name="Normal 7 3" xfId="1427"/>
    <cellStyle name="Normal 12 3" xfId="1428"/>
    <cellStyle name="Normal 13 4" xfId="1429"/>
    <cellStyle name="_Table_Summary 2" xfId="1430"/>
    <cellStyle name="Normal 14 2" xfId="1431"/>
    <cellStyle name="_Table 3 2" xfId="1432"/>
    <cellStyle name="UNLOCKED 11" xfId="1433"/>
    <cellStyle name="ac 2 3" xfId="1434"/>
    <cellStyle name="Bold/Border 2 3" xfId="1435"/>
    <cellStyle name="COL HEADINGS 2 3" xfId="1436"/>
    <cellStyle name="Date [mmm-yyyy] 2 3" xfId="1437"/>
    <cellStyle name="dp*NumberLine 2 3" xfId="1438"/>
    <cellStyle name="dp*NumberLineEPS 2 3" xfId="1439"/>
    <cellStyle name="dp*SheetSubTitle 2 3" xfId="1440"/>
    <cellStyle name="Heading [Helv] 2 3" xfId="1441"/>
    <cellStyle name="Heading [Palat] 2 3" xfId="1442"/>
    <cellStyle name="Magic 2 3" xfId="1443"/>
    <cellStyle name="Outputs 2 3" xfId="1444"/>
    <cellStyle name="Band 2 3 2" xfId="1445"/>
    <cellStyle name="Date [mmm-yyyy] 2 2 3 3" xfId="1446"/>
    <cellStyle name="Afjusted 2 2 3 3" xfId="1447"/>
    <cellStyle name="dp*ThinLineBelow 3 3 3" xfId="1448"/>
    <cellStyle name="Style 49 4 3 3" xfId="1449"/>
    <cellStyle name="Outputs 2 2 3 3" xfId="1450"/>
    <cellStyle name="dp*NumberLine 2 2 3 3" xfId="1451"/>
    <cellStyle name="Bold/Border 2 2 3 3" xfId="1452"/>
    <cellStyle name="dp*SubTitle 3 3 3" xfId="1453"/>
    <cellStyle name="Style 45 4 3 3" xfId="1454"/>
    <cellStyle name="Table Head Aligned 2 3" xfId="1455"/>
    <cellStyle name="Table Head Green 2 3" xfId="1456"/>
    <cellStyle name="Title [Helv] 2 3" xfId="1457"/>
    <cellStyle name="Title [Palat] 2 3" xfId="1458"/>
    <cellStyle name="Normal 15 2" xfId="1459"/>
    <cellStyle name="Style 45 4 3 4" xfId="1460"/>
    <cellStyle name="UNLOCKED 10" xfId="1461"/>
    <cellStyle name="Style 51 4 3 4" xfId="1462"/>
    <cellStyle name="Normal 17 2" xfId="1463"/>
    <cellStyle name="Afjusted 3 4" xfId="1464"/>
    <cellStyle name="P-Green Rule 3 3 4" xfId="1465"/>
    <cellStyle name="Border Thin 2 3" xfId="1466"/>
    <cellStyle name="Style 49 3 3" xfId="1467"/>
    <cellStyle name="Style 51 2 3" xfId="1468"/>
    <cellStyle name="Heading [Helv] 2 2 4" xfId="1469"/>
    <cellStyle name="Table Head Aligned 2 2 4" xfId="1470"/>
    <cellStyle name="Table Head Green 2 2 4" xfId="1471"/>
    <cellStyle name="Table Head Green 2 2 3 3" xfId="1472"/>
    <cellStyle name="Heading [Palat] 2 2 3 3" xfId="1473"/>
    <cellStyle name="dp*SheetSubTitle 2 2 3 3" xfId="1474"/>
    <cellStyle name="P-Green Rule 3 3 3" xfId="1475"/>
    <cellStyle name="Date [mm-d-yyyy] 3 3 3" xfId="1476"/>
    <cellStyle name="Normal 18 2" xfId="1477"/>
    <cellStyle name="Date [mm-d-yyyy] 3 4" xfId="1478"/>
    <cellStyle name="UnProtectedCalc 3 2" xfId="1479"/>
    <cellStyle name="Table Units 3 2" xfId="1480"/>
    <cellStyle name="Style 51 4 4" xfId="1481"/>
    <cellStyle name="Style 49 4 4" xfId="1482"/>
    <cellStyle name="Style 45 4 4" xfId="1483"/>
    <cellStyle name="Style 44 4 4" xfId="1484"/>
    <cellStyle name="dp*ThinLineBelow 3 3 4" xfId="1485"/>
    <cellStyle name="P-Green Rule 3 4" xfId="1486"/>
    <cellStyle name="PB Table Standard Row 3 4" xfId="1487"/>
    <cellStyle name="dp*ThinLineBelow 3 4" xfId="1488"/>
    <cellStyle name="dp*SubTitle 3 4" xfId="1489"/>
    <cellStyle name="dp*SubTitle 3 3 4" xfId="1490"/>
    <cellStyle name="Border Thin 3 4" xfId="1491"/>
    <cellStyle name="Normal 19 2" xfId="1492"/>
    <cellStyle name="Normal 20 2" xfId="1493"/>
    <cellStyle name="Border Thin 3 3 4" xfId="1494"/>
    <cellStyle name="Normal 21 2" xfId="1495"/>
    <cellStyle name="Afjusted 4 4" xfId="1496"/>
    <cellStyle name="Afjusted 2 2 4" xfId="1497"/>
    <cellStyle name="Normal 43" xfId="1498"/>
    <cellStyle name="Style 44 4 3 4" xfId="1499"/>
    <cellStyle name="Normal 22 2" xfId="1500"/>
    <cellStyle name="Normal 23 2" xfId="1501"/>
    <cellStyle name="PB Table Standard Row 3 3 4" xfId="1502"/>
    <cellStyle name="Currency-- 16" xfId="1503"/>
    <cellStyle name="Title [Palat] 2 2 3" xfId="1504"/>
    <cellStyle name="Title [Helv] 2 2 3" xfId="1505"/>
    <cellStyle name="Table Head Green 2 2 3" xfId="1506"/>
    <cellStyle name="Table Head Aligned 2 2 3" xfId="1507"/>
    <cellStyle name="Outputs 2 2 3" xfId="1508"/>
    <cellStyle name="Magic 2 2 3" xfId="1509"/>
    <cellStyle name="Heading [Palat] 2 2 3" xfId="1510"/>
    <cellStyle name="Heading [Helv] 2 2 3" xfId="1511"/>
    <cellStyle name="dp*SheetSubTitle 2 2 3" xfId="1512"/>
    <cellStyle name="dp*NumberLineEPS 2 2 3" xfId="1513"/>
    <cellStyle name="dp*NumberLine 2 2 3" xfId="1514"/>
    <cellStyle name="Date [mmm-yyyy] 2 2 3" xfId="1515"/>
    <cellStyle name="COL HEADINGS 2 2 3" xfId="1516"/>
    <cellStyle name="Bold/Border 2 2 3" xfId="1517"/>
    <cellStyle name="Afjusted 2 2 3" xfId="1518"/>
    <cellStyle name="ac 2 2 3" xfId="1519"/>
    <cellStyle name="Warning Text 2" xfId="1520"/>
    <cellStyle name="Afjusted 4 3" xfId="1521"/>
    <cellStyle name="Title 3" xfId="1522"/>
    <cellStyle name="Title 14" xfId="1523"/>
    <cellStyle name="Border Thin 3 3" xfId="1524"/>
    <cellStyle name="dp*SubTitle 3 3" xfId="1525"/>
    <cellStyle name="dp*ThinLineBelow 3 3" xfId="1526"/>
    <cellStyle name="PB Table Standard Row 3 3" xfId="1527"/>
    <cellStyle name="P-Green Rule 3 3" xfId="1528"/>
    <cellStyle name="Style 44 4 3" xfId="1529"/>
    <cellStyle name="Style 45 4 3" xfId="1530"/>
    <cellStyle name="Style 49 4 3" xfId="1531"/>
    <cellStyle name="Style 51 4 3" xfId="1532"/>
    <cellStyle name="Normal 37" xfId="1533"/>
    <cellStyle name="Heading 2 2" xfId="1534"/>
    <cellStyle name="Date [mm-d-yyyy] 3 3" xfId="1535"/>
    <cellStyle name="20% - Accent4 2" xfId="1536"/>
    <cellStyle name="20% - Accent6 2" xfId="1537"/>
    <cellStyle name="40% - Accent2 2" xfId="1538"/>
    <cellStyle name="Array 3" xfId="1539"/>
    <cellStyle name="Array Enter 3" xfId="1540"/>
    <cellStyle name="Afjusted 3 3" xfId="1541"/>
    <cellStyle name="Currency 0.0 3" xfId="1542"/>
    <cellStyle name="Currency 2 3" xfId="1543"/>
    <cellStyle name="20% - Accent1 2" xfId="1544"/>
    <cellStyle name="60% - Accent3 2 2" xfId="1545"/>
    <cellStyle name="60% - Accent5 2 2" xfId="1546"/>
    <cellStyle name="60% - Accent6 2 2" xfId="1547"/>
    <cellStyle name="Accent1 2" xfId="1548"/>
    <cellStyle name="Accent2 2" xfId="1549"/>
    <cellStyle name="Accent3 2" xfId="1550"/>
    <cellStyle name="Accent4 2" xfId="1551"/>
    <cellStyle name="Accent5 2" xfId="1552"/>
    <cellStyle name="Accent6 2" xfId="1553"/>
    <cellStyle name="Bad 2" xfId="1554"/>
    <cellStyle name="Calculation 2" xfId="1555"/>
    <cellStyle name="Check Cell 2" xfId="1556"/>
    <cellStyle name="Explanatory Text 2" xfId="1557"/>
    <cellStyle name="Good 2" xfId="1558"/>
    <cellStyle name="Heading 1 2" xfId="1559"/>
    <cellStyle name="Heading 4 2" xfId="1560"/>
    <cellStyle name="Input 2" xfId="1561"/>
    <cellStyle name="Note 2" xfId="1562"/>
    <cellStyle name="Normal 40" xfId="1563"/>
    <cellStyle name="Title 8" xfId="1564"/>
    <cellStyle name="Normal 38" xfId="1565"/>
    <cellStyle name="Comma 20" xfId="1566"/>
    <cellStyle name="Normal 29" xfId="1567"/>
    <cellStyle name="Title 6" xfId="1568"/>
    <cellStyle name="Percent 23" xfId="1569"/>
    <cellStyle name="Percent 22" xfId="1570"/>
    <cellStyle name="Normal 31" xfId="1571"/>
    <cellStyle name="Title 9" xfId="1572"/>
    <cellStyle name="Normal 33" xfId="1573"/>
    <cellStyle name="Output 2 2" xfId="1574"/>
    <cellStyle name="Title 12" xfId="1575"/>
    <cellStyle name="Percent 25" xfId="1576"/>
    <cellStyle name="Normal 32" xfId="1577"/>
    <cellStyle name="Normal 39" xfId="1578"/>
    <cellStyle name="Input 2 2" xfId="1579"/>
    <cellStyle name="Title 11" xfId="1580"/>
    <cellStyle name="Normal 34" xfId="1581"/>
    <cellStyle name="Normal 0.0 3" xfId="1582"/>
    <cellStyle name="Normal 35" xfId="1583"/>
    <cellStyle name="Normal 30" xfId="1584"/>
    <cellStyle name="Title 4" xfId="1585"/>
    <cellStyle name="Normal 36" xfId="1586"/>
    <cellStyle name="Percent 26" xfId="1587"/>
    <cellStyle name="Comma 21" xfId="1588"/>
    <cellStyle name="Percent 24" xfId="1589"/>
    <cellStyle name="Total 2 2" xfId="1590"/>
    <cellStyle name="Calculation 2 2" xfId="1591"/>
    <cellStyle name="Percent 29" xfId="1592"/>
    <cellStyle name="Title 7" xfId="1593"/>
    <cellStyle name="Title 13" xfId="1594"/>
    <cellStyle name="Percent 27" xfId="1595"/>
    <cellStyle name="Percent 32" xfId="1596"/>
    <cellStyle name="Title 5" xfId="1597"/>
    <cellStyle name="Percent 30" xfId="1598"/>
    <cellStyle name="Percent 31" xfId="1599"/>
    <cellStyle name="Comma 28" xfId="1600"/>
    <cellStyle name="Comma 27" xfId="1601"/>
    <cellStyle name="Title 10" xfId="1602"/>
    <cellStyle name="PB Table Highlight2 3" xfId="1603"/>
    <cellStyle name="Comma 22" xfId="1604"/>
    <cellStyle name="Percent 0.0 3" xfId="1605"/>
    <cellStyle name="Quantity 3" xfId="1606"/>
    <cellStyle name="Red Text 3" xfId="1607"/>
    <cellStyle name="Currency 2 4" xfId="1608"/>
    <cellStyle name="Normal 27" xfId="1609"/>
    <cellStyle name="Percent 20" xfId="1610"/>
    <cellStyle name="60% - Accent4 2 2" xfId="1611"/>
    <cellStyle name="Date [mm-d-yyyy] 2 2" xfId="1612"/>
    <cellStyle name="Afjusted 3 2" xfId="1613"/>
    <cellStyle name="Comma 19" xfId="1614"/>
    <cellStyle name="20% - Accent3 2" xfId="1615"/>
    <cellStyle name="Neutral 2 2" xfId="1616"/>
    <cellStyle name="40% - Accent1 2" xfId="1617"/>
    <cellStyle name="Heading 3 2" xfId="1618"/>
    <cellStyle name="20% - Accent5 2" xfId="1619"/>
    <cellStyle name="20% - Accent2 2" xfId="1620"/>
    <cellStyle name="40% - Accent4 2" xfId="1621"/>
    <cellStyle name="Percent 21" xfId="1622"/>
    <cellStyle name="Comma 18" xfId="1623"/>
    <cellStyle name="Date [mm-d-yyyy] 3 2" xfId="1624"/>
    <cellStyle name="Style 51 4 2" xfId="1625"/>
    <cellStyle name="Style 49 4 2" xfId="1626"/>
    <cellStyle name="Style 45 4 2" xfId="1627"/>
    <cellStyle name="Style 44 4 2" xfId="1628"/>
    <cellStyle name="40% - Accent6 2" xfId="1629"/>
    <cellStyle name="P-Green Rule 3 2" xfId="1630"/>
    <cellStyle name="PB Table Standard Row 3 2" xfId="1631"/>
    <cellStyle name="dp*ThinLineBelow 3 2" xfId="1632"/>
    <cellStyle name="dp*SubTitle 3 2" xfId="1633"/>
    <cellStyle name="60% - Accent1 2 2" xfId="1634"/>
    <cellStyle name="Border Thin 3 2" xfId="1635"/>
    <cellStyle name="Linked Cell 2" xfId="1636"/>
    <cellStyle name="60% - Accent2 2 2" xfId="1637"/>
    <cellStyle name="Afjusted 4 2" xfId="1638"/>
    <cellStyle name="ac 2 2 2" xfId="1639"/>
    <cellStyle name="Afjusted 2 2 2" xfId="1640"/>
    <cellStyle name="Bold/Border 2 2 2" xfId="1641"/>
    <cellStyle name="COL HEADINGS 2 2 2" xfId="1642"/>
    <cellStyle name="Date [mmm-yyyy] 2 2 2" xfId="1643"/>
    <cellStyle name="dp*NumberLine 2 2 2" xfId="1644"/>
    <cellStyle name="dp*NumberLineEPS 2 2 2" xfId="1645"/>
    <cellStyle name="dp*SheetSubTitle 2 2 2" xfId="1646"/>
    <cellStyle name="Heading [Helv] 2 2 2" xfId="1647"/>
    <cellStyle name="Heading [Palat] 2 2 2" xfId="1648"/>
    <cellStyle name="Magic 2 2 2" xfId="1649"/>
    <cellStyle name="Outputs 2 2 2" xfId="1650"/>
    <cellStyle name="Table Head Aligned 2 2 2" xfId="1651"/>
    <cellStyle name="Table Head Green 2 2 2" xfId="1652"/>
    <cellStyle name="Title [Helv] 2 2 2" xfId="1653"/>
    <cellStyle name="Title [Palat] 2 2 2" xfId="1654"/>
    <cellStyle name="40% - Accent3 2" xfId="1655"/>
    <cellStyle name="Output 2" xfId="1656"/>
    <cellStyle name="Normal 28" xfId="1657"/>
    <cellStyle name="Comma 17" xfId="1658"/>
    <cellStyle name="40% - Accent5 2" xfId="1659"/>
    <cellStyle name="Total 2" xfId="1660"/>
    <cellStyle name="Title 2 2" xfId="1661"/>
    <cellStyle name="Comma 23" xfId="1662"/>
    <cellStyle name="Comma 25" xfId="1663"/>
    <cellStyle name="Comma 24" xfId="1664"/>
    <cellStyle name="Title 15" xfId="1665"/>
    <cellStyle name="Comma 26" xfId="1666"/>
    <cellStyle name="Percent 28" xfId="1667"/>
    <cellStyle name="Comma 29" xfId="1668"/>
    <cellStyle name="Table Head Green 2 2 3 4" xfId="1669"/>
    <cellStyle name="Heading [Palat] 2 2 3 4" xfId="1670"/>
    <cellStyle name="PB Table Standard Row 2 3" xfId="1671"/>
    <cellStyle name="P-Green Rule 2 3" xfId="1672"/>
    <cellStyle name="Title [Palat] 2 2 3 2" xfId="1673"/>
    <cellStyle name="Title [Helv] 2 2 3 2" xfId="1674"/>
    <cellStyle name="Table Head Green 2 2 3 2" xfId="1675"/>
    <cellStyle name="Table Head Aligned 2 2 3 2" xfId="1676"/>
    <cellStyle name="Outputs 2 2 3 2" xfId="1677"/>
    <cellStyle name="Magic 2 2 3 2" xfId="1678"/>
    <cellStyle name="Heading [Palat] 2 2 3 2" xfId="1679"/>
    <cellStyle name="Heading [Helv] 2 2 3 2" xfId="1680"/>
    <cellStyle name="dp*SheetSubTitle 2 2 3 2" xfId="1681"/>
    <cellStyle name="dp*NumberLineEPS 2 2 3 2" xfId="1682"/>
    <cellStyle name="dp*NumberLine 2 2 3 2" xfId="1683"/>
    <cellStyle name="Date [mmm-yyyy] 2 2 3 2" xfId="1684"/>
    <cellStyle name="COL HEADINGS 2 2 3 2" xfId="1685"/>
    <cellStyle name="Bold/Border 2 2 3 2" xfId="1686"/>
    <cellStyle name="Afjusted 2 2 3 2" xfId="1687"/>
    <cellStyle name="ac 2 2 3 2" xfId="1688"/>
    <cellStyle name="Afjusted 4 3 2" xfId="1689"/>
    <cellStyle name="Border Thin 3 3 2" xfId="1690"/>
    <cellStyle name="dp*SubTitle 3 3 2" xfId="1691"/>
    <cellStyle name="dp*ThinLineBelow 3 3 2" xfId="1692"/>
    <cellStyle name="PB Table Standard Row 3 3 2" xfId="1693"/>
    <cellStyle name="P-Green Rule 3 3 2" xfId="1694"/>
    <cellStyle name="Style 44 4 3 2" xfId="1695"/>
    <cellStyle name="Style 45 4 3 2" xfId="1696"/>
    <cellStyle name="Style 49 4 3 2" xfId="1697"/>
    <cellStyle name="Style 51 4 3 2" xfId="1698"/>
    <cellStyle name="Date [mm-d-yyyy] 3 3 2" xfId="1699"/>
    <cellStyle name="Afjusted 3 3 2" xfId="1700"/>
    <cellStyle name="Date [mm-d-yyyy] 3 5" xfId="1701"/>
    <cellStyle name="dp*SubTitle 2 3" xfId="1702"/>
    <cellStyle name="Currency 2 7" xfId="1703"/>
    <cellStyle name="Date [mm-d-yyyy] 2 2 2" xfId="1704"/>
    <cellStyle name="Afjusted 3 2 2" xfId="1705"/>
    <cellStyle name="PB Table Standard Row 3 5" xfId="1706"/>
    <cellStyle name="Date [mm-d-yyyy] 3 2 2" xfId="1707"/>
    <cellStyle name="Style 51 4 2 2" xfId="1708"/>
    <cellStyle name="Style 49 4 2 2" xfId="1709"/>
    <cellStyle name="Style 45 4 2 2" xfId="1710"/>
    <cellStyle name="Style 44 4 2 2" xfId="1711"/>
    <cellStyle name="Style 45 4 5" xfId="1712"/>
    <cellStyle name="P-Green Rule 3 2 2" xfId="1713"/>
    <cellStyle name="PB Table Standard Row 3 2 2" xfId="1714"/>
    <cellStyle name="dp*ThinLineBelow 3 2 2" xfId="1715"/>
    <cellStyle name="dp*SubTitle 3 2 2" xfId="1716"/>
    <cellStyle name="Style 51 4 5" xfId="1717"/>
    <cellStyle name="Border Thin 3 2 2" xfId="1718"/>
    <cellStyle name="Afjusted 4 2 2" xfId="1719"/>
    <cellStyle name="ac 2 2 2 2" xfId="1720"/>
    <cellStyle name="Afjusted 2 2 2 2" xfId="1721"/>
    <cellStyle name="Bold/Border 2 2 2 2" xfId="1722"/>
    <cellStyle name="COL HEADINGS 2 2 2 2" xfId="1723"/>
    <cellStyle name="Date [mmm-yyyy] 2 2 2 2" xfId="1724"/>
    <cellStyle name="dp*NumberLine 2 2 2 2" xfId="1725"/>
    <cellStyle name="dp*NumberLineEPS 2 2 2 2" xfId="1726"/>
    <cellStyle name="dp*SheetSubTitle 2 2 2 2" xfId="1727"/>
    <cellStyle name="Heading [Helv] 2 2 2 2" xfId="1728"/>
    <cellStyle name="Heading [Palat] 2 2 2 2" xfId="1729"/>
    <cellStyle name="Magic 2 2 2 2" xfId="1730"/>
    <cellStyle name="Outputs 2 2 2 2" xfId="1731"/>
    <cellStyle name="Table Head Aligned 2 2 2 2" xfId="1732"/>
    <cellStyle name="Table Head Green 2 2 2 2" xfId="1733"/>
    <cellStyle name="Title [Helv] 2 2 2 2" xfId="1734"/>
    <cellStyle name="Title [Palat] 2 2 2 2" xfId="1735"/>
    <cellStyle name="dp*ThinLineBelow 3 5" xfId="1736"/>
    <cellStyle name="Date [mm-d-yyyy] 2 2 3" xfId="1737"/>
    <cellStyle name="Afjusted 3 2 3" xfId="1738"/>
    <cellStyle name="Date [mm-d-yyyy] 3 2 3" xfId="1739"/>
    <cellStyle name="Style 51 4 2 3" xfId="1740"/>
    <cellStyle name="Style 49 4 2 3" xfId="1741"/>
    <cellStyle name="Style 45 4 2 3" xfId="1742"/>
    <cellStyle name="Style 44 4 2 3" xfId="1743"/>
    <cellStyle name="P-Green Rule 3 2 3" xfId="1744"/>
    <cellStyle name="PB Table Standard Row 3 2 3" xfId="1745"/>
    <cellStyle name="dp*ThinLineBelow 3 2 3" xfId="1746"/>
    <cellStyle name="dp*SubTitle 3 2 3" xfId="1747"/>
    <cellStyle name="Border Thin 3 2 3" xfId="1748"/>
    <cellStyle name="Afjusted 4 2 3" xfId="1749"/>
    <cellStyle name="ac 2 2 2 3" xfId="1750"/>
    <cellStyle name="Afjusted 2 2 2 3" xfId="1751"/>
    <cellStyle name="Bold/Border 2 2 2 3" xfId="1752"/>
    <cellStyle name="COL HEADINGS 2 2 2 3" xfId="1753"/>
    <cellStyle name="Date [mmm-yyyy] 2 2 2 3" xfId="1754"/>
    <cellStyle name="dp*NumberLine 2 2 2 3" xfId="1755"/>
    <cellStyle name="dp*NumberLineEPS 2 2 2 3" xfId="1756"/>
    <cellStyle name="dp*SheetSubTitle 2 2 2 3" xfId="1757"/>
    <cellStyle name="Heading [Helv] 2 2 2 3" xfId="1758"/>
    <cellStyle name="Heading [Palat] 2 2 2 3" xfId="1759"/>
    <cellStyle name="Magic 2 2 2 3" xfId="1760"/>
    <cellStyle name="Outputs 2 2 2 3" xfId="1761"/>
    <cellStyle name="Table Head Aligned 2 2 2 3" xfId="1762"/>
    <cellStyle name="Table Head Green 2 2 2 3" xfId="1763"/>
    <cellStyle name="Title [Helv] 2 2 2 3" xfId="1764"/>
    <cellStyle name="Title [Palat] 2 2 2 3" xfId="1765"/>
    <cellStyle name="Afjusted 3 2 4" xfId="1766"/>
    <cellStyle name="Date [mm-d-yyyy] 3 2 4" xfId="1767"/>
    <cellStyle name="Style 51 4 2 4" xfId="1768"/>
    <cellStyle name="Style 49 4 2 4" xfId="1769"/>
    <cellStyle name="Style 45 4 2 4" xfId="1770"/>
    <cellStyle name="Style 44 4 2 4" xfId="1771"/>
    <cellStyle name="P-Green Rule 3 2 4" xfId="1772"/>
    <cellStyle name="PB Table Standard Row 3 2 4" xfId="1773"/>
    <cellStyle name="dp*ThinLineBelow 3 2 4" xfId="1774"/>
    <cellStyle name="dp*SubTitle 3 2 4" xfId="1775"/>
    <cellStyle name="Border Thin 3 2 4" xfId="1776"/>
    <cellStyle name="Afjusted 4 2 4" xfId="1777"/>
    <cellStyle name="ac 2 2 2 4" xfId="1778"/>
    <cellStyle name="Afjusted 2 2 2 4" xfId="1779"/>
    <cellStyle name="Bold/Border 2 2 2 4" xfId="1780"/>
    <cellStyle name="COL HEADINGS 2 2 2 4" xfId="1781"/>
    <cellStyle name="Date [mmm-yyyy] 2 2 2 4" xfId="1782"/>
    <cellStyle name="dp*NumberLine 2 2 2 4" xfId="1783"/>
    <cellStyle name="dp*NumberLineEPS 2 2 2 4" xfId="1784"/>
    <cellStyle name="dp*SheetSubTitle 2 2 2 4" xfId="1785"/>
    <cellStyle name="Heading [Helv] 2 2 2 4" xfId="1786"/>
    <cellStyle name="Heading [Palat] 2 2 2 4" xfId="1787"/>
    <cellStyle name="Magic 2 2 2 4" xfId="1788"/>
    <cellStyle name="Outputs 2 2 2 4" xfId="1789"/>
    <cellStyle name="Table Head Aligned 2 2 2 4" xfId="1790"/>
    <cellStyle name="Table Head Green 2 2 2 4" xfId="1791"/>
    <cellStyle name="Title [Helv] 2 2 2 4" xfId="1792"/>
    <cellStyle name="Title [Palat] 2 2 2 4" xfId="1793"/>
    <cellStyle name="Normal 45" xfId="1794"/>
    <cellStyle name="Comma 30" xfId="1795"/>
    <cellStyle name="Percent 33" xfId="1796"/>
    <cellStyle name="Border Thin 4" xfId="1797"/>
    <cellStyle name="Currency-- 17" xfId="1798"/>
    <cellStyle name="Date [mm-d-yyyy] 4" xfId="1799"/>
    <cellStyle name="dp*SubTitle 4" xfId="1800"/>
    <cellStyle name="dp*ThinLineBelow 4" xfId="1801"/>
    <cellStyle name="PB Table Standard Row 4" xfId="1802"/>
    <cellStyle name="P-Green Rule 4" xfId="1803"/>
    <cellStyle name="Style 44 5" xfId="1804"/>
    <cellStyle name="Style 45 5" xfId="1805"/>
    <cellStyle name="Style 49 5" xfId="1806"/>
    <cellStyle name="Style 51 5" xfId="1807"/>
    <cellStyle name="UNLOCKED 13" xfId="1808"/>
    <cellStyle name="Normal 46" xfId="1809"/>
    <cellStyle name="Comma 31" xfId="1810"/>
    <cellStyle name="Percent 34" xfId="1811"/>
    <cellStyle name="Currency-- 18" xfId="1812"/>
    <cellStyle name="UNLOCKED 14" xfId="1813"/>
    <cellStyle name="Comma 3 5" xfId="1814"/>
    <cellStyle name="Normal 2 9" xfId="1815"/>
    <cellStyle name="Normal 3 3 2" xfId="1816"/>
    <cellStyle name="Normal 2 10" xfId="1817"/>
    <cellStyle name="Normal 47" xfId="1818"/>
    <cellStyle name="Comma 32" xfId="1819"/>
    <cellStyle name="Percent 35" xfId="1820"/>
    <cellStyle name="FieldName 3" xfId="1821"/>
    <cellStyle name="WingdingsWhite 3" xfId="1822"/>
    <cellStyle name="WingdingsRed 3" xfId="1823"/>
    <cellStyle name="WingdingsBlack 3" xfId="1824"/>
    <cellStyle name="UNLOCKED 16" xfId="1825"/>
    <cellStyle name="Title [Palat] 3" xfId="1826"/>
    <cellStyle name="Title [Helv] 3" xfId="1827"/>
    <cellStyle name="Table Head Green 3" xfId="1828"/>
    <cellStyle name="Table Head Aligned 3" xfId="1829"/>
    <cellStyle name="SymbolBlue 3" xfId="1830"/>
    <cellStyle name="Style 53 3" xfId="1831"/>
    <cellStyle name="Style 52 3" xfId="1832"/>
    <cellStyle name="Style 50 3" xfId="1833"/>
    <cellStyle name="Style 48 3" xfId="1834"/>
    <cellStyle name="Style 43 3" xfId="1835"/>
    <cellStyle name="Style 42 3" xfId="1836"/>
    <cellStyle name="Style 40 3" xfId="1837"/>
    <cellStyle name="Style 37 3" xfId="1838"/>
    <cellStyle name="Style 36 3" xfId="1839"/>
    <cellStyle name="Style 35 3" xfId="1840"/>
    <cellStyle name="Style 28 3" xfId="1841"/>
    <cellStyle name="Style 25 3" xfId="1842"/>
    <cellStyle name="Style 27 3" xfId="1843"/>
    <cellStyle name="Style 26 3" xfId="1844"/>
    <cellStyle name="Style 24 3" xfId="1845"/>
    <cellStyle name="Style 22 3" xfId="1846"/>
    <cellStyle name="Style 21 3" xfId="1847"/>
    <cellStyle name="Currency-- 19" xfId="1848"/>
    <cellStyle name="Outputs 3" xfId="1849"/>
    <cellStyle name="Millions 8" xfId="1850"/>
    <cellStyle name="Magic 3" xfId="1851"/>
    <cellStyle name="ItemTypeClass 3" xfId="1852"/>
    <cellStyle name="Heading [Palat] 3" xfId="1853"/>
    <cellStyle name="Heading [Helv] 3" xfId="1854"/>
    <cellStyle name="Format text as bold, black on yellow 3" xfId="1855"/>
    <cellStyle name="Format a row of totals 3" xfId="1856"/>
    <cellStyle name="Draw shadow and lines within range 3" xfId="1857"/>
    <cellStyle name="Draw lines around data in range 3" xfId="1858"/>
    <cellStyle name="dp*ThinLineAbove 3" xfId="1859"/>
    <cellStyle name="dp*SheetSubTitle 3" xfId="1860"/>
    <cellStyle name="dp*NumberLineEPS 3" xfId="1861"/>
    <cellStyle name="dp*NumberLine 3" xfId="1862"/>
    <cellStyle name="dp*Number%ItalicsLineAbove 3" xfId="1863"/>
    <cellStyle name="DateYearWholeEstimate 3" xfId="1864"/>
    <cellStyle name="DateYearEstimate 3" xfId="1865"/>
    <cellStyle name="Currency-- 20" xfId="1866"/>
    <cellStyle name="COL HEADINGS 3" xfId="1867"/>
    <cellStyle name="Border 3" xfId="1868"/>
    <cellStyle name="Bold/Border 3" xfId="1869"/>
    <cellStyle name="ArialNormal 3" xfId="1870"/>
    <cellStyle name="Arial8Italic 3" xfId="1871"/>
    <cellStyle name="Arial8Bold 3" xfId="1872"/>
    <cellStyle name="Arial6Bold 3" xfId="1873"/>
    <cellStyle name="Afjusted 5" xfId="1874"/>
    <cellStyle name="ac 3" xfId="1875"/>
    <cellStyle name="_Table 5" xfId="1876"/>
    <cellStyle name="UNLOCKED 15" xfId="1877"/>
    <cellStyle name="Percent 36" xfId="1878"/>
    <cellStyle name="Comma 33" xfId="1879"/>
    <cellStyle name="Normal 48" xfId="1880"/>
    <cellStyle name="Date [mmm-yyyy] 3" xfId="1881"/>
    <cellStyle name="Normal 49" xfId="1882"/>
    <cellStyle name="Comma 34" xfId="1883"/>
    <cellStyle name="Percent 37" xfId="1884"/>
    <cellStyle name="Currency-- 21" xfId="1885"/>
    <cellStyle name="UNLOCKED 17" xfId="1886"/>
    <cellStyle name="Normal 12 4" xfId="1887"/>
    <cellStyle name="Normal 50" xfId="1888"/>
    <cellStyle name="Comma 35" xfId="1889"/>
    <cellStyle name="Percent 38" xfId="1890"/>
    <cellStyle name="Currency-- 22" xfId="1891"/>
    <cellStyle name="UNLOCKED 18" xfId="1892"/>
    <cellStyle name="Hyperlink 2" xfId="1893"/>
    <cellStyle name="Normal 51" xfId="1894"/>
    <cellStyle name="Percent 39" xfId="1895"/>
    <cellStyle name="Currency-- 23" xfId="1896"/>
    <cellStyle name="UNLOCKED 19" xfId="1897"/>
    <cellStyle name="_Table 2 3" xfId="1898"/>
    <cellStyle name="ac 2 4" xfId="1899"/>
    <cellStyle name="Afjusted 2 3" xfId="1900"/>
    <cellStyle name="Bold/Border 2 4" xfId="1901"/>
    <cellStyle name="Border Thin 2 4" xfId="1902"/>
    <cellStyle name="COL HEADINGS 2 4" xfId="1903"/>
    <cellStyle name="Date [mmm-yyyy] 2 4" xfId="1904"/>
    <cellStyle name="dp*NumberLine 2 4" xfId="1905"/>
    <cellStyle name="dp*NumberLineEPS 2 4" xfId="1906"/>
    <cellStyle name="dp*SheetSubTitle 2 4" xfId="1907"/>
    <cellStyle name="dp*SubTitle 2 4" xfId="1908"/>
    <cellStyle name="dp*ThinLineBelow 2 4" xfId="1909"/>
    <cellStyle name="Heading [Helv] 2 4" xfId="1910"/>
    <cellStyle name="Heading [Palat] 2 4" xfId="1911"/>
    <cellStyle name="Magic 2 4" xfId="1912"/>
    <cellStyle name="Outputs 2 4" xfId="1913"/>
    <cellStyle name="PB Table Standard Row 2 4" xfId="1914"/>
    <cellStyle name="P-Green Rule 2 4" xfId="1915"/>
    <cellStyle name="Style 44 3 4" xfId="1916"/>
    <cellStyle name="Style 45 3 4" xfId="1917"/>
    <cellStyle name="Style 49 3 4" xfId="1918"/>
    <cellStyle name="Style 51 3 4" xfId="1919"/>
    <cellStyle name="Style 44 2 4" xfId="1920"/>
    <cellStyle name="Style 45 2 4" xfId="1921"/>
    <cellStyle name="Style 49 2 4" xfId="1922"/>
    <cellStyle name="Style 51 2 4" xfId="1923"/>
    <cellStyle name="Table Head Aligned 2 4" xfId="1924"/>
    <cellStyle name="Table Head Green 2 4" xfId="1925"/>
    <cellStyle name="Title [Helv] 2 4" xfId="1926"/>
    <cellStyle name="Title [Palat] 2 4" xfId="1927"/>
    <cellStyle name="Normal 52" xfId="1928"/>
    <cellStyle name="Comma 36" xfId="1929"/>
    <cellStyle name="Percent 40" xfId="1930"/>
    <cellStyle name="Currency-- 24" xfId="1931"/>
    <cellStyle name="UNLOCKED 20" xfId="1932"/>
    <cellStyle name="Normal 53" xfId="1933"/>
    <cellStyle name="Comma 37" xfId="1934"/>
    <cellStyle name="Percent 41" xfId="1935"/>
    <cellStyle name="Normal 2 11" xfId="1936"/>
    <cellStyle name="Normal 2 2 2 5" xfId="1937"/>
    <cellStyle name="Normal 3 7" xfId="1938"/>
    <cellStyle name="Normal 6 2 5" xfId="1939"/>
    <cellStyle name="% 2" xfId="1940"/>
    <cellStyle name="% Presentation 2" xfId="1941"/>
    <cellStyle name="%_Consolidated Model v48.xls Chart 1 2" xfId="1942"/>
    <cellStyle name="%_Consolidated Model v48.xls Chart 2 2" xfId="1943"/>
    <cellStyle name="%_Consolidated Model v48.xls Chart 3 2" xfId="1944"/>
    <cellStyle name="%_Consolidated Model v48.xls Chart 4 2" xfId="1945"/>
    <cellStyle name="%_Consolidated Model v48.xls Chart 5 2" xfId="1946"/>
    <cellStyle name="%_Revenue build model v24 2" xfId="1947"/>
    <cellStyle name="****************************************** 2" xfId="1948"/>
    <cellStyle name=". 2" xfId="1949"/>
    <cellStyle name=".1 2" xfId="1950"/>
    <cellStyle name=";;; 2" xfId="1951"/>
    <cellStyle name="_Briefing Book Outputs - Pro Forma 1 4.27 2" xfId="1952"/>
    <cellStyle name="_Briefing Book Outputs - Standalone 4.27 2" xfId="1953"/>
    <cellStyle name="_Charts for Apollo Exec Brief v3 2" xfId="1954"/>
    <cellStyle name="_Global Comps - Full Service - 12 Jan  2001 2" xfId="1955"/>
    <cellStyle name="_Global Comps - Full Service - 18 June 2001 2" xfId="1956"/>
    <cellStyle name="_Global Comps - Full Service - 20 June 2001 2" xfId="1957"/>
    <cellStyle name="_GS Equity Research Driver Comparison 2" xfId="1958"/>
    <cellStyle name="_GS Model of VSTR 2" xfId="1959"/>
    <cellStyle name="_Heading 2" xfId="1960"/>
    <cellStyle name="_Highlight 2" xfId="1961"/>
    <cellStyle name="_MCIT 2" xfId="1962"/>
    <cellStyle name="_ML.3.30.03 2" xfId="1963"/>
    <cellStyle name="_ML_VZ_092806 2" xfId="1964"/>
    <cellStyle name="_model_v11 2" xfId="1965"/>
    <cellStyle name="_MS_VZ_081506 2" xfId="1966"/>
    <cellStyle name="_New WCOM 2" xfId="1967"/>
    <cellStyle name="_Overview_v7 2" xfId="1968"/>
    <cellStyle name="_Revised Comps Template 2" xfId="1969"/>
    <cellStyle name="_Round4_Revised_v142 2" xfId="1970"/>
    <cellStyle name="_SubHeading 2" xfId="1971"/>
    <cellStyle name="_Table 6" xfId="1972"/>
    <cellStyle name="_TableHead 2" xfId="1973"/>
    <cellStyle name="_TableRowHead 2" xfId="1974"/>
    <cellStyle name="_TableSuperHead 2" xfId="1975"/>
    <cellStyle name="_VNTModellastestimates 2" xfId="1976"/>
    <cellStyle name="=C:\WINNT35\SYSTEM32\COMMAND.COM 2" xfId="1977"/>
    <cellStyle name="£ BP 2" xfId="1978"/>
    <cellStyle name="¥ JY 2" xfId="1979"/>
    <cellStyle name="0.0 2" xfId="1980"/>
    <cellStyle name="0.0% 2" xfId="1981"/>
    <cellStyle name="0_MS_VZ_081506 2" xfId="1982"/>
    <cellStyle name="1 2" xfId="1983"/>
    <cellStyle name="2DecimalPercent 2" xfId="1984"/>
    <cellStyle name="–á%@ 2" xfId="1985"/>
    <cellStyle name="ac 4" xfId="1986"/>
    <cellStyle name="AFE 2" xfId="1987"/>
    <cellStyle name="Arial 2" xfId="1988"/>
    <cellStyle name="Arial 10 2" xfId="1989"/>
    <cellStyle name="Arial 12 2" xfId="1990"/>
    <cellStyle name="Arial6Bold 4" xfId="1991"/>
    <cellStyle name="Arial8Bold 4" xfId="1992"/>
    <cellStyle name="Arial8Italic 4" xfId="1993"/>
    <cellStyle name="ArialNormal 4" xfId="1994"/>
    <cellStyle name="Array 4" xfId="1995"/>
    <cellStyle name="Array Enter 4" xfId="1996"/>
    <cellStyle name="BLACK 2" xfId="1997"/>
    <cellStyle name="blank 2" xfId="1998"/>
    <cellStyle name="bold big 2" xfId="1999"/>
    <cellStyle name="Bold/Border 4" xfId="2000"/>
    <cellStyle name="Border Heavy 2" xfId="2001"/>
    <cellStyle name="Border Thin 5" xfId="2002"/>
    <cellStyle name="Bullet 2" xfId="2003"/>
    <cellStyle name="Calc Currency (0) 2" xfId="2004"/>
    <cellStyle name="Calc Units (0) 2" xfId="2005"/>
    <cellStyle name="Calc Units (1) 2" xfId="2006"/>
    <cellStyle name="Case 2" xfId="2007"/>
    <cellStyle name="Cash Flow Statement 2" xfId="2008"/>
    <cellStyle name="Category Name 2" xfId="2009"/>
    <cellStyle name="Cents 2" xfId="2010"/>
    <cellStyle name="Co. Names 2" xfId="2011"/>
    <cellStyle name="Co. Names - Bold 2" xfId="2012"/>
    <cellStyle name="COL HEADINGS 4" xfId="2013"/>
    <cellStyle name="ColHeading 2" xfId="2014"/>
    <cellStyle name="Comma  - Style1 2" xfId="2015"/>
    <cellStyle name="Comma  - Style2 2" xfId="2016"/>
    <cellStyle name="Comma  - Style3 2" xfId="2017"/>
    <cellStyle name="Comma  - Style4 2" xfId="2018"/>
    <cellStyle name="Comma  - Style5 2" xfId="2019"/>
    <cellStyle name="Comma  - Style6 2" xfId="2020"/>
    <cellStyle name="Comma  - Style7 2" xfId="2021"/>
    <cellStyle name="Comma  - Style8 2" xfId="2022"/>
    <cellStyle name="Comma [00] 2" xfId="2023"/>
    <cellStyle name="Comma1 2" xfId="2024"/>
    <cellStyle name="Comment 2" xfId="2025"/>
    <cellStyle name="Company 2" xfId="2026"/>
    <cellStyle name="CompanyName 2" xfId="2027"/>
    <cellStyle name="Currency-- 25" xfId="2028"/>
    <cellStyle name="Currency (1) 2" xfId="2029"/>
    <cellStyle name="Currency [1] 2" xfId="2030"/>
    <cellStyle name="Currency0 2" xfId="2031"/>
    <cellStyle name="DARK 2" xfId="2032"/>
    <cellStyle name="Dash 2" xfId="2033"/>
    <cellStyle name="data 2" xfId="2034"/>
    <cellStyle name="DATASTYLE 2" xfId="2035"/>
    <cellStyle name="Date [mm-d-yy] 2" xfId="2036"/>
    <cellStyle name="Date [mm-d-yyyy] 5" xfId="2037"/>
    <cellStyle name="Date [mmm-d-yyyy] 2" xfId="2038"/>
    <cellStyle name="Date2 2" xfId="2039"/>
    <cellStyle name="DateYear 2" xfId="2040"/>
    <cellStyle name="DateYearEstimate 4" xfId="2041"/>
    <cellStyle name="DateYearWholeEstimate 4" xfId="2042"/>
    <cellStyle name="Decimal 2" xfId="2043"/>
    <cellStyle name="Define your own named style 2" xfId="2044"/>
    <cellStyle name="Dollar1 2" xfId="2045"/>
    <cellStyle name="Dollar1Blue 2" xfId="2046"/>
    <cellStyle name="dp*LabelLine 5" xfId="2047"/>
    <cellStyle name="Draw lines around data in range 4" xfId="2048"/>
    <cellStyle name="Draw shadow and lines within range 4" xfId="2049"/>
    <cellStyle name="Driver Lable 2" xfId="2050"/>
    <cellStyle name="Enlarge title text, yellow on blue 2" xfId="2051"/>
    <cellStyle name="Enter Currency (0) 2" xfId="2052"/>
    <cellStyle name="Enter Units (0) 2" xfId="2053"/>
    <cellStyle name="Enter Units (1) 2" xfId="2054"/>
    <cellStyle name="factsheet 2" xfId="2055"/>
    <cellStyle name="Fail 2" xfId="2056"/>
    <cellStyle name="FiscalPeriod 2" xfId="2057"/>
    <cellStyle name="Fixed (1) 2" xfId="2058"/>
    <cellStyle name="Fon10 2" xfId="2059"/>
    <cellStyle name="Fon10B 2" xfId="2060"/>
    <cellStyle name="Fon12 2" xfId="2061"/>
    <cellStyle name="Fon12B 2" xfId="2062"/>
    <cellStyle name="Fon14B 2" xfId="2063"/>
    <cellStyle name="Fon18B 2" xfId="2064"/>
    <cellStyle name="Fon6 2" xfId="2065"/>
    <cellStyle name="Fon8B 2" xfId="2066"/>
    <cellStyle name="Footnote 2" xfId="2067"/>
    <cellStyle name="Footnotes 2" xfId="2068"/>
    <cellStyle name="Format a column of totals 2" xfId="2069"/>
    <cellStyle name="Format a row of totals 4" xfId="2070"/>
    <cellStyle name="Format text as bold, black on yellow 4" xfId="2071"/>
    <cellStyle name="fourdecplace 2" xfId="2072"/>
    <cellStyle name="Growth 2" xfId="2073"/>
    <cellStyle name="GrowthRate 2" xfId="2074"/>
    <cellStyle name="Header 2" xfId="2075"/>
    <cellStyle name="Header1 2" xfId="2076"/>
    <cellStyle name="Header2 3" xfId="2077"/>
    <cellStyle name="headers 2" xfId="2078"/>
    <cellStyle name="heading 5" xfId="2079"/>
    <cellStyle name="Heading [Helv] 4" xfId="2080"/>
    <cellStyle name="Heading [Palat] 4" xfId="2081"/>
    <cellStyle name="HeadingB 2" xfId="2082"/>
    <cellStyle name="HeadingBU 2" xfId="2083"/>
    <cellStyle name="HeadingS 2" xfId="2084"/>
    <cellStyle name="Hidden 2" xfId="2085"/>
    <cellStyle name="HIGHLIGHT 2" xfId="2086"/>
    <cellStyle name="HiLite 2" xfId="2087"/>
    <cellStyle name="IncomeStatement 2" xfId="2088"/>
    <cellStyle name="Input Date 2" xfId="2089"/>
    <cellStyle name="Input Fixed [0] 2" xfId="2090"/>
    <cellStyle name="Input Normal 2" xfId="2091"/>
    <cellStyle name="Input Percent 2" xfId="2092"/>
    <cellStyle name="Input Titles 2" xfId="2093"/>
    <cellStyle name="InputBlueFont 2" xfId="2094"/>
    <cellStyle name="InputPop 2" xfId="2095"/>
    <cellStyle name="Inputs 2" xfId="2096"/>
    <cellStyle name="Integer 2" xfId="2097"/>
    <cellStyle name="ItemTypeClass 4" xfId="2098"/>
    <cellStyle name="Lable8Left 2" xfId="2099"/>
    <cellStyle name="Line 2" xfId="2100"/>
    <cellStyle name="Link Currency (0) 2" xfId="2101"/>
    <cellStyle name="Link Units (0) 2" xfId="2102"/>
    <cellStyle name="Link Units (1) 2" xfId="2103"/>
    <cellStyle name="Locked 2" xfId="2104"/>
    <cellStyle name="lou 2" xfId="2105"/>
    <cellStyle name="MacroCode 2" xfId="2106"/>
    <cellStyle name="Main 3" xfId="2107"/>
    <cellStyle name="Map Labels 2" xfId="2108"/>
    <cellStyle name="Map Legend 2" xfId="2109"/>
    <cellStyle name="Map Title 2" xfId="2110"/>
    <cellStyle name="Margins 2" xfId="2111"/>
    <cellStyle name="MetricLabel 2" xfId="2112"/>
    <cellStyle name="MetricLabelBlue 2" xfId="2113"/>
    <cellStyle name="MetricValue 2" xfId="2114"/>
    <cellStyle name="Mike 2" xfId="2115"/>
    <cellStyle name="MSectionHeadings 2" xfId="2116"/>
    <cellStyle name="Multiple [0] 2" xfId="2117"/>
    <cellStyle name="Name 2" xfId="2118"/>
    <cellStyle name="NavStyleDefault 2" xfId="2119"/>
    <cellStyle name="NewAcct 2" xfId="2120"/>
    <cellStyle name="NINA 2" xfId="2121"/>
    <cellStyle name="No Commas 2" xfId="2122"/>
    <cellStyle name="nobuild 2" xfId="2123"/>
    <cellStyle name="Normal [1] 2" xfId="2124"/>
    <cellStyle name="Normal [3] 2" xfId="2125"/>
    <cellStyle name="Normal 2 2 8" xfId="2126"/>
    <cellStyle name="Normal 3 2 3" xfId="2127"/>
    <cellStyle name="Normal 4 5" xfId="2128"/>
    <cellStyle name="Normal 5 4" xfId="2129"/>
    <cellStyle name="Normal 6 5" xfId="2130"/>
    <cellStyle name="Normal Bold 2" xfId="2131"/>
    <cellStyle name="Normal Pct 2" xfId="2132"/>
    <cellStyle name="Normal-%-1 2" xfId="2133"/>
    <cellStyle name="Normal1 2" xfId="2134"/>
    <cellStyle name="NormalGB 2" xfId="2135"/>
    <cellStyle name="Normall 2" xfId="2136"/>
    <cellStyle name="NPPESalesPct 2" xfId="2137"/>
    <cellStyle name="Num1Blue 2" xfId="2138"/>
    <cellStyle name="Numbers - Bold 2" xfId="2139"/>
    <cellStyle name="Numbers - Large 2" xfId="2140"/>
    <cellStyle name="ON HOLD 2" xfId="2141"/>
    <cellStyle name="outh America 2" xfId="2142"/>
    <cellStyle name="Output Column Headings 2" xfId="2143"/>
    <cellStyle name="Output Line Items 2" xfId="2144"/>
    <cellStyle name="Output Report Heading 2" xfId="2145"/>
    <cellStyle name="Output Report Title 2" xfId="2146"/>
    <cellStyle name="Outputs 4" xfId="2147"/>
    <cellStyle name="Page Heading 2" xfId="2148"/>
    <cellStyle name="Page Heading Large 2" xfId="2149"/>
    <cellStyle name="Page Heading Small 2" xfId="2150"/>
    <cellStyle name="Pass 2" xfId="2151"/>
    <cellStyle name="PB Table Heading 2" xfId="2152"/>
    <cellStyle name="PB Table Highlight2 4" xfId="2153"/>
    <cellStyle name="PB Table Standard Row 5" xfId="2154"/>
    <cellStyle name="PB Table Total Row 2" xfId="2155"/>
    <cellStyle name="pc1 2" xfId="2156"/>
    <cellStyle name="Percent [0] 2" xfId="2157"/>
    <cellStyle name="Percent [1] 2" xfId="2158"/>
    <cellStyle name="Percent [3]_Kan Loral model 2" xfId="2159"/>
    <cellStyle name="Percent [3]--_Kan Loral model 2" xfId="2160"/>
    <cellStyle name="Percent [3]_Round4_Revised_v142 2" xfId="2161"/>
    <cellStyle name="Percent [3]--_Round4_Revised_v142 2" xfId="2162"/>
    <cellStyle name="Percent 0.0 4" xfId="2163"/>
    <cellStyle name="Percent1 2" xfId="2164"/>
    <cellStyle name="Percent1Blue 2" xfId="2165"/>
    <cellStyle name="Percentage 2" xfId="2166"/>
    <cellStyle name="PercentSales 2" xfId="2167"/>
    <cellStyle name="P-Green Rule 5" xfId="2168"/>
    <cellStyle name="PrePop Currency (0) 2" xfId="2169"/>
    <cellStyle name="PrePop Units (0) 2" xfId="2170"/>
    <cellStyle name="PrePop Units (1) 2" xfId="2171"/>
    <cellStyle name="PROJECT 2" xfId="2172"/>
    <cellStyle name="PROJECT R 2" xfId="2173"/>
    <cellStyle name="Protected 2" xfId="2174"/>
    <cellStyle name="PSChar 2" xfId="2175"/>
    <cellStyle name="PSHeading 2" xfId="2176"/>
    <cellStyle name="PSSpacer 2" xfId="2177"/>
    <cellStyle name="r 2" xfId="2178"/>
    <cellStyle name="Red font 2" xfId="2179"/>
    <cellStyle name="Red Text 4" xfId="2180"/>
    <cellStyle name="Reset range style to defaults 2" xfId="2181"/>
    <cellStyle name="Restruct 2" xfId="2182"/>
    <cellStyle name="Right 2" xfId="2183"/>
    <cellStyle name="Row Ignore 2" xfId="2184"/>
    <cellStyle name="Row Sub Total 2" xfId="2185"/>
    <cellStyle name="Salomon Logo 2" xfId="2186"/>
    <cellStyle name="SAPBEXaggItemX 3" xfId="2187"/>
    <cellStyle name="SAPBEXHLevel0 3" xfId="2188"/>
    <cellStyle name="SAPBEXHLevel0X 3" xfId="2189"/>
    <cellStyle name="SAPBEXHLevel1 3" xfId="2190"/>
    <cellStyle name="SAPBEXHLevel1X 3" xfId="2191"/>
    <cellStyle name="SAPBEXHLevel2 3" xfId="2192"/>
    <cellStyle name="SAPBEXHLevel2X 3" xfId="2193"/>
    <cellStyle name="SAPBEXHLevel3 3" xfId="2194"/>
    <cellStyle name="SAPBEXHLevel3X 3" xfId="2195"/>
    <cellStyle name="SAPBEXresItemX 3" xfId="2196"/>
    <cellStyle name="SAPBEXstdItemX 3" xfId="2197"/>
    <cellStyle name="ScotchRule 2" xfId="2198"/>
    <cellStyle name="SectionHeading 2" xfId="2199"/>
    <cellStyle name="shade 2" xfId="2200"/>
    <cellStyle name="Shaded 2" xfId="2201"/>
    <cellStyle name="SS Col Hdr 2" xfId="2202"/>
    <cellStyle name="SS Dim 1 Blank 2" xfId="2203"/>
    <cellStyle name="SS Dim 1 Title 2" xfId="2204"/>
    <cellStyle name="SS Dim 1 Value 2" xfId="2205"/>
    <cellStyle name="SS Dim 2 Title 2" xfId="2206"/>
    <cellStyle name="SS Dim 2 Value 2" xfId="2207"/>
    <cellStyle name="SS Dim 3 Title 2" xfId="2208"/>
    <cellStyle name="SS Dim 3 Value 2" xfId="2209"/>
    <cellStyle name="SS Other Measure 2" xfId="2210"/>
    <cellStyle name="SS Unbound Dim 2" xfId="2211"/>
    <cellStyle name="Std Text 2" xfId="2212"/>
    <cellStyle name="Strange 2" xfId="2213"/>
    <cellStyle name="STYL1 - Style1 2" xfId="2214"/>
    <cellStyle name="STYL2 - Style2 2" xfId="2215"/>
    <cellStyle name="STYL3 - Style3 2" xfId="2216"/>
    <cellStyle name="STYL4 - Style4 2" xfId="2217"/>
    <cellStyle name="STYL5 - Style5 2" xfId="2218"/>
    <cellStyle name="Style 1 2" xfId="2219"/>
    <cellStyle name="Style 2 2" xfId="2220"/>
    <cellStyle name="Style 21 4" xfId="2221"/>
    <cellStyle name="Style 22 4" xfId="2222"/>
    <cellStyle name="Style 31 2" xfId="2223"/>
    <cellStyle name="Style 32 2" xfId="2224"/>
    <cellStyle name="Style 33 2" xfId="2225"/>
    <cellStyle name="Style 34 2" xfId="2226"/>
    <cellStyle name="Style 35 4" xfId="2227"/>
    <cellStyle name="Style 36 4" xfId="2228"/>
    <cellStyle name="Style 37 4" xfId="2229"/>
    <cellStyle name="Style 38 2" xfId="2230"/>
    <cellStyle name="Style 39 2" xfId="2231"/>
    <cellStyle name="Style 40 4" xfId="2232"/>
    <cellStyle name="Style 41 3" xfId="2233"/>
    <cellStyle name="Style 42 4" xfId="2234"/>
    <cellStyle name="Style 43 4" xfId="2235"/>
    <cellStyle name="Style 44 6" xfId="2236"/>
    <cellStyle name="Style 45 6" xfId="2237"/>
    <cellStyle name="Style 46 3" xfId="2238"/>
    <cellStyle name="Style 47 2" xfId="2239"/>
    <cellStyle name="Style 48 4" xfId="2240"/>
    <cellStyle name="Style 49 6" xfId="2241"/>
    <cellStyle name="Style 50 4" xfId="2242"/>
    <cellStyle name="Style 51 6" xfId="2243"/>
    <cellStyle name="Style 52 4" xfId="2244"/>
    <cellStyle name="Style 53 4" xfId="2245"/>
    <cellStyle name="Style 93 2" xfId="2246"/>
    <cellStyle name="Subhead 2" xfId="2247"/>
    <cellStyle name="Sub-Heading 2" xfId="2248"/>
    <cellStyle name="SubHeading1 2" xfId="2249"/>
    <cellStyle name="Subscribers 2" xfId="2250"/>
    <cellStyle name="Subtitle 2" xfId="2251"/>
    <cellStyle name="SymbolBlue 4" xfId="2252"/>
    <cellStyle name="Table 2" xfId="2253"/>
    <cellStyle name="Table Col Head 2" xfId="2254"/>
    <cellStyle name="Table Head 2" xfId="2255"/>
    <cellStyle name="Table Head Blue 2" xfId="2256"/>
    <cellStyle name="Table Head Green 4" xfId="2257"/>
    <cellStyle name="Table Sub Head 2" xfId="2258"/>
    <cellStyle name="Table Text 2" xfId="2259"/>
    <cellStyle name="Table Title 2" xfId="2260"/>
    <cellStyle name="Table Units 4" xfId="2261"/>
    <cellStyle name="Table-Body 2" xfId="2262"/>
    <cellStyle name="Test [green] 2" xfId="2263"/>
    <cellStyle name="Text 1 2" xfId="2264"/>
    <cellStyle name="Text Head 1 2" xfId="2265"/>
    <cellStyle name="Text Indent B 2" xfId="2266"/>
    <cellStyle name="Text Indent C 2" xfId="2267"/>
    <cellStyle name="textbold 2" xfId="2268"/>
    <cellStyle name="TFCF 2" xfId="2269"/>
    <cellStyle name="threedecplace 2" xfId="2270"/>
    <cellStyle name="Times 10 2" xfId="2271"/>
    <cellStyle name="Times 12 2" xfId="2272"/>
    <cellStyle name="Times New Roman 2" xfId="2273"/>
    <cellStyle name="Title - PROJECT 2" xfId="2274"/>
    <cellStyle name="Title - Underline 2" xfId="2275"/>
    <cellStyle name="Title1 2" xfId="2276"/>
    <cellStyle name="Title10 2" xfId="2277"/>
    <cellStyle name="Title2 2" xfId="2278"/>
    <cellStyle name="Title8 2" xfId="2279"/>
    <cellStyle name="Title8Left 2" xfId="2280"/>
    <cellStyle name="TitleII 2" xfId="2281"/>
    <cellStyle name="Titles 2" xfId="2282"/>
    <cellStyle name="Titles - Col. Headings 2" xfId="2283"/>
    <cellStyle name="Titles - Other 2" xfId="2284"/>
    <cellStyle name="TopCaption 2" xfId="2285"/>
    <cellStyle name="TopGrey 2" xfId="2286"/>
    <cellStyle name="topline 2" xfId="2287"/>
    <cellStyle name="UNLOCKED 21" xfId="2288"/>
    <cellStyle name="ValueşTABLE-A 2" xfId="2289"/>
    <cellStyle name="Web Row Title 1 2" xfId="2290"/>
    <cellStyle name="Web Row Title 2 2" xfId="2291"/>
    <cellStyle name="White 2" xfId="2292"/>
    <cellStyle name="WingdingsBlack 4" xfId="2293"/>
    <cellStyle name="WingdingsRed 4" xfId="2294"/>
    <cellStyle name="WingdingsWhite 4" xfId="2295"/>
    <cellStyle name="YearInput 2" xfId="2296"/>
    <cellStyle name="yellow 2" xfId="2297"/>
    <cellStyle name="ハイパーリンク 2" xfId="2298"/>
    <cellStyle name="Normal 2 3 4" xfId="2299"/>
    <cellStyle name="Normal 3 3 3" xfId="2300"/>
    <cellStyle name="Normal 6 2 2 4" xfId="2301"/>
    <cellStyle name="TextNormal 2" xfId="2302"/>
    <cellStyle name="Normal 16 2" xfId="2303"/>
    <cellStyle name="Normal 7 5" xfId="2304"/>
    <cellStyle name="Normal 9 2 2" xfId="2305"/>
    <cellStyle name="Normal 12 5" xfId="2306"/>
    <cellStyle name="Normal 8 5" xfId="2307"/>
    <cellStyle name="Currency 8" xfId="2308"/>
    <cellStyle name="Normal 54" xfId="2309"/>
    <cellStyle name="Percent 42" xfId="2310"/>
    <cellStyle name="Afjusted 6" xfId="2311"/>
    <cellStyle name="Currency-- 26" xfId="2312"/>
    <cellStyle name="UNLOCKED 22" xfId="2313"/>
    <cellStyle name="ac 2 5" xfId="2314"/>
    <cellStyle name="Afjusted 2 4" xfId="2315"/>
    <cellStyle name="Bold/Border 2 5" xfId="2316"/>
    <cellStyle name="Border Thin 2 5" xfId="2317"/>
    <cellStyle name="COL HEADINGS 2 5" xfId="2318"/>
    <cellStyle name="Date [mmm-yyyy] 2 5" xfId="2319"/>
    <cellStyle name="dp*NumberLine 2 5" xfId="2320"/>
    <cellStyle name="dp*NumberLineEPS 2 5" xfId="2321"/>
    <cellStyle name="dp*SheetSubTitle 2 5" xfId="2322"/>
    <cellStyle name="dp*SubTitle 2 5" xfId="2323"/>
    <cellStyle name="dp*ThinLineBelow 2 5" xfId="2324"/>
    <cellStyle name="Heading [Helv] 2 5" xfId="2325"/>
    <cellStyle name="Heading [Palat] 2 5" xfId="2326"/>
    <cellStyle name="Magic 2 5" xfId="2327"/>
    <cellStyle name="Outputs 2 5" xfId="2328"/>
    <cellStyle name="PB Table Standard Row 2 5" xfId="2329"/>
    <cellStyle name="P-Green Rule 2 5" xfId="2330"/>
    <cellStyle name="Style 44 3 5" xfId="2331"/>
    <cellStyle name="Style 45 3 5" xfId="2332"/>
    <cellStyle name="Style 49 3 5" xfId="2333"/>
    <cellStyle name="Style 51 3 5" xfId="2334"/>
    <cellStyle name="Style 44 2 5" xfId="2335"/>
    <cellStyle name="Style 45 2 5" xfId="2336"/>
    <cellStyle name="Style 49 2 5" xfId="2337"/>
    <cellStyle name="Style 51 2 5" xfId="2338"/>
    <cellStyle name="Table Head Aligned 2 5" xfId="2339"/>
    <cellStyle name="Table Head Green 2 5" xfId="2340"/>
    <cellStyle name="Title [Helv] 2 5" xfId="2341"/>
    <cellStyle name="Title [Palat] 2 5" xfId="2342"/>
    <cellStyle name="Comma 38" xfId="2343"/>
    <cellStyle name="_Table_Summary 3" xfId="2344"/>
    <cellStyle name="Bold/Border_Summary" xfId="2345"/>
    <cellStyle name="Border Thin_Summary" xfId="2346"/>
    <cellStyle name="Date [mmm-yyyy]_Summary" xfId="2347"/>
    <cellStyle name="dp*LabelItalicsLineAbove_Summary" xfId="2348"/>
    <cellStyle name="dp*LabelLine_Summary" xfId="2349"/>
    <cellStyle name="dp*NumberCurrencyLine_Summary" xfId="2350"/>
    <cellStyle name="dp*NumberLine_Summary" xfId="2351"/>
    <cellStyle name="dp*NumberLineEPS_Summary" xfId="2352"/>
    <cellStyle name="dp*SubTitle_Summary" xfId="2353"/>
    <cellStyle name="dp*ThinLineBelow_Summary" xfId="2354"/>
    <cellStyle name="Header2_Summary" xfId="2355"/>
    <cellStyle name="Heading [Helv]_Summary" xfId="2356"/>
    <cellStyle name="Heading [Palat]_Summary" xfId="2357"/>
    <cellStyle name="Normal 3 4_Summary" xfId="2358"/>
    <cellStyle name="Normal 6 2 2_Summary" xfId="2359"/>
    <cellStyle name="Normal 6 2 2 2_Summary" xfId="2360"/>
    <cellStyle name="Normal 6 2 3_Summary" xfId="2361"/>
    <cellStyle name="Normal 6 2 3 2_Summary" xfId="2362"/>
    <cellStyle name="Normal 6 3_Summary" xfId="2363"/>
    <cellStyle name="Normal 8_Summary" xfId="2364"/>
    <cellStyle name="Normal 8 2_Summary" xfId="2365"/>
    <cellStyle name="PB Table Standard Row_Summary" xfId="2366"/>
    <cellStyle name="P-Green Rule_Summary" xfId="2367"/>
    <cellStyle name="Style 41_Summary" xfId="2368"/>
    <cellStyle name="Style 44_Summary" xfId="2369"/>
    <cellStyle name="Style 45_Summary" xfId="2370"/>
    <cellStyle name="Style 46_Summary" xfId="2371"/>
    <cellStyle name="Style 49_Summary" xfId="2372"/>
    <cellStyle name="Style 51_Summary" xfId="2373"/>
    <cellStyle name="Title [Helv]_Summary" xfId="2374"/>
    <cellStyle name="Title [Palat]_Summary" xfId="2375"/>
    <cellStyle name="Normal 55" xfId="2376"/>
    <cellStyle name="Comma 39" xfId="2377"/>
    <cellStyle name="Percent 43" xfId="2378"/>
    <cellStyle name="Currency-- 27" xfId="2379"/>
    <cellStyle name="UNLOCKED 23" xfId="2380"/>
    <cellStyle name="Normal 56" xfId="2381"/>
    <cellStyle name="Comma 40" xfId="2382"/>
    <cellStyle name="Percent 44" xfId="2383"/>
    <cellStyle name="Currency-- 28" xfId="2384"/>
    <cellStyle name="UNLOCKED 24" xfId="2385"/>
    <cellStyle name="Normal 57" xfId="2386"/>
    <cellStyle name="Percent 45" xfId="2387"/>
    <cellStyle name="Style 93 3" xfId="2388"/>
    <cellStyle name="Normal 2 12" xfId="2389"/>
    <cellStyle name="Normal 3 8" xfId="2390"/>
    <cellStyle name="% 3" xfId="2391"/>
    <cellStyle name="% Presentation 3" xfId="2392"/>
    <cellStyle name="%_Consolidated Model v48.xls Chart 1 3" xfId="2393"/>
    <cellStyle name="%_Consolidated Model v48.xls Chart 2 3" xfId="2394"/>
    <cellStyle name="%_Consolidated Model v48.xls Chart 3 3" xfId="2395"/>
    <cellStyle name="%_Consolidated Model v48.xls Chart 4 3" xfId="2396"/>
    <cellStyle name="%_Consolidated Model v48.xls Chart 5 3" xfId="2397"/>
    <cellStyle name="%_Revenue build model v24 3" xfId="2398"/>
    <cellStyle name="****************************************** 3" xfId="2399"/>
    <cellStyle name=". 3" xfId="2400"/>
    <cellStyle name=".1 3" xfId="2401"/>
    <cellStyle name=";;; 3" xfId="2402"/>
    <cellStyle name="_Briefing Book Outputs - Pro Forma 1 4.27 3" xfId="2403"/>
    <cellStyle name="_Briefing Book Outputs - Standalone 4.27 3" xfId="2404"/>
    <cellStyle name="_Charts for Apollo Exec Brief v3 3" xfId="2405"/>
    <cellStyle name="_Global Comps - Full Service - 12 Jan  2001 3" xfId="2406"/>
    <cellStyle name="_Global Comps - Full Service - 18 June 2001 3" xfId="2407"/>
    <cellStyle name="_Global Comps - Full Service - 20 June 2001 3" xfId="2408"/>
    <cellStyle name="_GS Equity Research Driver Comparison 3" xfId="2409"/>
    <cellStyle name="_GS Model of VSTR 3" xfId="2410"/>
    <cellStyle name="_Heading 3" xfId="2411"/>
    <cellStyle name="_Highlight 3" xfId="2412"/>
    <cellStyle name="_MCIT 3" xfId="2413"/>
    <cellStyle name="_ML.3.30.03 3" xfId="2414"/>
    <cellStyle name="_ML_VZ_092806 3" xfId="2415"/>
    <cellStyle name="_model_v11 3" xfId="2416"/>
    <cellStyle name="_MS_VZ_081506 3" xfId="2417"/>
    <cellStyle name="_New WCOM 3" xfId="2418"/>
    <cellStyle name="_Overview_v7 3" xfId="2419"/>
    <cellStyle name="_Revised Comps Template 3" xfId="2420"/>
    <cellStyle name="_Round4_Revised_v142 3" xfId="2421"/>
    <cellStyle name="_SubHeading 3" xfId="2422"/>
    <cellStyle name="_Table 7" xfId="2423"/>
    <cellStyle name="_TableHead 3" xfId="2424"/>
    <cellStyle name="_TableRowHead 3" xfId="2425"/>
    <cellStyle name="_TableSuperHead 3" xfId="2426"/>
    <cellStyle name="_VNTModellastestimates 3" xfId="2427"/>
    <cellStyle name="=C:\WINNT35\SYSTEM32\COMMAND.COM 3" xfId="2428"/>
    <cellStyle name="£ BP 3" xfId="2429"/>
    <cellStyle name="¥ JY 3" xfId="2430"/>
    <cellStyle name="0.0 3" xfId="2431"/>
    <cellStyle name="0.0&quot;x&quot; 2" xfId="2432"/>
    <cellStyle name="0.0% 3" xfId="2433"/>
    <cellStyle name="0.00&quot;x&quot; 2" xfId="2434"/>
    <cellStyle name="0_MS_VZ_081506 3" xfId="2435"/>
    <cellStyle name="1 3" xfId="2436"/>
    <cellStyle name="2DecimalPercent 3" xfId="2437"/>
    <cellStyle name="–á%@ 3" xfId="2438"/>
    <cellStyle name="ac 5" xfId="2439"/>
    <cellStyle name="AFE 3" xfId="2440"/>
    <cellStyle name="Arial 3" xfId="2441"/>
    <cellStyle name="Arial 10 3" xfId="2442"/>
    <cellStyle name="Arial 12 3" xfId="2443"/>
    <cellStyle name="Arial6Bold 5" xfId="2444"/>
    <cellStyle name="Arial8Bold 5" xfId="2445"/>
    <cellStyle name="Arial8Italic 5" xfId="2446"/>
    <cellStyle name="ArialNormal 5" xfId="2447"/>
    <cellStyle name="Array 5" xfId="2448"/>
    <cellStyle name="Array Enter 5" xfId="2449"/>
    <cellStyle name="BLACK 3" xfId="2450"/>
    <cellStyle name="blank 3" xfId="2451"/>
    <cellStyle name="bold big 3" xfId="2452"/>
    <cellStyle name="Bold/Border 5" xfId="2453"/>
    <cellStyle name="Border Heavy 3" xfId="2454"/>
    <cellStyle name="Border Thin 6" xfId="2455"/>
    <cellStyle name="Bullet 3" xfId="2456"/>
    <cellStyle name="Calc Currency (0) 3" xfId="2457"/>
    <cellStyle name="Calc Units (0) 3" xfId="2458"/>
    <cellStyle name="Calc Units (1) 3" xfId="2459"/>
    <cellStyle name="Case 3" xfId="2460"/>
    <cellStyle name="Cash Flow Statement 3" xfId="2461"/>
    <cellStyle name="Category Name 3" xfId="2462"/>
    <cellStyle name="Cents 3" xfId="2463"/>
    <cellStyle name="Co. Names 3" xfId="2464"/>
    <cellStyle name="Co. Names - Bold 3" xfId="2465"/>
    <cellStyle name="COL HEADINGS 5" xfId="2466"/>
    <cellStyle name="ColHeading 3" xfId="2467"/>
    <cellStyle name="Comma  - Style1 3" xfId="2468"/>
    <cellStyle name="Comma  - Style2 3" xfId="2469"/>
    <cellStyle name="Comma  - Style3 3" xfId="2470"/>
    <cellStyle name="Comma  - Style4 3" xfId="2471"/>
    <cellStyle name="Comma  - Style5 3" xfId="2472"/>
    <cellStyle name="Comma  - Style6 3" xfId="2473"/>
    <cellStyle name="Comma  - Style7 3" xfId="2474"/>
    <cellStyle name="Comma  - Style8 3" xfId="2475"/>
    <cellStyle name="Comma [00] 3" xfId="2476"/>
    <cellStyle name="Comma1 3" xfId="2477"/>
    <cellStyle name="Comment 3" xfId="2478"/>
    <cellStyle name="Company 3" xfId="2479"/>
    <cellStyle name="CompanyName 3" xfId="2480"/>
    <cellStyle name="Currency-- 29" xfId="2481"/>
    <cellStyle name="Currency (1) 3" xfId="2482"/>
    <cellStyle name="Currency [1] 3" xfId="2483"/>
    <cellStyle name="Currency0 3" xfId="2484"/>
    <cellStyle name="DARK 3" xfId="2485"/>
    <cellStyle name="Dash 3" xfId="2486"/>
    <cellStyle name="data 3" xfId="2487"/>
    <cellStyle name="DATASTYLE 3" xfId="2488"/>
    <cellStyle name="Date [mm-d-yy] 3" xfId="2489"/>
    <cellStyle name="Date [mm-d-yyyy] 6" xfId="2490"/>
    <cellStyle name="Date [mmm-d-yyyy] 3" xfId="2491"/>
    <cellStyle name="Date2 3" xfId="2492"/>
    <cellStyle name="DateYear 3" xfId="2493"/>
    <cellStyle name="DateYearEstimate 5" xfId="2494"/>
    <cellStyle name="DateYearWholeEstimate 5" xfId="2495"/>
    <cellStyle name="Decimal 3" xfId="2496"/>
    <cellStyle name="Define your own named style 3" xfId="2497"/>
    <cellStyle name="Dollar1 3" xfId="2498"/>
    <cellStyle name="Dollar1Blue 3" xfId="2499"/>
    <cellStyle name="dp*LabelLine 6" xfId="2500"/>
    <cellStyle name="Draw lines around data in range 5" xfId="2501"/>
    <cellStyle name="Draw shadow and lines within range 5" xfId="2502"/>
    <cellStyle name="Driver Lable 3" xfId="2503"/>
    <cellStyle name="Enlarge title text, yellow on blue 3" xfId="2504"/>
    <cellStyle name="Enter Currency (0) 3" xfId="2505"/>
    <cellStyle name="Enter Units (0) 3" xfId="2506"/>
    <cellStyle name="Enter Units (1) 3" xfId="2507"/>
    <cellStyle name="factsheet 3" xfId="2508"/>
    <cellStyle name="Fail 3" xfId="2509"/>
    <cellStyle name="FiscalPeriod 3" xfId="2510"/>
    <cellStyle name="Fixed (1) 3" xfId="2511"/>
    <cellStyle name="Fon10 3" xfId="2512"/>
    <cellStyle name="Fon10B 3" xfId="2513"/>
    <cellStyle name="Fon12 3" xfId="2514"/>
    <cellStyle name="Fon12B 3" xfId="2515"/>
    <cellStyle name="Fon14B 3" xfId="2516"/>
    <cellStyle name="Fon18B 3" xfId="2517"/>
    <cellStyle name="Fon6 3" xfId="2518"/>
    <cellStyle name="Fon8B 3" xfId="2519"/>
    <cellStyle name="Footnote 3" xfId="2520"/>
    <cellStyle name="Footnotes 3" xfId="2521"/>
    <cellStyle name="Format a column of totals 3" xfId="2522"/>
    <cellStyle name="Format a row of totals 5" xfId="2523"/>
    <cellStyle name="Format text as bold, black on yellow 5" xfId="2524"/>
    <cellStyle name="fourdecplace 3" xfId="2525"/>
    <cellStyle name="Growth 3" xfId="2526"/>
    <cellStyle name="GrowthRate 3" xfId="2527"/>
    <cellStyle name="Header 3" xfId="2528"/>
    <cellStyle name="Header1 3" xfId="2529"/>
    <cellStyle name="Header2 4" xfId="2530"/>
    <cellStyle name="headers 3" xfId="2531"/>
    <cellStyle name="heading 6" xfId="2532"/>
    <cellStyle name="Heading [Helv] 5" xfId="2533"/>
    <cellStyle name="Heading [Palat] 5" xfId="2534"/>
    <cellStyle name="HeadingB 3" xfId="2535"/>
    <cellStyle name="HeadingBU 3" xfId="2536"/>
    <cellStyle name="HeadingS 3" xfId="2537"/>
    <cellStyle name="Hidden 3" xfId="2538"/>
    <cellStyle name="HIGHLIGHT 3" xfId="2539"/>
    <cellStyle name="HiLite 3" xfId="2540"/>
    <cellStyle name="IncomeStatement 3" xfId="2541"/>
    <cellStyle name="Input Date 3" xfId="2542"/>
    <cellStyle name="Input Fixed [0] 3" xfId="2543"/>
    <cellStyle name="Input Normal 3" xfId="2544"/>
    <cellStyle name="Input Percent 3" xfId="2545"/>
    <cellStyle name="Input Titles 3" xfId="2546"/>
    <cellStyle name="InputBlueFont 3" xfId="2547"/>
    <cellStyle name="InputPop 3" xfId="2548"/>
    <cellStyle name="Inputs 3" xfId="2549"/>
    <cellStyle name="Integer 3" xfId="2550"/>
    <cellStyle name="ItemTypeClass 5" xfId="2551"/>
    <cellStyle name="Lable8Left 3" xfId="2552"/>
    <cellStyle name="Line 3" xfId="2553"/>
    <cellStyle name="Link Currency (0) 3" xfId="2554"/>
    <cellStyle name="Link Units (0) 3" xfId="2555"/>
    <cellStyle name="Link Units (1) 3" xfId="2556"/>
    <cellStyle name="Locked 3" xfId="2557"/>
    <cellStyle name="lou 3" xfId="2558"/>
    <cellStyle name="MacroCode 3" xfId="2559"/>
    <cellStyle name="Main 4" xfId="2560"/>
    <cellStyle name="Map Labels 3" xfId="2561"/>
    <cellStyle name="Map Legend 3" xfId="2562"/>
    <cellStyle name="Map Title 3" xfId="2563"/>
    <cellStyle name="Margins 3" xfId="2564"/>
    <cellStyle name="MetricLabel 3" xfId="2565"/>
    <cellStyle name="MetricLabelBlue 3" xfId="2566"/>
    <cellStyle name="MetricValue 3" xfId="2567"/>
    <cellStyle name="Mike 3" xfId="2568"/>
    <cellStyle name="MSectionHeadings 3" xfId="2569"/>
    <cellStyle name="Multiple [0] 3" xfId="2570"/>
    <cellStyle name="Name 3" xfId="2571"/>
    <cellStyle name="NavStyleDefault 3" xfId="2572"/>
    <cellStyle name="NewAcct 3" xfId="2573"/>
    <cellStyle name="NINA 3" xfId="2574"/>
    <cellStyle name="No Commas 3" xfId="2575"/>
    <cellStyle name="nobuild 3" xfId="2576"/>
    <cellStyle name="Normal [1] 3" xfId="2577"/>
    <cellStyle name="Normal [3] 3" xfId="2578"/>
    <cellStyle name="Normal 4 6" xfId="2579"/>
    <cellStyle name="Normal Bold 3" xfId="2580"/>
    <cellStyle name="Normal Pct 3" xfId="2581"/>
    <cellStyle name="Normal-%-1 3" xfId="2582"/>
    <cellStyle name="Normal1 3" xfId="2583"/>
    <cellStyle name="NormalGB 3" xfId="2584"/>
    <cellStyle name="Normall 3" xfId="2585"/>
    <cellStyle name="NPPESalesPct 3" xfId="2586"/>
    <cellStyle name="Num1Blue 3" xfId="2587"/>
    <cellStyle name="Numbers - Bold 3" xfId="2588"/>
    <cellStyle name="Numbers - Large 3" xfId="2589"/>
    <cellStyle name="ON HOLD 3" xfId="2590"/>
    <cellStyle name="outh America 3" xfId="2591"/>
    <cellStyle name="Output Column Headings 3" xfId="2592"/>
    <cellStyle name="Output Line Items 3" xfId="2593"/>
    <cellStyle name="Output Report Heading 3" xfId="2594"/>
    <cellStyle name="Output Report Title 3" xfId="2595"/>
    <cellStyle name="Outputs 5" xfId="2596"/>
    <cellStyle name="Page Heading 3" xfId="2597"/>
    <cellStyle name="Page Heading Large 3" xfId="2598"/>
    <cellStyle name="Page Heading Small 3" xfId="2599"/>
    <cellStyle name="Pass 3" xfId="2600"/>
    <cellStyle name="PB Table Heading 3" xfId="2601"/>
    <cellStyle name="PB Table Highlight2 5" xfId="2602"/>
    <cellStyle name="PB Table Standard Row 6" xfId="2603"/>
    <cellStyle name="PB Table Total Row 3" xfId="2604"/>
    <cellStyle name="pc1 3" xfId="2605"/>
    <cellStyle name="Percent [0] 3" xfId="2606"/>
    <cellStyle name="Percent [1] 3" xfId="2607"/>
    <cellStyle name="Percent 0.0 5" xfId="2608"/>
    <cellStyle name="Percent1 3" xfId="2609"/>
    <cellStyle name="Percent1Blue 3" xfId="2610"/>
    <cellStyle name="Percentage 3" xfId="2611"/>
    <cellStyle name="PercentSales 3" xfId="2612"/>
    <cellStyle name="P-Green Rule 6" xfId="2613"/>
    <cellStyle name="PrePop Currency (0) 3" xfId="2614"/>
    <cellStyle name="PrePop Units (0) 3" xfId="2615"/>
    <cellStyle name="PrePop Units (1) 3" xfId="2616"/>
    <cellStyle name="PROJECT 3" xfId="2617"/>
    <cellStyle name="PROJECT R 3" xfId="2618"/>
    <cellStyle name="Protected 3" xfId="2619"/>
    <cellStyle name="PSChar 3" xfId="2620"/>
    <cellStyle name="PSHeading 3" xfId="2621"/>
    <cellStyle name="PSSpacer 3" xfId="2622"/>
    <cellStyle name="r 3" xfId="2623"/>
    <cellStyle name="Red font 3" xfId="2624"/>
    <cellStyle name="Red Text 5" xfId="2625"/>
    <cellStyle name="Reset range style to defaults 3" xfId="2626"/>
    <cellStyle name="Restruct 3" xfId="2627"/>
    <cellStyle name="Right 3" xfId="2628"/>
    <cellStyle name="Row Ignore 3" xfId="2629"/>
    <cellStyle name="Row Sub Total 3" xfId="2630"/>
    <cellStyle name="Salomon Logo 3" xfId="2631"/>
    <cellStyle name="SAPBEXaggItemX 4" xfId="2632"/>
    <cellStyle name="SAPBEXHLevel0 4" xfId="2633"/>
    <cellStyle name="SAPBEXHLevel0X 4" xfId="2634"/>
    <cellStyle name="SAPBEXHLevel1 4" xfId="2635"/>
    <cellStyle name="SAPBEXHLevel1X 4" xfId="2636"/>
    <cellStyle name="SAPBEXHLevel2 4" xfId="2637"/>
    <cellStyle name="SAPBEXHLevel2X 4" xfId="2638"/>
    <cellStyle name="SAPBEXHLevel3 4" xfId="2639"/>
    <cellStyle name="SAPBEXHLevel3X 4" xfId="2640"/>
    <cellStyle name="SAPBEXresItemX 4" xfId="2641"/>
    <cellStyle name="SAPBEXstdItemX 4" xfId="2642"/>
    <cellStyle name="ScotchRule 3" xfId="2643"/>
    <cellStyle name="SectionHeading 3" xfId="2644"/>
    <cellStyle name="shade 3" xfId="2645"/>
    <cellStyle name="Shaded 3" xfId="2646"/>
    <cellStyle name="SS Col Hdr 3" xfId="2647"/>
    <cellStyle name="SS Dim 1 Blank 3" xfId="2648"/>
    <cellStyle name="SS Dim 1 Title 3" xfId="2649"/>
    <cellStyle name="SS Dim 1 Value 3" xfId="2650"/>
    <cellStyle name="SS Dim 2 Title 3" xfId="2651"/>
    <cellStyle name="SS Dim 2 Value 3" xfId="2652"/>
    <cellStyle name="SS Dim 3 Title 3" xfId="2653"/>
    <cellStyle name="SS Dim 3 Value 3" xfId="2654"/>
    <cellStyle name="SS Other Measure 3" xfId="2655"/>
    <cellStyle name="SS Unbound Dim 3" xfId="2656"/>
    <cellStyle name="Std Text 3" xfId="2657"/>
    <cellStyle name="Strange 3" xfId="2658"/>
    <cellStyle name="STYL1 - Style1 3" xfId="2659"/>
    <cellStyle name="STYL2 - Style2 3" xfId="2660"/>
    <cellStyle name="STYL3 - Style3 3" xfId="2661"/>
    <cellStyle name="STYL4 - Style4 3" xfId="2662"/>
    <cellStyle name="STYL5 - Style5 3" xfId="2663"/>
    <cellStyle name="Style 1 3" xfId="2664"/>
    <cellStyle name="Style 21 5" xfId="2665"/>
    <cellStyle name="Style 22 5" xfId="2666"/>
    <cellStyle name="Style 31 3" xfId="2667"/>
    <cellStyle name="Style 32 3" xfId="2668"/>
    <cellStyle name="Style 33 3" xfId="2669"/>
    <cellStyle name="Style 34 3" xfId="2670"/>
    <cellStyle name="Style 35 5" xfId="2671"/>
    <cellStyle name="Style 36 5" xfId="2672"/>
    <cellStyle name="Style 37 5" xfId="2673"/>
    <cellStyle name="Style 38 3" xfId="2674"/>
    <cellStyle name="Style 39 3" xfId="2675"/>
    <cellStyle name="Style 40 5" xfId="2676"/>
    <cellStyle name="Style 41 4" xfId="2677"/>
    <cellStyle name="Style 42 5" xfId="2678"/>
    <cellStyle name="Style 43 5" xfId="2679"/>
    <cellStyle name="Style 44 7" xfId="2680"/>
    <cellStyle name="Style 45 7" xfId="2681"/>
    <cellStyle name="Style 46 4" xfId="2682"/>
    <cellStyle name="Style 47 3" xfId="2683"/>
    <cellStyle name="Style 48 5" xfId="2684"/>
    <cellStyle name="Style 49 7" xfId="2685"/>
    <cellStyle name="Style 50 5" xfId="2686"/>
    <cellStyle name="Style 51 7" xfId="2687"/>
    <cellStyle name="Style 52 5" xfId="2688"/>
    <cellStyle name="Style 53 5" xfId="2689"/>
    <cellStyle name="Subhead 3" xfId="2690"/>
    <cellStyle name="Sub-Heading 3" xfId="2691"/>
    <cellStyle name="SubHeading1 3" xfId="2692"/>
    <cellStyle name="Subscribers 3" xfId="2693"/>
    <cellStyle name="Subtitle 3" xfId="2694"/>
    <cellStyle name="SymbolBlue 5" xfId="2695"/>
    <cellStyle name="Table 3" xfId="2696"/>
    <cellStyle name="Table Col Head 3" xfId="2697"/>
    <cellStyle name="Table Head 3" xfId="2698"/>
    <cellStyle name="Table Head Blue 3" xfId="2699"/>
    <cellStyle name="Table Head Green 5" xfId="2700"/>
    <cellStyle name="Table Sub Head 3" xfId="2701"/>
    <cellStyle name="Table Text 3" xfId="2702"/>
    <cellStyle name="Table Title 3" xfId="2703"/>
    <cellStyle name="Table Units 5" xfId="2704"/>
    <cellStyle name="Table-Body 3" xfId="2705"/>
    <cellStyle name="Test [green] 3" xfId="2706"/>
    <cellStyle name="Text 1 3" xfId="2707"/>
    <cellStyle name="Text Head 1 3" xfId="2708"/>
    <cellStyle name="Text Indent B 3" xfId="2709"/>
    <cellStyle name="Text Indent C 3" xfId="2710"/>
    <cellStyle name="textbold 3" xfId="2711"/>
    <cellStyle name="TFCF 3" xfId="2712"/>
    <cellStyle name="threedecplace 3" xfId="2713"/>
    <cellStyle name="Times 10 3" xfId="2714"/>
    <cellStyle name="Times 12 3" xfId="2715"/>
    <cellStyle name="Times New Roman 3" xfId="2716"/>
    <cellStyle name="Title - PROJECT 3" xfId="2717"/>
    <cellStyle name="Title - Underline 3" xfId="2718"/>
    <cellStyle name="Title [Palat] 4" xfId="2719"/>
    <cellStyle name="Title1 3" xfId="2720"/>
    <cellStyle name="Title10 3" xfId="2721"/>
    <cellStyle name="Title2 3" xfId="2722"/>
    <cellStyle name="Title8 3" xfId="2723"/>
    <cellStyle name="Title8Left 3" xfId="2724"/>
    <cellStyle name="TitleII 3" xfId="2725"/>
    <cellStyle name="Titles 3" xfId="2726"/>
    <cellStyle name="Titles - Col. Headings 3" xfId="2727"/>
    <cellStyle name="Titles - Other 3" xfId="2728"/>
    <cellStyle name="TopCaption 3" xfId="2729"/>
    <cellStyle name="TopGrey 3" xfId="2730"/>
    <cellStyle name="topline 3" xfId="2731"/>
    <cellStyle name="UNLOCKED 25" xfId="2732"/>
    <cellStyle name="ValueşTABLE-A 3" xfId="2733"/>
    <cellStyle name="Web Row Title 1 3" xfId="2734"/>
    <cellStyle name="Web Row Title 2 3" xfId="2735"/>
    <cellStyle name="White 3" xfId="2736"/>
    <cellStyle name="WingdingsBlack 5" xfId="2737"/>
    <cellStyle name="WingdingsRed 5" xfId="2738"/>
    <cellStyle name="WingdingsWhite 5" xfId="2739"/>
    <cellStyle name="Year 2" xfId="2740"/>
    <cellStyle name="YearInput 3" xfId="2741"/>
    <cellStyle name="yellow 3" xfId="2742"/>
    <cellStyle name="ハイパーリンク 3" xfId="2743"/>
    <cellStyle name="Normal 2 2 9" xfId="2744"/>
    <cellStyle name="Normal 3 2 4" xfId="2745"/>
    <cellStyle name="Normal 6 2 6" xfId="2746"/>
    <cellStyle name="Normal 5 5" xfId="2747"/>
    <cellStyle name="Normal 6 6" xfId="2748"/>
    <cellStyle name="Style 2 3" xfId="2749"/>
    <cellStyle name="Normal 2 3 5" xfId="2750"/>
    <cellStyle name="Normal 3 3 4" xfId="2751"/>
    <cellStyle name="Normal 2 2 2 6" xfId="2752"/>
    <cellStyle name="Normal 6 2 2 5" xfId="2753"/>
    <cellStyle name="Normal 6 2 3 4" xfId="2754"/>
    <cellStyle name="_x000a_386grabber=M 2" xfId="2755"/>
    <cellStyle name="Normal 3 2 2 2" xfId="2756"/>
    <cellStyle name="Normal 3 4 3" xfId="2757"/>
    <cellStyle name="Normal 6 2 2 2 3" xfId="2758"/>
    <cellStyle name="Normal 6 2 3 2 3" xfId="2759"/>
    <cellStyle name="Normal 6 3 3" xfId="2760"/>
    <cellStyle name="Normal 7 6" xfId="2761"/>
    <cellStyle name="Normal 8 6" xfId="2762"/>
    <cellStyle name="Normal 9 7" xfId="2763"/>
    <cellStyle name="_Table 2 4" xfId="2764"/>
    <cellStyle name="ac 2 6" xfId="2765"/>
    <cellStyle name="Bold/Border 2 6" xfId="2766"/>
    <cellStyle name="Border Thin 2 6" xfId="2767"/>
    <cellStyle name="COL HEADINGS 2 6" xfId="2768"/>
    <cellStyle name="Date [mm-d-yyyy] 2 3" xfId="2769"/>
    <cellStyle name="dp*LabelLine 2 3" xfId="2770"/>
    <cellStyle name="Header2 2 2" xfId="2771"/>
    <cellStyle name="Heading [Helv] 2 6" xfId="2772"/>
    <cellStyle name="Heading [Palat] 2 6" xfId="2773"/>
    <cellStyle name="dp*LabelLine 3 2" xfId="2774"/>
    <cellStyle name="Outputs 2 6" xfId="2775"/>
    <cellStyle name="PB Table Standard Row 2 6" xfId="2776"/>
    <cellStyle name="P-Green Rule 2 6" xfId="2777"/>
    <cellStyle name="Style 44 3 6" xfId="2778"/>
    <cellStyle name="Style 45 3 6" xfId="2779"/>
    <cellStyle name="Style 49 3 6" xfId="2780"/>
    <cellStyle name="Style 51 3 6" xfId="2781"/>
    <cellStyle name="Style 41 2 2" xfId="2782"/>
    <cellStyle name="Style 44 2 6" xfId="2783"/>
    <cellStyle name="Style 45 2 6" xfId="2784"/>
    <cellStyle name="Style 46 2 2" xfId="2785"/>
    <cellStyle name="Style 49 2 6" xfId="2786"/>
    <cellStyle name="Style 51 2 6" xfId="2787"/>
    <cellStyle name="Table Head Green 2 6" xfId="2788"/>
    <cellStyle name="Title [Palat] 2 6" xfId="2789"/>
    <cellStyle name="Normal 10 3" xfId="2790"/>
    <cellStyle name="Normal 6 2 4 2" xfId="2791"/>
    <cellStyle name="Normal 6 4 2" xfId="2792"/>
    <cellStyle name="Normal 6 2 2 3 2" xfId="2793"/>
    <cellStyle name="Normal 6 2 3 3 2" xfId="2794"/>
    <cellStyle name="Normal 3 4 2 2" xfId="2795"/>
    <cellStyle name="Normal 6 2 2 2 2 2" xfId="2796"/>
    <cellStyle name="Normal 6 2 3 2 2 2" xfId="2797"/>
    <cellStyle name="Normal 6 3 2 2" xfId="2798"/>
    <cellStyle name="Normal 8 2 3" xfId="2799"/>
    <cellStyle name="Normal 11 3" xfId="2800"/>
    <cellStyle name="Comma 41" xfId="2801"/>
    <cellStyle name="Normal 9 2 3" xfId="2802"/>
    <cellStyle name="Normal 58" xfId="2803"/>
    <cellStyle name="Comma 42" xfId="2804"/>
    <cellStyle name="Percent 46" xfId="2805"/>
    <cellStyle name="Currency-- 30" xfId="2806"/>
    <cellStyle name="UNLOCKED 26" xfId="2807"/>
    <cellStyle name="Array_Comps Output" xfId="2808"/>
    <cellStyle name="Normal 6_Comps Output" xfId="2809"/>
    <cellStyle name="Normal 6 2_Comps Output" xfId="2810"/>
    <cellStyle name="Normal 9_Summary" xfId="2811"/>
    <cellStyle name="Comma 6 2" xfId="2812"/>
    <cellStyle name="Normal 2 9 2" xfId="2813"/>
    <cellStyle name="Normal 2 2 10" xfId="2814"/>
    <cellStyle name="Normal 4 4 2" xfId="2815"/>
    <cellStyle name="Percent 2 3 3" xfId="2816"/>
    <cellStyle name="Normal 3 7 2" xfId="2817"/>
    <cellStyle name="Normal 3 2 4 2" xfId="2818"/>
    <cellStyle name="Normal 2 2 2 5 2" xfId="2819"/>
    <cellStyle name="Normal 2 2 5 2" xfId="2820"/>
    <cellStyle name="Normal 3 3 3 2" xfId="2821"/>
    <cellStyle name="Normal 2 2 6 2" xfId="2822"/>
    <cellStyle name="Normal 2 3 6" xfId="2823"/>
    <cellStyle name="Normal 5 3 2" xfId="2824"/>
    <cellStyle name="Percent 7 2" xfId="2825"/>
    <cellStyle name="Normal 17 3" xfId="2826"/>
    <cellStyle name="Normal 15 3" xfId="2827"/>
    <cellStyle name="Note 2 2" xfId="2828"/>
    <cellStyle name="Comma 7 2" xfId="2829"/>
    <cellStyle name="Currency 5 2" xfId="2830"/>
    <cellStyle name="Normal 6 4 3" xfId="2831"/>
    <cellStyle name="Normal 6 3 4" xfId="2832"/>
    <cellStyle name="Normal 2 3 7" xfId="2833"/>
    <cellStyle name="Normal 2 4 3" xfId="2834"/>
    <cellStyle name="Normal 2 3 2 2" xfId="2835"/>
    <cellStyle name="Normal 2 5 2" xfId="2836"/>
    <cellStyle name="Normal 2 3 3 2" xfId="2837"/>
    <cellStyle name="Normal 2 6 2" xfId="2838"/>
    <cellStyle name="Normal 2 3 4 2" xfId="2839"/>
    <cellStyle name="Normal 2 7 6" xfId="2840"/>
    <cellStyle name="Normal 2 3 5 5" xfId="2841"/>
    <cellStyle name="Normal 5 2 2" xfId="2842"/>
    <cellStyle name="Normal 4 2 2" xfId="2843"/>
    <cellStyle name="Comma 4 2 2" xfId="2844"/>
    <cellStyle name="Normal 2 2 2 4 2" xfId="2845"/>
    <cellStyle name="Comma 5 3" xfId="2846"/>
    <cellStyle name="Normal 2 7 2" xfId="2847"/>
    <cellStyle name="Normal 2 4 2" xfId="2848"/>
    <cellStyle name="Normal 8 4 3" xfId="2849"/>
    <cellStyle name="Normal 7 3 2" xfId="2850"/>
    <cellStyle name="Normal 2 2 3 2" xfId="2851"/>
    <cellStyle name="Comma 5 2" xfId="2852"/>
    <cellStyle name="Normal 2 2 2 2 4" xfId="2853"/>
    <cellStyle name="Percent 2 2 2" xfId="2854"/>
    <cellStyle name="Normal 2 4 2 2" xfId="2855"/>
    <cellStyle name="Normal 8 2 2 2" xfId="2856"/>
    <cellStyle name="Normal 3 3 2 2" xfId="2857"/>
    <cellStyle name="Normal 4 3 2" xfId="2858"/>
    <cellStyle name="Percent 4 2 2" xfId="2859"/>
    <cellStyle name="Currency 2 2 2" xfId="2860"/>
    <cellStyle name="Normal 9 3 2" xfId="2861"/>
    <cellStyle name="Normal 3 2 3 2" xfId="2862"/>
    <cellStyle name="Normal 8 4 2" xfId="2863"/>
    <cellStyle name="Normal 3 4 4" xfId="2864"/>
    <cellStyle name="Normal 8 6 3" xfId="2865"/>
    <cellStyle name="Normal 2 4 3 2" xfId="2866"/>
    <cellStyle name="Normal 8 5 2" xfId="2867"/>
    <cellStyle name="Normal 8 6 2" xfId="2868"/>
    <cellStyle name="Normal 2 7 3" xfId="2869"/>
    <cellStyle name="Normal 2 3 5 2" xfId="2870"/>
    <cellStyle name="Normal 9 2 2 2" xfId="2871"/>
    <cellStyle name="Normal 2 7 4" xfId="2872"/>
    <cellStyle name="Normal 2 3 5 3" xfId="2873"/>
    <cellStyle name="Normal 2 7 5" xfId="2874"/>
    <cellStyle name="Normal 3 2 2 3" xfId="2875"/>
    <cellStyle name="Normal 2 2 4 2" xfId="2876"/>
    <cellStyle name="Normal 10 4" xfId="2877"/>
    <cellStyle name="Currency 3 2 2" xfId="2878"/>
    <cellStyle name="Comma 2 4 2" xfId="2879"/>
    <cellStyle name="Normal 2 7 5 2" xfId="2880"/>
    <cellStyle name="Normal 2 8 2" xfId="2881"/>
    <cellStyle name="Comma 2 2 2" xfId="2882"/>
    <cellStyle name="Normal 3 5 2" xfId="2883"/>
    <cellStyle name="Normal 2 3 5 4" xfId="2884"/>
    <cellStyle name="Normal 7 2 2" xfId="2885"/>
    <cellStyle name="Normal 3 2 2 2 2" xfId="2886"/>
    <cellStyle name="Normal 3 6 2" xfId="2887"/>
    <cellStyle name="Normal 11 4" xfId="2888"/>
    <cellStyle name="Comma 2 3 2" xfId="2889"/>
    <cellStyle name="Normal 2 2 2 3 2" xfId="2890"/>
    <cellStyle name="Normal 2 2 6 4" xfId="2891"/>
    <cellStyle name="Normal 2 2 7 3" xfId="2892"/>
    <cellStyle name="Normal 2 2 7 2" xfId="2893"/>
    <cellStyle name="Normal 2 2 8 2" xfId="2894"/>
    <cellStyle name="Normal 2 2 6 3" xfId="2895"/>
    <cellStyle name="Normal 2 2 9 2" xfId="2896"/>
    <cellStyle name="Normal 12 6" xfId="2897"/>
    <cellStyle name="Normal 13 5" xfId="2898"/>
    <cellStyle name="Normal 6 5 2" xfId="2899"/>
    <cellStyle name="Currency 6 2" xfId="2900"/>
    <cellStyle name="Percent 8 2" xfId="2901"/>
    <cellStyle name="Comma 8 2" xfId="2902"/>
    <cellStyle name="Normal 6 6 2" xfId="2903"/>
    <cellStyle name="Normal 59" xfId="2904"/>
    <cellStyle name="Comma 43" xfId="2905"/>
    <cellStyle name="Percent 47" xfId="2906"/>
    <cellStyle name="FieldName 4" xfId="2907"/>
    <cellStyle name="YearInputBk 2" xfId="2908"/>
    <cellStyle name="WingdingsWhite 6" xfId="2909"/>
    <cellStyle name="WingdingsRed 6" xfId="2910"/>
    <cellStyle name="WingdingsBlack 6" xfId="2911"/>
    <cellStyle name="UNLOCKED 28" xfId="2912"/>
    <cellStyle name="Title [Palat] 5" xfId="2913"/>
    <cellStyle name="Title [Helv] 4" xfId="2914"/>
    <cellStyle name="thenums 2" xfId="2915"/>
    <cellStyle name="Table Head Green 6" xfId="2916"/>
    <cellStyle name="Table Head Aligned 4" xfId="2917"/>
    <cellStyle name="SymbolBlue 6" xfId="2918"/>
    <cellStyle name="Style 53 6" xfId="2919"/>
    <cellStyle name="Style 52 6" xfId="2920"/>
    <cellStyle name="Style 51 9" xfId="2921"/>
    <cellStyle name="Style 50 6" xfId="2922"/>
    <cellStyle name="Style 49 9" xfId="2923"/>
    <cellStyle name="Style 48 6" xfId="2924"/>
    <cellStyle name="Style 45 9" xfId="2925"/>
    <cellStyle name="Style 44 9" xfId="2926"/>
    <cellStyle name="Style 43 6" xfId="2927"/>
    <cellStyle name="Style 42 6" xfId="2928"/>
    <cellStyle name="Style 40 6" xfId="2929"/>
    <cellStyle name="Style 37 6" xfId="2930"/>
    <cellStyle name="Style 36 6" xfId="2931"/>
    <cellStyle name="Style 35 6" xfId="2932"/>
    <cellStyle name="Style 32 4" xfId="2933"/>
    <cellStyle name="Style 31 4" xfId="2934"/>
    <cellStyle name="Style 28 4" xfId="2935"/>
    <cellStyle name="Style 27 4" xfId="2936"/>
    <cellStyle name="Style 24 4" xfId="2937"/>
    <cellStyle name="Style 26 4" xfId="2938"/>
    <cellStyle name="Style 25 4" xfId="2939"/>
    <cellStyle name="Style 22 6" xfId="2940"/>
    <cellStyle name="Style 21 6" xfId="2941"/>
    <cellStyle name="SSFixed2 3" xfId="2942"/>
    <cellStyle name="SSDfltPct0 3" xfId="2943"/>
    <cellStyle name="SSDfltPct 3" xfId="2944"/>
    <cellStyle name="SSDecs3 3" xfId="2945"/>
    <cellStyle name="SSComma2 3" xfId="2946"/>
    <cellStyle name="SSComma0 3" xfId="2947"/>
    <cellStyle name="sharesout 2" xfId="2948"/>
    <cellStyle name="SectionHeading 4" xfId="2949"/>
    <cellStyle name="SAPBEXundefined 3" xfId="2950"/>
    <cellStyle name="SAPBEXtitle 3" xfId="2951"/>
    <cellStyle name="SAPBEXstdItemX 5" xfId="2952"/>
    <cellStyle name="SAPBEXstdItem 3" xfId="2953"/>
    <cellStyle name="SAPBEXstdDataEmph 3" xfId="2954"/>
    <cellStyle name="SAPBEXstdData 3" xfId="2955"/>
    <cellStyle name="SAPBEXresItemX 5" xfId="2956"/>
    <cellStyle name="SAPBEXresItem 3" xfId="2957"/>
    <cellStyle name="SAPBEXresDataEmph 3" xfId="2958"/>
    <cellStyle name="SAPBEXresData 3" xfId="2959"/>
    <cellStyle name="SAPBEXHLevel3X 5" xfId="2960"/>
    <cellStyle name="SAPBEXHLevel3 5" xfId="2961"/>
    <cellStyle name="SAPBEXHLevel2X 5" xfId="2962"/>
    <cellStyle name="SAPBEXHLevel2 5" xfId="2963"/>
    <cellStyle name="SAPBEXHLevel1X 5" xfId="2964"/>
    <cellStyle name="SAPBEXHLevel1 5" xfId="2965"/>
    <cellStyle name="SAPBEXHLevel0X 5" xfId="2966"/>
    <cellStyle name="SAPBEXHLevel0 5" xfId="2967"/>
    <cellStyle name="SAPBEXformats 3" xfId="2968"/>
    <cellStyle name="SAPBEXexcGood3 3" xfId="2969"/>
    <cellStyle name="SAPBEXexcGood2 3" xfId="2970"/>
    <cellStyle name="SAPBEXexcGood1 3" xfId="2971"/>
    <cellStyle name="SAPBEXexcCritical6 3" xfId="2972"/>
    <cellStyle name="SAPBEXexcCritical5 3" xfId="2973"/>
    <cellStyle name="SAPBEXexcCritical4 3" xfId="2974"/>
    <cellStyle name="SAPBEXexcBad9 3" xfId="2975"/>
    <cellStyle name="SAPBEXexcBad8 3" xfId="2976"/>
    <cellStyle name="SAPBEXexcBad7 3" xfId="2977"/>
    <cellStyle name="SAPBEXaggItemX 5" xfId="2978"/>
    <cellStyle name="SAPBEXaggItem 3" xfId="2979"/>
    <cellStyle name="SAPBEXaggDataEmph 3" xfId="2980"/>
    <cellStyle name="SAPBEXaggData 3" xfId="2981"/>
    <cellStyle name="Arial6Bold 7" xfId="2982"/>
    <cellStyle name="Currency-- 31" xfId="2983"/>
    <cellStyle name="Arial8Bold 7" xfId="2984"/>
    <cellStyle name="Arial8Italic 7" xfId="2985"/>
    <cellStyle name="ArialNormal 7" xfId="2986"/>
    <cellStyle name="ProjectionInput 2" xfId="2987"/>
    <cellStyle name="Border 5" xfId="2988"/>
    <cellStyle name="P-Green Rule 7" xfId="2989"/>
    <cellStyle name="PB Table Standard Row 7" xfId="2990"/>
    <cellStyle name="Outputs 6" xfId="2991"/>
    <cellStyle name="ON HOLD 4" xfId="2992"/>
    <cellStyle name="Currency-- 33" xfId="2993"/>
    <cellStyle name="dp*Number%ItalicsLineAbove 5" xfId="2994"/>
    <cellStyle name="dp*ThinLineAbove 5" xfId="2995"/>
    <cellStyle name="Draw lines around data in range 7" xfId="2996"/>
    <cellStyle name="Draw shadow and lines within range 7" xfId="2997"/>
    <cellStyle name="Millions 9" xfId="2998"/>
    <cellStyle name="Main 5" xfId="2999"/>
    <cellStyle name="Magic 4" xfId="3000"/>
    <cellStyle name="ItemTypeClass 6" xfId="3001"/>
    <cellStyle name="Format a row of totals 7" xfId="3002"/>
    <cellStyle name="IntInputBu 2" xfId="3003"/>
    <cellStyle name="IntInputBk 2" xfId="3004"/>
    <cellStyle name="IntInput 2" xfId="3005"/>
    <cellStyle name="Format text as bold, black on yellow 7" xfId="3006"/>
    <cellStyle name="Input [yellow] 2" xfId="3007"/>
    <cellStyle name="Heading [Palat] 6" xfId="3008"/>
    <cellStyle name="Heading [Helv] 6" xfId="3009"/>
    <cellStyle name="hard no. 2" xfId="3010"/>
    <cellStyle name="hard no 2" xfId="3011"/>
    <cellStyle name="Format text as bold, black on yellow 6" xfId="3012"/>
    <cellStyle name="Format a row of totals 6" xfId="3013"/>
    <cellStyle name="ItemTypeClass 7" xfId="3014"/>
    <cellStyle name="Main 6" xfId="3015"/>
    <cellStyle name="Draw shadow and lines within range 6" xfId="3016"/>
    <cellStyle name="Draw lines around data in range 6" xfId="3017"/>
    <cellStyle name="dp*ThinLineBelow 5" xfId="3018"/>
    <cellStyle name="dp*ThinLineAbove 4" xfId="3019"/>
    <cellStyle name="dp*SubTitle 5" xfId="3020"/>
    <cellStyle name="dp*SheetSubTitle 4" xfId="3021"/>
    <cellStyle name="dp*NumberLineEPS 4" xfId="3022"/>
    <cellStyle name="dp*NumberLine 4" xfId="3023"/>
    <cellStyle name="dp*NumberCurrencyLine 5" xfId="3024"/>
    <cellStyle name="dp*Number%ItalicsLineAbove 4" xfId="3025"/>
    <cellStyle name="Millions 10" xfId="3026"/>
    <cellStyle name="dp*LabelLine 7" xfId="3027"/>
    <cellStyle name="dp*LabelItalicsLineAbove 5" xfId="3028"/>
    <cellStyle name="DateYearWholeEstimate 6" xfId="3029"/>
    <cellStyle name="DateYearEstimate 6" xfId="3030"/>
    <cellStyle name="Date [mmm-yyyy] 4" xfId="3031"/>
    <cellStyle name="Date [mm-d-yyyy] 7" xfId="3032"/>
    <cellStyle name="Currency-- 32" xfId="3033"/>
    <cellStyle name="COL HEADINGS 6" xfId="3034"/>
    <cellStyle name="Category Name 4" xfId="3035"/>
    <cellStyle name="Border Thin 7" xfId="3036"/>
    <cellStyle name="Border 4" xfId="3037"/>
    <cellStyle name="Bold/Border 6" xfId="3038"/>
    <cellStyle name="ArialNormal 6" xfId="3039"/>
    <cellStyle name="Arial8Italic 6" xfId="3040"/>
    <cellStyle name="Arial8Bold 6" xfId="3041"/>
    <cellStyle name="Arial6Bold 6" xfId="3042"/>
    <cellStyle name="Afjusted 7" xfId="3043"/>
    <cellStyle name="ac 6" xfId="3044"/>
    <cellStyle name="SAPBEXaggData 4" xfId="3045"/>
    <cellStyle name="SAPBEXaggDataEmph 4" xfId="3046"/>
    <cellStyle name="SAPBEXaggItem 4" xfId="3047"/>
    <cellStyle name="SAPBEXaggItemX 6" xfId="3048"/>
    <cellStyle name="SAPBEXexcBad7 4" xfId="3049"/>
    <cellStyle name="SAPBEXexcBad8 4" xfId="3050"/>
    <cellStyle name="SAPBEXexcBad9 4" xfId="3051"/>
    <cellStyle name="SAPBEXexcCritical4 4" xfId="3052"/>
    <cellStyle name="SAPBEXexcCritical5 4" xfId="3053"/>
    <cellStyle name="SAPBEXexcCritical6 4" xfId="3054"/>
    <cellStyle name="SAPBEXexcGood2 4" xfId="3055"/>
    <cellStyle name="SAPBEXexcGood1 4" xfId="3056"/>
    <cellStyle name="SAPBEXexcGood3 4" xfId="3057"/>
    <cellStyle name="SAPBEXformats 4" xfId="3058"/>
    <cellStyle name="SAPBEXHLevel0 6" xfId="3059"/>
    <cellStyle name="SAPBEXHLevel0X 6" xfId="3060"/>
    <cellStyle name="SAPBEXHLevel1 6" xfId="3061"/>
    <cellStyle name="SAPBEXHLevel1X 6" xfId="3062"/>
    <cellStyle name="SAPBEXHLevel2 6" xfId="3063"/>
    <cellStyle name="SAPBEXHLevel2X 6" xfId="3064"/>
    <cellStyle name="SAPBEXHLevel3 6" xfId="3065"/>
    <cellStyle name="SAPBEXHLevel3X 6" xfId="3066"/>
    <cellStyle name="SAPBEXresData 4" xfId="3067"/>
    <cellStyle name="SAPBEXresDataEmph 4" xfId="3068"/>
    <cellStyle name="SAPBEXresItem 4" xfId="3069"/>
    <cellStyle name="SAPBEXresItemX 6" xfId="3070"/>
    <cellStyle name="SAPBEXstdData 4" xfId="3071"/>
    <cellStyle name="SAPBEXstdDataEmph 4" xfId="3072"/>
    <cellStyle name="SAPBEXstdItem 4" xfId="3073"/>
    <cellStyle name="SAPBEXstdItemX 6" xfId="3074"/>
    <cellStyle name="SAPBEXtitle 4" xfId="3075"/>
    <cellStyle name="SAPBEXundefined 4" xfId="3076"/>
    <cellStyle name="Style 44 8" xfId="3077"/>
    <cellStyle name="Style 45 8" xfId="3078"/>
    <cellStyle name="Style 49 8" xfId="3079"/>
    <cellStyle name="Style 51 8" xfId="3080"/>
    <cellStyle name="SSComma0 4" xfId="3081"/>
    <cellStyle name="SSComma2 4" xfId="3082"/>
    <cellStyle name="SSDecs3 4" xfId="3083"/>
    <cellStyle name="SSDfltPct 4" xfId="3084"/>
    <cellStyle name="SSDfltPct0 4" xfId="3085"/>
    <cellStyle name="SSFixed2 4" xfId="3086"/>
    <cellStyle name="Style 22 7" xfId="3087"/>
    <cellStyle name="Style 24 5" xfId="3088"/>
    <cellStyle name="Style 25 5" xfId="3089"/>
    <cellStyle name="Style 26 5" xfId="3090"/>
    <cellStyle name="Style 27 5" xfId="3091"/>
    <cellStyle name="Style 28 5" xfId="3092"/>
    <cellStyle name="Style 35 7" xfId="3093"/>
    <cellStyle name="Style 36 7" xfId="3094"/>
    <cellStyle name="Style 37 7" xfId="3095"/>
    <cellStyle name="Style 40 7" xfId="3096"/>
    <cellStyle name="Style 42 7" xfId="3097"/>
    <cellStyle name="Style 43 7" xfId="3098"/>
    <cellStyle name="Style 48 7" xfId="3099"/>
    <cellStyle name="Style 50 7" xfId="3100"/>
    <cellStyle name="Style 52 7" xfId="3101"/>
    <cellStyle name="Style 53 7" xfId="3102"/>
    <cellStyle name="UNLOCKED 27" xfId="3103"/>
    <cellStyle name="SymbolBlue 7" xfId="3104"/>
    <cellStyle name="Percent 48" xfId="3105"/>
    <cellStyle name="Comma 44" xfId="3106"/>
    <cellStyle name="Normal 60" xfId="3107"/>
    <cellStyle name="Style 21 7" xfId="3108"/>
    <cellStyle name="Currency 9" xfId="3109"/>
    <cellStyle name="Normal 16 2 2" xfId="3110"/>
    <cellStyle name="Comma 2 4 3" xfId="3111"/>
    <cellStyle name="Percent 2 3 4" xfId="3112"/>
    <cellStyle name="Normal 2 4 4" xfId="3113"/>
    <cellStyle name="Normal 3 4 5" xfId="3114"/>
    <cellStyle name="Comma 2 2 3" xfId="3115"/>
    <cellStyle name="Normal 4 2 3" xfId="3116"/>
    <cellStyle name="Normal 78" xfId="3117"/>
    <cellStyle name="Normal 7 2 3" xfId="3118"/>
    <cellStyle name="_Multiple 2" xfId="3119"/>
    <cellStyle name="Comma 1" xfId="3120"/>
    <cellStyle name="Comma 2 2 2 2" xfId="3121"/>
    <cellStyle name="Comma 3 2 2" xfId="3122"/>
    <cellStyle name="Comma 4 5" xfId="3123"/>
    <cellStyle name="Comma 5 4" xfId="3124"/>
    <cellStyle name="Currency 0 2" xfId="3125"/>
    <cellStyle name="Currency 1" xfId="3126"/>
    <cellStyle name="Currency 2 2 3" xfId="3127"/>
    <cellStyle name="Hard Percent 2" xfId="3128"/>
    <cellStyle name="Normal 14 4" xfId="3129"/>
    <cellStyle name="Normal 16 3" xfId="3130"/>
    <cellStyle name="Normal 17 2 2" xfId="3131"/>
    <cellStyle name="Normal 2 2 3 2 2" xfId="3132"/>
    <cellStyle name="Normal 2 3 2 3" xfId="3133"/>
    <cellStyle name="Normal 3 2 2 4" xfId="3134"/>
    <cellStyle name="Normal 5 2 3" xfId="3135"/>
    <cellStyle name="Normal 6 3 5" xfId="3136"/>
    <cellStyle name="Percent 2 2 2 2" xfId="3137"/>
    <cellStyle name="Percent 3 3 2" xfId="3138"/>
    <cellStyle name="Percent 4 4" xfId="3139"/>
    <cellStyle name="Comma 2 3 3" xfId="3140"/>
    <cellStyle name="Normal 17 6" xfId="3141"/>
    <cellStyle name="Comma 48" xfId="3142"/>
    <cellStyle name="YearInputBu 2" xfId="3143"/>
    <cellStyle name="Percent 49" xfId="3144"/>
    <cellStyle name="Comma 45" xfId="3145"/>
    <cellStyle name="Normal 61" xfId="3146"/>
    <cellStyle name="DateYearWholeEstimate 7" xfId="3147"/>
    <cellStyle name="Currency 10" xfId="3148"/>
    <cellStyle name="DateYearEstimate 7" xfId="3149"/>
    <cellStyle name="UNLOCKED 29" xfId="3150"/>
    <cellStyle name="WingdingsBlack 7" xfId="3151"/>
    <cellStyle name="WingdingsRed 7" xfId="3152"/>
    <cellStyle name="WingdingsWhite 7" xfId="3153"/>
    <cellStyle name="Currency 11" xfId="3154"/>
    <cellStyle name="Normal 62" xfId="3155"/>
    <cellStyle name="Comma 46" xfId="3156"/>
    <cellStyle name="Percent 50" xfId="3157"/>
    <cellStyle name="UNLOCKED 31" xfId="3158"/>
    <cellStyle name="Title [Palat] 6" xfId="3159"/>
    <cellStyle name="Title [Helv] 5" xfId="3160"/>
    <cellStyle name="Table Head Green 7" xfId="3161"/>
    <cellStyle name="Table Head Aligned 5" xfId="3162"/>
    <cellStyle name="Currency-- 34" xfId="3163"/>
    <cellStyle name="Outputs 7" xfId="3164"/>
    <cellStyle name="Millions 11" xfId="3165"/>
    <cellStyle name="Magic 5" xfId="3166"/>
    <cellStyle name="Heading [Palat] 7" xfId="3167"/>
    <cellStyle name="Heading [Helv] 7" xfId="3168"/>
    <cellStyle name="dp*SheetSubTitle 5" xfId="3169"/>
    <cellStyle name="dp*NumberLineEPS 5" xfId="3170"/>
    <cellStyle name="dp*NumberLine 5" xfId="3171"/>
    <cellStyle name="Date [mmm-yyyy] 5" xfId="3172"/>
    <cellStyle name="Currency-- 35" xfId="3173"/>
    <cellStyle name="COL HEADINGS 7" xfId="3174"/>
    <cellStyle name="Bold/Border 7" xfId="3175"/>
    <cellStyle name="Afjusted 8" xfId="3176"/>
    <cellStyle name="ac 7" xfId="3177"/>
    <cellStyle name="UNLOCKED 30" xfId="3178"/>
    <cellStyle name="Percent 51" xfId="3179"/>
    <cellStyle name="Comma 47" xfId="3180"/>
    <cellStyle name="Normal 63" xfId="3181"/>
    <cellStyle name="Normal 64" xfId="3182"/>
    <cellStyle name="Comma 49" xfId="3183"/>
    <cellStyle name="Percent 52" xfId="3184"/>
    <cellStyle name="FieldName 5" xfId="3185"/>
    <cellStyle name="YearInputBu 3" xfId="3186"/>
    <cellStyle name="YearInputBk 3" xfId="3187"/>
    <cellStyle name="WingdingsWhite 8" xfId="3188"/>
    <cellStyle name="WingdingsRed 8" xfId="3189"/>
    <cellStyle name="WingdingsBlack 8" xfId="3190"/>
    <cellStyle name="UNLOCKED 33" xfId="3191"/>
    <cellStyle name="Title [Palat] 7" xfId="3192"/>
    <cellStyle name="Title [Helv] 6" xfId="3193"/>
    <cellStyle name="thenums 3" xfId="3194"/>
    <cellStyle name="Table Head Green 8" xfId="3195"/>
    <cellStyle name="Table Head Aligned 6" xfId="3196"/>
    <cellStyle name="SymbolBlue 8" xfId="3197"/>
    <cellStyle name="Style 53 8" xfId="3198"/>
    <cellStyle name="Style 52 8" xfId="3199"/>
    <cellStyle name="Style 50 8" xfId="3200"/>
    <cellStyle name="Style 48 8" xfId="3201"/>
    <cellStyle name="Style 43 8" xfId="3202"/>
    <cellStyle name="Style 42 8" xfId="3203"/>
    <cellStyle name="Style 40 8" xfId="3204"/>
    <cellStyle name="Style 37 8" xfId="3205"/>
    <cellStyle name="Style 36 8" xfId="3206"/>
    <cellStyle name="Style 35 8" xfId="3207"/>
    <cellStyle name="Style 32 5" xfId="3208"/>
    <cellStyle name="Style 31 5" xfId="3209"/>
    <cellStyle name="Style 28 6" xfId="3210"/>
    <cellStyle name="Style 26 6" xfId="3211"/>
    <cellStyle name="Style 27 6" xfId="3212"/>
    <cellStyle name="Style 25 6" xfId="3213"/>
    <cellStyle name="Style 24 6" xfId="3214"/>
    <cellStyle name="Style 22 8" xfId="3215"/>
    <cellStyle name="Style 21 8" xfId="3216"/>
    <cellStyle name="SSFixed2 5" xfId="3217"/>
    <cellStyle name="SSDfltPct0 5" xfId="3218"/>
    <cellStyle name="SSDfltPct 5" xfId="3219"/>
    <cellStyle name="SSDecs3 5" xfId="3220"/>
    <cellStyle name="SSComma2 5" xfId="3221"/>
    <cellStyle name="SSComma0 5" xfId="3222"/>
    <cellStyle name="sharesout 3" xfId="3223"/>
    <cellStyle name="SectionHeading 5" xfId="3224"/>
    <cellStyle name="SAPBEXundefined 5" xfId="3225"/>
    <cellStyle name="SAPBEXtitle 5" xfId="3226"/>
    <cellStyle name="SAPBEXstdItemX 7" xfId="3227"/>
    <cellStyle name="SAPBEXstdItem 5" xfId="3228"/>
    <cellStyle name="SAPBEXstdDataEmph 5" xfId="3229"/>
    <cellStyle name="SAPBEXstdData 5" xfId="3230"/>
    <cellStyle name="SAPBEXresItemX 7" xfId="3231"/>
    <cellStyle name="SAPBEXresItem 5" xfId="3232"/>
    <cellStyle name="SAPBEXresDataEmph 5" xfId="3233"/>
    <cellStyle name="SAPBEXresData 5" xfId="3234"/>
    <cellStyle name="SAPBEXHLevel3X 7" xfId="3235"/>
    <cellStyle name="SAPBEXHLevel3 7" xfId="3236"/>
    <cellStyle name="SAPBEXHLevel2X 7" xfId="3237"/>
    <cellStyle name="SAPBEXHLevel2 7" xfId="3238"/>
    <cellStyle name="SAPBEXHLevel1X 7" xfId="3239"/>
    <cellStyle name="SAPBEXHLevel1 7" xfId="3240"/>
    <cellStyle name="SAPBEXHLevel0X 7" xfId="3241"/>
    <cellStyle name="SAPBEXHLevel0 7" xfId="3242"/>
    <cellStyle name="SAPBEXformats 5" xfId="3243"/>
    <cellStyle name="SAPBEXexcGood3 5" xfId="3244"/>
    <cellStyle name="SAPBEXexcGood2 5" xfId="3245"/>
    <cellStyle name="SAPBEXexcGood1 5" xfId="3246"/>
    <cellStyle name="SAPBEXexcCritical6 5" xfId="3247"/>
    <cellStyle name="SAPBEXexcCritical5 5" xfId="3248"/>
    <cellStyle name="SAPBEXexcCritical4 5" xfId="3249"/>
    <cellStyle name="SAPBEXexcBad9 5" xfId="3250"/>
    <cellStyle name="SAPBEXexcBad8 5" xfId="3251"/>
    <cellStyle name="SAPBEXexcBad7 5" xfId="3252"/>
    <cellStyle name="SAPBEXaggItemX 7" xfId="3253"/>
    <cellStyle name="SAPBEXaggItem 5" xfId="3254"/>
    <cellStyle name="SAPBEXaggDataEmph 5" xfId="3255"/>
    <cellStyle name="SAPBEXaggData 5" xfId="3256"/>
    <cellStyle name="Currency-- 36" xfId="3257"/>
    <cellStyle name="ProjectionInput 3" xfId="3258"/>
    <cellStyle name="Outputs 8" xfId="3259"/>
    <cellStyle name="ON HOLD 5" xfId="3260"/>
    <cellStyle name="Millions 12" xfId="3261"/>
    <cellStyle name="Main 7" xfId="3262"/>
    <cellStyle name="Magic 6" xfId="3263"/>
    <cellStyle name="ItemTypeClass 8" xfId="3264"/>
    <cellStyle name="IntInputBu 3" xfId="3265"/>
    <cellStyle name="IntInputBk 3" xfId="3266"/>
    <cellStyle name="IntInput 3" xfId="3267"/>
    <cellStyle name="Input [yellow] 3" xfId="3268"/>
    <cellStyle name="Heading [Palat] 8" xfId="3269"/>
    <cellStyle name="Heading [Helv] 8" xfId="3270"/>
    <cellStyle name="hard no. 3" xfId="3271"/>
    <cellStyle name="hard no 3" xfId="3272"/>
    <cellStyle name="Format text as bold, black on yellow 8" xfId="3273"/>
    <cellStyle name="Format a row of totals 8" xfId="3274"/>
    <cellStyle name="Draw shadow and lines within range 8" xfId="3275"/>
    <cellStyle name="Draw lines around data in range 8" xfId="3276"/>
    <cellStyle name="dp*ThinLineAbove 6" xfId="3277"/>
    <cellStyle name="dp*SheetSubTitle 6" xfId="3278"/>
    <cellStyle name="dp*NumberLineEPS 6" xfId="3279"/>
    <cellStyle name="dp*NumberLine 6" xfId="3280"/>
    <cellStyle name="dp*Number%ItalicsLineAbove 6" xfId="3281"/>
    <cellStyle name="DateYearWholeEstimate 8" xfId="3282"/>
    <cellStyle name="DateYearEstimate 8" xfId="3283"/>
    <cellStyle name="Currency-- 37" xfId="3284"/>
    <cellStyle name="COL HEADINGS 8" xfId="3285"/>
    <cellStyle name="Category Name 5" xfId="3286"/>
    <cellStyle name="Border 6" xfId="3287"/>
    <cellStyle name="Bold/Border 8" xfId="3288"/>
    <cellStyle name="ArialNormal 8" xfId="3289"/>
    <cellStyle name="Arial8Italic 8" xfId="3290"/>
    <cellStyle name="Arial8Bold 8" xfId="3291"/>
    <cellStyle name="Arial6Bold 8" xfId="3292"/>
    <cellStyle name="Afjusted 9" xfId="3293"/>
    <cellStyle name="ac 8" xfId="3294"/>
    <cellStyle name="UNLOCKED 32" xfId="3295"/>
    <cellStyle name="Percent 53" xfId="3296"/>
    <cellStyle name="Comma 50" xfId="3297"/>
    <cellStyle name="Normal 65" xfId="3298"/>
    <cellStyle name="Date [mmm-yyyy] 6" xfId="3299"/>
    <cellStyle name="Normal 3 2 3 3" xfId="3300"/>
    <cellStyle name="Normal 66" xfId="3301"/>
    <cellStyle name="Comma 51" xfId="3302"/>
    <cellStyle name="Percent 54" xfId="3303"/>
    <cellStyle name="UNLOCKED 35" xfId="3304"/>
    <cellStyle name="Title [Palat] 8" xfId="3305"/>
    <cellStyle name="Title [Helv] 7" xfId="3306"/>
    <cellStyle name="Table Head Green 9" xfId="3307"/>
    <cellStyle name="Table Head Aligned 7" xfId="3308"/>
    <cellStyle name="Currency-- 38" xfId="3309"/>
    <cellStyle name="Outputs 9" xfId="3310"/>
    <cellStyle name="Millions 13" xfId="3311"/>
    <cellStyle name="Magic 7" xfId="3312"/>
    <cellStyle name="Heading [Palat] 9" xfId="3313"/>
    <cellStyle name="Heading [Helv] 9" xfId="3314"/>
    <cellStyle name="dp*SheetSubTitle 7" xfId="3315"/>
    <cellStyle name="dp*NumberLineEPS 7" xfId="3316"/>
    <cellStyle name="dp*NumberLine 7" xfId="3317"/>
    <cellStyle name="Date [mmm-yyyy] 7" xfId="3318"/>
    <cellStyle name="Currency-- 39" xfId="3319"/>
    <cellStyle name="COL HEADINGS 9" xfId="3320"/>
    <cellStyle name="Bold/Border 9" xfId="3321"/>
    <cellStyle name="Afjusted 10" xfId="3322"/>
    <cellStyle name="ac 9" xfId="3323"/>
    <cellStyle name="UNLOCKED 34" xfId="3324"/>
    <cellStyle name="Percent 55" xfId="3325"/>
    <cellStyle name="Comma 52" xfId="3326"/>
    <cellStyle name="Normal 67" xfId="3327"/>
    <cellStyle name="Normal 10 5" xfId="3328"/>
    <cellStyle name="Array 6" xfId="3329"/>
    <cellStyle name="Array Enter 6" xfId="3330"/>
    <cellStyle name="Currency-- 40" xfId="3331"/>
    <cellStyle name="Currency 0.0 4" xfId="3332"/>
    <cellStyle name="Normal 0.0 4" xfId="3333"/>
    <cellStyle name="PB Table Highlight2 6" xfId="3334"/>
    <cellStyle name="Percent 0.0 6" xfId="3335"/>
    <cellStyle name="Quantity 4" xfId="3336"/>
    <cellStyle name="Red Text 6" xfId="3337"/>
    <cellStyle name="Afjusted 3 6" xfId="3338"/>
    <cellStyle name="ac 2 7" xfId="3339"/>
    <cellStyle name="Afjusted 2 5" xfId="3340"/>
    <cellStyle name="Bold/Border 2 7" xfId="3341"/>
    <cellStyle name="COL HEADINGS 2 7" xfId="3342"/>
    <cellStyle name="Date [mmm-yyyy] 2 6" xfId="3343"/>
    <cellStyle name="dp*NumberLine 2 6" xfId="3344"/>
    <cellStyle name="dp*NumberLineEPS 2 6" xfId="3345"/>
    <cellStyle name="dp*SheetSubTitle 2 6" xfId="3346"/>
    <cellStyle name="Heading [Helv] 2 7" xfId="3347"/>
    <cellStyle name="Heading [Palat] 2 7" xfId="3348"/>
    <cellStyle name="Magic 2 6" xfId="3349"/>
    <cellStyle name="Outputs 2 7" xfId="3350"/>
    <cellStyle name="Table Head Aligned 2 6" xfId="3351"/>
    <cellStyle name="Table Head Green 2 7" xfId="3352"/>
    <cellStyle name="Title [Helv] 2 6" xfId="3353"/>
    <cellStyle name="Title [Palat] 2 7" xfId="3354"/>
    <cellStyle name="Date [mm-d-yyyy] 3 6" xfId="3355"/>
    <cellStyle name="Style 51 4 6" xfId="3356"/>
    <cellStyle name="Style 49 4 6" xfId="3357"/>
    <cellStyle name="Style 45 4 6" xfId="3358"/>
    <cellStyle name="Style 44 4 6" xfId="3359"/>
    <cellStyle name="P-Green Rule 3 6" xfId="3360"/>
    <cellStyle name="PB Table Standard Row 3 6" xfId="3361"/>
    <cellStyle name="dp*ThinLineBelow 3 6" xfId="3362"/>
    <cellStyle name="dp*SubTitle 3 6" xfId="3363"/>
    <cellStyle name="Border Thin 3 6" xfId="3364"/>
    <cellStyle name="Afjusted 4 6" xfId="3365"/>
    <cellStyle name="ac 2 2 5" xfId="3366"/>
    <cellStyle name="Afjusted 2 2 6" xfId="3367"/>
    <cellStyle name="Bold/Border 2 2 5" xfId="3368"/>
    <cellStyle name="COL HEADINGS 2 2 5" xfId="3369"/>
    <cellStyle name="Date [mmm-yyyy] 2 2 5" xfId="3370"/>
    <cellStyle name="dp*NumberLine 2 2 5" xfId="3371"/>
    <cellStyle name="dp*NumberLineEPS 2 2 5" xfId="3372"/>
    <cellStyle name="dp*SheetSubTitle 2 2 5" xfId="3373"/>
    <cellStyle name="Heading [Helv] 2 2 5" xfId="3374"/>
    <cellStyle name="Heading [Palat] 2 2 5" xfId="3375"/>
    <cellStyle name="Magic 2 2 5" xfId="3376"/>
    <cellStyle name="Outputs 2 2 5" xfId="3377"/>
    <cellStyle name="Table Head Aligned 2 2 5" xfId="3378"/>
    <cellStyle name="Table Head Green 2 2 5" xfId="3379"/>
    <cellStyle name="Title [Helv] 2 2 5" xfId="3380"/>
    <cellStyle name="Title [Palat] 2 2 5" xfId="3381"/>
    <cellStyle name="dp*SubTitle 2 2 2" xfId="3382"/>
    <cellStyle name="Border Thin 2 2 2" xfId="3383"/>
    <cellStyle name="Bold/Border 2 2 3 4 2" xfId="3384"/>
    <cellStyle name="Magic 2 2 3 4 2" xfId="3385"/>
    <cellStyle name="Title [Helv] 2 2 3 4 2" xfId="3386"/>
    <cellStyle name="Style 51 2 2 2" xfId="3387"/>
    <cellStyle name="Style 45 2 2 2" xfId="3388"/>
    <cellStyle name="Style 49 2 2 2" xfId="3389"/>
    <cellStyle name="Style 44 2 2 2" xfId="3390"/>
    <cellStyle name="Style 51 3 2 2" xfId="3391"/>
    <cellStyle name="Style 49 3 2 2" xfId="3392"/>
    <cellStyle name="Style 45 3 2 2" xfId="3393"/>
    <cellStyle name="Style 44 3 2 2" xfId="3394"/>
    <cellStyle name="P-Green Rule 2 2 2" xfId="3395"/>
    <cellStyle name="PB Table Standard Row 2 2 2" xfId="3396"/>
    <cellStyle name="dp*ThinLineBelow 2 2 2" xfId="3397"/>
    <cellStyle name="dp*ThinLineBelow 2 3 2" xfId="3398"/>
    <cellStyle name="Style 44 3 3 2" xfId="3399"/>
    <cellStyle name="COL HEADINGS 2 2 3 4 2" xfId="3400"/>
    <cellStyle name="Style 49 4 3 4 2" xfId="3401"/>
    <cellStyle name="Afjusted 3 3 4 2" xfId="3402"/>
    <cellStyle name="Date [mm-d-yyyy] 3 3 4 2" xfId="3403"/>
    <cellStyle name="Afjusted 4 3 4 2" xfId="3404"/>
    <cellStyle name="ac 2 2 3 4 2" xfId="3405"/>
    <cellStyle name="Afjusted 2 2 3 4 2" xfId="3406"/>
    <cellStyle name="Date [mmm-yyyy] 2 2 3 4 2" xfId="3407"/>
    <cellStyle name="dp*NumberLine 2 2 3 4 2" xfId="3408"/>
    <cellStyle name="dp*NumberLineEPS 2 2 3 4 2" xfId="3409"/>
    <cellStyle name="dp*SheetSubTitle 2 2 3 4 2" xfId="3410"/>
    <cellStyle name="Heading [Helv] 2 2 3 4 2" xfId="3411"/>
    <cellStyle name="Outputs 2 2 3 4 2" xfId="3412"/>
    <cellStyle name="Table Head Aligned 2 2 3 4 2" xfId="3413"/>
    <cellStyle name="Title [Palat] 2 2 3 4 2" xfId="3414"/>
    <cellStyle name="Afjusted 3 5 2" xfId="3415"/>
    <cellStyle name="Style 45 3 3 2" xfId="3416"/>
    <cellStyle name="Style 51 3 3 2" xfId="3417"/>
    <cellStyle name="Style 44 2 3 2" xfId="3418"/>
    <cellStyle name="Style 45 2 3 2" xfId="3419"/>
    <cellStyle name="Style 49 2 3 2" xfId="3420"/>
    <cellStyle name="Border Thin 3 5 2" xfId="3421"/>
    <cellStyle name="ac 2 2 4 2" xfId="3422"/>
    <cellStyle name="Afjusted 2 2 5 2" xfId="3423"/>
    <cellStyle name="Bold/Border 2 2 4 2" xfId="3424"/>
    <cellStyle name="COL HEADINGS 2 2 4 2" xfId="3425"/>
    <cellStyle name="Date [mmm-yyyy] 2 2 4 2" xfId="3426"/>
    <cellStyle name="dp*NumberLine 2 2 4 2" xfId="3427"/>
    <cellStyle name="dp*NumberLineEPS 2 2 4 2" xfId="3428"/>
    <cellStyle name="dp*SheetSubTitle 2 2 4 2" xfId="3429"/>
    <cellStyle name="Heading [Palat] 2 2 4 2" xfId="3430"/>
    <cellStyle name="Outputs 2 2 4 2" xfId="3431"/>
    <cellStyle name="Magic 2 2 4 2" xfId="3432"/>
    <cellStyle name="Title [Helv] 2 2 4 2" xfId="3433"/>
    <cellStyle name="Title [Palat] 2 2 4 2" xfId="3434"/>
    <cellStyle name="Title [Palat] 2 2 3 3 2" xfId="3435"/>
    <cellStyle name="Title [Helv] 2 2 3 3 2" xfId="3436"/>
    <cellStyle name="Table Head Aligned 2 2 3 3 2" xfId="3437"/>
    <cellStyle name="Magic 2 2 3 3 2" xfId="3438"/>
    <cellStyle name="Heading [Helv] 2 2 3 3 2" xfId="3439"/>
    <cellStyle name="dp*NumberLineEPS 2 2 3 3 2" xfId="3440"/>
    <cellStyle name="COL HEADINGS 2 2 3 3 2" xfId="3441"/>
    <cellStyle name="ac 2 2 3 3 2" xfId="3442"/>
    <cellStyle name="Afjusted 4 3 3 2" xfId="3443"/>
    <cellStyle name="Border Thin 3 3 3 2" xfId="3444"/>
    <cellStyle name="PB Table Standard Row 3 3 3 2" xfId="3445"/>
    <cellStyle name="Style 44 4 3 3 2" xfId="3446"/>
    <cellStyle name="Style 51 4 3 3 2" xfId="3447"/>
    <cellStyle name="Afjusted 3 3 3 2" xfId="3448"/>
    <cellStyle name="Style 49 4 5 2" xfId="3449"/>
    <cellStyle name="Style 44 4 5 2" xfId="3450"/>
    <cellStyle name="P-Green Rule 3 5 2" xfId="3451"/>
    <cellStyle name="dp*SubTitle 3 5 2" xfId="3452"/>
    <cellStyle name="Afjusted 4 5 2" xfId="3453"/>
    <cellStyle name="ac 2 3 2" xfId="3454"/>
    <cellStyle name="Bold/Border 2 3 2" xfId="3455"/>
    <cellStyle name="COL HEADINGS 2 3 2" xfId="3456"/>
    <cellStyle name="Date [mmm-yyyy] 2 3 2" xfId="3457"/>
    <cellStyle name="dp*NumberLine 2 3 2" xfId="3458"/>
    <cellStyle name="dp*NumberLineEPS 2 3 2" xfId="3459"/>
    <cellStyle name="dp*SheetSubTitle 2 3 2" xfId="3460"/>
    <cellStyle name="Heading [Helv] 2 3 2" xfId="3461"/>
    <cellStyle name="Heading [Palat] 2 3 2" xfId="3462"/>
    <cellStyle name="Magic 2 3 2" xfId="3463"/>
    <cellStyle name="Outputs 2 3 2" xfId="3464"/>
    <cellStyle name="Date [mmm-yyyy] 2 2 3 3 2" xfId="3465"/>
    <cellStyle name="Afjusted 2 2 3 3 2" xfId="3466"/>
    <cellStyle name="dp*ThinLineBelow 3 3 3 2" xfId="3467"/>
    <cellStyle name="Style 49 4 3 3 2" xfId="3468"/>
    <cellStyle name="Outputs 2 2 3 3 2" xfId="3469"/>
    <cellStyle name="dp*NumberLine 2 2 3 3 2" xfId="3470"/>
    <cellStyle name="Bold/Border 2 2 3 3 2" xfId="3471"/>
    <cellStyle name="dp*SubTitle 3 3 3 2" xfId="3472"/>
    <cellStyle name="Style 45 4 3 3 2" xfId="3473"/>
    <cellStyle name="Table Head Aligned 2 3 2" xfId="3474"/>
    <cellStyle name="Table Head Green 2 3 2" xfId="3475"/>
    <cellStyle name="Title [Helv] 2 3 2" xfId="3476"/>
    <cellStyle name="Title [Palat] 2 3 2" xfId="3477"/>
    <cellStyle name="Style 45 4 3 4 2" xfId="3478"/>
    <cellStyle name="Style 51 4 3 4 2" xfId="3479"/>
    <cellStyle name="Afjusted 3 4 2" xfId="3480"/>
    <cellStyle name="P-Green Rule 3 3 4 2" xfId="3481"/>
    <cellStyle name="Border Thin 2 3 2" xfId="3482"/>
    <cellStyle name="Style 49 3 3 2" xfId="3483"/>
    <cellStyle name="Style 51 2 3 2" xfId="3484"/>
    <cellStyle name="Heading [Helv] 2 2 4 2" xfId="3485"/>
    <cellStyle name="Table Head Aligned 2 2 4 2" xfId="3486"/>
    <cellStyle name="Table Head Green 2 2 4 2" xfId="3487"/>
    <cellStyle name="Table Head Green 2 2 3 3 2" xfId="3488"/>
    <cellStyle name="Heading [Palat] 2 2 3 3 2" xfId="3489"/>
    <cellStyle name="dp*SheetSubTitle 2 2 3 3 2" xfId="3490"/>
    <cellStyle name="P-Green Rule 3 3 3 2" xfId="3491"/>
    <cellStyle name="Date [mm-d-yyyy] 3 3 3 2" xfId="3492"/>
    <cellStyle name="Date [mm-d-yyyy] 3 4 2" xfId="3493"/>
    <cellStyle name="Style 51 4 4 2" xfId="3494"/>
    <cellStyle name="Style 49 4 4 2" xfId="3495"/>
    <cellStyle name="Style 45 4 4 2" xfId="3496"/>
    <cellStyle name="Style 44 4 4 2" xfId="3497"/>
    <cellStyle name="dp*ThinLineBelow 3 3 4 2" xfId="3498"/>
    <cellStyle name="P-Green Rule 3 4 2" xfId="3499"/>
    <cellStyle name="PB Table Standard Row 3 4 2" xfId="3500"/>
    <cellStyle name="dp*ThinLineBelow 3 4 2" xfId="3501"/>
    <cellStyle name="dp*SubTitle 3 4 2" xfId="3502"/>
    <cellStyle name="dp*SubTitle 3 3 4 2" xfId="3503"/>
    <cellStyle name="Border Thin 3 4 2" xfId="3504"/>
    <cellStyle name="Border Thin 3 3 4 2" xfId="3505"/>
    <cellStyle name="Afjusted 4 4 2" xfId="3506"/>
    <cellStyle name="Afjusted 2 2 4 2" xfId="3507"/>
    <cellStyle name="Style 44 4 3 4 2" xfId="3508"/>
    <cellStyle name="PB Table Standard Row 3 3 4 2" xfId="3509"/>
    <cellStyle name="Title [Palat] 2 2 3 5" xfId="3510"/>
    <cellStyle name="Title [Helv] 2 2 3 5" xfId="3511"/>
    <cellStyle name="Table Head Green 2 2 3 5" xfId="3512"/>
    <cellStyle name="Table Head Aligned 2 2 3 5" xfId="3513"/>
    <cellStyle name="Outputs 2 2 3 5" xfId="3514"/>
    <cellStyle name="Magic 2 2 3 5" xfId="3515"/>
    <cellStyle name="Heading [Palat] 2 2 3 5" xfId="3516"/>
    <cellStyle name="Heading [Helv] 2 2 3 5" xfId="3517"/>
    <cellStyle name="dp*SheetSubTitle 2 2 3 5" xfId="3518"/>
    <cellStyle name="dp*NumberLineEPS 2 2 3 5" xfId="3519"/>
    <cellStyle name="dp*NumberLine 2 2 3 5" xfId="3520"/>
    <cellStyle name="Date [mmm-yyyy] 2 2 3 5" xfId="3521"/>
    <cellStyle name="COL HEADINGS 2 2 3 5" xfId="3522"/>
    <cellStyle name="Bold/Border 2 2 3 5" xfId="3523"/>
    <cellStyle name="Afjusted 2 2 3 5" xfId="3524"/>
    <cellStyle name="ac 2 2 3 5" xfId="3525"/>
    <cellStyle name="Afjusted 4 3 5" xfId="3526"/>
    <cellStyle name="Border Thin 3 3 5" xfId="3527"/>
    <cellStyle name="dp*SubTitle 3 3 5" xfId="3528"/>
    <cellStyle name="dp*ThinLineBelow 3 3 5" xfId="3529"/>
    <cellStyle name="PB Table Standard Row 3 3 5" xfId="3530"/>
    <cellStyle name="P-Green Rule 3 3 5" xfId="3531"/>
    <cellStyle name="Style 44 4 3 5" xfId="3532"/>
    <cellStyle name="Style 45 4 3 5" xfId="3533"/>
    <cellStyle name="Style 49 4 3 5" xfId="3534"/>
    <cellStyle name="Style 51 4 3 5" xfId="3535"/>
    <cellStyle name="Date [mm-d-yyyy] 3 3 5" xfId="3536"/>
    <cellStyle name="Afjusted 3 3 5" xfId="3537"/>
    <cellStyle name="Date [mm-d-yyyy] 2 2 4" xfId="3538"/>
    <cellStyle name="Afjusted 3 2 5" xfId="3539"/>
    <cellStyle name="Date [mm-d-yyyy] 3 2 5" xfId="3540"/>
    <cellStyle name="Style 51 4 2 5" xfId="3541"/>
    <cellStyle name="Style 49 4 2 5" xfId="3542"/>
    <cellStyle name="Style 45 4 2 5" xfId="3543"/>
    <cellStyle name="Style 44 4 2 5" xfId="3544"/>
    <cellStyle name="P-Green Rule 3 2 5" xfId="3545"/>
    <cellStyle name="PB Table Standard Row 3 2 5" xfId="3546"/>
    <cellStyle name="dp*ThinLineBelow 3 2 5" xfId="3547"/>
    <cellStyle name="dp*SubTitle 3 2 5" xfId="3548"/>
    <cellStyle name="Border Thin 3 2 5" xfId="3549"/>
    <cellStyle name="Afjusted 4 2 5" xfId="3550"/>
    <cellStyle name="ac 2 2 2 5" xfId="3551"/>
    <cellStyle name="Afjusted 2 2 2 5" xfId="3552"/>
    <cellStyle name="Bold/Border 2 2 2 5" xfId="3553"/>
    <cellStyle name="COL HEADINGS 2 2 2 5" xfId="3554"/>
    <cellStyle name="Date [mmm-yyyy] 2 2 2 5" xfId="3555"/>
    <cellStyle name="dp*NumberLine 2 2 2 5" xfId="3556"/>
    <cellStyle name="dp*NumberLineEPS 2 2 2 5" xfId="3557"/>
    <cellStyle name="dp*SheetSubTitle 2 2 2 5" xfId="3558"/>
    <cellStyle name="Heading [Helv] 2 2 2 5" xfId="3559"/>
    <cellStyle name="Heading [Palat] 2 2 2 5" xfId="3560"/>
    <cellStyle name="Magic 2 2 2 5" xfId="3561"/>
    <cellStyle name="Outputs 2 2 2 5" xfId="3562"/>
    <cellStyle name="Table Head Aligned 2 2 2 5" xfId="3563"/>
    <cellStyle name="Table Head Green 2 2 2 5" xfId="3564"/>
    <cellStyle name="Title [Helv] 2 2 2 5" xfId="3565"/>
    <cellStyle name="Title [Palat] 2 2 2 5" xfId="3566"/>
    <cellStyle name="Table Head Green 2 2 3 4 2" xfId="3567"/>
    <cellStyle name="Heading [Palat] 2 2 3 4 2" xfId="3568"/>
    <cellStyle name="PB Table Standard Row 2 3 2" xfId="3569"/>
    <cellStyle name="P-Green Rule 2 3 2" xfId="3570"/>
    <cellStyle name="Title [Palat] 2 2 3 2 2" xfId="3571"/>
    <cellStyle name="Title [Helv] 2 2 3 2 2" xfId="3572"/>
    <cellStyle name="Table Head Green 2 2 3 2 2" xfId="3573"/>
    <cellStyle name="Table Head Aligned 2 2 3 2 2" xfId="3574"/>
    <cellStyle name="Outputs 2 2 3 2 2" xfId="3575"/>
    <cellStyle name="Magic 2 2 3 2 2" xfId="3576"/>
    <cellStyle name="Heading [Palat] 2 2 3 2 2" xfId="3577"/>
    <cellStyle name="Heading [Helv] 2 2 3 2 2" xfId="3578"/>
    <cellStyle name="dp*SheetSubTitle 2 2 3 2 2" xfId="3579"/>
    <cellStyle name="dp*NumberLineEPS 2 2 3 2 2" xfId="3580"/>
    <cellStyle name="dp*NumberLine 2 2 3 2 2" xfId="3581"/>
    <cellStyle name="Date [mmm-yyyy] 2 2 3 2 2" xfId="3582"/>
    <cellStyle name="COL HEADINGS 2 2 3 2 2" xfId="3583"/>
    <cellStyle name="Bold/Border 2 2 3 2 2" xfId="3584"/>
    <cellStyle name="Afjusted 2 2 3 2 2" xfId="3585"/>
    <cellStyle name="ac 2 2 3 2 2" xfId="3586"/>
    <cellStyle name="Afjusted 4 3 2 2" xfId="3587"/>
    <cellStyle name="Border Thin 3 3 2 2" xfId="3588"/>
    <cellStyle name="dp*SubTitle 3 3 2 2" xfId="3589"/>
    <cellStyle name="dp*ThinLineBelow 3 3 2 2" xfId="3590"/>
    <cellStyle name="PB Table Standard Row 3 3 2 2" xfId="3591"/>
    <cellStyle name="P-Green Rule 3 3 2 2" xfId="3592"/>
    <cellStyle name="Style 44 4 3 2 2" xfId="3593"/>
    <cellStyle name="Style 45 4 3 2 2" xfId="3594"/>
    <cellStyle name="Style 49 4 3 2 2" xfId="3595"/>
    <cellStyle name="Style 51 4 3 2 2" xfId="3596"/>
    <cellStyle name="Date [mm-d-yyyy] 3 3 2 2" xfId="3597"/>
    <cellStyle name="Afjusted 3 3 2 2" xfId="3598"/>
    <cellStyle name="Date [mm-d-yyyy] 3 5 2" xfId="3599"/>
    <cellStyle name="dp*SubTitle 2 3 2" xfId="3600"/>
    <cellStyle name="Date [mm-d-yyyy] 2 2 2 2" xfId="3601"/>
    <cellStyle name="Afjusted 3 2 2 2" xfId="3602"/>
    <cellStyle name="PB Table Standard Row 3 5 2" xfId="3603"/>
    <cellStyle name="Date [mm-d-yyyy] 3 2 2 2" xfId="3604"/>
    <cellStyle name="Style 51 4 2 2 2" xfId="3605"/>
    <cellStyle name="Style 49 4 2 2 2" xfId="3606"/>
    <cellStyle name="Style 45 4 2 2 2" xfId="3607"/>
    <cellStyle name="Style 44 4 2 2 2" xfId="3608"/>
    <cellStyle name="Style 45 4 5 2" xfId="3609"/>
    <cellStyle name="P-Green Rule 3 2 2 2" xfId="3610"/>
    <cellStyle name="PB Table Standard Row 3 2 2 2" xfId="3611"/>
    <cellStyle name="dp*ThinLineBelow 3 2 2 2" xfId="3612"/>
    <cellStyle name="dp*SubTitle 3 2 2 2" xfId="3613"/>
    <cellStyle name="Style 51 4 5 2" xfId="3614"/>
    <cellStyle name="Border Thin 3 2 2 2" xfId="3615"/>
    <cellStyle name="Afjusted 4 2 2 2" xfId="3616"/>
    <cellStyle name="ac 2 2 2 2 2" xfId="3617"/>
    <cellStyle name="Afjusted 2 2 2 2 2" xfId="3618"/>
    <cellStyle name="Bold/Border 2 2 2 2 2" xfId="3619"/>
    <cellStyle name="COL HEADINGS 2 2 2 2 2" xfId="3620"/>
    <cellStyle name="Date [mmm-yyyy] 2 2 2 2 2" xfId="3621"/>
    <cellStyle name="dp*NumberLine 2 2 2 2 2" xfId="3622"/>
    <cellStyle name="dp*NumberLineEPS 2 2 2 2 2" xfId="3623"/>
    <cellStyle name="dp*SheetSubTitle 2 2 2 2 2" xfId="3624"/>
    <cellStyle name="Heading [Helv] 2 2 2 2 2" xfId="3625"/>
    <cellStyle name="Heading [Palat] 2 2 2 2 2" xfId="3626"/>
    <cellStyle name="Magic 2 2 2 2 2" xfId="3627"/>
    <cellStyle name="Outputs 2 2 2 2 2" xfId="3628"/>
    <cellStyle name="Table Head Aligned 2 2 2 2 2" xfId="3629"/>
    <cellStyle name="Table Head Green 2 2 2 2 2" xfId="3630"/>
    <cellStyle name="Title [Helv] 2 2 2 2 2" xfId="3631"/>
    <cellStyle name="Title [Palat] 2 2 2 2 2" xfId="3632"/>
    <cellStyle name="dp*ThinLineBelow 3 5 2" xfId="3633"/>
    <cellStyle name="Date [mm-d-yyyy] 2 2 3 2" xfId="3634"/>
    <cellStyle name="Afjusted 3 2 3 2" xfId="3635"/>
    <cellStyle name="Date [mm-d-yyyy] 3 2 3 2" xfId="3636"/>
    <cellStyle name="Style 51 4 2 3 2" xfId="3637"/>
    <cellStyle name="Style 49 4 2 3 2" xfId="3638"/>
    <cellStyle name="Style 45 4 2 3 2" xfId="3639"/>
    <cellStyle name="Style 44 4 2 3 2" xfId="3640"/>
    <cellStyle name="P-Green Rule 3 2 3 2" xfId="3641"/>
    <cellStyle name="PB Table Standard Row 3 2 3 2" xfId="3642"/>
    <cellStyle name="dp*ThinLineBelow 3 2 3 2" xfId="3643"/>
    <cellStyle name="dp*SubTitle 3 2 3 2" xfId="3644"/>
    <cellStyle name="Border Thin 3 2 3 2" xfId="3645"/>
    <cellStyle name="Afjusted 4 2 3 2" xfId="3646"/>
    <cellStyle name="ac 2 2 2 3 2" xfId="3647"/>
    <cellStyle name="Afjusted 2 2 2 3 2" xfId="3648"/>
    <cellStyle name="Bold/Border 2 2 2 3 2" xfId="3649"/>
    <cellStyle name="COL HEADINGS 2 2 2 3 2" xfId="3650"/>
    <cellStyle name="Date [mmm-yyyy] 2 2 2 3 2" xfId="3651"/>
    <cellStyle name="dp*NumberLine 2 2 2 3 2" xfId="3652"/>
    <cellStyle name="dp*NumberLineEPS 2 2 2 3 2" xfId="3653"/>
    <cellStyle name="dp*SheetSubTitle 2 2 2 3 2" xfId="3654"/>
    <cellStyle name="Heading [Helv] 2 2 2 3 2" xfId="3655"/>
    <cellStyle name="Heading [Palat] 2 2 2 3 2" xfId="3656"/>
    <cellStyle name="Magic 2 2 2 3 2" xfId="3657"/>
    <cellStyle name="Outputs 2 2 2 3 2" xfId="3658"/>
    <cellStyle name="Table Head Aligned 2 2 2 3 2" xfId="3659"/>
    <cellStyle name="Table Head Green 2 2 2 3 2" xfId="3660"/>
    <cellStyle name="Title [Helv] 2 2 2 3 2" xfId="3661"/>
    <cellStyle name="Title [Palat] 2 2 2 3 2" xfId="3662"/>
    <cellStyle name="Afjusted 3 2 4 2" xfId="3663"/>
    <cellStyle name="Date [mm-d-yyyy] 3 2 4 2" xfId="3664"/>
    <cellStyle name="Style 51 4 2 4 2" xfId="3665"/>
    <cellStyle name="Style 49 4 2 4 2" xfId="3666"/>
    <cellStyle name="Style 45 4 2 4 2" xfId="3667"/>
    <cellStyle name="Style 44 4 2 4 2" xfId="3668"/>
    <cellStyle name="P-Green Rule 3 2 4 2" xfId="3669"/>
    <cellStyle name="PB Table Standard Row 3 2 4 2" xfId="3670"/>
    <cellStyle name="dp*ThinLineBelow 3 2 4 2" xfId="3671"/>
    <cellStyle name="dp*SubTitle 3 2 4 2" xfId="3672"/>
    <cellStyle name="Border Thin 3 2 4 2" xfId="3673"/>
    <cellStyle name="Afjusted 4 2 4 2" xfId="3674"/>
    <cellStyle name="ac 2 2 2 4 2" xfId="3675"/>
    <cellStyle name="Afjusted 2 2 2 4 2" xfId="3676"/>
    <cellStyle name="Bold/Border 2 2 2 4 2" xfId="3677"/>
    <cellStyle name="COL HEADINGS 2 2 2 4 2" xfId="3678"/>
    <cellStyle name="Date [mmm-yyyy] 2 2 2 4 2" xfId="3679"/>
    <cellStyle name="dp*NumberLine 2 2 2 4 2" xfId="3680"/>
    <cellStyle name="dp*NumberLineEPS 2 2 2 4 2" xfId="3681"/>
    <cellStyle name="dp*SheetSubTitle 2 2 2 4 2" xfId="3682"/>
    <cellStyle name="Heading [Helv] 2 2 2 4 2" xfId="3683"/>
    <cellStyle name="Heading [Palat] 2 2 2 4 2" xfId="3684"/>
    <cellStyle name="Magic 2 2 2 4 2" xfId="3685"/>
    <cellStyle name="Outputs 2 2 2 4 2" xfId="3686"/>
    <cellStyle name="Table Head Aligned 2 2 2 4 2" xfId="3687"/>
    <cellStyle name="Table Head Green 2 2 2 4 2" xfId="3688"/>
    <cellStyle name="Title [Helv] 2 2 2 4 2" xfId="3689"/>
    <cellStyle name="Title [Palat] 2 2 2 4 2" xfId="3690"/>
    <cellStyle name="Border Thin 4 2" xfId="3691"/>
    <cellStyle name="Date [mm-d-yyyy] 4 2" xfId="3692"/>
    <cellStyle name="dp*SubTitle 4 2" xfId="3693"/>
    <cellStyle name="dp*ThinLineBelow 4 2" xfId="3694"/>
    <cellStyle name="PB Table Standard Row 4 2" xfId="3695"/>
    <cellStyle name="P-Green Rule 4 2" xfId="3696"/>
    <cellStyle name="Style 44 5 2" xfId="3697"/>
    <cellStyle name="Style 45 5 2" xfId="3698"/>
    <cellStyle name="Style 49 5 2" xfId="3699"/>
    <cellStyle name="Style 51 5 2" xfId="3700"/>
    <cellStyle name="Title [Palat] 3 2" xfId="3701"/>
    <cellStyle name="Title [Helv] 3 2" xfId="3702"/>
    <cellStyle name="Table Head Green 3 2" xfId="3703"/>
    <cellStyle name="Table Head Aligned 3 2" xfId="3704"/>
    <cellStyle name="Outputs 3 2" xfId="3705"/>
    <cellStyle name="Magic 3 2" xfId="3706"/>
    <cellStyle name="Heading [Palat] 3 2" xfId="3707"/>
    <cellStyle name="Heading [Helv] 3 2" xfId="3708"/>
    <cellStyle name="dp*SheetSubTitle 3 2" xfId="3709"/>
    <cellStyle name="dp*NumberLineEPS 3 2" xfId="3710"/>
    <cellStyle name="dp*NumberLine 3 2" xfId="3711"/>
    <cellStyle name="COL HEADINGS 3 2" xfId="3712"/>
    <cellStyle name="Bold/Border 3 2" xfId="3713"/>
    <cellStyle name="Afjusted 5 2" xfId="3714"/>
    <cellStyle name="ac 3 2" xfId="3715"/>
    <cellStyle name="Date [mmm-yyyy] 3 2" xfId="3716"/>
    <cellStyle name="ac 2 4 2" xfId="3717"/>
    <cellStyle name="Afjusted 2 3 2" xfId="3718"/>
    <cellStyle name="Bold/Border 2 4 2" xfId="3719"/>
    <cellStyle name="Border Thin 2 4 2" xfId="3720"/>
    <cellStyle name="COL HEADINGS 2 4 2" xfId="3721"/>
    <cellStyle name="Date [mmm-yyyy] 2 4 2" xfId="3722"/>
    <cellStyle name="dp*NumberLine 2 4 2" xfId="3723"/>
    <cellStyle name="dp*NumberLineEPS 2 4 2" xfId="3724"/>
    <cellStyle name="dp*SheetSubTitle 2 4 2" xfId="3725"/>
    <cellStyle name="dp*SubTitle 2 4 2" xfId="3726"/>
    <cellStyle name="dp*ThinLineBelow 2 4 2" xfId="3727"/>
    <cellStyle name="Heading [Helv] 2 4 2" xfId="3728"/>
    <cellStyle name="Heading [Palat] 2 4 2" xfId="3729"/>
    <cellStyle name="Magic 2 4 2" xfId="3730"/>
    <cellStyle name="Outputs 2 4 2" xfId="3731"/>
    <cellStyle name="PB Table Standard Row 2 4 2" xfId="3732"/>
    <cellStyle name="P-Green Rule 2 4 2" xfId="3733"/>
    <cellStyle name="Style 44 3 4 2" xfId="3734"/>
    <cellStyle name="Style 45 3 4 2" xfId="3735"/>
    <cellStyle name="Style 49 3 4 2" xfId="3736"/>
    <cellStyle name="Style 51 3 4 2" xfId="3737"/>
    <cellStyle name="Style 44 2 4 2" xfId="3738"/>
    <cellStyle name="Style 45 2 4 2" xfId="3739"/>
    <cellStyle name="Style 49 2 4 2" xfId="3740"/>
    <cellStyle name="Style 51 2 4 2" xfId="3741"/>
    <cellStyle name="Table Head Aligned 2 4 2" xfId="3742"/>
    <cellStyle name="Table Head Green 2 4 2" xfId="3743"/>
    <cellStyle name="Title [Helv] 2 4 2" xfId="3744"/>
    <cellStyle name="Title [Palat] 2 4 2" xfId="3745"/>
    <cellStyle name="ac 4 2" xfId="3746"/>
    <cellStyle name="Bold/Border 4 2" xfId="3747"/>
    <cellStyle name="Border Thin 5 2" xfId="3748"/>
    <cellStyle name="COL HEADINGS 4 2" xfId="3749"/>
    <cellStyle name="Date [mm-d-yyyy] 5 2" xfId="3750"/>
    <cellStyle name="Heading [Helv] 4 2" xfId="3751"/>
    <cellStyle name="Heading [Palat] 4 2" xfId="3752"/>
    <cellStyle name="Outputs 4 2" xfId="3753"/>
    <cellStyle name="PB Table Standard Row 5 2" xfId="3754"/>
    <cellStyle name="P-Green Rule 5 2" xfId="3755"/>
    <cellStyle name="Style 44 6 2" xfId="3756"/>
    <cellStyle name="Style 45 6 2" xfId="3757"/>
    <cellStyle name="Style 49 6 2" xfId="3758"/>
    <cellStyle name="Style 51 6 2" xfId="3759"/>
    <cellStyle name="Table Head Green 4 2" xfId="3760"/>
    <cellStyle name="Afjusted 6 2" xfId="3761"/>
    <cellStyle name="ac 2 5 2" xfId="3762"/>
    <cellStyle name="Afjusted 2 4 2" xfId="3763"/>
    <cellStyle name="Bold/Border 2 5 2" xfId="3764"/>
    <cellStyle name="Border Thin 2 5 2" xfId="3765"/>
    <cellStyle name="COL HEADINGS 2 5 2" xfId="3766"/>
    <cellStyle name="Date [mmm-yyyy] 2 5 2" xfId="3767"/>
    <cellStyle name="dp*NumberLine 2 5 2" xfId="3768"/>
    <cellStyle name="dp*NumberLineEPS 2 5 2" xfId="3769"/>
    <cellStyle name="dp*SheetSubTitle 2 5 2" xfId="3770"/>
    <cellStyle name="dp*SubTitle 2 5 2" xfId="3771"/>
    <cellStyle name="dp*ThinLineBelow 2 5 2" xfId="3772"/>
    <cellStyle name="Heading [Helv] 2 5 2" xfId="3773"/>
    <cellStyle name="Heading [Palat] 2 5 2" xfId="3774"/>
    <cellStyle name="Magic 2 5 2" xfId="3775"/>
    <cellStyle name="Outputs 2 5 2" xfId="3776"/>
    <cellStyle name="PB Table Standard Row 2 5 2" xfId="3777"/>
    <cellStyle name="P-Green Rule 2 5 2" xfId="3778"/>
    <cellStyle name="Style 44 3 5 2" xfId="3779"/>
    <cellStyle name="Style 45 3 5 2" xfId="3780"/>
    <cellStyle name="Style 49 3 5 2" xfId="3781"/>
    <cellStyle name="Style 51 3 5 2" xfId="3782"/>
    <cellStyle name="Style 44 2 5 2" xfId="3783"/>
    <cellStyle name="Style 45 2 5 2" xfId="3784"/>
    <cellStyle name="Style 49 2 5 2" xfId="3785"/>
    <cellStyle name="Style 51 2 5 2" xfId="3786"/>
    <cellStyle name="Table Head Aligned 2 5 2" xfId="3787"/>
    <cellStyle name="Table Head Green 2 5 2" xfId="3788"/>
    <cellStyle name="Title [Helv] 2 5 2" xfId="3789"/>
    <cellStyle name="Title [Palat] 2 5 2" xfId="3790"/>
    <cellStyle name="ac 5 2" xfId="3791"/>
    <cellStyle name="Bold/Border 5 2" xfId="3792"/>
    <cellStyle name="Border Thin 6 2" xfId="3793"/>
    <cellStyle name="COL HEADINGS 5 2" xfId="3794"/>
    <cellStyle name="Heading [Helv] 5 2" xfId="3795"/>
    <cellStyle name="Heading [Palat] 5 2" xfId="3796"/>
    <cellStyle name="Outputs 5 2" xfId="3797"/>
    <cellStyle name="PB Table Standard Row 6 2" xfId="3798"/>
    <cellStyle name="P-Green Rule 6 2" xfId="3799"/>
    <cellStyle name="Style 44 7 2" xfId="3800"/>
    <cellStyle name="Style 45 7 2" xfId="3801"/>
    <cellStyle name="Style 49 7 2" xfId="3802"/>
    <cellStyle name="Style 51 7 2" xfId="3803"/>
    <cellStyle name="Table Head Green 5 2" xfId="3804"/>
    <cellStyle name="Title [Palat] 4 2" xfId="3805"/>
    <cellStyle name="ac 2 6 2" xfId="3806"/>
    <cellStyle name="Bold/Border 2 6 2" xfId="3807"/>
    <cellStyle name="Border Thin 2 6 2" xfId="3808"/>
    <cellStyle name="COL HEADINGS 2 6 2" xfId="3809"/>
    <cellStyle name="Heading [Helv] 2 6 2" xfId="3810"/>
    <cellStyle name="Heading [Palat] 2 6 2" xfId="3811"/>
    <cellStyle name="Outputs 2 6 2" xfId="3812"/>
    <cellStyle name="PB Table Standard Row 2 6 2" xfId="3813"/>
    <cellStyle name="P-Green Rule 2 6 2" xfId="3814"/>
    <cellStyle name="Style 44 3 6 2" xfId="3815"/>
    <cellStyle name="Style 45 3 6 2" xfId="3816"/>
    <cellStyle name="Style 49 3 6 2" xfId="3817"/>
    <cellStyle name="Style 51 3 6 2" xfId="3818"/>
    <cellStyle name="Style 44 2 6 2" xfId="3819"/>
    <cellStyle name="Style 45 2 6 2" xfId="3820"/>
    <cellStyle name="Style 49 2 6 2" xfId="3821"/>
    <cellStyle name="Style 51 2 6 2" xfId="3822"/>
    <cellStyle name="Table Head Green 2 6 2" xfId="3823"/>
    <cellStyle name="Title [Palat] 2 6 2" xfId="3824"/>
    <cellStyle name="Title [Palat] 5 2" xfId="3825"/>
    <cellStyle name="Title [Helv] 4 2" xfId="3826"/>
    <cellStyle name="Table Head Green 6 2" xfId="3827"/>
    <cellStyle name="Table Head Aligned 4 2" xfId="3828"/>
    <cellStyle name="Style 51 9 2" xfId="3829"/>
    <cellStyle name="Style 49 9 2" xfId="3830"/>
    <cellStyle name="Style 45 9 2" xfId="3831"/>
    <cellStyle name="Style 44 9 2" xfId="3832"/>
    <cellStyle name="P-Green Rule 7 2" xfId="3833"/>
    <cellStyle name="PB Table Standard Row 7 2" xfId="3834"/>
    <cellStyle name="Outputs 6 2" xfId="3835"/>
    <cellStyle name="Magic 4 2" xfId="3836"/>
    <cellStyle name="Heading [Palat] 6 2" xfId="3837"/>
    <cellStyle name="Heading [Helv] 6 2" xfId="3838"/>
    <cellStyle name="dp*ThinLineBelow 5 2" xfId="3839"/>
    <cellStyle name="dp*SubTitle 5 2" xfId="3840"/>
    <cellStyle name="dp*SheetSubTitle 4 2" xfId="3841"/>
    <cellStyle name="dp*NumberLineEPS 4 2" xfId="3842"/>
    <cellStyle name="dp*NumberLine 4 2" xfId="3843"/>
    <cellStyle name="Date [mmm-yyyy] 4 2" xfId="3844"/>
    <cellStyle name="Date [mm-d-yyyy] 7 2" xfId="3845"/>
    <cellStyle name="COL HEADINGS 6 2" xfId="3846"/>
    <cellStyle name="Border Thin 7 2" xfId="3847"/>
    <cellStyle name="Bold/Border 6 2" xfId="3848"/>
    <cellStyle name="Afjusted 7 2" xfId="3849"/>
    <cellStyle name="ac 6 2" xfId="3850"/>
    <cellStyle name="Style 44 8 2" xfId="3851"/>
    <cellStyle name="Style 45 8 2" xfId="3852"/>
    <cellStyle name="Style 49 8 2" xfId="3853"/>
    <cellStyle name="Style 51 8 2" xfId="3854"/>
    <cellStyle name="Title [Palat] 6 2" xfId="3855"/>
    <cellStyle name="Title [Helv] 5 2" xfId="3856"/>
    <cellStyle name="Table Head Green 7 2" xfId="3857"/>
    <cellStyle name="Table Head Aligned 5 2" xfId="3858"/>
    <cellStyle name="Outputs 7 2" xfId="3859"/>
    <cellStyle name="Magic 5 2" xfId="3860"/>
    <cellStyle name="Heading [Palat] 7 2" xfId="3861"/>
    <cellStyle name="Heading [Helv] 7 2" xfId="3862"/>
    <cellStyle name="dp*SheetSubTitle 5 2" xfId="3863"/>
    <cellStyle name="dp*NumberLineEPS 5 2" xfId="3864"/>
    <cellStyle name="dp*NumberLine 5 2" xfId="3865"/>
    <cellStyle name="Date [mmm-yyyy] 5 2" xfId="3866"/>
    <cellStyle name="COL HEADINGS 7 2" xfId="3867"/>
    <cellStyle name="Bold/Border 7 2" xfId="3868"/>
    <cellStyle name="Afjusted 8 2" xfId="3869"/>
    <cellStyle name="ac 7 2" xfId="3870"/>
    <cellStyle name="Title [Palat] 7 2" xfId="3871"/>
    <cellStyle name="Title [Helv] 6 2" xfId="3872"/>
    <cellStyle name="Table Head Green 8 2" xfId="3873"/>
    <cellStyle name="Table Head Aligned 6 2" xfId="3874"/>
    <cellStyle name="Outputs 8 2" xfId="3875"/>
    <cellStyle name="Magic 6 2" xfId="3876"/>
    <cellStyle name="Heading [Palat] 8 2" xfId="3877"/>
    <cellStyle name="Heading [Helv] 8 2" xfId="3878"/>
    <cellStyle name="dp*SheetSubTitle 6 2" xfId="3879"/>
    <cellStyle name="dp*NumberLineEPS 6 2" xfId="3880"/>
    <cellStyle name="dp*NumberLine 6 2" xfId="3881"/>
    <cellStyle name="COL HEADINGS 8 2" xfId="3882"/>
    <cellStyle name="Bold/Border 8 2" xfId="3883"/>
    <cellStyle name="Afjusted 9 2" xfId="3884"/>
    <cellStyle name="ac 8 2" xfId="3885"/>
    <cellStyle name="Date [mmm-yyyy] 6 2" xfId="3886"/>
    <cellStyle name="Title [Palat] 8 2" xfId="3887"/>
    <cellStyle name="Title [Helv] 7 2" xfId="3888"/>
    <cellStyle name="Table Head Green 9 2" xfId="3889"/>
    <cellStyle name="Table Head Aligned 7 2" xfId="3890"/>
    <cellStyle name="Outputs 9 2" xfId="3891"/>
    <cellStyle name="Magic 7 2" xfId="3892"/>
    <cellStyle name="Heading [Palat] 9 2" xfId="3893"/>
    <cellStyle name="Heading [Helv] 9 2" xfId="3894"/>
    <cellStyle name="dp*SheetSubTitle 7 2" xfId="3895"/>
    <cellStyle name="dp*NumberLineEPS 7 2" xfId="3896"/>
    <cellStyle name="dp*NumberLine 7 2" xfId="3897"/>
    <cellStyle name="Date [mmm-yyyy] 7 2" xfId="3898"/>
    <cellStyle name="COL HEADINGS 9 2" xfId="3899"/>
    <cellStyle name="Bold/Border 9 2" xfId="3900"/>
    <cellStyle name="Afjusted 10 2" xfId="3901"/>
    <cellStyle name="ac 9 2" xfId="3902"/>
    <cellStyle name="Afjusted 3 8" xfId="3903"/>
    <cellStyle name="Bold/Border 2 2 2 2 4" xfId="3904"/>
    <cellStyle name="Outputs 2 9" xfId="3905"/>
    <cellStyle name="Table Head Green 2 2 3 2 4" xfId="3906"/>
    <cellStyle name="Linked Cell 5" xfId="3907"/>
    <cellStyle name="Good 3" xfId="3908"/>
    <cellStyle name="Title [Palat] 2 2 3 8 2" xfId="3909"/>
    <cellStyle name="Style 45 3 3 10" xfId="3910"/>
    <cellStyle name="Style 50 5 4" xfId="3911"/>
    <cellStyle name="Normal 70" xfId="3912"/>
    <cellStyle name="PB Table Standard Row 5 4" xfId="3913"/>
    <cellStyle name="Outputs 4 4" xfId="3914"/>
    <cellStyle name="Heading [Palat] 2 2 2 2 5 2" xfId="3915"/>
    <cellStyle name="Heading [Palat] 4 4" xfId="3916"/>
    <cellStyle name="Heading [Helv] 4 4" xfId="3917"/>
    <cellStyle name="COL HEADINGS 4 4" xfId="3918"/>
    <cellStyle name="Border Thin 5 4" xfId="3919"/>
    <cellStyle name="Title [Helv] 2 4 4" xfId="3920"/>
    <cellStyle name="Style 51 2 4 4" xfId="3921"/>
    <cellStyle name="Percent 56" xfId="3922"/>
    <cellStyle name="ac 3 4" xfId="3923"/>
    <cellStyle name="Afjusted 5 4" xfId="3924"/>
    <cellStyle name="COL HEADINGS 3 4" xfId="3925"/>
    <cellStyle name="Arial6Bold 9" xfId="3926"/>
    <cellStyle name="Arial8Bold 9" xfId="3927"/>
    <cellStyle name="Arial8Italic 9" xfId="3928"/>
    <cellStyle name="ArialNormal 9" xfId="3929"/>
    <cellStyle name="Table Head Green 3 4" xfId="3930"/>
    <cellStyle name="Total 3" xfId="3931"/>
    <cellStyle name="Border 7" xfId="3932"/>
    <cellStyle name="Warning Text 3" xfId="3933"/>
    <cellStyle name="Warning Text 2 2" xfId="3934"/>
    <cellStyle name="Style 51 5 4" xfId="3935"/>
    <cellStyle name="Style 49 5 4" xfId="3936"/>
    <cellStyle name="Style 45 5 4" xfId="3937"/>
    <cellStyle name="Style 44 5 4" xfId="3938"/>
    <cellStyle name="dp*ThinLineBelow 4 4" xfId="3939"/>
    <cellStyle name="Title [Helv] 2 2 2 4 4" xfId="3940"/>
    <cellStyle name="Outputs 2 2 2 4 4" xfId="3941"/>
    <cellStyle name="Magic 2 2 2 4 4" xfId="3942"/>
    <cellStyle name="dp*NumberLine 2 2 2 4 4" xfId="3943"/>
    <cellStyle name="Bold/Border 2 2 2 4 4" xfId="3944"/>
    <cellStyle name="Afjusted 2 2 2 4 4" xfId="3945"/>
    <cellStyle name="Border Thin 3 2 4 4" xfId="3946"/>
    <cellStyle name="dp*SubTitle 3 2 4 4" xfId="3947"/>
    <cellStyle name="Style 45 4 2 4 4" xfId="3948"/>
    <cellStyle name="Style 49 4 2 4 4" xfId="3949"/>
    <cellStyle name="Style 51 4 2 4 4" xfId="3950"/>
    <cellStyle name="Title [Palat] 2 2 2 3 4" xfId="3951"/>
    <cellStyle name="Title [Helv] 2 2 2 3 4" xfId="3952"/>
    <cellStyle name="Table Head Green 2 2 2 3 4" xfId="3953"/>
    <cellStyle name="Outputs 2 2 2 3 4" xfId="3954"/>
    <cellStyle name="Heading [Helv] 2 2 2 3 4" xfId="3955"/>
    <cellStyle name="dp*NumberLine 2 2 2 3 4" xfId="3956"/>
    <cellStyle name="Bold/Border 2 2 2 3 4" xfId="3957"/>
    <cellStyle name="Afjusted 4 2 3 4" xfId="3958"/>
    <cellStyle name="dp*ThinLineBelow 3 2 3 4" xfId="3959"/>
    <cellStyle name="Style 44 4 2 3 4" xfId="3960"/>
    <cellStyle name="Style 51 4 2 3 4" xfId="3961"/>
    <cellStyle name="Date [mm-d-yyyy] 2 2 3 4" xfId="3962"/>
    <cellStyle name="dp*ThinLineBelow 3 5 4" xfId="3963"/>
    <cellStyle name="Table Head Green 2 2 2 2 4" xfId="3964"/>
    <cellStyle name="Table Head Aligned 2 2 2 2 4" xfId="3965"/>
    <cellStyle name="Outputs 2 2 2 2 4" xfId="3966"/>
    <cellStyle name="Magic 2 2 2 2 4" xfId="3967"/>
    <cellStyle name="dp*ThinLineBelow 3 2 2 4" xfId="3968"/>
    <cellStyle name="dp*SubTitle 3 3 2 4" xfId="3969"/>
    <cellStyle name="Afjusted 2 2 3 2 4" xfId="3970"/>
    <cellStyle name="dp*NumberLineEPS 2 2 2 7" xfId="3971"/>
    <cellStyle name="dp*NumberLine 2 2 2 7" xfId="3972"/>
    <cellStyle name="Date [mmm-yyyy] 2 2 2 7" xfId="3973"/>
    <cellStyle name="COL HEADINGS 2 2 2 7" xfId="3974"/>
    <cellStyle name="ac 2 2 2 7" xfId="3975"/>
    <cellStyle name="Afjusted 4 2 7" xfId="3976"/>
    <cellStyle name="Currency-- 41" xfId="3977"/>
    <cellStyle name="Date [mm-d-yyyy] 3 2 7" xfId="3978"/>
    <cellStyle name="Afjusted 3 3 7" xfId="3979"/>
    <cellStyle name="Style 49 4 3 7" xfId="3980"/>
    <cellStyle name="P-Green Rule 3 3 7" xfId="3981"/>
    <cellStyle name="dp*SubTitle 3 3 7" xfId="3982"/>
    <cellStyle name="Border Thin 3 3 7" xfId="3983"/>
    <cellStyle name="Accent6 3" xfId="3984"/>
    <cellStyle name="Afjusted 2 2 3 7" xfId="3985"/>
    <cellStyle name="Date [mmm-yyyy] 2 2 3 7" xfId="3986"/>
    <cellStyle name="dp*NumberLine 2 2 3 7" xfId="3987"/>
    <cellStyle name="dp*NumberLineEPS 2 2 3 7" xfId="3988"/>
    <cellStyle name="dp*SheetSubTitle 2 2 3 7" xfId="3989"/>
    <cellStyle name="Heading [Helv] 2 2 3 7" xfId="3990"/>
    <cellStyle name="Heading [Palat] 2 2 3 7" xfId="3991"/>
    <cellStyle name="Magic 2 2 3 7" xfId="3992"/>
    <cellStyle name="Outputs 2 2 3 7" xfId="3993"/>
    <cellStyle name="Table Head Aligned 2 2 3 7" xfId="3994"/>
    <cellStyle name="Table Head Green 2 2 3 7" xfId="3995"/>
    <cellStyle name="PB Table Standard Row 3 3 4 4" xfId="3996"/>
    <cellStyle name="DateYearEstimate 9" xfId="3997"/>
    <cellStyle name="DateYearWholeEstimate 9" xfId="3998"/>
    <cellStyle name="Style 44 4 3 4 4" xfId="3999"/>
    <cellStyle name="Afjusted 4 4 4" xfId="4000"/>
    <cellStyle name="dp*SubTitle 3 3 4 4" xfId="4001"/>
    <cellStyle name="dp*ThinLineBelow 3 3 4 4" xfId="4002"/>
    <cellStyle name="Style 44 4 4 4" xfId="4003"/>
    <cellStyle name="Style 51 4 4 4" xfId="4004"/>
    <cellStyle name="Date [mm-d-yyyy] 3 4 4" xfId="4005"/>
    <cellStyle name="Date [mm-d-yyyy] 3 3 3 4" xfId="4006"/>
    <cellStyle name="P-Green Rule 3 3 3 4" xfId="4007"/>
    <cellStyle name="dp*SheetSubTitle 2 2 3 3 4" xfId="4008"/>
    <cellStyle name="Heading [Palat] 2 2 3 3 4" xfId="4009"/>
    <cellStyle name="Table Head Green 2 2 3 3 4" xfId="4010"/>
    <cellStyle name="Table Head Green 2 2 4 4" xfId="4011"/>
    <cellStyle name="Table Head Aligned 2 2 4 4" xfId="4012"/>
    <cellStyle name="Heading [Helv] 2 2 4 4" xfId="4013"/>
    <cellStyle name="Style 51 2 3 4" xfId="4014"/>
    <cellStyle name="Style 49 3 3 4" xfId="4015"/>
    <cellStyle name="Border Thin 2 3 4" xfId="4016"/>
    <cellStyle name="P-Green Rule 3 3 4 4" xfId="4017"/>
    <cellStyle name="Afjusted 3 4 4" xfId="4018"/>
    <cellStyle name="Style 51 4 3 4 4" xfId="4019"/>
    <cellStyle name="Table Head Aligned 2 3 4" xfId="4020"/>
    <cellStyle name="Outputs 2 3 4" xfId="4021"/>
    <cellStyle name="Magic 2 3 4" xfId="4022"/>
    <cellStyle name="Heading [Palat] 2 3 4" xfId="4023"/>
    <cellStyle name="Heading [Helv] 2 3 4" xfId="4024"/>
    <cellStyle name="dp*SheetSubTitle 2 3 4" xfId="4025"/>
    <cellStyle name="dp*Number%ItalicsLineAbove 7" xfId="4026"/>
    <cellStyle name="dp*NumberLineEPS 2 3 4" xfId="4027"/>
    <cellStyle name="dp*SubTitle 3 5 4" xfId="4028"/>
    <cellStyle name="P-Green Rule 3 5 4" xfId="4029"/>
    <cellStyle name="dp*ThinLineAbove 7" xfId="4030"/>
    <cellStyle name="Style 44 4 5 4" xfId="4031"/>
    <cellStyle name="Style 49 4 5 4" xfId="4032"/>
    <cellStyle name="Afjusted 3 3 3 4" xfId="4033"/>
    <cellStyle name="Draw lines around data in range 9" xfId="4034"/>
    <cellStyle name="Draw shadow and lines within range 9" xfId="4035"/>
    <cellStyle name="Style 51 4 3 3 4" xfId="4036"/>
    <cellStyle name="Style 44 4 3 3 4" xfId="4037"/>
    <cellStyle name="Afjusted 4 3 3 4" xfId="4038"/>
    <cellStyle name="dp*NumberLineEPS 2 2 3 3 4" xfId="4039"/>
    <cellStyle name="Table Head Aligned 2 2 3 3 4" xfId="4040"/>
    <cellStyle name="Title [Helv] 2 2 3 3 4" xfId="4041"/>
    <cellStyle name="Title [Palat] 2 2 3 3 4" xfId="4042"/>
    <cellStyle name="Magic 2 2 4 4" xfId="4043"/>
    <cellStyle name="dp*SheetSubTitle 2 2 4 4" xfId="4044"/>
    <cellStyle name="dp*NumberLineEPS 2 2 4 4" xfId="4045"/>
    <cellStyle name="dp*NumberLine 2 2 4 4" xfId="4046"/>
    <cellStyle name="Date [mmm-yyyy] 2 2 4 4" xfId="4047"/>
    <cellStyle name="COL HEADINGS 2 2 4 4" xfId="4048"/>
    <cellStyle name="Bold/Border 2 2 4 4" xfId="4049"/>
    <cellStyle name="Outputs 2 2 3 4 4" xfId="4050"/>
    <cellStyle name="Heading [Helv] 2 2 3 4 4" xfId="4051"/>
    <cellStyle name="dp*NumberLine 2 2 3 4 4" xfId="4052"/>
    <cellStyle name="Date [mmm-yyyy] 2 2 3 4 4" xfId="4053"/>
    <cellStyle name="Afjusted 2 2 3 4 4" xfId="4054"/>
    <cellStyle name="Date [mm-d-yyyy] 3 3 4 4" xfId="4055"/>
    <cellStyle name="Style 49 4 3 4 4" xfId="4056"/>
    <cellStyle name="dp*ThinLineBelow 2 3 4" xfId="4057"/>
    <cellStyle name="PB Table Standard Row 2 2 4" xfId="4058"/>
    <cellStyle name="Style 45 3 2 4" xfId="4059"/>
    <cellStyle name="Style 44 2 2 4" xfId="4060"/>
    <cellStyle name="Style 51 2 2 4" xfId="4061"/>
    <cellStyle name="Format a row of totals 9" xfId="4062"/>
    <cellStyle name="Format text as bold, black on yellow 9" xfId="4063"/>
    <cellStyle name="Border Thin 2 2 4" xfId="4064"/>
    <cellStyle name="dp*SubTitle 2 2 4" xfId="4065"/>
    <cellStyle name="Normal 73" xfId="4066"/>
    <cellStyle name="Title [Palat] 2 2 7" xfId="4067"/>
    <cellStyle name="Outputs 2 2 7" xfId="4068"/>
    <cellStyle name="Magic 2 2 7" xfId="4069"/>
    <cellStyle name="dp*NumberLineEPS 2 2 7" xfId="4070"/>
    <cellStyle name="Date [mmm-yyyy] 2 2 7" xfId="4071"/>
    <cellStyle name="Normal 10 6" xfId="4072"/>
    <cellStyle name="Heading 3 2 2" xfId="4073"/>
    <cellStyle name="ItemTypeClass 9" xfId="4074"/>
    <cellStyle name="60% - Accent5 3" xfId="4075"/>
    <cellStyle name="Output 3" xfId="4076"/>
    <cellStyle name="COL HEADINGS 2 12" xfId="4077"/>
    <cellStyle name="Comma 58" xfId="4078"/>
    <cellStyle name="WingdingsWhite 4 4" xfId="4079"/>
    <cellStyle name="Main 8" xfId="4080"/>
    <cellStyle name="Linked Cell 4" xfId="4081"/>
    <cellStyle name="Normal 8 10" xfId="4082"/>
    <cellStyle name="Title [Helv] 2 8" xfId="4083"/>
    <cellStyle name="Table Head Green 2 9" xfId="4084"/>
    <cellStyle name="Table Head Aligned 2 8" xfId="4085"/>
    <cellStyle name="Good 2 2" xfId="4086"/>
    <cellStyle name="Afjusted 3 5 9" xfId="4087"/>
    <cellStyle name="COL HEADINGS 7 6" xfId="4088"/>
    <cellStyle name="SAPBEXaggData 6" xfId="4089"/>
    <cellStyle name="SAPBEXaggDataEmph 6" xfId="4090"/>
    <cellStyle name="SAPBEXaggItem 6" xfId="4091"/>
    <cellStyle name="SAPBEXaggItemX 8" xfId="4092"/>
    <cellStyle name="SAPBEXexcBad7 6" xfId="4093"/>
    <cellStyle name="SAPBEXexcBad8 6" xfId="4094"/>
    <cellStyle name="SAPBEXexcBad9 6" xfId="4095"/>
    <cellStyle name="SAPBEXexcCritical4 6" xfId="4096"/>
    <cellStyle name="SAPBEXexcCritical5 6" xfId="4097"/>
    <cellStyle name="SAPBEXexcCritical6 6" xfId="4098"/>
    <cellStyle name="SAPBEXexcGood1 6" xfId="4099"/>
    <cellStyle name="SAPBEXexcGood2 6" xfId="4100"/>
    <cellStyle name="SAPBEXexcGood3 6" xfId="4101"/>
    <cellStyle name="SAPBEXformats 6" xfId="4102"/>
    <cellStyle name="SAPBEXHLevel0 8" xfId="4103"/>
    <cellStyle name="SAPBEXHLevel0X 8" xfId="4104"/>
    <cellStyle name="SAPBEXHLevel1 8" xfId="4105"/>
    <cellStyle name="SAPBEXHLevel1X 8" xfId="4106"/>
    <cellStyle name="SAPBEXHLevel2 8" xfId="4107"/>
    <cellStyle name="SAPBEXHLevel2X 8" xfId="4108"/>
    <cellStyle name="SAPBEXHLevel3 8" xfId="4109"/>
    <cellStyle name="SAPBEXHLevel3X 8" xfId="4110"/>
    <cellStyle name="SAPBEXresData 6" xfId="4111"/>
    <cellStyle name="SAPBEXresDataEmph 6" xfId="4112"/>
    <cellStyle name="SAPBEXresItem 6" xfId="4113"/>
    <cellStyle name="SAPBEXresItemX 8" xfId="4114"/>
    <cellStyle name="SAPBEXstdData 6" xfId="4115"/>
    <cellStyle name="SAPBEXstdDataEmph 6" xfId="4116"/>
    <cellStyle name="SAPBEXstdItem 6" xfId="4117"/>
    <cellStyle name="SAPBEXstdItemX 8" xfId="4118"/>
    <cellStyle name="SAPBEXtitle 6" xfId="4119"/>
    <cellStyle name="SAPBEXundefined 6" xfId="4120"/>
    <cellStyle name="SSComma0 6" xfId="4121"/>
    <cellStyle name="SSComma2 6" xfId="4122"/>
    <cellStyle name="SSDecs3 6" xfId="4123"/>
    <cellStyle name="SSDfltPct 6" xfId="4124"/>
    <cellStyle name="SSDfltPct0 6" xfId="4125"/>
    <cellStyle name="SSFixed2 6" xfId="4126"/>
    <cellStyle name="Style 21 9" xfId="4127"/>
    <cellStyle name="Style 22 9" xfId="4128"/>
    <cellStyle name="Style 24 7" xfId="4129"/>
    <cellStyle name="Style 25 7" xfId="4130"/>
    <cellStyle name="Style 26 7" xfId="4131"/>
    <cellStyle name="Style 27 7" xfId="4132"/>
    <cellStyle name="Style 28 7" xfId="4133"/>
    <cellStyle name="Style 35 9" xfId="4134"/>
    <cellStyle name="Style 36 9" xfId="4135"/>
    <cellStyle name="Style 37 9" xfId="4136"/>
    <cellStyle name="Style 40 9" xfId="4137"/>
    <cellStyle name="Style 42 9" xfId="4138"/>
    <cellStyle name="Style 43 9" xfId="4139"/>
    <cellStyle name="Style 48 9" xfId="4140"/>
    <cellStyle name="Style 50 9" xfId="4141"/>
    <cellStyle name="Style 52 9" xfId="4142"/>
    <cellStyle name="Style 53 9" xfId="4143"/>
    <cellStyle name="SymbolBlue 9" xfId="4144"/>
    <cellStyle name="Border 2 5" xfId="4145"/>
    <cellStyle name="UNLOCKED 36" xfId="4146"/>
    <cellStyle name="WingdingsBlack 9" xfId="4147"/>
    <cellStyle name="WingdingsRed 9" xfId="4148"/>
    <cellStyle name="WingdingsWhite 9" xfId="4149"/>
    <cellStyle name="COL HEADINGS 2 9" xfId="4150"/>
    <cellStyle name="Heading 1 3" xfId="4151"/>
    <cellStyle name="Table Head Aligned 2 2 3 2 4" xfId="4152"/>
    <cellStyle name="Magic 3 4" xfId="4153"/>
    <cellStyle name="Band 2 2 2" xfId="4154"/>
    <cellStyle name="Style 49 3 8" xfId="4155"/>
    <cellStyle name="Table Units 2 2" xfId="4156"/>
    <cellStyle name="UnProtectedCalc 2 2" xfId="4157"/>
    <cellStyle name="Table Head Aligned 3 4" xfId="4158"/>
    <cellStyle name="Heading [Palat] 2 2 2 2 4" xfId="4159"/>
    <cellStyle name="dp*SubTitle 2 3 4" xfId="4160"/>
    <cellStyle name="Date [mm-d-yyyy] 2 2 6" xfId="4161"/>
    <cellStyle name="Title [Helv] 2 2 2 7" xfId="4162"/>
    <cellStyle name="Date [mm-d-yyyy] 2 4" xfId="4163"/>
    <cellStyle name="dp*NumberLineEPS 2 2 3 2 5 2" xfId="4164"/>
    <cellStyle name="dp*NumberLine 2 8" xfId="4165"/>
    <cellStyle name="Border Thin 3 2 3 5 2" xfId="4166"/>
    <cellStyle name="Afjusted 3 7" xfId="4167"/>
    <cellStyle name="Date [mm-d-yyyy] 3 3 3 5 2" xfId="4168"/>
    <cellStyle name="Percent 59" xfId="4169"/>
    <cellStyle name="dp*SubTitle 3 4 4 2" xfId="4170"/>
    <cellStyle name="ac 2 8" xfId="4171"/>
    <cellStyle name="Afjusted 2 6" xfId="4172"/>
    <cellStyle name="Bold/Border 2 8" xfId="4173"/>
    <cellStyle name="COL HEADINGS 2 8" xfId="4174"/>
    <cellStyle name="Border Thin 3 3 2 4" xfId="4175"/>
    <cellStyle name="Date [mmm-yyyy] 2 7" xfId="4176"/>
    <cellStyle name="Style 45 4 3 3 4" xfId="4177"/>
    <cellStyle name="dp*NumberLine 2 3 4" xfId="4178"/>
    <cellStyle name="dp*NumberLine 2 7" xfId="4179"/>
    <cellStyle name="dp*NumberLineEPS 2 7" xfId="4180"/>
    <cellStyle name="dp*SheetSubTitle 2 7" xfId="4181"/>
    <cellStyle name="Afjusted 4 5 4" xfId="4182"/>
    <cellStyle name="dp*ThinLineBelow 2 6" xfId="4183"/>
    <cellStyle name="Millions 3 2" xfId="4184"/>
    <cellStyle name="Global 2 2" xfId="4185"/>
    <cellStyle name="Header2 2 3" xfId="4186"/>
    <cellStyle name="Heading [Helv] 2 8" xfId="4187"/>
    <cellStyle name="Heading [Palat] 2 8" xfId="4188"/>
    <cellStyle name="Millions 4 2" xfId="4189"/>
    <cellStyle name="Magic 2 7" xfId="4190"/>
    <cellStyle name="Millions 2 2" xfId="4191"/>
    <cellStyle name="COL HEADINGS 2 3 4" xfId="4192"/>
    <cellStyle name="dp*NumberLine 2 2 3 3 4" xfId="4193"/>
    <cellStyle name="Outputs 2 8" xfId="4194"/>
    <cellStyle name="P-Green Rule 2 7" xfId="4195"/>
    <cellStyle name="Style 44 3 7" xfId="4196"/>
    <cellStyle name="Style 45 3 7" xfId="4197"/>
    <cellStyle name="Style 49 3 7" xfId="4198"/>
    <cellStyle name="Style 51 3 7" xfId="4199"/>
    <cellStyle name="Style 44 2 7" xfId="4200"/>
    <cellStyle name="Style 45 2 7" xfId="4201"/>
    <cellStyle name="Style 49 2 7" xfId="4202"/>
    <cellStyle name="Style 51 2 7" xfId="4203"/>
    <cellStyle name="Table Head Aligned 2 7" xfId="4204"/>
    <cellStyle name="Table Head Green 2 8" xfId="4205"/>
    <cellStyle name="Time Strip 2 2" xfId="4206"/>
    <cellStyle name="Title [Helv] 2 7" xfId="4207"/>
    <cellStyle name="Title [Palat] 2 8" xfId="4208"/>
    <cellStyle name="Magic 2 3 10" xfId="4209"/>
    <cellStyle name="Magic 2 8" xfId="4210"/>
    <cellStyle name="Date [mmm-yyyy] 2 8" xfId="4211"/>
    <cellStyle name="Millions 5 2" xfId="4212"/>
    <cellStyle name="Magic 2 2 2 7" xfId="4213"/>
    <cellStyle name="Title [Palat] 2 2 3 2 4" xfId="4214"/>
    <cellStyle name="ac 2 9" xfId="4215"/>
    <cellStyle name="Heading [Palat] 2 2 2 7" xfId="4216"/>
    <cellStyle name="Arial6Bold 2 2" xfId="4217"/>
    <cellStyle name="Arial8Bold 2 2" xfId="4218"/>
    <cellStyle name="Arial8Italic 2 2" xfId="4219"/>
    <cellStyle name="ArialNormal 2 2" xfId="4220"/>
    <cellStyle name="Border 2 2" xfId="4221"/>
    <cellStyle name="DateYearEstimate 2 2" xfId="4222"/>
    <cellStyle name="DateYearWholeEstimate 2 2" xfId="4223"/>
    <cellStyle name="dp*Number%ItalicsLineAbove 2 2" xfId="4224"/>
    <cellStyle name="dp*ThinLineAbove 2 2" xfId="4225"/>
    <cellStyle name="Draw lines around data in range 2 2" xfId="4226"/>
    <cellStyle name="Draw shadow and lines within range 2 2" xfId="4227"/>
    <cellStyle name="FieldName 2 2" xfId="4228"/>
    <cellStyle name="Format a row of totals 2 2" xfId="4229"/>
    <cellStyle name="Format text as bold, black on yellow 2 2" xfId="4230"/>
    <cellStyle name="ItemTypeClass 2 2" xfId="4231"/>
    <cellStyle name="Main 2 2" xfId="4232"/>
    <cellStyle name="Millions 6 2" xfId="4233"/>
    <cellStyle name="SAPBEXaggData 2 2" xfId="4234"/>
    <cellStyle name="SAPBEXaggDataEmph 2 2" xfId="4235"/>
    <cellStyle name="SAPBEXaggItem 2 2" xfId="4236"/>
    <cellStyle name="SAPBEXaggItemX 2 2" xfId="4237"/>
    <cellStyle name="SAPBEXexcBad7 2 2" xfId="4238"/>
    <cellStyle name="SAPBEXexcBad8 2 2" xfId="4239"/>
    <cellStyle name="SAPBEXexcBad9 2 2" xfId="4240"/>
    <cellStyle name="SAPBEXexcCritical4 2 2" xfId="4241"/>
    <cellStyle name="SAPBEXexcCritical5 2 2" xfId="4242"/>
    <cellStyle name="SAPBEXexcCritical6 2 2" xfId="4243"/>
    <cellStyle name="SAPBEXexcGood1 2 2" xfId="4244"/>
    <cellStyle name="SAPBEXexcGood2 2 2" xfId="4245"/>
    <cellStyle name="SAPBEXexcGood3 2 2" xfId="4246"/>
    <cellStyle name="SAPBEXformats 2 2" xfId="4247"/>
    <cellStyle name="SAPBEXHLevel0 2 2" xfId="4248"/>
    <cellStyle name="SAPBEXHLevel0X 2 2" xfId="4249"/>
    <cellStyle name="SAPBEXHLevel1 2 2" xfId="4250"/>
    <cellStyle name="SAPBEXHLevel1X 2 2" xfId="4251"/>
    <cellStyle name="SAPBEXHLevel2 2 2" xfId="4252"/>
    <cellStyle name="SAPBEXHLevel2X 2 2" xfId="4253"/>
    <cellStyle name="SAPBEXHLevel3 2 2" xfId="4254"/>
    <cellStyle name="SAPBEXHLevel3X 2 2" xfId="4255"/>
    <cellStyle name="SAPBEXresData 2 2" xfId="4256"/>
    <cellStyle name="SAPBEXresDataEmph 2 2" xfId="4257"/>
    <cellStyle name="SAPBEXresItem 2 2" xfId="4258"/>
    <cellStyle name="SAPBEXresItemX 2 2" xfId="4259"/>
    <cellStyle name="SAPBEXstdData 2 2" xfId="4260"/>
    <cellStyle name="SAPBEXstdDataEmph 2 2" xfId="4261"/>
    <cellStyle name="SAPBEXstdItem 2 2" xfId="4262"/>
    <cellStyle name="SAPBEXstdItemX 2 2" xfId="4263"/>
    <cellStyle name="SAPBEXtitle 2 2" xfId="4264"/>
    <cellStyle name="SAPBEXundefined 2 2" xfId="4265"/>
    <cellStyle name="SSComma0 2 2" xfId="4266"/>
    <cellStyle name="SSComma2 2 2" xfId="4267"/>
    <cellStyle name="SSDecs3 2 2" xfId="4268"/>
    <cellStyle name="SSDfltPct 2 2" xfId="4269"/>
    <cellStyle name="SSDfltPct0 2 2" xfId="4270"/>
    <cellStyle name="SSFixed2 2 2" xfId="4271"/>
    <cellStyle name="Style 21 2 2" xfId="4272"/>
    <cellStyle name="Style 22 2 2" xfId="4273"/>
    <cellStyle name="Style 24 2 2" xfId="4274"/>
    <cellStyle name="Style 25 2 2" xfId="4275"/>
    <cellStyle name="Style 26 2 2" xfId="4276"/>
    <cellStyle name="Style 27 2 2" xfId="4277"/>
    <cellStyle name="Style 28 2 2" xfId="4278"/>
    <cellStyle name="Style 35 2 2" xfId="4279"/>
    <cellStyle name="Style 36 2 2" xfId="4280"/>
    <cellStyle name="Style 37 2 2" xfId="4281"/>
    <cellStyle name="Style 40 2 2" xfId="4282"/>
    <cellStyle name="Style 42 2 2" xfId="4283"/>
    <cellStyle name="Style 43 2 2" xfId="4284"/>
    <cellStyle name="Style 48 2 2" xfId="4285"/>
    <cellStyle name="Style 50 2 2" xfId="4286"/>
    <cellStyle name="Style 52 2 2" xfId="4287"/>
    <cellStyle name="Style 53 2 2" xfId="4288"/>
    <cellStyle name="SymbolBlue 2 2" xfId="4289"/>
    <cellStyle name="UNLOCKED 2 2" xfId="4290"/>
    <cellStyle name="WingdingsBlack 2 2" xfId="4291"/>
    <cellStyle name="WingdingsRed 2 2" xfId="4292"/>
    <cellStyle name="WingdingsWhite 2 2" xfId="4293"/>
    <cellStyle name="dp*SheetSubTitle 2 2 2 7" xfId="4294"/>
    <cellStyle name="ac 2 2 3 7" xfId="4295"/>
    <cellStyle name="UNLOCKED 4 2" xfId="4296"/>
    <cellStyle name="Millions 7 2" xfId="4297"/>
    <cellStyle name="Linked Cell 2 2" xfId="4298"/>
    <cellStyle name="dp*SubTitle 3 7" xfId="4299"/>
    <cellStyle name="Bold/Border 2 3 4" xfId="4300"/>
    <cellStyle name="Style 49 4 3 3 4" xfId="4301"/>
    <cellStyle name="Title [Palat] 2 3 4" xfId="4302"/>
    <cellStyle name="Border Thin 3 7" xfId="4303"/>
    <cellStyle name="UNLOCKED 3 2" xfId="4304"/>
    <cellStyle name="dp*SheetSubTitle 2 2 2 2 4" xfId="4305"/>
    <cellStyle name="Accent1 2 2" xfId="4306"/>
    <cellStyle name="dp*NumberLineEPS 2 2 2 2 4" xfId="4307"/>
    <cellStyle name="UNLOCKED 5 2" xfId="4308"/>
    <cellStyle name="Accent2 2 2" xfId="4309"/>
    <cellStyle name="Afjusted 4 7" xfId="4310"/>
    <cellStyle name="UNLOCKED 6 2" xfId="4311"/>
    <cellStyle name="Bold/Border 4 4" xfId="4312"/>
    <cellStyle name="ac 2 2 6" xfId="4313"/>
    <cellStyle name="Afjusted 2 2 7" xfId="4314"/>
    <cellStyle name="Bold/Border 2 2 6" xfId="4315"/>
    <cellStyle name="COL HEADINGS 2 2 6" xfId="4316"/>
    <cellStyle name="Date [mmm-yyyy] 2 2 6" xfId="4317"/>
    <cellStyle name="Style 45 4 3 4 4" xfId="4318"/>
    <cellStyle name="dp*SubTitle 3 3 3 4" xfId="4319"/>
    <cellStyle name="Date [mmm-yyyy] 2 3 4" xfId="4320"/>
    <cellStyle name="dp*NumberLine 2 2 6" xfId="4321"/>
    <cellStyle name="dp*NumberLineEPS 2 2 6" xfId="4322"/>
    <cellStyle name="dp*SheetSubTitle 2 2 6" xfId="4323"/>
    <cellStyle name="Heading [Helv] 2 2 6" xfId="4324"/>
    <cellStyle name="Heading [Palat] 2 2 6" xfId="4325"/>
    <cellStyle name="Magic 2 2 6" xfId="4326"/>
    <cellStyle name="Outputs 2 2 6" xfId="4327"/>
    <cellStyle name="Table Head Aligned 2 2 6" xfId="4328"/>
    <cellStyle name="Table Head Green 2 2 6" xfId="4329"/>
    <cellStyle name="Title [Helv] 2 2 6" xfId="4330"/>
    <cellStyle name="Title [Palat] 2 2 6" xfId="4331"/>
    <cellStyle name="Date [mmm-yyyy] 2 2 2 2 4" xfId="4332"/>
    <cellStyle name="COL HEADINGS 2 2 2 2 4" xfId="4333"/>
    <cellStyle name="dp*NumberLine 2 2 2 2 4" xfId="4334"/>
    <cellStyle name="Date [mm-d-yyyy] 2 5" xfId="4335"/>
    <cellStyle name="Comma 55" xfId="4336"/>
    <cellStyle name="Heading 4 2 2" xfId="4337"/>
    <cellStyle name="PB Table Standard Row 3 2 2 4" xfId="4338"/>
    <cellStyle name="Accent5 2 2" xfId="4339"/>
    <cellStyle name="Afjusted 2 2 2 2 4" xfId="4340"/>
    <cellStyle name="UNLOCKED 7 2" xfId="4341"/>
    <cellStyle name="Bad 2 2" xfId="4342"/>
    <cellStyle name="ac 2 2 2 2 4" xfId="4343"/>
    <cellStyle name="UNLOCKED 8 2" xfId="4344"/>
    <cellStyle name="Calculation 2 4" xfId="4345"/>
    <cellStyle name="Afjusted 4 2 2 4" xfId="4346"/>
    <cellStyle name="Style 45 3 3 4" xfId="4347"/>
    <cellStyle name="Style 49 2 3 4" xfId="4348"/>
    <cellStyle name="Style 51 3 3 4" xfId="4349"/>
    <cellStyle name="Border Thin 3 5 4" xfId="4350"/>
    <cellStyle name="Bold/Border 2 2 2 2 5 2" xfId="4351"/>
    <cellStyle name="Afjusted 3 5 4" xfId="4352"/>
    <cellStyle name="EYCurrency 2 2" xfId="4353"/>
    <cellStyle name="Style 45 2 3 4" xfId="4354"/>
    <cellStyle name="EYColumnHeading 10 2" xfId="4355"/>
    <cellStyle name="Style 44 2 3 4" xfId="4356"/>
    <cellStyle name="Style 45 4 2 2 4" xfId="4357"/>
    <cellStyle name="_Check_Collection(Euro)" xfId="4358"/>
    <cellStyle name="dp*SubTitle 2 2 3" xfId="4359"/>
    <cellStyle name="Border Thin 2 2 3" xfId="4360"/>
    <cellStyle name="P-Green Rule 2 3 4" xfId="4361"/>
    <cellStyle name="Date [mm-d-yyyy] 2 2 2 4" xfId="4362"/>
    <cellStyle name="dp*ThinLineBelow 2 4 4" xfId="4363"/>
    <cellStyle name="dp*NumberLineEPS 2 4 4" xfId="4364"/>
    <cellStyle name="COL HEADINGS 2 4 4" xfId="4365"/>
    <cellStyle name="COL HEADINGS 2 2 3 11" xfId="4366"/>
    <cellStyle name="Afjusted 2 3 4" xfId="4367"/>
    <cellStyle name="Output 2 4" xfId="4368"/>
    <cellStyle name="Check Cell 3" xfId="4369"/>
    <cellStyle name="Check Cell 2 2" xfId="4370"/>
    <cellStyle name="dp*SubTitle 3 3 3 5 2" xfId="4371"/>
    <cellStyle name="Hyperlink 2 2" xfId="4372"/>
    <cellStyle name="Bold/Border 2 2 3 4 3" xfId="4373"/>
    <cellStyle name="Magic 2 2 3 4 3" xfId="4374"/>
    <cellStyle name="Title [Helv] 2 2 3 4 3" xfId="4375"/>
    <cellStyle name="Style 51 2 2 3" xfId="4376"/>
    <cellStyle name="Style 45 2 2 3" xfId="4377"/>
    <cellStyle name="Style 49 2 2 3" xfId="4378"/>
    <cellStyle name="Style 44 2 2 3" xfId="4379"/>
    <cellStyle name="Style 51 3 2 3" xfId="4380"/>
    <cellStyle name="Style 49 3 2 3" xfId="4381"/>
    <cellStyle name="Style 45 3 2 3" xfId="4382"/>
    <cellStyle name="Style 44 3 2 3" xfId="4383"/>
    <cellStyle name="P-Green Rule 2 2 3" xfId="4384"/>
    <cellStyle name="PB Table Standard Row 2 2 3" xfId="4385"/>
    <cellStyle name="dp*ThinLineBelow 2 2 3" xfId="4386"/>
    <cellStyle name="dp*ThinLineBelow 2 3 3" xfId="4387"/>
    <cellStyle name="Style 44 3 3 3" xfId="4388"/>
    <cellStyle name="COL HEADINGS 2 2 3 4 3" xfId="4389"/>
    <cellStyle name="Style 49 4 3 4 3" xfId="4390"/>
    <cellStyle name="_Sheet1_Collection(Euro)" xfId="4391"/>
    <cellStyle name="Date [mm-d-yyyy] 3 2 2 4" xfId="4392"/>
    <cellStyle name="Afjusted 3 3 4 3" xfId="4393"/>
    <cellStyle name="Date [mm-d-yyyy] 3 3 4 3" xfId="4394"/>
    <cellStyle name="Afjusted 4 3 4 3" xfId="4395"/>
    <cellStyle name="ac 2 2 3 4 3" xfId="4396"/>
    <cellStyle name="Afjusted 2 2 3 4 3" xfId="4397"/>
    <cellStyle name="Date [mmm-yyyy] 2 2 3 4 3" xfId="4398"/>
    <cellStyle name="dp*NumberLine 2 2 3 4 3" xfId="4399"/>
    <cellStyle name="dp*NumberLineEPS 2 2 3 4 3" xfId="4400"/>
    <cellStyle name="dp*SheetSubTitle 2 2 3 4 3" xfId="4401"/>
    <cellStyle name="Heading [Helv] 2 2 3 4 3" xfId="4402"/>
    <cellStyle name="Outputs 2 2 3 4 3" xfId="4403"/>
    <cellStyle name="Table Head Aligned 2 2 3 4 3" xfId="4404"/>
    <cellStyle name="Title [Palat] 2 2 3 4 3" xfId="4405"/>
    <cellStyle name="UNLOCKED 12 2" xfId="4406"/>
    <cellStyle name="40% - Accent3 2 2" xfId="4407"/>
    <cellStyle name="Afjusted 3 5 3" xfId="4408"/>
    <cellStyle name="Style 45 3 3 3" xfId="4409"/>
    <cellStyle name="Style 51 3 3 3" xfId="4410"/>
    <cellStyle name="Style 44 2 3 3" xfId="4411"/>
    <cellStyle name="Style 45 2 3 3" xfId="4412"/>
    <cellStyle name="Style 49 2 3 3" xfId="4413"/>
    <cellStyle name="Border Thin 3 5 3" xfId="4414"/>
    <cellStyle name="ac 2 2 4 3" xfId="4415"/>
    <cellStyle name="Afjusted 2 2 5 3" xfId="4416"/>
    <cellStyle name="Bold/Border 2 2 4 3" xfId="4417"/>
    <cellStyle name="COL HEADINGS 2 2 4 3" xfId="4418"/>
    <cellStyle name="Date [mmm-yyyy] 2 2 4 3" xfId="4419"/>
    <cellStyle name="dp*NumberLine 2 2 4 3" xfId="4420"/>
    <cellStyle name="dp*NumberLineEPS 2 2 4 3" xfId="4421"/>
    <cellStyle name="dp*SheetSubTitle 2 2 4 3" xfId="4422"/>
    <cellStyle name="Heading [Palat] 2 2 4 3" xfId="4423"/>
    <cellStyle name="Outputs 2 2 4 3" xfId="4424"/>
    <cellStyle name="Magic 2 2 4 3" xfId="4425"/>
    <cellStyle name="Title [Helv] 2 2 4 3" xfId="4426"/>
    <cellStyle name="Title [Palat] 2 2 4 3" xfId="4427"/>
    <cellStyle name="Title [Palat] 2 2 3 3 3" xfId="4428"/>
    <cellStyle name="Title [Helv] 2 2 3 3 3" xfId="4429"/>
    <cellStyle name="Table Head Aligned 2 2 3 3 3" xfId="4430"/>
    <cellStyle name="Magic 2 2 3 3 3" xfId="4431"/>
    <cellStyle name="Heading [Helv] 2 2 3 3 3" xfId="4432"/>
    <cellStyle name="dp*NumberLineEPS 2 2 3 3 3" xfId="4433"/>
    <cellStyle name="COL HEADINGS 2 2 3 3 3" xfId="4434"/>
    <cellStyle name="ac 2 2 3 3 3" xfId="4435"/>
    <cellStyle name="Afjusted 4 3 3 3" xfId="4436"/>
    <cellStyle name="Border Thin 3 3 3 3" xfId="4437"/>
    <cellStyle name="PB Table Standard Row 3 3 3 3" xfId="4438"/>
    <cellStyle name="Style 44 4 3 3 3" xfId="4439"/>
    <cellStyle name="Style 51 4 3 3 3" xfId="4440"/>
    <cellStyle name="Afjusted 3 3 3 3" xfId="4441"/>
    <cellStyle name="Style 49 4 5 3" xfId="4442"/>
    <cellStyle name="UNLOCKED 9 2" xfId="4443"/>
    <cellStyle name="Style 44 4 5 3" xfId="4444"/>
    <cellStyle name="P-Green Rule 3 5 3" xfId="4445"/>
    <cellStyle name="dp*SubTitle 3 5 3" xfId="4446"/>
    <cellStyle name="Afjusted 4 5 3" xfId="4447"/>
    <cellStyle name="_Collection(Euro)_Collection(Euro)" xfId="4448"/>
    <cellStyle name="dp*SheetSubTitle 2 8" xfId="4449"/>
    <cellStyle name="UNLOCKED 11 2" xfId="4450"/>
    <cellStyle name="ac 2 3 3" xfId="4451"/>
    <cellStyle name="Bold/Border 2 3 3" xfId="4452"/>
    <cellStyle name="COL HEADINGS 2 3 3" xfId="4453"/>
    <cellStyle name="Date [mmm-yyyy] 2 3 3" xfId="4454"/>
    <cellStyle name="dp*NumberLine 2 3 3" xfId="4455"/>
    <cellStyle name="dp*NumberLineEPS 2 3 3" xfId="4456"/>
    <cellStyle name="dp*SheetSubTitle 2 3 3" xfId="4457"/>
    <cellStyle name="Heading [Helv] 2 3 3" xfId="4458"/>
    <cellStyle name="Heading [Palat] 2 3 3" xfId="4459"/>
    <cellStyle name="Magic 2 3 3" xfId="4460"/>
    <cellStyle name="Outputs 2 3 3" xfId="4461"/>
    <cellStyle name="Band 2 3 2 2" xfId="4462"/>
    <cellStyle name="Date [mmm-yyyy] 2 2 3 3 3" xfId="4463"/>
    <cellStyle name="Afjusted 2 2 3 3 3" xfId="4464"/>
    <cellStyle name="dp*ThinLineBelow 3 3 3 3" xfId="4465"/>
    <cellStyle name="Style 49 4 3 3 3" xfId="4466"/>
    <cellStyle name="Outputs 2 2 3 3 3" xfId="4467"/>
    <cellStyle name="dp*NumberLine 2 2 3 3 3" xfId="4468"/>
    <cellStyle name="Bold/Border 2 2 3 3 3" xfId="4469"/>
    <cellStyle name="dp*SubTitle 3 3 3 3" xfId="4470"/>
    <cellStyle name="Style 45 4 3 3 3" xfId="4471"/>
    <cellStyle name="Table Head Aligned 2 3 3" xfId="4472"/>
    <cellStyle name="Table Head Green 2 3 3" xfId="4473"/>
    <cellStyle name="Title [Helv] 2 3 3" xfId="4474"/>
    <cellStyle name="Title [Palat] 2 3 3" xfId="4475"/>
    <cellStyle name="Style 45 4 3 4 3" xfId="4476"/>
    <cellStyle name="UNLOCKED 10 2" xfId="4477"/>
    <cellStyle name="Style 51 4 3 4 3" xfId="4478"/>
    <cellStyle name="Afjusted 3 4 3" xfId="4479"/>
    <cellStyle name="P-Green Rule 3 3 4 3" xfId="4480"/>
    <cellStyle name="Border Thin 2 3 3" xfId="4481"/>
    <cellStyle name="Style 49 3 3 3" xfId="4482"/>
    <cellStyle name="Style 51 2 3 3" xfId="4483"/>
    <cellStyle name="Heading [Helv] 2 2 4 3" xfId="4484"/>
    <cellStyle name="Table Head Aligned 2 2 4 3" xfId="4485"/>
    <cellStyle name="Table Head Green 2 2 4 3" xfId="4486"/>
    <cellStyle name="Table Head Green 2 2 3 3 3" xfId="4487"/>
    <cellStyle name="Heading [Palat] 2 2 3 3 3" xfId="4488"/>
    <cellStyle name="dp*SheetSubTitle 2 2 3 3 3" xfId="4489"/>
    <cellStyle name="P-Green Rule 3 3 3 3" xfId="4490"/>
    <cellStyle name="Date [mm-d-yyyy] 3 3 3 3" xfId="4491"/>
    <cellStyle name="Date [mm-d-yyyy] 3 4 3" xfId="4492"/>
    <cellStyle name="UnProtectedCalc 3 2 2" xfId="4493"/>
    <cellStyle name="Table Units 3 2 2" xfId="4494"/>
    <cellStyle name="Style 51 4 4 3" xfId="4495"/>
    <cellStyle name="Style 49 4 4 3" xfId="4496"/>
    <cellStyle name="Style 45 4 4 3" xfId="4497"/>
    <cellStyle name="Style 44 4 4 3" xfId="4498"/>
    <cellStyle name="dp*ThinLineBelow 3 3 4 3" xfId="4499"/>
    <cellStyle name="P-Green Rule 3 4 3" xfId="4500"/>
    <cellStyle name="dp*ThinLineBelow 3 4 3" xfId="4501"/>
    <cellStyle name="dp*SubTitle 3 4 3" xfId="4502"/>
    <cellStyle name="dp*SubTitle 3 3 4 3" xfId="4503"/>
    <cellStyle name="Border Thin 3 4 3" xfId="4504"/>
    <cellStyle name="Accent2 3" xfId="4505"/>
    <cellStyle name="Border Thin 3 3 4 3" xfId="4506"/>
    <cellStyle name="Accent4 3" xfId="4507"/>
    <cellStyle name="Afjusted 4 4 3" xfId="4508"/>
    <cellStyle name="Afjusted 2 2 4 3" xfId="4509"/>
    <cellStyle name="Style 44 4 3 4 3" xfId="4510"/>
    <cellStyle name="Bad 3" xfId="4511"/>
    <cellStyle name="Calculation 3" xfId="4512"/>
    <cellStyle name="PB Table Standard Row 3 3 4 3" xfId="4513"/>
    <cellStyle name="Title [Palat] 2 2 3 6" xfId="4514"/>
    <cellStyle name="Title [Helv] 2 2 3 6" xfId="4515"/>
    <cellStyle name="Table Head Green 2 2 3 6" xfId="4516"/>
    <cellStyle name="Table Head Aligned 2 2 3 6" xfId="4517"/>
    <cellStyle name="Outputs 2 2 3 6" xfId="4518"/>
    <cellStyle name="Magic 2 2 3 6" xfId="4519"/>
    <cellStyle name="Heading [Palat] 2 2 3 6" xfId="4520"/>
    <cellStyle name="Heading [Helv] 2 2 3 6" xfId="4521"/>
    <cellStyle name="dp*SheetSubTitle 2 2 3 6" xfId="4522"/>
    <cellStyle name="dp*NumberLineEPS 2 2 3 6" xfId="4523"/>
    <cellStyle name="dp*NumberLine 2 2 3 6" xfId="4524"/>
    <cellStyle name="Date [mmm-yyyy] 2 2 3 6" xfId="4525"/>
    <cellStyle name="COL HEADINGS 2 2 3 6" xfId="4526"/>
    <cellStyle name="Bold/Border 2 2 3 6" xfId="4527"/>
    <cellStyle name="Afjusted 2 2 3 6" xfId="4528"/>
    <cellStyle name="ac 2 2 3 6" xfId="4529"/>
    <cellStyle name="Afjusted 4 3 6" xfId="4530"/>
    <cellStyle name="Border Thin 3 3 6" xfId="4531"/>
    <cellStyle name="dp*SubTitle 3 3 6" xfId="4532"/>
    <cellStyle name="dp*ThinLineBelow 3 3 6" xfId="4533"/>
    <cellStyle name="PB Table Standard Row 3 3 6" xfId="4534"/>
    <cellStyle name="P-Green Rule 3 3 6" xfId="4535"/>
    <cellStyle name="Style 44 4 3 6" xfId="4536"/>
    <cellStyle name="Style 45 4 3 6" xfId="4537"/>
    <cellStyle name="Style 49 4 3 6" xfId="4538"/>
    <cellStyle name="Style 51 4 3 6" xfId="4539"/>
    <cellStyle name="Date [mm-d-yyyy] 3 3 6" xfId="4540"/>
    <cellStyle name="Title [Palat] 2 4 4" xfId="4541"/>
    <cellStyle name="Style 51 3 4 4" xfId="4542"/>
    <cellStyle name="Afjusted 3 3 6" xfId="4543"/>
    <cellStyle name="Border Thin 2 4 4" xfId="4544"/>
    <cellStyle name="Title 16" xfId="4545"/>
    <cellStyle name="Calculation 2 3" xfId="4546"/>
    <cellStyle name="Afjusted 4 2 4 4" xfId="4547"/>
    <cellStyle name="ac 2 2 4 4" xfId="4548"/>
    <cellStyle name="Input 2 3" xfId="4549"/>
    <cellStyle name="Note 2 3" xfId="4550"/>
    <cellStyle name="Date [mm-d-yyyy] 3 5 4" xfId="4551"/>
    <cellStyle name="Explanatory Text 2 2" xfId="4552"/>
    <cellStyle name="Output 2 2 2" xfId="4553"/>
    <cellStyle name="Input 2 2 2" xfId="4554"/>
    <cellStyle name="Afjusted 3 3 2 4" xfId="4555"/>
    <cellStyle name="Total 2 2 2" xfId="4556"/>
    <cellStyle name="Calculation 2 2 2" xfId="4557"/>
    <cellStyle name="PB Table Standard Row 3 3 2 3" xfId="4558"/>
    <cellStyle name="P-Green Rule 3 3 2 4" xfId="4559"/>
    <cellStyle name="Date [mm-d-yyyy] 3 3 2 4" xfId="4560"/>
    <cellStyle name="Comma 53" xfId="4561"/>
    <cellStyle name="ac 2 4 4" xfId="4562"/>
    <cellStyle name="Date [mm-d-yyyy] 2 2 5" xfId="4563"/>
    <cellStyle name="Afjusted 3 2 6" xfId="4564"/>
    <cellStyle name="dp*SubTitle 3 2 2 4" xfId="4565"/>
    <cellStyle name="Style 45 2 4 4" xfId="4566"/>
    <cellStyle name="P-Green Rule 2 4 4" xfId="4567"/>
    <cellStyle name="Style 51 4 5 4" xfId="4568"/>
    <cellStyle name="Date [mm-d-yyyy] 3 2 6" xfId="4569"/>
    <cellStyle name="Style 51 4 2 6" xfId="4570"/>
    <cellStyle name="Style 49 4 2 6" xfId="4571"/>
    <cellStyle name="Style 45 4 2 6" xfId="4572"/>
    <cellStyle name="Style 44 4 2 6" xfId="4573"/>
    <cellStyle name="Heading [Palat] 2 4 4" xfId="4574"/>
    <cellStyle name="P-Green Rule 3 2 6" xfId="4575"/>
    <cellStyle name="dp*ThinLineBelow 3 2 6" xfId="4576"/>
    <cellStyle name="dp*SubTitle 3 2 6" xfId="4577"/>
    <cellStyle name="dp*SubTitle 2 4 4" xfId="4578"/>
    <cellStyle name="Border Thin 3 2 6" xfId="4579"/>
    <cellStyle name="dp*NumberLine 2 4 4" xfId="4580"/>
    <cellStyle name="Afjusted 4 2 6" xfId="4581"/>
    <cellStyle name="ac 2 2 2 6" xfId="4582"/>
    <cellStyle name="Afjusted 2 2 2 6" xfId="4583"/>
    <cellStyle name="Bold/Border 2 2 2 6" xfId="4584"/>
    <cellStyle name="COL HEADINGS 2 2 2 6" xfId="4585"/>
    <cellStyle name="Date [mmm-yyyy] 2 2 2 6" xfId="4586"/>
    <cellStyle name="dp*NumberLine 2 2 2 6" xfId="4587"/>
    <cellStyle name="dp*NumberLineEPS 2 2 2 6" xfId="4588"/>
    <cellStyle name="dp*SheetSubTitle 2 2 2 6" xfId="4589"/>
    <cellStyle name="Heading [Helv] 2 2 2 6" xfId="4590"/>
    <cellStyle name="Heading [Palat] 2 2 2 6" xfId="4591"/>
    <cellStyle name="Magic 2 2 2 6" xfId="4592"/>
    <cellStyle name="Outputs 2 2 2 6" xfId="4593"/>
    <cellStyle name="Table Head Aligned 2 2 2 6" xfId="4594"/>
    <cellStyle name="Table Head Green 2 2 2 6" xfId="4595"/>
    <cellStyle name="Title [Helv] 2 2 2 6" xfId="4596"/>
    <cellStyle name="Title [Palat] 2 2 2 6" xfId="4597"/>
    <cellStyle name="Style 45 3 4 4" xfId="4598"/>
    <cellStyle name="Output 2 3" xfId="4599"/>
    <cellStyle name="Explanatory Text 3" xfId="4600"/>
    <cellStyle name="Border Thin 3 2 2 4" xfId="4601"/>
    <cellStyle name="Outputs 2 4 4" xfId="4602"/>
    <cellStyle name="Total 2 3" xfId="4603"/>
    <cellStyle name="Style 51 4 3 2 4" xfId="4604"/>
    <cellStyle name="Style 45 4 3 2 4" xfId="4605"/>
    <cellStyle name="Style 49 4 3 2 4" xfId="4606"/>
    <cellStyle name="Style 44 4 3 2 4" xfId="4607"/>
    <cellStyle name="dp*ThinLineBelow 3 3 2 4" xfId="4608"/>
    <cellStyle name="Table Head Green 2 2 3 4 3" xfId="4609"/>
    <cellStyle name="Heading [Palat] 2 2 3 4 3" xfId="4610"/>
    <cellStyle name="P-Green Rule 2 3 3" xfId="4611"/>
    <cellStyle name="Title [Palat] 2 2 3 2 3" xfId="4612"/>
    <cellStyle name="Title [Helv] 2 2 3 2 3" xfId="4613"/>
    <cellStyle name="Table Head Green 2 2 3 2 3" xfId="4614"/>
    <cellStyle name="Table Head Aligned 2 2 3 2 3" xfId="4615"/>
    <cellStyle name="Outputs 2 2 3 2 3" xfId="4616"/>
    <cellStyle name="Magic 2 2 3 2 3" xfId="4617"/>
    <cellStyle name="Heading [Palat] 2 2 3 2 3" xfId="4618"/>
    <cellStyle name="Heading [Helv] 2 2 3 2 3" xfId="4619"/>
    <cellStyle name="dp*SheetSubTitle 2 2 3 2 3" xfId="4620"/>
    <cellStyle name="dp*NumberLineEPS 2 2 3 2 3" xfId="4621"/>
    <cellStyle name="dp*NumberLine 2 2 3 2 3" xfId="4622"/>
    <cellStyle name="Date [mmm-yyyy] 2 2 3 2 3" xfId="4623"/>
    <cellStyle name="COL HEADINGS 2 2 3 2 3" xfId="4624"/>
    <cellStyle name="Bold/Border 2 2 3 2 3" xfId="4625"/>
    <cellStyle name="Afjusted 2 2 3 2 3" xfId="4626"/>
    <cellStyle name="ac 2 2 3 2 3" xfId="4627"/>
    <cellStyle name="Afjusted 4 3 2 3" xfId="4628"/>
    <cellStyle name="Border Thin 3 3 2 3" xfId="4629"/>
    <cellStyle name="dp*SubTitle 3 3 2 3" xfId="4630"/>
    <cellStyle name="dp*ThinLineBelow 3 3 2 3" xfId="4631"/>
    <cellStyle name="P-Green Rule 3 3 2 3" xfId="4632"/>
    <cellStyle name="Style 44 4 3 2 3" xfId="4633"/>
    <cellStyle name="Style 45 4 3 2 3" xfId="4634"/>
    <cellStyle name="Style 49 4 3 2 3" xfId="4635"/>
    <cellStyle name="Style 51 4 3 2 3" xfId="4636"/>
    <cellStyle name="Date [mm-d-yyyy] 3 3 2 3" xfId="4637"/>
    <cellStyle name="Afjusted 3 3 2 3" xfId="4638"/>
    <cellStyle name="Date [mm-d-yyyy] 3 5 3" xfId="4639"/>
    <cellStyle name="dp*SubTitle 2 3 3" xfId="4640"/>
    <cellStyle name="Date [mm-d-yyyy] 2 2 2 3" xfId="4641"/>
    <cellStyle name="Afjusted 3 2 2 3" xfId="4642"/>
    <cellStyle name="PB Table Standard Row 3 5 3" xfId="4643"/>
    <cellStyle name="Date [mm-d-yyyy] 3 2 2 3" xfId="4644"/>
    <cellStyle name="Style 51 4 2 2 3" xfId="4645"/>
    <cellStyle name="Style 49 4 2 2 3" xfId="4646"/>
    <cellStyle name="Style 45 4 2 2 3" xfId="4647"/>
    <cellStyle name="Style 44 4 2 2 3" xfId="4648"/>
    <cellStyle name="Style 45 4 5 3" xfId="4649"/>
    <cellStyle name="P-Green Rule 3 2 2 3" xfId="4650"/>
    <cellStyle name="PB Table Standard Row 3 2 2 3" xfId="4651"/>
    <cellStyle name="dp*ThinLineBelow 3 2 2 3" xfId="4652"/>
    <cellStyle name="dp*SubTitle 3 2 2 3" xfId="4653"/>
    <cellStyle name="Style 51 4 5 3" xfId="4654"/>
    <cellStyle name="Border Thin 3 2 2 3" xfId="4655"/>
    <cellStyle name="Afjusted 4 2 2 3" xfId="4656"/>
    <cellStyle name="ac 2 2 2 2 3" xfId="4657"/>
    <cellStyle name="Afjusted 2 2 2 2 3" xfId="4658"/>
    <cellStyle name="Bold/Border 2 2 2 2 3" xfId="4659"/>
    <cellStyle name="COL HEADINGS 2 2 2 2 3" xfId="4660"/>
    <cellStyle name="Date [mmm-yyyy] 2 2 2 2 3" xfId="4661"/>
    <cellStyle name="dp*NumberLine 2 2 2 2 3" xfId="4662"/>
    <cellStyle name="dp*NumberLineEPS 2 2 2 2 3" xfId="4663"/>
    <cellStyle name="dp*SheetSubTitle 2 2 2 2 3" xfId="4664"/>
    <cellStyle name="Heading [Helv] 2 2 2 2 3" xfId="4665"/>
    <cellStyle name="Heading [Palat] 2 2 2 2 3" xfId="4666"/>
    <cellStyle name="Magic 2 2 2 2 3" xfId="4667"/>
    <cellStyle name="Outputs 2 2 2 2 3" xfId="4668"/>
    <cellStyle name="Table Head Aligned 2 2 2 2 3" xfId="4669"/>
    <cellStyle name="Table Head Green 2 2 2 2 3" xfId="4670"/>
    <cellStyle name="Title [Helv] 2 2 2 2 3" xfId="4671"/>
    <cellStyle name="Title [Palat] 2 2 2 2 3" xfId="4672"/>
    <cellStyle name="dp*ThinLineBelow 3 5 3" xfId="4673"/>
    <cellStyle name="Date [mm-d-yyyy] 2 2 3 3" xfId="4674"/>
    <cellStyle name="Afjusted 3 2 3 3" xfId="4675"/>
    <cellStyle name="Date [mm-d-yyyy] 3 2 3 3" xfId="4676"/>
    <cellStyle name="Style 51 4 2 3 3" xfId="4677"/>
    <cellStyle name="Style 49 4 2 3 3" xfId="4678"/>
    <cellStyle name="Style 45 4 2 3 3" xfId="4679"/>
    <cellStyle name="Style 44 4 2 3 3" xfId="4680"/>
    <cellStyle name="P-Green Rule 3 2 3 3" xfId="4681"/>
    <cellStyle name="PB Table Standard Row 3 2 3 3" xfId="4682"/>
    <cellStyle name="dp*ThinLineBelow 3 2 3 3" xfId="4683"/>
    <cellStyle name="dp*SubTitle 3 2 3 3" xfId="4684"/>
    <cellStyle name="Border Thin 3 2 3 3" xfId="4685"/>
    <cellStyle name="Afjusted 4 2 3 3" xfId="4686"/>
    <cellStyle name="ac 2 2 2 3 3" xfId="4687"/>
    <cellStyle name="Afjusted 2 2 2 3 3" xfId="4688"/>
    <cellStyle name="Bold/Border 2 2 2 3 3" xfId="4689"/>
    <cellStyle name="COL HEADINGS 2 2 2 3 3" xfId="4690"/>
    <cellStyle name="Date [mmm-yyyy] 2 2 2 3 3" xfId="4691"/>
    <cellStyle name="dp*NumberLine 2 2 2 3 3" xfId="4692"/>
    <cellStyle name="dp*NumberLineEPS 2 2 2 3 3" xfId="4693"/>
    <cellStyle name="dp*SheetSubTitle 2 2 2 3 3" xfId="4694"/>
    <cellStyle name="Heading [Helv] 2 2 2 3 3" xfId="4695"/>
    <cellStyle name="Heading [Palat] 2 2 2 3 3" xfId="4696"/>
    <cellStyle name="Magic 2 2 2 3 3" xfId="4697"/>
    <cellStyle name="Outputs 2 2 2 3 3" xfId="4698"/>
    <cellStyle name="Table Head Aligned 2 2 2 3 3" xfId="4699"/>
    <cellStyle name="Table Head Green 2 2 2 3 3" xfId="4700"/>
    <cellStyle name="Title [Helv] 2 2 2 3 3" xfId="4701"/>
    <cellStyle name="Title [Palat] 2 2 2 3 3" xfId="4702"/>
    <cellStyle name="Afjusted 3 2 4 3" xfId="4703"/>
    <cellStyle name="Date [mm-d-yyyy] 3 2 4 3" xfId="4704"/>
    <cellStyle name="Style 51 4 2 4 3" xfId="4705"/>
    <cellStyle name="Style 49 4 2 4 3" xfId="4706"/>
    <cellStyle name="Style 45 4 2 4 3" xfId="4707"/>
    <cellStyle name="Style 44 4 2 4 3" xfId="4708"/>
    <cellStyle name="P-Green Rule 3 2 4 3" xfId="4709"/>
    <cellStyle name="PB Table Standard Row 3 2 4 3" xfId="4710"/>
    <cellStyle name="dp*ThinLineBelow 3 2 4 3" xfId="4711"/>
    <cellStyle name="dp*SubTitle 3 2 4 3" xfId="4712"/>
    <cellStyle name="Border Thin 3 2 4 3" xfId="4713"/>
    <cellStyle name="Afjusted 4 2 4 3" xfId="4714"/>
    <cellStyle name="ac 2 2 2 4 3" xfId="4715"/>
    <cellStyle name="Afjusted 2 2 2 4 3" xfId="4716"/>
    <cellStyle name="Bold/Border 2 2 2 4 3" xfId="4717"/>
    <cellStyle name="COL HEADINGS 2 2 2 4 3" xfId="4718"/>
    <cellStyle name="Date [mmm-yyyy] 2 2 2 4 3" xfId="4719"/>
    <cellStyle name="dp*NumberLine 2 2 2 4 3" xfId="4720"/>
    <cellStyle name="dp*NumberLineEPS 2 2 2 4 3" xfId="4721"/>
    <cellStyle name="dp*SheetSubTitle 2 2 2 4 3" xfId="4722"/>
    <cellStyle name="Heading [Helv] 2 2 2 4 3" xfId="4723"/>
    <cellStyle name="Heading [Palat] 2 2 2 4 3" xfId="4724"/>
    <cellStyle name="Magic 2 2 2 4 3" xfId="4725"/>
    <cellStyle name="Outputs 2 2 2 4 3" xfId="4726"/>
    <cellStyle name="Table Head Aligned 2 2 2 4 3" xfId="4727"/>
    <cellStyle name="Table Head Green 2 2 2 4 3" xfId="4728"/>
    <cellStyle name="Title [Helv] 2 2 2 4 3" xfId="4729"/>
    <cellStyle name="Title [Palat] 2 2 2 4 3" xfId="4730"/>
    <cellStyle name="Bold/Border 2 2 3 2 4" xfId="4731"/>
    <cellStyle name="Border Thin 4 3" xfId="4732"/>
    <cellStyle name="Date [mm-d-yyyy] 4 3" xfId="4733"/>
    <cellStyle name="dp*SubTitle 4 3" xfId="4734"/>
    <cellStyle name="dp*ThinLineBelow 4 3" xfId="4735"/>
    <cellStyle name="PB Table Standard Row 4 3" xfId="4736"/>
    <cellStyle name="P-Green Rule 4 3" xfId="4737"/>
    <cellStyle name="Style 44 5 3" xfId="4738"/>
    <cellStyle name="Style 45 5 3" xfId="4739"/>
    <cellStyle name="Style 49 5 3" xfId="4740"/>
    <cellStyle name="Style 51 5 3" xfId="4741"/>
    <cellStyle name="UNLOCKED 13 2" xfId="4742"/>
    <cellStyle name="COL HEADINGS 2 2 3 2 4" xfId="4743"/>
    <cellStyle name="UNLOCKED 14 2" xfId="4744"/>
    <cellStyle name="ac 2 2 3 2 4" xfId="4745"/>
    <cellStyle name="Date [mmm-yyyy] 2 2 3 2 4" xfId="4746"/>
    <cellStyle name="FieldName 3 2" xfId="4747"/>
    <cellStyle name="WingdingsWhite 3 2" xfId="4748"/>
    <cellStyle name="WingdingsRed 3 2" xfId="4749"/>
    <cellStyle name="WingdingsBlack 3 2" xfId="4750"/>
    <cellStyle name="UNLOCKED 16 2" xfId="4751"/>
    <cellStyle name="Title [Palat] 3 3" xfId="4752"/>
    <cellStyle name="Title [Helv] 3 3" xfId="4753"/>
    <cellStyle name="Table Head Green 3 3" xfId="4754"/>
    <cellStyle name="Table Head Aligned 3 3" xfId="4755"/>
    <cellStyle name="SymbolBlue 3 2" xfId="4756"/>
    <cellStyle name="Style 53 3 2" xfId="4757"/>
    <cellStyle name="Style 52 3 2" xfId="4758"/>
    <cellStyle name="Style 50 3 2" xfId="4759"/>
    <cellStyle name="Style 48 3 2" xfId="4760"/>
    <cellStyle name="Style 43 3 2" xfId="4761"/>
    <cellStyle name="Style 42 3 2" xfId="4762"/>
    <cellStyle name="Style 40 3 2" xfId="4763"/>
    <cellStyle name="Style 37 3 2" xfId="4764"/>
    <cellStyle name="Style 36 3 2" xfId="4765"/>
    <cellStyle name="Style 35 3 2" xfId="4766"/>
    <cellStyle name="Style 28 3 2" xfId="4767"/>
    <cellStyle name="Style 25 3 2" xfId="4768"/>
    <cellStyle name="Style 27 3 2" xfId="4769"/>
    <cellStyle name="Style 26 3 2" xfId="4770"/>
    <cellStyle name="Style 24 3 2" xfId="4771"/>
    <cellStyle name="Style 22 3 2" xfId="4772"/>
    <cellStyle name="Style 21 3 2" xfId="4773"/>
    <cellStyle name="Outputs 3 3" xfId="4774"/>
    <cellStyle name="Millions 8 2" xfId="4775"/>
    <cellStyle name="Magic 3 3" xfId="4776"/>
    <cellStyle name="ItemTypeClass 3 2" xfId="4777"/>
    <cellStyle name="Heading [Palat] 3 3" xfId="4778"/>
    <cellStyle name="Heading [Helv] 3 3" xfId="4779"/>
    <cellStyle name="Format text as bold, black on yellow 3 2" xfId="4780"/>
    <cellStyle name="Format a row of totals 3 2" xfId="4781"/>
    <cellStyle name="Draw shadow and lines within range 3 2" xfId="4782"/>
    <cellStyle name="Draw lines around data in range 3 2" xfId="4783"/>
    <cellStyle name="dp*ThinLineAbove 3 2" xfId="4784"/>
    <cellStyle name="dp*SheetSubTitle 3 3" xfId="4785"/>
    <cellStyle name="dp*NumberLineEPS 3 3" xfId="4786"/>
    <cellStyle name="dp*NumberLine 3 3" xfId="4787"/>
    <cellStyle name="dp*Number%ItalicsLineAbove 3 2" xfId="4788"/>
    <cellStyle name="DateYearWholeEstimate 3 2" xfId="4789"/>
    <cellStyle name="DateYearEstimate 3 2" xfId="4790"/>
    <cellStyle name="COL HEADINGS 3 3" xfId="4791"/>
    <cellStyle name="Border 3 2" xfId="4792"/>
    <cellStyle name="Bold/Border 3 3" xfId="4793"/>
    <cellStyle name="ArialNormal 3 2" xfId="4794"/>
    <cellStyle name="Arial8Italic 3 2" xfId="4795"/>
    <cellStyle name="Arial8Bold 3 2" xfId="4796"/>
    <cellStyle name="Arial6Bold 3 2" xfId="4797"/>
    <cellStyle name="Afjusted 5 3" xfId="4798"/>
    <cellStyle name="ac 3 3" xfId="4799"/>
    <cellStyle name="UNLOCKED 15 2" xfId="4800"/>
    <cellStyle name="dp*NumberLine 2 2 3 2 4" xfId="4801"/>
    <cellStyle name="Date [mmm-yyyy] 3 3" xfId="4802"/>
    <cellStyle name="dp*NumberLineEPS 2 2 3 2 4" xfId="4803"/>
    <cellStyle name="UNLOCKED 17 2" xfId="4804"/>
    <cellStyle name="Heading [Palat] 2 9" xfId="4805"/>
    <cellStyle name="dp*SheetSubTitle 2 2 3 2 4" xfId="4806"/>
    <cellStyle name="UNLOCKED 18 2" xfId="4807"/>
    <cellStyle name="Table Head Aligned 2 2 7" xfId="4808"/>
    <cellStyle name="UNLOCKED 19 2" xfId="4809"/>
    <cellStyle name="ac 2 4 3" xfId="4810"/>
    <cellStyle name="Afjusted 2 3 3" xfId="4811"/>
    <cellStyle name="Bold/Border 2 4 3" xfId="4812"/>
    <cellStyle name="Border Thin 2 4 3" xfId="4813"/>
    <cellStyle name="COL HEADINGS 2 4 3" xfId="4814"/>
    <cellStyle name="Date [mmm-yyyy] 2 4 3" xfId="4815"/>
    <cellStyle name="dp*NumberLine 2 4 3" xfId="4816"/>
    <cellStyle name="dp*NumberLineEPS 2 4 3" xfId="4817"/>
    <cellStyle name="dp*SheetSubTitle 2 4 3" xfId="4818"/>
    <cellStyle name="dp*SubTitle 2 4 3" xfId="4819"/>
    <cellStyle name="dp*ThinLineBelow 2 4 3" xfId="4820"/>
    <cellStyle name="Heading [Helv] 2 4 3" xfId="4821"/>
    <cellStyle name="Heading [Palat] 2 4 3" xfId="4822"/>
    <cellStyle name="Magic 2 4 3" xfId="4823"/>
    <cellStyle name="Outputs 2 4 3" xfId="4824"/>
    <cellStyle name="PB Table Standard Row 2 4 3" xfId="4825"/>
    <cellStyle name="P-Green Rule 2 4 3" xfId="4826"/>
    <cellStyle name="Style 44 3 4 3" xfId="4827"/>
    <cellStyle name="Style 45 3 4 3" xfId="4828"/>
    <cellStyle name="Style 49 3 4 3" xfId="4829"/>
    <cellStyle name="Style 51 3 4 3" xfId="4830"/>
    <cellStyle name="Style 44 2 4 3" xfId="4831"/>
    <cellStyle name="Style 45 2 4 3" xfId="4832"/>
    <cellStyle name="Style 49 2 4 3" xfId="4833"/>
    <cellStyle name="Style 51 2 4 3" xfId="4834"/>
    <cellStyle name="Table Head Aligned 2 4 3" xfId="4835"/>
    <cellStyle name="Table Head Green 2 4 3" xfId="4836"/>
    <cellStyle name="Title [Helv] 2 4 3" xfId="4837"/>
    <cellStyle name="Title [Palat] 2 4 3" xfId="4838"/>
    <cellStyle name="Heading [Helv] 2 2 3 2 4" xfId="4839"/>
    <cellStyle name="UNLOCKED 20 2" xfId="4840"/>
    <cellStyle name="Heading [Palat] 2 2 3 2 4" xfId="4841"/>
    <cellStyle name="Normal 71" xfId="4842"/>
    <cellStyle name="Table Head Green 2 4 4" xfId="4843"/>
    <cellStyle name="ac 4 3" xfId="4844"/>
    <cellStyle name="dp*SheetSubTitle 3 4" xfId="4845"/>
    <cellStyle name="dp*NumberLine 3 4" xfId="4846"/>
    <cellStyle name="Arial6Bold 4 2" xfId="4847"/>
    <cellStyle name="Arial8Bold 4 2" xfId="4848"/>
    <cellStyle name="Arial8Italic 4 2" xfId="4849"/>
    <cellStyle name="ArialNormal 4 2" xfId="4850"/>
    <cellStyle name="Outputs 3 4" xfId="4851"/>
    <cellStyle name="Title [Helv] 3 4" xfId="4852"/>
    <cellStyle name="Bold/Border 4 3" xfId="4853"/>
    <cellStyle name="40% - Accent6 2 2" xfId="4854"/>
    <cellStyle name="Border Thin 5 3" xfId="4855"/>
    <cellStyle name="P-Green Rule 4 4" xfId="4856"/>
    <cellStyle name="dp*SubTitle 4 4" xfId="4857"/>
    <cellStyle name="Table Head Green 2 2 2 4 4" xfId="4858"/>
    <cellStyle name="Heading [Palat] 2 2 2 4 4" xfId="4859"/>
    <cellStyle name="Date [mmm-yyyy] 2 2 2 4 4" xfId="4860"/>
    <cellStyle name="P-Green Rule 3 2 4 4" xfId="4861"/>
    <cellStyle name="dp*ThinLineBelow 3 2 4 4" xfId="4862"/>
    <cellStyle name="COL HEADINGS 4 3" xfId="4863"/>
    <cellStyle name="Date [mm-d-yyyy] 3 2 4 4" xfId="4864"/>
    <cellStyle name="Magic 2 2 2 3 4" xfId="4865"/>
    <cellStyle name="dp*SheetSubTitle 2 2 2 3 4" xfId="4866"/>
    <cellStyle name="Date [mmm-yyyy] 2 2 2 3 4" xfId="4867"/>
    <cellStyle name="Afjusted 2 2 2 3 4" xfId="4868"/>
    <cellStyle name="Border Thin 3 2 3 4" xfId="4869"/>
    <cellStyle name="PB Table Standard Row 3 2 3 4" xfId="4870"/>
    <cellStyle name="Style 45 4 2 3 4" xfId="4871"/>
    <cellStyle name="Date [mm-d-yyyy] 3 2 3 4" xfId="4872"/>
    <cellStyle name="Title [Palat] 2 2 2 2 4" xfId="4873"/>
    <cellStyle name="Bold/Border 2 2 2 7" xfId="4874"/>
    <cellStyle name="Style 45 4 3 7" xfId="4875"/>
    <cellStyle name="PB Table Standard Row 3 3 7" xfId="4876"/>
    <cellStyle name="Date [mm-d-yyyy] 5 3" xfId="4877"/>
    <cellStyle name="Bold/Border 2 2 3 7" xfId="4878"/>
    <cellStyle name="Title [Helv] 2 2 3 7" xfId="4879"/>
    <cellStyle name="DateYearEstimate 4 2" xfId="4880"/>
    <cellStyle name="DateYearWholeEstimate 4 2" xfId="4881"/>
    <cellStyle name="Style 45 4 4 4" xfId="4882"/>
    <cellStyle name="dp*ThinLineBelow 3 3 3 4" xfId="4883"/>
    <cellStyle name="Draw lines around data in range 4 2" xfId="4884"/>
    <cellStyle name="Draw shadow and lines within range 4 2" xfId="4885"/>
    <cellStyle name="PB Table Standard Row 3 3 3 4" xfId="4886"/>
    <cellStyle name="ac 2 2 3 3 4" xfId="4887"/>
    <cellStyle name="Heading [Helv] 2 2 3 3 4" xfId="4888"/>
    <cellStyle name="Title [Palat] 2 2 4 4" xfId="4889"/>
    <cellStyle name="Outputs 2 2 4 4" xfId="4890"/>
    <cellStyle name="Title [Palat] 2 2 3 4 4" xfId="4891"/>
    <cellStyle name="dp*SheetSubTitle 2 2 3 4 4" xfId="4892"/>
    <cellStyle name="ac 2 2 3 4 4" xfId="4893"/>
    <cellStyle name="Afjusted 3 3 4 4" xfId="4894"/>
    <cellStyle name="COL HEADINGS 2 2 3 4 4" xfId="4895"/>
    <cellStyle name="P-Green Rule 2 2 4" xfId="4896"/>
    <cellStyle name="Style 49 3 2 4" xfId="4897"/>
    <cellStyle name="Style 49 2 2 4" xfId="4898"/>
    <cellStyle name="Title [Helv] 2 2 3 4 4" xfId="4899"/>
    <cellStyle name="Bold/Border 2 2 3 4 4" xfId="4900"/>
    <cellStyle name="Format a row of totals 4 2" xfId="4901"/>
    <cellStyle name="Format text as bold, black on yellow 4 2" xfId="4902"/>
    <cellStyle name="Heading [Helv] 4 3" xfId="4903"/>
    <cellStyle name="Heading [Palat] 4 3" xfId="4904"/>
    <cellStyle name="Title [Helv] 2 2 7" xfId="4905"/>
    <cellStyle name="Heading [Palat] 2 2 7" xfId="4906"/>
    <cellStyle name="COL HEADINGS 2 2 7" xfId="4907"/>
    <cellStyle name="ac 2 2 7" xfId="4908"/>
    <cellStyle name="Normal 13 6" xfId="4909"/>
    <cellStyle name="ItemTypeClass 4 2" xfId="4910"/>
    <cellStyle name="40% - Accent3 3" xfId="4911"/>
    <cellStyle name="Style 45 4 3 4 5 2" xfId="4912"/>
    <cellStyle name="Afjusted 4 4 8" xfId="4913"/>
    <cellStyle name="Main 3 2" xfId="4914"/>
    <cellStyle name="Heading [Palat] 5 9" xfId="4915"/>
    <cellStyle name="Input 2 4" xfId="4916"/>
    <cellStyle name="Magic 5 6" xfId="4917"/>
    <cellStyle name="SAPBEXHLevel0 10" xfId="4918"/>
    <cellStyle name="Outputs 4 3" xfId="4919"/>
    <cellStyle name="PB Table Standard Row 5 3" xfId="4920"/>
    <cellStyle name="P-Green Rule 5 3" xfId="4921"/>
    <cellStyle name="SAPBEXaggItemX 3 2" xfId="4922"/>
    <cellStyle name="SAPBEXHLevel0 3 2" xfId="4923"/>
    <cellStyle name="SAPBEXHLevel0X 3 2" xfId="4924"/>
    <cellStyle name="SAPBEXHLevel1 3 2" xfId="4925"/>
    <cellStyle name="SAPBEXHLevel1X 3 2" xfId="4926"/>
    <cellStyle name="SAPBEXHLevel2 3 2" xfId="4927"/>
    <cellStyle name="SAPBEXHLevel2X 3 2" xfId="4928"/>
    <cellStyle name="SAPBEXHLevel3 3 2" xfId="4929"/>
    <cellStyle name="SAPBEXHLevel3X 3 2" xfId="4930"/>
    <cellStyle name="SAPBEXresItemX 3 2" xfId="4931"/>
    <cellStyle name="SAPBEXstdItemX 3 2" xfId="4932"/>
    <cellStyle name="Currency-- 42" xfId="4933"/>
    <cellStyle name="Style 21 4 2" xfId="4934"/>
    <cellStyle name="Style 22 4 2" xfId="4935"/>
    <cellStyle name="Style 35 4 2" xfId="4936"/>
    <cellStyle name="Style 36 4 2" xfId="4937"/>
    <cellStyle name="Style 37 4 2" xfId="4938"/>
    <cellStyle name="Style 40 4 2" xfId="4939"/>
    <cellStyle name="Style 42 4 2" xfId="4940"/>
    <cellStyle name="Style 43 4 2" xfId="4941"/>
    <cellStyle name="Style 44 6 3" xfId="4942"/>
    <cellStyle name="Style 45 6 3" xfId="4943"/>
    <cellStyle name="Style 48 4 2" xfId="4944"/>
    <cellStyle name="Style 49 6 3" xfId="4945"/>
    <cellStyle name="Style 50 4 2" xfId="4946"/>
    <cellStyle name="Style 51 6 3" xfId="4947"/>
    <cellStyle name="Style 52 4 2" xfId="4948"/>
    <cellStyle name="Style 53 4 2" xfId="4949"/>
    <cellStyle name="SymbolBlue 4 2" xfId="4950"/>
    <cellStyle name="Table Head Green 4 3" xfId="4951"/>
    <cellStyle name="Table Units 4 2" xfId="4952"/>
    <cellStyle name="UNLOCKED 21 2" xfId="4953"/>
    <cellStyle name="WingdingsBlack 4 2" xfId="4954"/>
    <cellStyle name="WingdingsRed 4 2" xfId="4955"/>
    <cellStyle name="WingdingsWhite 4 2" xfId="4956"/>
    <cellStyle name="Magic 2 2 3 2 5 2" xfId="4957"/>
    <cellStyle name="Heading [Helv] 2 9" xfId="4958"/>
    <cellStyle name="Style 49 4 2 2 5 2" xfId="4959"/>
    <cellStyle name="Afjusted 6 3" xfId="4960"/>
    <cellStyle name="UNLOCKED 22 2" xfId="4961"/>
    <cellStyle name="ac 2 5 3" xfId="4962"/>
    <cellStyle name="Afjusted 2 4 3" xfId="4963"/>
    <cellStyle name="Bold/Border 2 5 3" xfId="4964"/>
    <cellStyle name="Border Thin 2 5 3" xfId="4965"/>
    <cellStyle name="COL HEADINGS 2 5 3" xfId="4966"/>
    <cellStyle name="Date [mmm-yyyy] 2 5 3" xfId="4967"/>
    <cellStyle name="dp*NumberLine 2 5 3" xfId="4968"/>
    <cellStyle name="dp*NumberLineEPS 2 5 3" xfId="4969"/>
    <cellStyle name="dp*SheetSubTitle 2 5 3" xfId="4970"/>
    <cellStyle name="dp*SubTitle 2 5 3" xfId="4971"/>
    <cellStyle name="dp*ThinLineBelow 2 5 3" xfId="4972"/>
    <cellStyle name="Heading [Helv] 2 5 3" xfId="4973"/>
    <cellStyle name="Heading [Palat] 2 5 3" xfId="4974"/>
    <cellStyle name="Magic 2 5 3" xfId="4975"/>
    <cellStyle name="Outputs 2 5 3" xfId="4976"/>
    <cellStyle name="PB Table Standard Row 2 5 3" xfId="4977"/>
    <cellStyle name="P-Green Rule 2 5 3" xfId="4978"/>
    <cellStyle name="Style 44 3 5 3" xfId="4979"/>
    <cellStyle name="Style 45 3 5 3" xfId="4980"/>
    <cellStyle name="Style 49 3 5 3" xfId="4981"/>
    <cellStyle name="Style 51 3 5 3" xfId="4982"/>
    <cellStyle name="Style 44 2 5 3" xfId="4983"/>
    <cellStyle name="Style 45 2 5 3" xfId="4984"/>
    <cellStyle name="Style 49 2 5 3" xfId="4985"/>
    <cellStyle name="Style 51 2 5 3" xfId="4986"/>
    <cellStyle name="Table Head Aligned 2 5 3" xfId="4987"/>
    <cellStyle name="Table Head Green 2 5 3" xfId="4988"/>
    <cellStyle name="Title [Helv] 2 5 3" xfId="4989"/>
    <cellStyle name="Title [Palat] 2 5 3" xfId="4990"/>
    <cellStyle name="Magic 2 2 3 2 4" xfId="4991"/>
    <cellStyle name="Table Head Green 2 3 4" xfId="4992"/>
    <cellStyle name="Input 7" xfId="4993"/>
    <cellStyle name="Outputs 2 2 3 2 4" xfId="4994"/>
    <cellStyle name="UNLOCKED 23 2" xfId="4995"/>
    <cellStyle name="Heading [Palat] 2 2 3 4 4" xfId="4996"/>
    <cellStyle name="UNLOCKED 24 2" xfId="4997"/>
    <cellStyle name="P-Green Rule 5 4" xfId="4998"/>
    <cellStyle name="dp*NumberLineEPS 2 2 2 2 5 2" xfId="4999"/>
    <cellStyle name="Date [mm-d-yyyy] 5 4" xfId="5000"/>
    <cellStyle name="ac 4 4" xfId="5001"/>
    <cellStyle name="Title 21" xfId="5002"/>
    <cellStyle name="Table Head Aligned 2 4 4" xfId="5003"/>
    <cellStyle name="ac 5 3" xfId="5004"/>
    <cellStyle name="Bold/Border 3 4" xfId="5005"/>
    <cellStyle name="dp*NumberLineEPS 3 4" xfId="5006"/>
    <cellStyle name="Arial6Bold 5 2" xfId="5007"/>
    <cellStyle name="Arial8Bold 5 2" xfId="5008"/>
    <cellStyle name="Arial8Italic 5 2" xfId="5009"/>
    <cellStyle name="ArialNormal 5 2" xfId="5010"/>
    <cellStyle name="Heading [Helv] 3 4" xfId="5011"/>
    <cellStyle name="Title [Palat] 3 4" xfId="5012"/>
    <cellStyle name="Bold/Border 5 3" xfId="5013"/>
    <cellStyle name="40% - Accent2 2 2" xfId="5014"/>
    <cellStyle name="Border Thin 6 3" xfId="5015"/>
    <cellStyle name="PB Table Standard Row 4 4" xfId="5016"/>
    <cellStyle name="Date [mm-d-yyyy] 4 4" xfId="5017"/>
    <cellStyle name="Title [Palat] 2 2 2 4 4" xfId="5018"/>
    <cellStyle name="Table Head Aligned 2 2 2 4 4" xfId="5019"/>
    <cellStyle name="Heading [Helv] 2 2 2 4 4" xfId="5020"/>
    <cellStyle name="COL HEADINGS 2 2 2 4 4" xfId="5021"/>
    <cellStyle name="Style 44 4 2 4 4" xfId="5022"/>
    <cellStyle name="PB Table Standard Row 3 2 4 4" xfId="5023"/>
    <cellStyle name="COL HEADINGS 5 3" xfId="5024"/>
    <cellStyle name="Afjusted 3 2 4 4" xfId="5025"/>
    <cellStyle name="Heading [Palat] 2 2 2 3 4" xfId="5026"/>
    <cellStyle name="dp*NumberLineEPS 2 2 2 3 4" xfId="5027"/>
    <cellStyle name="COL HEADINGS 2 2 2 3 4" xfId="5028"/>
    <cellStyle name="ac 2 2 2 3 4" xfId="5029"/>
    <cellStyle name="dp*SubTitle 3 2 3 4" xfId="5030"/>
    <cellStyle name="P-Green Rule 3 2 3 4" xfId="5031"/>
    <cellStyle name="Style 49 4 2 3 4" xfId="5032"/>
    <cellStyle name="Afjusted 3 2 3 4" xfId="5033"/>
    <cellStyle name="Title [Helv] 2 2 2 2 4" xfId="5034"/>
    <cellStyle name="Afjusted 2 2 2 7" xfId="5035"/>
    <cellStyle name="Date [mm-d-yyyy] 3 3 7" xfId="5036"/>
    <cellStyle name="Style 51 4 3 7" xfId="5037"/>
    <cellStyle name="Style 44 4 3 7" xfId="5038"/>
    <cellStyle name="dp*ThinLineBelow 3 3 7" xfId="5039"/>
    <cellStyle name="Afjusted 4 3 7" xfId="5040"/>
    <cellStyle name="Date [mm-d-yyyy] 6 2" xfId="5041"/>
    <cellStyle name="COL HEADINGS 2 2 3 7" xfId="5042"/>
    <cellStyle name="Title [Palat] 2 2 3 7" xfId="5043"/>
    <cellStyle name="DateYearEstimate 5 2" xfId="5044"/>
    <cellStyle name="DateYearWholeEstimate 5 2" xfId="5045"/>
    <cellStyle name="Afjusted 2 2 4 4" xfId="5046"/>
    <cellStyle name="Border Thin 3 3 4 4" xfId="5047"/>
    <cellStyle name="Style 49 4 4 4" xfId="5048"/>
    <cellStyle name="Heading 3 3" xfId="5049"/>
    <cellStyle name="Afjusted 2 2 3 3 4" xfId="5050"/>
    <cellStyle name="Draw lines around data in range 5 2" xfId="5051"/>
    <cellStyle name="Draw shadow and lines within range 5 2" xfId="5052"/>
    <cellStyle name="Border Thin 3 3 3 4" xfId="5053"/>
    <cellStyle name="COL HEADINGS 2 2 3 3 4" xfId="5054"/>
    <cellStyle name="Magic 2 2 3 3 4" xfId="5055"/>
    <cellStyle name="Title [Helv] 2 2 4 4" xfId="5056"/>
    <cellStyle name="Heading [Palat] 2 2 4 4" xfId="5057"/>
    <cellStyle name="Table Head Aligned 2 2 3 4 4" xfId="5058"/>
    <cellStyle name="dp*NumberLineEPS 2 2 3 4 4" xfId="5059"/>
    <cellStyle name="Afjusted 4 3 4 4" xfId="5060"/>
    <cellStyle name="Style 44 3 3 4" xfId="5061"/>
    <cellStyle name="dp*ThinLineBelow 2 2 4" xfId="5062"/>
    <cellStyle name="Style 44 3 2 4" xfId="5063"/>
    <cellStyle name="Style 51 3 2 4" xfId="5064"/>
    <cellStyle name="Style 45 2 2 4" xfId="5065"/>
    <cellStyle name="Magic 2 2 3 4 4" xfId="5066"/>
    <cellStyle name="Format a row of totals 5 2" xfId="5067"/>
    <cellStyle name="Format text as bold, black on yellow 5 2" xfId="5068"/>
    <cellStyle name="Heading [Helv] 5 3" xfId="5069"/>
    <cellStyle name="Heading [Palat] 5 3" xfId="5070"/>
    <cellStyle name="Table Head Green 2 2 7" xfId="5071"/>
    <cellStyle name="Heading [Helv] 2 2 7" xfId="5072"/>
    <cellStyle name="Bold/Border 2 2 7" xfId="5073"/>
    <cellStyle name="Normal 8 7" xfId="5074"/>
    <cellStyle name="ItemTypeClass 5 2" xfId="5075"/>
    <cellStyle name="60% - Accent1 3" xfId="5076"/>
    <cellStyle name="P-Green Rule 3 3 11" xfId="5077"/>
    <cellStyle name="Main 4 2" xfId="5078"/>
    <cellStyle name="Style 49 2 8" xfId="5079"/>
    <cellStyle name="Arial6Bold 3 5" xfId="5080"/>
    <cellStyle name="Normal 6 8" xfId="5081"/>
    <cellStyle name="Outputs 5 3" xfId="5082"/>
    <cellStyle name="PB Table Standard Row 6 3" xfId="5083"/>
    <cellStyle name="P-Green Rule 6 3" xfId="5084"/>
    <cellStyle name="SAPBEXaggItemX 4 2" xfId="5085"/>
    <cellStyle name="SAPBEXHLevel0 4 2" xfId="5086"/>
    <cellStyle name="SAPBEXHLevel0X 4 2" xfId="5087"/>
    <cellStyle name="SAPBEXHLevel1 4 2" xfId="5088"/>
    <cellStyle name="SAPBEXHLevel1X 4 2" xfId="5089"/>
    <cellStyle name="SAPBEXHLevel2 4 2" xfId="5090"/>
    <cellStyle name="SAPBEXHLevel2X 4 2" xfId="5091"/>
    <cellStyle name="SAPBEXHLevel3 4 2" xfId="5092"/>
    <cellStyle name="SAPBEXHLevel3X 4 2" xfId="5093"/>
    <cellStyle name="SAPBEXresItemX 4 2" xfId="5094"/>
    <cellStyle name="SAPBEXstdItemX 4 2" xfId="5095"/>
    <cellStyle name="Style 49 4 2 4 5 2" xfId="5096"/>
    <cellStyle name="Style 21 5 2" xfId="5097"/>
    <cellStyle name="Style 22 5 2" xfId="5098"/>
    <cellStyle name="Style 35 5 2" xfId="5099"/>
    <cellStyle name="Style 36 5 2" xfId="5100"/>
    <cellStyle name="Style 37 5 2" xfId="5101"/>
    <cellStyle name="Style 40 5 2" xfId="5102"/>
    <cellStyle name="Style 42 5 2" xfId="5103"/>
    <cellStyle name="Style 43 5 2" xfId="5104"/>
    <cellStyle name="Style 44 7 3" xfId="5105"/>
    <cellStyle name="Style 45 7 3" xfId="5106"/>
    <cellStyle name="Style 48 5 2" xfId="5107"/>
    <cellStyle name="Style 49 7 3" xfId="5108"/>
    <cellStyle name="Style 50 5 2" xfId="5109"/>
    <cellStyle name="Style 51 7 3" xfId="5110"/>
    <cellStyle name="Style 52 5 2" xfId="5111"/>
    <cellStyle name="Style 53 5 2" xfId="5112"/>
    <cellStyle name="SymbolBlue 5 2" xfId="5113"/>
    <cellStyle name="Table Head Green 5 3" xfId="5114"/>
    <cellStyle name="Table Units 5 2" xfId="5115"/>
    <cellStyle name="Title [Palat] 4 3" xfId="5116"/>
    <cellStyle name="UNLOCKED 25 2" xfId="5117"/>
    <cellStyle name="WingdingsBlack 5 2" xfId="5118"/>
    <cellStyle name="WingdingsRed 5 2" xfId="5119"/>
    <cellStyle name="WingdingsWhite 5 2" xfId="5120"/>
    <cellStyle name="Accent6 2 2" xfId="5121"/>
    <cellStyle name="Comma 57" xfId="5122"/>
    <cellStyle name="Heading 1 2 2" xfId="5123"/>
    <cellStyle name="Afjusted 3 2 2 5 2" xfId="5124"/>
    <cellStyle name="Afjusted 2 2 3 4 7" xfId="5125"/>
    <cellStyle name="ac 2 6 3" xfId="5126"/>
    <cellStyle name="Bold/Border 2 6 3" xfId="5127"/>
    <cellStyle name="Border Thin 2 6 3" xfId="5128"/>
    <cellStyle name="COL HEADINGS 2 6 3" xfId="5129"/>
    <cellStyle name="Date [mm-d-yyyy] 2 3 2" xfId="5130"/>
    <cellStyle name="Bold/Border 2 2 3 3 4" xfId="5131"/>
    <cellStyle name="Header2 2 2 2" xfId="5132"/>
    <cellStyle name="Heading [Helv] 2 6 3" xfId="5133"/>
    <cellStyle name="Heading [Palat] 2 6 3" xfId="5134"/>
    <cellStyle name="Outputs 2 2 3 3 4" xfId="5135"/>
    <cellStyle name="Outputs 2 6 3" xfId="5136"/>
    <cellStyle name="PB Table Standard Row 2 6 3" xfId="5137"/>
    <cellStyle name="P-Green Rule 2 6 3" xfId="5138"/>
    <cellStyle name="Style 44 3 6 3" xfId="5139"/>
    <cellStyle name="Style 45 3 6 3" xfId="5140"/>
    <cellStyle name="Style 49 3 6 3" xfId="5141"/>
    <cellStyle name="Style 51 3 6 3" xfId="5142"/>
    <cellStyle name="Style 44 2 6 3" xfId="5143"/>
    <cellStyle name="Style 45 2 6 3" xfId="5144"/>
    <cellStyle name="Style 49 2 6 3" xfId="5145"/>
    <cellStyle name="Style 51 2 6 3" xfId="5146"/>
    <cellStyle name="Table Head Green 2 6 3" xfId="5147"/>
    <cellStyle name="Title [Palat] 2 6 3" xfId="5148"/>
    <cellStyle name="Table Head Green 2 2 3 4 4" xfId="5149"/>
    <cellStyle name="dp*SheetSubTitle 2 2 3 8 2" xfId="5150"/>
    <cellStyle name="UNLOCKED 26 2" xfId="5151"/>
    <cellStyle name="Table Head Green 2 2 2 7" xfId="5152"/>
    <cellStyle name="60% - Accent6 3" xfId="5153"/>
    <cellStyle name="Outputs 2 2 2 7" xfId="5154"/>
    <cellStyle name="_Collection(Euro)" xfId="5155"/>
    <cellStyle name="_Payment Account" xfId="5156"/>
    <cellStyle name="20% - Accent5 2 2" xfId="5157"/>
    <cellStyle name="Title [Helv] 2 2 3 2 4" xfId="5158"/>
    <cellStyle name="Linked Cell 3" xfId="5159"/>
    <cellStyle name="20% - Accent1 2 2" xfId="5160"/>
    <cellStyle name="dp*ThinLineBelow 3 2 2 5 2" xfId="5161"/>
    <cellStyle name="P-Green Rule 3 3 3 5 2" xfId="5162"/>
    <cellStyle name="Afjusted 2 2 2 2 5 2" xfId="5163"/>
    <cellStyle name="dp*SubTitle 3 3 2 5 2" xfId="5164"/>
    <cellStyle name="Normal 8 9" xfId="5165"/>
    <cellStyle name="Style 49 4 3 2 5 2" xfId="5166"/>
    <cellStyle name="20% - Accent3 3" xfId="5167"/>
    <cellStyle name="Outputs 2 2 3 2 5 2" xfId="5168"/>
    <cellStyle name="20% - Accent4 3" xfId="5169"/>
    <cellStyle name="20% - Accent4 2 2" xfId="5170"/>
    <cellStyle name="Heading 2 2 2" xfId="5171"/>
    <cellStyle name="Date [mmm-yyyy] 2 2 2 2 5 2" xfId="5172"/>
    <cellStyle name="PB Table Standard Row 3 5 4" xfId="5173"/>
    <cellStyle name="20% - Accent5 3" xfId="5174"/>
    <cellStyle name="P-Green Rule 3 2 2 4" xfId="5175"/>
    <cellStyle name="Heading 2 3" xfId="5176"/>
    <cellStyle name="Style 49 4 2 2 4" xfId="5177"/>
    <cellStyle name="Heading 4 3" xfId="5178"/>
    <cellStyle name="dp*NumberLineEPS 2 8" xfId="5179"/>
    <cellStyle name="Heading [Helv] 2 2 2 7" xfId="5180"/>
    <cellStyle name="FieldName 4 2" xfId="5181"/>
    <cellStyle name="WingdingsWhite 6 2" xfId="5182"/>
    <cellStyle name="WingdingsRed 6 2" xfId="5183"/>
    <cellStyle name="WingdingsBlack 6 2" xfId="5184"/>
    <cellStyle name="UNLOCKED 28 2" xfId="5185"/>
    <cellStyle name="Title [Palat] 5 3" xfId="5186"/>
    <cellStyle name="Title [Helv] 4 3" xfId="5187"/>
    <cellStyle name="Table Head Green 6 3" xfId="5188"/>
    <cellStyle name="Table Head Aligned 4 3" xfId="5189"/>
    <cellStyle name="SymbolBlue 6 2" xfId="5190"/>
    <cellStyle name="Style 53 6 2" xfId="5191"/>
    <cellStyle name="Style 52 6 2" xfId="5192"/>
    <cellStyle name="Style 50 6 2" xfId="5193"/>
    <cellStyle name="Style 48 6 2" xfId="5194"/>
    <cellStyle name="Style 43 6 2" xfId="5195"/>
    <cellStyle name="Style 42 6 2" xfId="5196"/>
    <cellStyle name="Style 40 6 2" xfId="5197"/>
    <cellStyle name="Style 37 6 2" xfId="5198"/>
    <cellStyle name="Style 36 6 2" xfId="5199"/>
    <cellStyle name="Style 35 6 2" xfId="5200"/>
    <cellStyle name="Style 28 4 2" xfId="5201"/>
    <cellStyle name="Style 27 4 2" xfId="5202"/>
    <cellStyle name="Style 24 4 2" xfId="5203"/>
    <cellStyle name="Style 26 4 2" xfId="5204"/>
    <cellStyle name="Style 25 4 2" xfId="5205"/>
    <cellStyle name="Style 22 6 2" xfId="5206"/>
    <cellStyle name="Style 21 6 2" xfId="5207"/>
    <cellStyle name="SSFixed2 3 2" xfId="5208"/>
    <cellStyle name="SSDfltPct0 3 2" xfId="5209"/>
    <cellStyle name="SSDfltPct 3 2" xfId="5210"/>
    <cellStyle name="SSDecs3 3 2" xfId="5211"/>
    <cellStyle name="SSComma2 3 2" xfId="5212"/>
    <cellStyle name="SSComma0 3 2" xfId="5213"/>
    <cellStyle name="SAPBEXundefined 3 2" xfId="5214"/>
    <cellStyle name="SAPBEXtitle 3 2" xfId="5215"/>
    <cellStyle name="SAPBEXstdItemX 5 2" xfId="5216"/>
    <cellStyle name="SAPBEXstdItem 3 2" xfId="5217"/>
    <cellStyle name="SAPBEXstdDataEmph 3 2" xfId="5218"/>
    <cellStyle name="SAPBEXstdData 3 2" xfId="5219"/>
    <cellStyle name="SAPBEXresItemX 5 2" xfId="5220"/>
    <cellStyle name="SAPBEXresItem 3 2" xfId="5221"/>
    <cellStyle name="SAPBEXresDataEmph 3 2" xfId="5222"/>
    <cellStyle name="SAPBEXresData 3 2" xfId="5223"/>
    <cellStyle name="SAPBEXHLevel3X 5 2" xfId="5224"/>
    <cellStyle name="SAPBEXHLevel3 5 2" xfId="5225"/>
    <cellStyle name="SAPBEXHLevel2X 5 2" xfId="5226"/>
    <cellStyle name="SAPBEXHLevel2 5 2" xfId="5227"/>
    <cellStyle name="SAPBEXHLevel1X 5 2" xfId="5228"/>
    <cellStyle name="SAPBEXHLevel1 5 2" xfId="5229"/>
    <cellStyle name="SAPBEXHLevel0X 5 2" xfId="5230"/>
    <cellStyle name="SAPBEXHLevel0 5 2" xfId="5231"/>
    <cellStyle name="SAPBEXformats 3 2" xfId="5232"/>
    <cellStyle name="SAPBEXexcGood3 3 2" xfId="5233"/>
    <cellStyle name="SAPBEXexcGood2 3 2" xfId="5234"/>
    <cellStyle name="SAPBEXexcGood1 3 2" xfId="5235"/>
    <cellStyle name="SAPBEXexcCritical6 3 2" xfId="5236"/>
    <cellStyle name="SAPBEXexcCritical5 3 2" xfId="5237"/>
    <cellStyle name="SAPBEXexcCritical4 3 2" xfId="5238"/>
    <cellStyle name="SAPBEXexcBad9 3 2" xfId="5239"/>
    <cellStyle name="SAPBEXexcBad8 3 2" xfId="5240"/>
    <cellStyle name="SAPBEXexcBad7 3 2" xfId="5241"/>
    <cellStyle name="SAPBEXaggItemX 5 2" xfId="5242"/>
    <cellStyle name="SAPBEXaggItem 3 2" xfId="5243"/>
    <cellStyle name="SAPBEXaggDataEmph 3 2" xfId="5244"/>
    <cellStyle name="SAPBEXaggData 3 2" xfId="5245"/>
    <cellStyle name="Arial6Bold 7 2" xfId="5246"/>
    <cellStyle name="Arial8Bold 7 2" xfId="5247"/>
    <cellStyle name="Arial8Italic 7 2" xfId="5248"/>
    <cellStyle name="ArialNormal 7 2" xfId="5249"/>
    <cellStyle name="Border 5 2" xfId="5250"/>
    <cellStyle name="Outputs 6 3" xfId="5251"/>
    <cellStyle name="dp*Number%ItalicsLineAbove 5 2" xfId="5252"/>
    <cellStyle name="dp*ThinLineAbove 5 2" xfId="5253"/>
    <cellStyle name="Draw lines around data in range 7 2" xfId="5254"/>
    <cellStyle name="Draw shadow and lines within range 7 2" xfId="5255"/>
    <cellStyle name="Millions 9 2" xfId="5256"/>
    <cellStyle name="Main 5 2" xfId="5257"/>
    <cellStyle name="Magic 4 3" xfId="5258"/>
    <cellStyle name="ItemTypeClass 6 2" xfId="5259"/>
    <cellStyle name="Format a row of totals 7 2" xfId="5260"/>
    <cellStyle name="Format text as bold, black on yellow 7 2" xfId="5261"/>
    <cellStyle name="dp*NumberLine 2 2 7" xfId="5262"/>
    <cellStyle name="Heading [Palat] 6 3" xfId="5263"/>
    <cellStyle name="Heading [Helv] 6 3" xfId="5264"/>
    <cellStyle name="Format text as bold, black on yellow 6 2" xfId="5265"/>
    <cellStyle name="Format a row of totals 6 2" xfId="5266"/>
    <cellStyle name="ItemTypeClass 7 2" xfId="5267"/>
    <cellStyle name="Main 6 2" xfId="5268"/>
    <cellStyle name="Draw shadow and lines within range 6 2" xfId="5269"/>
    <cellStyle name="Draw lines around data in range 6 2" xfId="5270"/>
    <cellStyle name="dp*ThinLineBelow 5 3" xfId="5271"/>
    <cellStyle name="dp*ThinLineAbove 4 2" xfId="5272"/>
    <cellStyle name="dp*SubTitle 5 3" xfId="5273"/>
    <cellStyle name="dp*SheetSubTitle 4 3" xfId="5274"/>
    <cellStyle name="dp*NumberLineEPS 4 3" xfId="5275"/>
    <cellStyle name="dp*NumberLine 4 3" xfId="5276"/>
    <cellStyle name="ac 2 3 4" xfId="5277"/>
    <cellStyle name="dp*Number%ItalicsLineAbove 4 2" xfId="5278"/>
    <cellStyle name="Millions 10 2" xfId="5279"/>
    <cellStyle name="Date [mmm-yyyy] 2 2 3 3 4" xfId="5280"/>
    <cellStyle name="Title [Helv] 2 3 4" xfId="5281"/>
    <cellStyle name="DateYearWholeEstimate 6 2" xfId="5282"/>
    <cellStyle name="DateYearEstimate 6 2" xfId="5283"/>
    <cellStyle name="Date [mmm-yyyy] 4 3" xfId="5284"/>
    <cellStyle name="Date [mm-d-yyyy] 7 3" xfId="5285"/>
    <cellStyle name="COL HEADINGS 6 3" xfId="5286"/>
    <cellStyle name="dp*SheetSubTitle 2 2 2 4 4" xfId="5287"/>
    <cellStyle name="Border Thin 7 3" xfId="5288"/>
    <cellStyle name="Border 4 2" xfId="5289"/>
    <cellStyle name="Bold/Border 6 3" xfId="5290"/>
    <cellStyle name="ArialNormal 6 2" xfId="5291"/>
    <cellStyle name="Arial8Italic 6 2" xfId="5292"/>
    <cellStyle name="Arial8Bold 6 2" xfId="5293"/>
    <cellStyle name="Arial6Bold 6 2" xfId="5294"/>
    <cellStyle name="Afjusted 7 3" xfId="5295"/>
    <cellStyle name="ac 6 3" xfId="5296"/>
    <cellStyle name="SAPBEXaggData 4 2" xfId="5297"/>
    <cellStyle name="SAPBEXaggDataEmph 4 2" xfId="5298"/>
    <cellStyle name="SAPBEXaggItem 4 2" xfId="5299"/>
    <cellStyle name="SAPBEXaggItemX 6 2" xfId="5300"/>
    <cellStyle name="SAPBEXexcBad7 4 2" xfId="5301"/>
    <cellStyle name="SAPBEXexcBad8 4 2" xfId="5302"/>
    <cellStyle name="SAPBEXexcBad9 4 2" xfId="5303"/>
    <cellStyle name="SAPBEXexcCritical4 4 2" xfId="5304"/>
    <cellStyle name="SAPBEXexcCritical5 4 2" xfId="5305"/>
    <cellStyle name="SAPBEXexcCritical6 4 2" xfId="5306"/>
    <cellStyle name="SAPBEXexcGood2 4 2" xfId="5307"/>
    <cellStyle name="SAPBEXexcGood1 4 2" xfId="5308"/>
    <cellStyle name="SAPBEXexcGood3 4 2" xfId="5309"/>
    <cellStyle name="SAPBEXformats 4 2" xfId="5310"/>
    <cellStyle name="SAPBEXHLevel0 6 2" xfId="5311"/>
    <cellStyle name="SAPBEXHLevel0X 6 2" xfId="5312"/>
    <cellStyle name="SAPBEXHLevel1 6 2" xfId="5313"/>
    <cellStyle name="SAPBEXHLevel1X 6 2" xfId="5314"/>
    <cellStyle name="SAPBEXHLevel2 6 2" xfId="5315"/>
    <cellStyle name="SAPBEXHLevel2X 6 2" xfId="5316"/>
    <cellStyle name="SAPBEXHLevel3 6 2" xfId="5317"/>
    <cellStyle name="SAPBEXHLevel3X 6 2" xfId="5318"/>
    <cellStyle name="SAPBEXresData 4 2" xfId="5319"/>
    <cellStyle name="SAPBEXresDataEmph 4 2" xfId="5320"/>
    <cellStyle name="SAPBEXresItem 4 2" xfId="5321"/>
    <cellStyle name="SAPBEXresItemX 6 2" xfId="5322"/>
    <cellStyle name="SAPBEXstdData 4 2" xfId="5323"/>
    <cellStyle name="SAPBEXstdDataEmph 4 2" xfId="5324"/>
    <cellStyle name="SAPBEXstdItem 4 2" xfId="5325"/>
    <cellStyle name="SAPBEXstdItemX 6 2" xfId="5326"/>
    <cellStyle name="SAPBEXtitle 4 2" xfId="5327"/>
    <cellStyle name="SAPBEXundefined 4 2" xfId="5328"/>
    <cellStyle name="Style 44 8 3" xfId="5329"/>
    <cellStyle name="Style 45 8 3" xfId="5330"/>
    <cellStyle name="Style 49 8 3" xfId="5331"/>
    <cellStyle name="Style 51 8 3" xfId="5332"/>
    <cellStyle name="SSComma0 4 2" xfId="5333"/>
    <cellStyle name="SSComma2 4 2" xfId="5334"/>
    <cellStyle name="SSDecs3 4 2" xfId="5335"/>
    <cellStyle name="SSDfltPct 4 2" xfId="5336"/>
    <cellStyle name="SSDfltPct0 4 2" xfId="5337"/>
    <cellStyle name="SSFixed2 4 2" xfId="5338"/>
    <cellStyle name="Style 22 7 2" xfId="5339"/>
    <cellStyle name="Style 24 5 2" xfId="5340"/>
    <cellStyle name="Style 25 5 2" xfId="5341"/>
    <cellStyle name="Style 26 5 2" xfId="5342"/>
    <cellStyle name="Style 27 5 2" xfId="5343"/>
    <cellStyle name="Style 28 5 2" xfId="5344"/>
    <cellStyle name="Style 35 7 2" xfId="5345"/>
    <cellStyle name="Style 36 7 2" xfId="5346"/>
    <cellStyle name="Style 37 7 2" xfId="5347"/>
    <cellStyle name="Style 40 7 2" xfId="5348"/>
    <cellStyle name="Style 42 7 2" xfId="5349"/>
    <cellStyle name="Style 43 7 2" xfId="5350"/>
    <cellStyle name="Style 48 7 2" xfId="5351"/>
    <cellStyle name="Style 50 7 2" xfId="5352"/>
    <cellStyle name="Style 52 7 2" xfId="5353"/>
    <cellStyle name="Style 53 7 2" xfId="5354"/>
    <cellStyle name="UNLOCKED 27 2" xfId="5355"/>
    <cellStyle name="SymbolBlue 7 2" xfId="5356"/>
    <cellStyle name="Style 21 7 2" xfId="5357"/>
    <cellStyle name="Bold/Border 2 9" xfId="5358"/>
    <cellStyle name="Afjusted 3 2 2 4" xfId="5359"/>
    <cellStyle name="Style 44 4 2 2 4" xfId="5360"/>
    <cellStyle name="Heading [Helv] 2 2 2 2 4" xfId="5361"/>
    <cellStyle name="Style 45 4 5 4" xfId="5362"/>
    <cellStyle name="Afjusted 4 3 2 4" xfId="5363"/>
    <cellStyle name="PB Table Standard Row 2 3 3" xfId="5364"/>
    <cellStyle name="Input 3" xfId="5365"/>
    <cellStyle name="Style 51 4 2 2 4" xfId="5366"/>
    <cellStyle name="DateYearWholeEstimate 7 2" xfId="5367"/>
    <cellStyle name="DateYearEstimate 7 2" xfId="5368"/>
    <cellStyle name="UNLOCKED 29 2" xfId="5369"/>
    <cellStyle name="WingdingsBlack 7 2" xfId="5370"/>
    <cellStyle name="WingdingsRed 7 2" xfId="5371"/>
    <cellStyle name="WingdingsWhite 7 2" xfId="5372"/>
    <cellStyle name="Title 19" xfId="5373"/>
    <cellStyle name="UNLOCKED 31 2" xfId="5374"/>
    <cellStyle name="Title [Palat] 6 3" xfId="5375"/>
    <cellStyle name="Title [Helv] 5 3" xfId="5376"/>
    <cellStyle name="Table Head Green 7 3" xfId="5377"/>
    <cellStyle name="Table Head Aligned 5 3" xfId="5378"/>
    <cellStyle name="Outputs 7 3" xfId="5379"/>
    <cellStyle name="Millions 11 2" xfId="5380"/>
    <cellStyle name="Magic 5 3" xfId="5381"/>
    <cellStyle name="Heading [Palat] 7 3" xfId="5382"/>
    <cellStyle name="Heading [Helv] 7 3" xfId="5383"/>
    <cellStyle name="dp*SheetSubTitle 5 3" xfId="5384"/>
    <cellStyle name="dp*NumberLineEPS 5 3" xfId="5385"/>
    <cellStyle name="dp*NumberLine 5 3" xfId="5386"/>
    <cellStyle name="Date [mmm-yyyy] 5 3" xfId="5387"/>
    <cellStyle name="COL HEADINGS 7 3" xfId="5388"/>
    <cellStyle name="Bold/Border 7 3" xfId="5389"/>
    <cellStyle name="Afjusted 8 3" xfId="5390"/>
    <cellStyle name="ac 7 3" xfId="5391"/>
    <cellStyle name="UNLOCKED 30 2" xfId="5392"/>
    <cellStyle name="Magic 2 2 3 12" xfId="5393"/>
    <cellStyle name="FieldName 5 2" xfId="5394"/>
    <cellStyle name="WingdingsWhite 8 2" xfId="5395"/>
    <cellStyle name="WingdingsRed 8 2" xfId="5396"/>
    <cellStyle name="WingdingsBlack 8 2" xfId="5397"/>
    <cellStyle name="UNLOCKED 33 2" xfId="5398"/>
    <cellStyle name="Title [Palat] 7 3" xfId="5399"/>
    <cellStyle name="Title [Helv] 6 3" xfId="5400"/>
    <cellStyle name="Table Head Green 8 3" xfId="5401"/>
    <cellStyle name="Table Head Aligned 6 3" xfId="5402"/>
    <cellStyle name="SymbolBlue 8 2" xfId="5403"/>
    <cellStyle name="Style 53 8 2" xfId="5404"/>
    <cellStyle name="Style 52 8 2" xfId="5405"/>
    <cellStyle name="Style 50 8 2" xfId="5406"/>
    <cellStyle name="Style 48 8 2" xfId="5407"/>
    <cellStyle name="Style 43 8 2" xfId="5408"/>
    <cellStyle name="Style 42 8 2" xfId="5409"/>
    <cellStyle name="Style 40 8 2" xfId="5410"/>
    <cellStyle name="Style 37 8 2" xfId="5411"/>
    <cellStyle name="Style 36 8 2" xfId="5412"/>
    <cellStyle name="Style 35 8 2" xfId="5413"/>
    <cellStyle name="Style 28 6 2" xfId="5414"/>
    <cellStyle name="Style 26 6 2" xfId="5415"/>
    <cellStyle name="Style 27 6 2" xfId="5416"/>
    <cellStyle name="Style 25 6 2" xfId="5417"/>
    <cellStyle name="Style 24 6 2" xfId="5418"/>
    <cellStyle name="Style 22 8 2" xfId="5419"/>
    <cellStyle name="Style 21 8 2" xfId="5420"/>
    <cellStyle name="SSFixed2 5 2" xfId="5421"/>
    <cellStyle name="SSDfltPct0 5 2" xfId="5422"/>
    <cellStyle name="SSDfltPct 5 2" xfId="5423"/>
    <cellStyle name="SSDecs3 5 2" xfId="5424"/>
    <cellStyle name="SSComma2 5 2" xfId="5425"/>
    <cellStyle name="SSComma0 5 2" xfId="5426"/>
    <cellStyle name="SAPBEXundefined 5 2" xfId="5427"/>
    <cellStyle name="SAPBEXtitle 5 2" xfId="5428"/>
    <cellStyle name="SAPBEXstdItemX 7 2" xfId="5429"/>
    <cellStyle name="SAPBEXstdItem 5 2" xfId="5430"/>
    <cellStyle name="SAPBEXstdDataEmph 5 2" xfId="5431"/>
    <cellStyle name="SAPBEXstdData 5 2" xfId="5432"/>
    <cellStyle name="SAPBEXresItemX 7 2" xfId="5433"/>
    <cellStyle name="SAPBEXresItem 5 2" xfId="5434"/>
    <cellStyle name="SAPBEXresDataEmph 5 2" xfId="5435"/>
    <cellStyle name="SAPBEXresData 5 2" xfId="5436"/>
    <cellStyle name="SAPBEXHLevel3X 7 2" xfId="5437"/>
    <cellStyle name="SAPBEXHLevel3 7 2" xfId="5438"/>
    <cellStyle name="SAPBEXHLevel2X 7 2" xfId="5439"/>
    <cellStyle name="SAPBEXHLevel2 7 2" xfId="5440"/>
    <cellStyle name="SAPBEXHLevel1X 7 2" xfId="5441"/>
    <cellStyle name="SAPBEXHLevel1 7 2" xfId="5442"/>
    <cellStyle name="SAPBEXHLevel0X 7 2" xfId="5443"/>
    <cellStyle name="SAPBEXHLevel0 7 2" xfId="5444"/>
    <cellStyle name="SAPBEXformats 5 2" xfId="5445"/>
    <cellStyle name="SAPBEXexcGood3 5 2" xfId="5446"/>
    <cellStyle name="SAPBEXexcGood2 5 2" xfId="5447"/>
    <cellStyle name="SAPBEXexcGood1 5 2" xfId="5448"/>
    <cellStyle name="SAPBEXexcCritical6 5 2" xfId="5449"/>
    <cellStyle name="SAPBEXexcCritical5 5 2" xfId="5450"/>
    <cellStyle name="SAPBEXexcCritical4 5 2" xfId="5451"/>
    <cellStyle name="SAPBEXexcBad9 5 2" xfId="5452"/>
    <cellStyle name="SAPBEXexcBad8 5 2" xfId="5453"/>
    <cellStyle name="SAPBEXexcBad7 5 2" xfId="5454"/>
    <cellStyle name="SAPBEXaggItemX 7 2" xfId="5455"/>
    <cellStyle name="SAPBEXaggItem 5 2" xfId="5456"/>
    <cellStyle name="SAPBEXaggDataEmph 5 2" xfId="5457"/>
    <cellStyle name="SAPBEXaggData 5 2" xfId="5458"/>
    <cellStyle name="Outputs 8 3" xfId="5459"/>
    <cellStyle name="Millions 12 2" xfId="5460"/>
    <cellStyle name="Main 7 2" xfId="5461"/>
    <cellStyle name="Magic 6 3" xfId="5462"/>
    <cellStyle name="ItemTypeClass 8 2" xfId="5463"/>
    <cellStyle name="Heading [Palat] 8 3" xfId="5464"/>
    <cellStyle name="Heading [Helv] 8 3" xfId="5465"/>
    <cellStyle name="Format text as bold, black on yellow 8 2" xfId="5466"/>
    <cellStyle name="Format a row of totals 8 2" xfId="5467"/>
    <cellStyle name="Draw shadow and lines within range 8 2" xfId="5468"/>
    <cellStyle name="Draw lines around data in range 8 2" xfId="5469"/>
    <cellStyle name="dp*ThinLineAbove 6 2" xfId="5470"/>
    <cellStyle name="dp*SheetSubTitle 6 3" xfId="5471"/>
    <cellStyle name="dp*NumberLineEPS 6 3" xfId="5472"/>
    <cellStyle name="dp*NumberLine 6 3" xfId="5473"/>
    <cellStyle name="dp*Number%ItalicsLineAbove 6 2" xfId="5474"/>
    <cellStyle name="DateYearWholeEstimate 8 2" xfId="5475"/>
    <cellStyle name="DateYearEstimate 8 2" xfId="5476"/>
    <cellStyle name="COL HEADINGS 8 3" xfId="5477"/>
    <cellStyle name="dp*NumberLineEPS 2 2 2 4 4" xfId="5478"/>
    <cellStyle name="Border 6 2" xfId="5479"/>
    <cellStyle name="Bold/Border 8 3" xfId="5480"/>
    <cellStyle name="ArialNormal 8 2" xfId="5481"/>
    <cellStyle name="Arial8Italic 8 2" xfId="5482"/>
    <cellStyle name="Arial8Bold 8 2" xfId="5483"/>
    <cellStyle name="Arial6Bold 8 2" xfId="5484"/>
    <cellStyle name="Afjusted 9 3" xfId="5485"/>
    <cellStyle name="ac 8 3" xfId="5486"/>
    <cellStyle name="UNLOCKED 32 2" xfId="5487"/>
    <cellStyle name="Date [mmm-yyyy] 6 3" xfId="5488"/>
    <cellStyle name="UNLOCKED 37" xfId="5489"/>
    <cellStyle name="UNLOCKED 35 2" xfId="5490"/>
    <cellStyle name="Title [Palat] 8 3" xfId="5491"/>
    <cellStyle name="Title [Helv] 7 3" xfId="5492"/>
    <cellStyle name="Table Head Green 9 3" xfId="5493"/>
    <cellStyle name="Table Head Aligned 7 3" xfId="5494"/>
    <cellStyle name="Outputs 9 3" xfId="5495"/>
    <cellStyle name="Millions 13 2" xfId="5496"/>
    <cellStyle name="Magic 7 3" xfId="5497"/>
    <cellStyle name="Heading [Palat] 9 3" xfId="5498"/>
    <cellStyle name="Heading [Helv] 9 3" xfId="5499"/>
    <cellStyle name="dp*SheetSubTitle 7 3" xfId="5500"/>
    <cellStyle name="dp*NumberLineEPS 7 3" xfId="5501"/>
    <cellStyle name="dp*NumberLine 7 3" xfId="5502"/>
    <cellStyle name="Date [mmm-yyyy] 7 3" xfId="5503"/>
    <cellStyle name="COL HEADINGS 9 3" xfId="5504"/>
    <cellStyle name="Bold/Border 9 3" xfId="5505"/>
    <cellStyle name="Afjusted 10 3" xfId="5506"/>
    <cellStyle name="ac 9 3" xfId="5507"/>
    <cellStyle name="UNLOCKED 34 2" xfId="5508"/>
    <cellStyle name="Title [Palat] 2 2 2 7" xfId="5509"/>
    <cellStyle name="Heading [Palat] 3 4" xfId="5510"/>
    <cellStyle name="Afjusted 3 2 7" xfId="5511"/>
    <cellStyle name="Percent 58" xfId="5512"/>
    <cellStyle name="Afjusted 3 6 2" xfId="5513"/>
    <cellStyle name="ac 2 7 2" xfId="5514"/>
    <cellStyle name="Afjusted 2 5 2" xfId="5515"/>
    <cellStyle name="Bold/Border 2 7 2" xfId="5516"/>
    <cellStyle name="COL HEADINGS 2 7 2" xfId="5517"/>
    <cellStyle name="Date [mmm-yyyy] 2 6 2" xfId="5518"/>
    <cellStyle name="dp*NumberLine 2 6 2" xfId="5519"/>
    <cellStyle name="dp*NumberLineEPS 2 6 2" xfId="5520"/>
    <cellStyle name="dp*SheetSubTitle 2 6 2" xfId="5521"/>
    <cellStyle name="Heading [Helv] 2 7 2" xfId="5522"/>
    <cellStyle name="Heading [Palat] 2 7 2" xfId="5523"/>
    <cellStyle name="Magic 2 6 2" xfId="5524"/>
    <cellStyle name="Outputs 2 7 2" xfId="5525"/>
    <cellStyle name="Table Head Aligned 2 6 2" xfId="5526"/>
    <cellStyle name="Table Head Green 2 7 2" xfId="5527"/>
    <cellStyle name="Title [Helv] 2 6 2" xfId="5528"/>
    <cellStyle name="Title [Palat] 2 7 2" xfId="5529"/>
    <cellStyle name="Date [mm-d-yyyy] 3 6 2" xfId="5530"/>
    <cellStyle name="Style 51 4 6 2" xfId="5531"/>
    <cellStyle name="Style 49 4 6 2" xfId="5532"/>
    <cellStyle name="Style 45 4 6 2" xfId="5533"/>
    <cellStyle name="Style 44 4 6 2" xfId="5534"/>
    <cellStyle name="P-Green Rule 3 6 2" xfId="5535"/>
    <cellStyle name="PB Table Standard Row 3 6 2" xfId="5536"/>
    <cellStyle name="dp*ThinLineBelow 3 6 2" xfId="5537"/>
    <cellStyle name="dp*SubTitle 3 6 2" xfId="5538"/>
    <cellStyle name="Border Thin 3 6 2" xfId="5539"/>
    <cellStyle name="Afjusted 4 6 2" xfId="5540"/>
    <cellStyle name="ac 2 2 5 2" xfId="5541"/>
    <cellStyle name="Afjusted 2 2 6 2" xfId="5542"/>
    <cellStyle name="Bold/Border 2 2 5 2" xfId="5543"/>
    <cellStyle name="COL HEADINGS 2 2 5 2" xfId="5544"/>
    <cellStyle name="Date [mmm-yyyy] 2 2 5 2" xfId="5545"/>
    <cellStyle name="dp*NumberLine 2 2 5 2" xfId="5546"/>
    <cellStyle name="dp*NumberLineEPS 2 2 5 2" xfId="5547"/>
    <cellStyle name="dp*SheetSubTitle 2 2 5 2" xfId="5548"/>
    <cellStyle name="Heading [Helv] 2 2 5 2" xfId="5549"/>
    <cellStyle name="Heading [Palat] 2 2 5 2" xfId="5550"/>
    <cellStyle name="Magic 2 2 5 2" xfId="5551"/>
    <cellStyle name="Outputs 2 2 5 2" xfId="5552"/>
    <cellStyle name="Table Head Aligned 2 2 5 2" xfId="5553"/>
    <cellStyle name="Table Head Green 2 2 5 2" xfId="5554"/>
    <cellStyle name="Title [Helv] 2 2 5 2" xfId="5555"/>
    <cellStyle name="Title [Palat] 2 2 5 2" xfId="5556"/>
    <cellStyle name="dp*SubTitle 2 2 2 2" xfId="5557"/>
    <cellStyle name="Border Thin 2 2 2 2" xfId="5558"/>
    <cellStyle name="Bold/Border 2 2 3 4 2 2" xfId="5559"/>
    <cellStyle name="Magic 2 2 3 4 2 2" xfId="5560"/>
    <cellStyle name="Title [Helv] 2 2 3 4 2 2" xfId="5561"/>
    <cellStyle name="Style 51 2 2 2 2" xfId="5562"/>
    <cellStyle name="Style 45 2 2 2 2" xfId="5563"/>
    <cellStyle name="Style 49 2 2 2 2" xfId="5564"/>
    <cellStyle name="Style 44 2 2 2 2" xfId="5565"/>
    <cellStyle name="Style 51 3 2 2 2" xfId="5566"/>
    <cellStyle name="Style 49 3 2 2 2" xfId="5567"/>
    <cellStyle name="Style 45 3 2 2 2" xfId="5568"/>
    <cellStyle name="Style 44 3 2 2 2" xfId="5569"/>
    <cellStyle name="P-Green Rule 2 2 2 2" xfId="5570"/>
    <cellStyle name="PB Table Standard Row 2 2 2 2" xfId="5571"/>
    <cellStyle name="dp*ThinLineBelow 2 2 2 2" xfId="5572"/>
    <cellStyle name="dp*ThinLineBelow 2 3 2 2" xfId="5573"/>
    <cellStyle name="Style 44 3 3 2 2" xfId="5574"/>
    <cellStyle name="COL HEADINGS 2 2 3 4 2 2" xfId="5575"/>
    <cellStyle name="Style 49 4 3 4 2 2" xfId="5576"/>
    <cellStyle name="Afjusted 3 3 4 2 2" xfId="5577"/>
    <cellStyle name="Date [mm-d-yyyy] 3 3 4 2 2" xfId="5578"/>
    <cellStyle name="Afjusted 4 3 4 2 2" xfId="5579"/>
    <cellStyle name="ac 2 2 3 4 2 2" xfId="5580"/>
    <cellStyle name="Afjusted 2 2 3 4 2 2" xfId="5581"/>
    <cellStyle name="Date [mmm-yyyy] 2 2 3 4 2 2" xfId="5582"/>
    <cellStyle name="dp*NumberLine 2 2 3 4 2 2" xfId="5583"/>
    <cellStyle name="dp*NumberLineEPS 2 2 3 4 2 2" xfId="5584"/>
    <cellStyle name="dp*SheetSubTitle 2 2 3 4 2 2" xfId="5585"/>
    <cellStyle name="Heading [Helv] 2 2 3 4 2 2" xfId="5586"/>
    <cellStyle name="Outputs 2 2 3 4 2 2" xfId="5587"/>
    <cellStyle name="Table Head Aligned 2 2 3 4 2 2" xfId="5588"/>
    <cellStyle name="Title [Palat] 2 2 3 4 2 2" xfId="5589"/>
    <cellStyle name="Afjusted 3 5 2 2" xfId="5590"/>
    <cellStyle name="Style 45 3 3 2 2" xfId="5591"/>
    <cellStyle name="Style 51 3 3 2 2" xfId="5592"/>
    <cellStyle name="Style 44 2 3 2 2" xfId="5593"/>
    <cellStyle name="Style 45 2 3 2 2" xfId="5594"/>
    <cellStyle name="Style 49 2 3 2 2" xfId="5595"/>
    <cellStyle name="Border Thin 3 5 2 2" xfId="5596"/>
    <cellStyle name="ac 2 2 4 2 2" xfId="5597"/>
    <cellStyle name="Afjusted 2 2 5 2 2" xfId="5598"/>
    <cellStyle name="Bold/Border 2 2 4 2 2" xfId="5599"/>
    <cellStyle name="COL HEADINGS 2 2 4 2 2" xfId="5600"/>
    <cellStyle name="Date [mmm-yyyy] 2 2 4 2 2" xfId="5601"/>
    <cellStyle name="dp*NumberLine 2 2 4 2 2" xfId="5602"/>
    <cellStyle name="dp*NumberLineEPS 2 2 4 2 2" xfId="5603"/>
    <cellStyle name="dp*SheetSubTitle 2 2 4 2 2" xfId="5604"/>
    <cellStyle name="Heading [Palat] 2 2 4 2 2" xfId="5605"/>
    <cellStyle name="Outputs 2 2 4 2 2" xfId="5606"/>
    <cellStyle name="Magic 2 2 4 2 2" xfId="5607"/>
    <cellStyle name="Title [Helv] 2 2 4 2 2" xfId="5608"/>
    <cellStyle name="Title [Palat] 2 2 4 2 2" xfId="5609"/>
    <cellStyle name="Title [Palat] 2 2 3 3 2 2" xfId="5610"/>
    <cellStyle name="Title [Helv] 2 2 3 3 2 2" xfId="5611"/>
    <cellStyle name="Table Head Aligned 2 2 3 3 2 2" xfId="5612"/>
    <cellStyle name="Magic 2 2 3 3 2 2" xfId="5613"/>
    <cellStyle name="Heading [Helv] 2 2 3 3 2 2" xfId="5614"/>
    <cellStyle name="dp*NumberLineEPS 2 2 3 3 2 2" xfId="5615"/>
    <cellStyle name="COL HEADINGS 2 2 3 3 2 2" xfId="5616"/>
    <cellStyle name="ac 2 2 3 3 2 2" xfId="5617"/>
    <cellStyle name="Afjusted 4 3 3 2 2" xfId="5618"/>
    <cellStyle name="Border Thin 3 3 3 2 2" xfId="5619"/>
    <cellStyle name="PB Table Standard Row 3 3 3 2 2" xfId="5620"/>
    <cellStyle name="Style 44 4 3 3 2 2" xfId="5621"/>
    <cellStyle name="Style 51 4 3 3 2 2" xfId="5622"/>
    <cellStyle name="Afjusted 3 3 3 2 2" xfId="5623"/>
    <cellStyle name="Style 49 4 5 2 2" xfId="5624"/>
    <cellStyle name="Style 44 4 5 2 2" xfId="5625"/>
    <cellStyle name="P-Green Rule 3 5 2 2" xfId="5626"/>
    <cellStyle name="dp*SubTitle 3 5 2 2" xfId="5627"/>
    <cellStyle name="Afjusted 4 5 2 2" xfId="5628"/>
    <cellStyle name="ac 2 3 2 2" xfId="5629"/>
    <cellStyle name="Bold/Border 2 3 2 2" xfId="5630"/>
    <cellStyle name="COL HEADINGS 2 3 2 2" xfId="5631"/>
    <cellStyle name="Date [mmm-yyyy] 2 3 2 2" xfId="5632"/>
    <cellStyle name="dp*NumberLine 2 3 2 2" xfId="5633"/>
    <cellStyle name="dp*NumberLineEPS 2 3 2 2" xfId="5634"/>
    <cellStyle name="dp*SheetSubTitle 2 3 2 2" xfId="5635"/>
    <cellStyle name="Heading [Helv] 2 3 2 2" xfId="5636"/>
    <cellStyle name="Heading [Palat] 2 3 2 2" xfId="5637"/>
    <cellStyle name="Magic 2 3 2 2" xfId="5638"/>
    <cellStyle name="Outputs 2 3 2 2" xfId="5639"/>
    <cellStyle name="Date [mmm-yyyy] 2 2 3 3 2 2" xfId="5640"/>
    <cellStyle name="Afjusted 2 2 3 3 2 2" xfId="5641"/>
    <cellStyle name="dp*ThinLineBelow 3 3 3 2 2" xfId="5642"/>
    <cellStyle name="Style 49 4 3 3 2 2" xfId="5643"/>
    <cellStyle name="Outputs 2 2 3 3 2 2" xfId="5644"/>
    <cellStyle name="dp*NumberLine 2 2 3 3 2 2" xfId="5645"/>
    <cellStyle name="Bold/Border 2 2 3 3 2 2" xfId="5646"/>
    <cellStyle name="dp*SubTitle 3 3 3 2 2" xfId="5647"/>
    <cellStyle name="Style 45 4 3 3 2 2" xfId="5648"/>
    <cellStyle name="Table Head Aligned 2 3 2 2" xfId="5649"/>
    <cellStyle name="Table Head Green 2 3 2 2" xfId="5650"/>
    <cellStyle name="Title [Helv] 2 3 2 2" xfId="5651"/>
    <cellStyle name="Title [Palat] 2 3 2 2" xfId="5652"/>
    <cellStyle name="Style 45 4 3 4 2 2" xfId="5653"/>
    <cellStyle name="Style 51 4 3 4 2 2" xfId="5654"/>
    <cellStyle name="Afjusted 3 4 2 2" xfId="5655"/>
    <cellStyle name="P-Green Rule 3 3 4 2 2" xfId="5656"/>
    <cellStyle name="Border Thin 2 3 2 2" xfId="5657"/>
    <cellStyle name="Style 49 3 3 2 2" xfId="5658"/>
    <cellStyle name="Style 51 2 3 2 2" xfId="5659"/>
    <cellStyle name="Heading [Helv] 2 2 4 2 2" xfId="5660"/>
    <cellStyle name="Table Head Aligned 2 2 4 2 2" xfId="5661"/>
    <cellStyle name="Table Head Green 2 2 4 2 2" xfId="5662"/>
    <cellStyle name="Table Head Green 2 2 3 3 2 2" xfId="5663"/>
    <cellStyle name="Heading [Palat] 2 2 3 3 2 2" xfId="5664"/>
    <cellStyle name="dp*SheetSubTitle 2 2 3 3 2 2" xfId="5665"/>
    <cellStyle name="P-Green Rule 3 3 3 2 2" xfId="5666"/>
    <cellStyle name="Date [mm-d-yyyy] 3 3 3 2 2" xfId="5667"/>
    <cellStyle name="Date [mm-d-yyyy] 3 4 2 2" xfId="5668"/>
    <cellStyle name="Style 51 4 4 2 2" xfId="5669"/>
    <cellStyle name="Style 49 4 4 2 2" xfId="5670"/>
    <cellStyle name="Style 45 4 4 2 2" xfId="5671"/>
    <cellStyle name="Style 44 4 4 2 2" xfId="5672"/>
    <cellStyle name="dp*ThinLineBelow 3 3 4 2 2" xfId="5673"/>
    <cellStyle name="P-Green Rule 3 4 2 2" xfId="5674"/>
    <cellStyle name="dp*ThinLineBelow 3 4 2 2" xfId="5675"/>
    <cellStyle name="dp*SubTitle 3 4 2 2" xfId="5676"/>
    <cellStyle name="dp*SubTitle 3 3 4 2 2" xfId="5677"/>
    <cellStyle name="Border Thin 3 4 2 2" xfId="5678"/>
    <cellStyle name="Border Thin 3 3 4 2 2" xfId="5679"/>
    <cellStyle name="Afjusted 4 4 2 2" xfId="5680"/>
    <cellStyle name="Afjusted 2 2 4 2 2" xfId="5681"/>
    <cellStyle name="Style 44 4 3 4 2 2" xfId="5682"/>
    <cellStyle name="PB Table Standard Row 3 3 4 2 2" xfId="5683"/>
    <cellStyle name="Title [Palat] 2 2 3 5 2" xfId="5684"/>
    <cellStyle name="Title [Helv] 2 2 3 5 2" xfId="5685"/>
    <cellStyle name="Table Head Green 2 2 3 5 2" xfId="5686"/>
    <cellStyle name="Table Head Aligned 2 2 3 5 2" xfId="5687"/>
    <cellStyle name="Outputs 2 2 3 5 2" xfId="5688"/>
    <cellStyle name="Magic 2 2 3 5 2" xfId="5689"/>
    <cellStyle name="Heading [Palat] 2 2 3 5 2" xfId="5690"/>
    <cellStyle name="Heading [Helv] 2 2 3 5 2" xfId="5691"/>
    <cellStyle name="dp*SheetSubTitle 2 2 3 5 2" xfId="5692"/>
    <cellStyle name="dp*NumberLineEPS 2 2 3 5 2" xfId="5693"/>
    <cellStyle name="dp*NumberLine 2 2 3 5 2" xfId="5694"/>
    <cellStyle name="Date [mmm-yyyy] 2 2 3 5 2" xfId="5695"/>
    <cellStyle name="COL HEADINGS 2 2 3 5 2" xfId="5696"/>
    <cellStyle name="Bold/Border 2 2 3 5 2" xfId="5697"/>
    <cellStyle name="Afjusted 2 2 3 5 2" xfId="5698"/>
    <cellStyle name="ac 2 2 3 5 2" xfId="5699"/>
    <cellStyle name="Afjusted 4 3 5 2" xfId="5700"/>
    <cellStyle name="Border Thin 3 3 5 2" xfId="5701"/>
    <cellStyle name="dp*SubTitle 3 3 5 2" xfId="5702"/>
    <cellStyle name="dp*ThinLineBelow 3 3 5 2" xfId="5703"/>
    <cellStyle name="PB Table Standard Row 3 3 5 2" xfId="5704"/>
    <cellStyle name="P-Green Rule 3 3 5 2" xfId="5705"/>
    <cellStyle name="Style 44 4 3 5 2" xfId="5706"/>
    <cellStyle name="Style 45 4 3 5 2" xfId="5707"/>
    <cellStyle name="Style 49 4 3 5 2" xfId="5708"/>
    <cellStyle name="Style 51 4 3 5 2" xfId="5709"/>
    <cellStyle name="Date [mm-d-yyyy] 3 3 5 2" xfId="5710"/>
    <cellStyle name="Afjusted 3 3 5 2" xfId="5711"/>
    <cellStyle name="Date [mm-d-yyyy] 2 2 4 2" xfId="5712"/>
    <cellStyle name="Afjusted 3 2 5 2" xfId="5713"/>
    <cellStyle name="Date [mm-d-yyyy] 3 2 5 2" xfId="5714"/>
    <cellStyle name="Style 51 4 2 5 2" xfId="5715"/>
    <cellStyle name="Style 49 4 2 5 2" xfId="5716"/>
    <cellStyle name="Style 45 4 2 5 2" xfId="5717"/>
    <cellStyle name="Style 44 4 2 5 2" xfId="5718"/>
    <cellStyle name="P-Green Rule 3 2 5 2" xfId="5719"/>
    <cellStyle name="dp*ThinLineBelow 3 2 5 2" xfId="5720"/>
    <cellStyle name="dp*SubTitle 3 2 5 2" xfId="5721"/>
    <cellStyle name="Border Thin 3 2 5 2" xfId="5722"/>
    <cellStyle name="Afjusted 4 2 5 2" xfId="5723"/>
    <cellStyle name="ac 2 2 2 5 2" xfId="5724"/>
    <cellStyle name="Afjusted 2 2 2 5 2" xfId="5725"/>
    <cellStyle name="Bold/Border 2 2 2 5 2" xfId="5726"/>
    <cellStyle name="COL HEADINGS 2 2 2 5 2" xfId="5727"/>
    <cellStyle name="Date [mmm-yyyy] 2 2 2 5 2" xfId="5728"/>
    <cellStyle name="dp*NumberLine 2 2 2 5 2" xfId="5729"/>
    <cellStyle name="dp*NumberLineEPS 2 2 2 5 2" xfId="5730"/>
    <cellStyle name="dp*SheetSubTitle 2 2 2 5 2" xfId="5731"/>
    <cellStyle name="Heading [Helv] 2 2 2 5 2" xfId="5732"/>
    <cellStyle name="Heading [Palat] 2 2 2 5 2" xfId="5733"/>
    <cellStyle name="Magic 2 2 2 5 2" xfId="5734"/>
    <cellStyle name="Outputs 2 2 2 5 2" xfId="5735"/>
    <cellStyle name="Table Head Aligned 2 2 2 5 2" xfId="5736"/>
    <cellStyle name="Table Head Green 2 2 2 5 2" xfId="5737"/>
    <cellStyle name="Title [Helv] 2 2 2 5 2" xfId="5738"/>
    <cellStyle name="Title [Palat] 2 2 2 5 2" xfId="5739"/>
    <cellStyle name="Table Head Green 2 2 3 4 2 2" xfId="5740"/>
    <cellStyle name="Heading [Palat] 2 2 3 4 2 2" xfId="5741"/>
    <cellStyle name="PB Table Standard Row 2 3 2 2" xfId="5742"/>
    <cellStyle name="P-Green Rule 2 3 2 2" xfId="5743"/>
    <cellStyle name="Title [Palat] 2 2 3 2 2 2" xfId="5744"/>
    <cellStyle name="Title [Helv] 2 2 3 2 2 2" xfId="5745"/>
    <cellStyle name="Table Head Green 2 2 3 2 2 2" xfId="5746"/>
    <cellStyle name="Table Head Aligned 2 2 3 2 2 2" xfId="5747"/>
    <cellStyle name="Outputs 2 2 3 2 2 2" xfId="5748"/>
    <cellStyle name="Magic 2 2 3 2 2 2" xfId="5749"/>
    <cellStyle name="Heading [Palat] 2 2 3 2 2 2" xfId="5750"/>
    <cellStyle name="Heading [Helv] 2 2 3 2 2 2" xfId="5751"/>
    <cellStyle name="dp*SheetSubTitle 2 2 3 2 2 2" xfId="5752"/>
    <cellStyle name="dp*NumberLineEPS 2 2 3 2 2 2" xfId="5753"/>
    <cellStyle name="dp*NumberLine 2 2 3 2 2 2" xfId="5754"/>
    <cellStyle name="Date [mmm-yyyy] 2 2 3 2 2 2" xfId="5755"/>
    <cellStyle name="COL HEADINGS 2 2 3 2 2 2" xfId="5756"/>
    <cellStyle name="Bold/Border 2 2 3 2 2 2" xfId="5757"/>
    <cellStyle name="Afjusted 2 2 3 2 2 2" xfId="5758"/>
    <cellStyle name="ac 2 2 3 2 2 2" xfId="5759"/>
    <cellStyle name="Afjusted 4 3 2 2 2" xfId="5760"/>
    <cellStyle name="Border Thin 3 3 2 2 2" xfId="5761"/>
    <cellStyle name="dp*SubTitle 3 3 2 2 2" xfId="5762"/>
    <cellStyle name="dp*ThinLineBelow 3 3 2 2 2" xfId="5763"/>
    <cellStyle name="PB Table Standard Row 3 3 2 2 2" xfId="5764"/>
    <cellStyle name="P-Green Rule 3 3 2 2 2" xfId="5765"/>
    <cellStyle name="Style 44 4 3 2 2 2" xfId="5766"/>
    <cellStyle name="Style 45 4 3 2 2 2" xfId="5767"/>
    <cellStyle name="Style 49 4 3 2 2 2" xfId="5768"/>
    <cellStyle name="Style 51 4 3 2 2 2" xfId="5769"/>
    <cellStyle name="Date [mm-d-yyyy] 3 3 2 2 2" xfId="5770"/>
    <cellStyle name="Afjusted 3 3 2 2 2" xfId="5771"/>
    <cellStyle name="Date [mm-d-yyyy] 3 5 2 2" xfId="5772"/>
    <cellStyle name="dp*SubTitle 2 3 2 2" xfId="5773"/>
    <cellStyle name="Date [mm-d-yyyy] 2 2 2 2 2" xfId="5774"/>
    <cellStyle name="Afjusted 3 2 2 2 2" xfId="5775"/>
    <cellStyle name="PB Table Standard Row 3 5 2 2" xfId="5776"/>
    <cellStyle name="Date [mm-d-yyyy] 3 2 2 2 2" xfId="5777"/>
    <cellStyle name="Style 51 4 2 2 2 2" xfId="5778"/>
    <cellStyle name="Style 49 4 2 2 2 2" xfId="5779"/>
    <cellStyle name="Style 45 4 2 2 2 2" xfId="5780"/>
    <cellStyle name="Style 44 4 2 2 2 2" xfId="5781"/>
    <cellStyle name="Style 45 4 5 2 2" xfId="5782"/>
    <cellStyle name="P-Green Rule 3 2 2 2 2" xfId="5783"/>
    <cellStyle name="PB Table Standard Row 3 2 2 2 2" xfId="5784"/>
    <cellStyle name="dp*ThinLineBelow 3 2 2 2 2" xfId="5785"/>
    <cellStyle name="dp*SubTitle 3 2 2 2 2" xfId="5786"/>
    <cellStyle name="Style 51 4 5 2 2" xfId="5787"/>
    <cellStyle name="Border Thin 3 2 2 2 2" xfId="5788"/>
    <cellStyle name="Afjusted 4 2 2 2 2" xfId="5789"/>
    <cellStyle name="ac 2 2 2 2 2 2" xfId="5790"/>
    <cellStyle name="Afjusted 2 2 2 2 2 2" xfId="5791"/>
    <cellStyle name="Bold/Border 2 2 2 2 2 2" xfId="5792"/>
    <cellStyle name="COL HEADINGS 2 2 2 2 2 2" xfId="5793"/>
    <cellStyle name="Date [mmm-yyyy] 2 2 2 2 2 2" xfId="5794"/>
    <cellStyle name="dp*NumberLine 2 2 2 2 2 2" xfId="5795"/>
    <cellStyle name="dp*NumberLineEPS 2 2 2 2 2 2" xfId="5796"/>
    <cellStyle name="dp*SheetSubTitle 2 2 2 2 2 2" xfId="5797"/>
    <cellStyle name="Heading [Helv] 2 2 2 2 2 2" xfId="5798"/>
    <cellStyle name="Heading [Palat] 2 2 2 2 2 2" xfId="5799"/>
    <cellStyle name="Magic 2 2 2 2 2 2" xfId="5800"/>
    <cellStyle name="Outputs 2 2 2 2 2 2" xfId="5801"/>
    <cellStyle name="Table Head Aligned 2 2 2 2 2 2" xfId="5802"/>
    <cellStyle name="Table Head Green 2 2 2 2 2 2" xfId="5803"/>
    <cellStyle name="Title [Helv] 2 2 2 2 2 2" xfId="5804"/>
    <cellStyle name="Title [Palat] 2 2 2 2 2 2" xfId="5805"/>
    <cellStyle name="dp*ThinLineBelow 3 5 2 2" xfId="5806"/>
    <cellStyle name="Date [mm-d-yyyy] 2 2 3 2 2" xfId="5807"/>
    <cellStyle name="Afjusted 3 2 3 2 2" xfId="5808"/>
    <cellStyle name="Date [mm-d-yyyy] 3 2 3 2 2" xfId="5809"/>
    <cellStyle name="Style 51 4 2 3 2 2" xfId="5810"/>
    <cellStyle name="Style 49 4 2 3 2 2" xfId="5811"/>
    <cellStyle name="Style 45 4 2 3 2 2" xfId="5812"/>
    <cellStyle name="Style 44 4 2 3 2 2" xfId="5813"/>
    <cellStyle name="P-Green Rule 3 2 3 2 2" xfId="5814"/>
    <cellStyle name="PB Table Standard Row 3 2 3 2 2" xfId="5815"/>
    <cellStyle name="dp*ThinLineBelow 3 2 3 2 2" xfId="5816"/>
    <cellStyle name="dp*SubTitle 3 2 3 2 2" xfId="5817"/>
    <cellStyle name="Border Thin 3 2 3 2 2" xfId="5818"/>
    <cellStyle name="Afjusted 4 2 3 2 2" xfId="5819"/>
    <cellStyle name="ac 2 2 2 3 2 2" xfId="5820"/>
    <cellStyle name="Afjusted 2 2 2 3 2 2" xfId="5821"/>
    <cellStyle name="Bold/Border 2 2 2 3 2 2" xfId="5822"/>
    <cellStyle name="COL HEADINGS 2 2 2 3 2 2" xfId="5823"/>
    <cellStyle name="Date [mmm-yyyy] 2 2 2 3 2 2" xfId="5824"/>
    <cellStyle name="dp*NumberLine 2 2 2 3 2 2" xfId="5825"/>
    <cellStyle name="dp*NumberLineEPS 2 2 2 3 2 2" xfId="5826"/>
    <cellStyle name="dp*SheetSubTitle 2 2 2 3 2 2" xfId="5827"/>
    <cellStyle name="Heading [Helv] 2 2 2 3 2 2" xfId="5828"/>
    <cellStyle name="Heading [Palat] 2 2 2 3 2 2" xfId="5829"/>
    <cellStyle name="Magic 2 2 2 3 2 2" xfId="5830"/>
    <cellStyle name="Outputs 2 2 2 3 2 2" xfId="5831"/>
    <cellStyle name="Table Head Aligned 2 2 2 3 2 2" xfId="5832"/>
    <cellStyle name="Table Head Green 2 2 2 3 2 2" xfId="5833"/>
    <cellStyle name="Title [Helv] 2 2 2 3 2 2" xfId="5834"/>
    <cellStyle name="Title [Palat] 2 2 2 3 2 2" xfId="5835"/>
    <cellStyle name="Afjusted 3 2 4 2 2" xfId="5836"/>
    <cellStyle name="Date [mm-d-yyyy] 3 2 4 2 2" xfId="5837"/>
    <cellStyle name="Style 51 4 2 4 2 2" xfId="5838"/>
    <cellStyle name="Style 49 4 2 4 2 2" xfId="5839"/>
    <cellStyle name="Style 45 4 2 4 2 2" xfId="5840"/>
    <cellStyle name="Style 44 4 2 4 2 2" xfId="5841"/>
    <cellStyle name="P-Green Rule 3 2 4 2 2" xfId="5842"/>
    <cellStyle name="PB Table Standard Row 3 2 4 2 2" xfId="5843"/>
    <cellStyle name="dp*ThinLineBelow 3 2 4 2 2" xfId="5844"/>
    <cellStyle name="dp*SubTitle 3 2 4 2 2" xfId="5845"/>
    <cellStyle name="Border Thin 3 2 4 2 2" xfId="5846"/>
    <cellStyle name="Afjusted 4 2 4 2 2" xfId="5847"/>
    <cellStyle name="ac 2 2 2 4 2 2" xfId="5848"/>
    <cellStyle name="Afjusted 2 2 2 4 2 2" xfId="5849"/>
    <cellStyle name="Bold/Border 2 2 2 4 2 2" xfId="5850"/>
    <cellStyle name="COL HEADINGS 2 2 2 4 2 2" xfId="5851"/>
    <cellStyle name="Date [mmm-yyyy] 2 2 2 4 2 2" xfId="5852"/>
    <cellStyle name="dp*NumberLine 2 2 2 4 2 2" xfId="5853"/>
    <cellStyle name="dp*NumberLineEPS 2 2 2 4 2 2" xfId="5854"/>
    <cellStyle name="dp*SheetSubTitle 2 2 2 4 2 2" xfId="5855"/>
    <cellStyle name="Heading [Helv] 2 2 2 4 2 2" xfId="5856"/>
    <cellStyle name="Heading [Palat] 2 2 2 4 2 2" xfId="5857"/>
    <cellStyle name="Magic 2 2 2 4 2 2" xfId="5858"/>
    <cellStyle name="Outputs 2 2 2 4 2 2" xfId="5859"/>
    <cellStyle name="Table Head Aligned 2 2 2 4 2 2" xfId="5860"/>
    <cellStyle name="Table Head Green 2 2 2 4 2 2" xfId="5861"/>
    <cellStyle name="Title [Helv] 2 2 2 4 2 2" xfId="5862"/>
    <cellStyle name="Title [Palat] 2 2 2 4 2 2" xfId="5863"/>
    <cellStyle name="Border Thin 4 2 2" xfId="5864"/>
    <cellStyle name="Date [mm-d-yyyy] 4 2 2" xfId="5865"/>
    <cellStyle name="dp*SubTitle 4 2 2" xfId="5866"/>
    <cellStyle name="dp*ThinLineBelow 4 2 2" xfId="5867"/>
    <cellStyle name="PB Table Standard Row 4 2 2" xfId="5868"/>
    <cellStyle name="P-Green Rule 4 2 2" xfId="5869"/>
    <cellStyle name="Style 44 5 2 2" xfId="5870"/>
    <cellStyle name="Style 45 5 2 2" xfId="5871"/>
    <cellStyle name="Style 49 5 2 2" xfId="5872"/>
    <cellStyle name="Style 51 5 2 2" xfId="5873"/>
    <cellStyle name="Title [Palat] 3 2 2" xfId="5874"/>
    <cellStyle name="Title [Helv] 3 2 2" xfId="5875"/>
    <cellStyle name="Table Head Green 3 2 2" xfId="5876"/>
    <cellStyle name="Table Head Aligned 3 2 2" xfId="5877"/>
    <cellStyle name="Outputs 3 2 2" xfId="5878"/>
    <cellStyle name="Magic 3 2 2" xfId="5879"/>
    <cellStyle name="Heading [Palat] 3 2 2" xfId="5880"/>
    <cellStyle name="Heading [Helv] 3 2 2" xfId="5881"/>
    <cellStyle name="dp*SheetSubTitle 3 2 2" xfId="5882"/>
    <cellStyle name="dp*NumberLineEPS 3 2 2" xfId="5883"/>
    <cellStyle name="dp*NumberLine 3 2 2" xfId="5884"/>
    <cellStyle name="COL HEADINGS 3 2 2" xfId="5885"/>
    <cellStyle name="Bold/Border 3 2 2" xfId="5886"/>
    <cellStyle name="Afjusted 5 2 2" xfId="5887"/>
    <cellStyle name="ac 3 2 2" xfId="5888"/>
    <cellStyle name="Date [mmm-yyyy] 3 2 2" xfId="5889"/>
    <cellStyle name="ac 2 4 2 2" xfId="5890"/>
    <cellStyle name="Afjusted 2 3 2 2" xfId="5891"/>
    <cellStyle name="Bold/Border 2 4 2 2" xfId="5892"/>
    <cellStyle name="Border Thin 2 4 2 2" xfId="5893"/>
    <cellStyle name="COL HEADINGS 2 4 2 2" xfId="5894"/>
    <cellStyle name="Date [mmm-yyyy] 2 4 2 2" xfId="5895"/>
    <cellStyle name="dp*NumberLine 2 4 2 2" xfId="5896"/>
    <cellStyle name="dp*NumberLineEPS 2 4 2 2" xfId="5897"/>
    <cellStyle name="dp*SheetSubTitle 2 4 2 2" xfId="5898"/>
    <cellStyle name="dp*SubTitle 2 4 2 2" xfId="5899"/>
    <cellStyle name="dp*ThinLineBelow 2 4 2 2" xfId="5900"/>
    <cellStyle name="Heading [Helv] 2 4 2 2" xfId="5901"/>
    <cellStyle name="Heading [Palat] 2 4 2 2" xfId="5902"/>
    <cellStyle name="Magic 2 4 2 2" xfId="5903"/>
    <cellStyle name="Outputs 2 4 2 2" xfId="5904"/>
    <cellStyle name="PB Table Standard Row 2 4 2 2" xfId="5905"/>
    <cellStyle name="P-Green Rule 2 4 2 2" xfId="5906"/>
    <cellStyle name="Style 44 3 4 2 2" xfId="5907"/>
    <cellStyle name="Style 45 3 4 2 2" xfId="5908"/>
    <cellStyle name="Style 49 3 4 2 2" xfId="5909"/>
    <cellStyle name="Style 51 3 4 2 2" xfId="5910"/>
    <cellStyle name="Style 44 2 4 2 2" xfId="5911"/>
    <cellStyle name="Style 45 2 4 2 2" xfId="5912"/>
    <cellStyle name="Style 49 2 4 2 2" xfId="5913"/>
    <cellStyle name="Style 51 2 4 2 2" xfId="5914"/>
    <cellStyle name="Table Head Aligned 2 4 2 2" xfId="5915"/>
    <cellStyle name="Table Head Green 2 4 2 2" xfId="5916"/>
    <cellStyle name="Title [Helv] 2 4 2 2" xfId="5917"/>
    <cellStyle name="Title [Palat] 2 4 2 2" xfId="5918"/>
    <cellStyle name="ac 4 2 2" xfId="5919"/>
    <cellStyle name="Bold/Border 4 2 2" xfId="5920"/>
    <cellStyle name="Border Thin 5 2 2" xfId="5921"/>
    <cellStyle name="COL HEADINGS 4 2 2" xfId="5922"/>
    <cellStyle name="Date [mm-d-yyyy] 5 2 2" xfId="5923"/>
    <cellStyle name="Heading [Helv] 4 2 2" xfId="5924"/>
    <cellStyle name="Heading [Palat] 4 2 2" xfId="5925"/>
    <cellStyle name="Outputs 4 2 2" xfId="5926"/>
    <cellStyle name="PB Table Standard Row 5 2 2" xfId="5927"/>
    <cellStyle name="P-Green Rule 5 2 2" xfId="5928"/>
    <cellStyle name="Style 44 6 2 2" xfId="5929"/>
    <cellStyle name="Style 45 6 2 2" xfId="5930"/>
    <cellStyle name="Style 49 6 2 2" xfId="5931"/>
    <cellStyle name="Style 51 6 2 2" xfId="5932"/>
    <cellStyle name="Table Head Green 4 2 2" xfId="5933"/>
    <cellStyle name="Afjusted 6 2 2" xfId="5934"/>
    <cellStyle name="ac 2 5 2 2" xfId="5935"/>
    <cellStyle name="Afjusted 2 4 2 2" xfId="5936"/>
    <cellStyle name="Bold/Border 2 5 2 2" xfId="5937"/>
    <cellStyle name="Border Thin 2 5 2 2" xfId="5938"/>
    <cellStyle name="COL HEADINGS 2 5 2 2" xfId="5939"/>
    <cellStyle name="Date [mmm-yyyy] 2 5 2 2" xfId="5940"/>
    <cellStyle name="dp*NumberLine 2 5 2 2" xfId="5941"/>
    <cellStyle name="dp*NumberLineEPS 2 5 2 2" xfId="5942"/>
    <cellStyle name="dp*SheetSubTitle 2 5 2 2" xfId="5943"/>
    <cellStyle name="dp*SubTitle 2 5 2 2" xfId="5944"/>
    <cellStyle name="dp*ThinLineBelow 2 5 2 2" xfId="5945"/>
    <cellStyle name="Heading [Helv] 2 5 2 2" xfId="5946"/>
    <cellStyle name="Heading [Palat] 2 5 2 2" xfId="5947"/>
    <cellStyle name="Magic 2 5 2 2" xfId="5948"/>
    <cellStyle name="Outputs 2 5 2 2" xfId="5949"/>
    <cellStyle name="PB Table Standard Row 2 5 2 2" xfId="5950"/>
    <cellStyle name="P-Green Rule 2 5 2 2" xfId="5951"/>
    <cellStyle name="Style 44 3 5 2 2" xfId="5952"/>
    <cellStyle name="Style 45 3 5 2 2" xfId="5953"/>
    <cellStyle name="Style 49 3 5 2 2" xfId="5954"/>
    <cellStyle name="Style 51 3 5 2 2" xfId="5955"/>
    <cellStyle name="Style 44 2 5 2 2" xfId="5956"/>
    <cellStyle name="Style 45 2 5 2 2" xfId="5957"/>
    <cellStyle name="Style 49 2 5 2 2" xfId="5958"/>
    <cellStyle name="Style 51 2 5 2 2" xfId="5959"/>
    <cellStyle name="Table Head Aligned 2 5 2 2" xfId="5960"/>
    <cellStyle name="Table Head Green 2 5 2 2" xfId="5961"/>
    <cellStyle name="Title [Helv] 2 5 2 2" xfId="5962"/>
    <cellStyle name="Title [Palat] 2 5 2 2" xfId="5963"/>
    <cellStyle name="ac 5 2 2" xfId="5964"/>
    <cellStyle name="Bold/Border 5 2 2" xfId="5965"/>
    <cellStyle name="Border Thin 6 2 2" xfId="5966"/>
    <cellStyle name="COL HEADINGS 5 2 2" xfId="5967"/>
    <cellStyle name="Heading [Helv] 5 2 2" xfId="5968"/>
    <cellStyle name="Heading [Palat] 5 2 2" xfId="5969"/>
    <cellStyle name="Outputs 5 2 2" xfId="5970"/>
    <cellStyle name="PB Table Standard Row 6 2 2" xfId="5971"/>
    <cellStyle name="P-Green Rule 6 2 2" xfId="5972"/>
    <cellStyle name="Style 44 7 2 2" xfId="5973"/>
    <cellStyle name="Style 45 7 2 2" xfId="5974"/>
    <cellStyle name="Style 49 7 2 2" xfId="5975"/>
    <cellStyle name="Style 51 7 2 2" xfId="5976"/>
    <cellStyle name="Table Head Green 5 2 2" xfId="5977"/>
    <cellStyle name="Title [Palat] 4 2 2" xfId="5978"/>
    <cellStyle name="ac 2 6 2 2" xfId="5979"/>
    <cellStyle name="Bold/Border 2 6 2 2" xfId="5980"/>
    <cellStyle name="Border Thin 2 6 2 2" xfId="5981"/>
    <cellStyle name="COL HEADINGS 2 6 2 2" xfId="5982"/>
    <cellStyle name="Heading [Helv] 2 6 2 2" xfId="5983"/>
    <cellStyle name="Heading [Palat] 2 6 2 2" xfId="5984"/>
    <cellStyle name="Outputs 2 6 2 2" xfId="5985"/>
    <cellStyle name="PB Table Standard Row 2 6 2 2" xfId="5986"/>
    <cellStyle name="P-Green Rule 2 6 2 2" xfId="5987"/>
    <cellStyle name="Style 44 3 6 2 2" xfId="5988"/>
    <cellStyle name="Style 45 3 6 2 2" xfId="5989"/>
    <cellStyle name="Style 49 3 6 2 2" xfId="5990"/>
    <cellStyle name="Style 51 3 6 2 2" xfId="5991"/>
    <cellStyle name="Style 44 2 6 2 2" xfId="5992"/>
    <cellStyle name="Style 45 2 6 2 2" xfId="5993"/>
    <cellStyle name="Style 49 2 6 2 2" xfId="5994"/>
    <cellStyle name="Style 51 2 6 2 2" xfId="5995"/>
    <cellStyle name="Table Head Green 2 6 2 2" xfId="5996"/>
    <cellStyle name="Title [Palat] 2 6 2 2" xfId="5997"/>
    <cellStyle name="Title [Palat] 5 2 2" xfId="5998"/>
    <cellStyle name="Title [Helv] 4 2 2" xfId="5999"/>
    <cellStyle name="Table Head Green 6 2 2" xfId="6000"/>
    <cellStyle name="Table Head Aligned 4 2 2" xfId="6001"/>
    <cellStyle name="Style 51 9 2 2" xfId="6002"/>
    <cellStyle name="Style 49 9 2 2" xfId="6003"/>
    <cellStyle name="Style 45 9 2 2" xfId="6004"/>
    <cellStyle name="Style 44 9 2 2" xfId="6005"/>
    <cellStyle name="P-Green Rule 7 2 2" xfId="6006"/>
    <cellStyle name="PB Table Standard Row 7 2 2" xfId="6007"/>
    <cellStyle name="Outputs 6 2 2" xfId="6008"/>
    <cellStyle name="Magic 4 2 2" xfId="6009"/>
    <cellStyle name="Heading [Palat] 6 2 2" xfId="6010"/>
    <cellStyle name="Heading [Helv] 6 2 2" xfId="6011"/>
    <cellStyle name="dp*ThinLineBelow 5 2 2" xfId="6012"/>
    <cellStyle name="dp*SubTitle 5 2 2" xfId="6013"/>
    <cellStyle name="dp*SheetSubTitle 4 2 2" xfId="6014"/>
    <cellStyle name="dp*NumberLineEPS 4 2 2" xfId="6015"/>
    <cellStyle name="dp*NumberLine 4 2 2" xfId="6016"/>
    <cellStyle name="Date [mmm-yyyy] 4 2 2" xfId="6017"/>
    <cellStyle name="Date [mm-d-yyyy] 7 2 2" xfId="6018"/>
    <cellStyle name="COL HEADINGS 6 2 2" xfId="6019"/>
    <cellStyle name="Border Thin 7 2 2" xfId="6020"/>
    <cellStyle name="Bold/Border 6 2 2" xfId="6021"/>
    <cellStyle name="Afjusted 7 2 2" xfId="6022"/>
    <cellStyle name="ac 6 2 2" xfId="6023"/>
    <cellStyle name="Style 44 8 2 2" xfId="6024"/>
    <cellStyle name="Style 45 8 2 2" xfId="6025"/>
    <cellStyle name="Style 49 8 2 2" xfId="6026"/>
    <cellStyle name="Style 51 8 2 2" xfId="6027"/>
    <cellStyle name="Title [Palat] 6 2 2" xfId="6028"/>
    <cellStyle name="Title [Helv] 5 2 2" xfId="6029"/>
    <cellStyle name="Table Head Green 7 2 2" xfId="6030"/>
    <cellStyle name="Table Head Aligned 5 2 2" xfId="6031"/>
    <cellStyle name="Outputs 7 2 2" xfId="6032"/>
    <cellStyle name="Magic 5 2 2" xfId="6033"/>
    <cellStyle name="Heading [Palat] 7 2 2" xfId="6034"/>
    <cellStyle name="Heading [Helv] 7 2 2" xfId="6035"/>
    <cellStyle name="dp*SheetSubTitle 5 2 2" xfId="6036"/>
    <cellStyle name="dp*NumberLineEPS 5 2 2" xfId="6037"/>
    <cellStyle name="dp*NumberLine 5 2 2" xfId="6038"/>
    <cellStyle name="Date [mmm-yyyy] 5 2 2" xfId="6039"/>
    <cellStyle name="COL HEADINGS 7 2 2" xfId="6040"/>
    <cellStyle name="Bold/Border 7 2 2" xfId="6041"/>
    <cellStyle name="Afjusted 8 2 2" xfId="6042"/>
    <cellStyle name="ac 7 2 2" xfId="6043"/>
    <cellStyle name="Title [Palat] 7 2 2" xfId="6044"/>
    <cellStyle name="Title [Helv] 6 2 2" xfId="6045"/>
    <cellStyle name="Table Head Green 8 2 2" xfId="6046"/>
    <cellStyle name="Table Head Aligned 6 2 2" xfId="6047"/>
    <cellStyle name="Outputs 8 2 2" xfId="6048"/>
    <cellStyle name="Magic 6 2 2" xfId="6049"/>
    <cellStyle name="Heading [Palat] 8 2 2" xfId="6050"/>
    <cellStyle name="Heading [Helv] 8 2 2" xfId="6051"/>
    <cellStyle name="dp*SheetSubTitle 6 2 2" xfId="6052"/>
    <cellStyle name="dp*NumberLineEPS 6 2 2" xfId="6053"/>
    <cellStyle name="dp*NumberLine 6 2 2" xfId="6054"/>
    <cellStyle name="COL HEADINGS 8 2 2" xfId="6055"/>
    <cellStyle name="Bold/Border 8 2 2" xfId="6056"/>
    <cellStyle name="Afjusted 9 2 2" xfId="6057"/>
    <cellStyle name="ac 8 2 2" xfId="6058"/>
    <cellStyle name="Date [mmm-yyyy] 6 2 2" xfId="6059"/>
    <cellStyle name="Title [Palat] 8 2 2" xfId="6060"/>
    <cellStyle name="Title [Helv] 7 2 2" xfId="6061"/>
    <cellStyle name="Table Head Green 9 2 2" xfId="6062"/>
    <cellStyle name="Table Head Aligned 7 2 2" xfId="6063"/>
    <cellStyle name="Outputs 9 2 2" xfId="6064"/>
    <cellStyle name="Magic 7 2 2" xfId="6065"/>
    <cellStyle name="Heading [Palat] 9 2 2" xfId="6066"/>
    <cellStyle name="Heading [Helv] 9 2 2" xfId="6067"/>
    <cellStyle name="dp*SheetSubTitle 7 2 2" xfId="6068"/>
    <cellStyle name="dp*NumberLineEPS 7 2 2" xfId="6069"/>
    <cellStyle name="dp*NumberLine 7 2 2" xfId="6070"/>
    <cellStyle name="Date [mmm-yyyy] 7 2 2" xfId="6071"/>
    <cellStyle name="COL HEADINGS 9 2 2" xfId="6072"/>
    <cellStyle name="Bold/Border 9 2 2" xfId="6073"/>
    <cellStyle name="Afjusted 10 2 2" xfId="6074"/>
    <cellStyle name="ac 9 2 2" xfId="6075"/>
    <cellStyle name="Bold/Border 2 2 3 8 2" xfId="6076"/>
    <cellStyle name="ac 2 2 3 2 5 2" xfId="6077"/>
    <cellStyle name="P-Green Rule 3 3 2 5 2" xfId="6078"/>
    <cellStyle name="Afjusted 3 3 2 5 2" xfId="6079"/>
    <cellStyle name="Normal 6 9" xfId="6080"/>
    <cellStyle name="Style 44 4 2 2 5 2" xfId="6081"/>
    <cellStyle name="dp*SubTitle 3 2 2 5 2" xfId="6082"/>
    <cellStyle name="COL HEADINGS 2 2 2 2 5 2" xfId="6083"/>
    <cellStyle name="Style 44 6 4" xfId="6084"/>
    <cellStyle name="Style 45 6 4" xfId="6085"/>
    <cellStyle name="Style 49 6 4" xfId="6086"/>
    <cellStyle name="Style 51 6 4" xfId="6087"/>
    <cellStyle name="Table Head Green 4 4" xfId="6088"/>
    <cellStyle name="Note 3" xfId="6089"/>
    <cellStyle name="Comma 2 7" xfId="6090"/>
    <cellStyle name="Accent5 3" xfId="6091"/>
    <cellStyle name="Accent3 2 2" xfId="6092"/>
    <cellStyle name="Accent1 3" xfId="6093"/>
    <cellStyle name="60% - Accent4 3" xfId="6094"/>
    <cellStyle name="40% - Accent6 3" xfId="6095"/>
    <cellStyle name="40% - Accent2 3" xfId="6096"/>
    <cellStyle name="20% - Accent2 2 2" xfId="6097"/>
    <cellStyle name="_Interest Account" xfId="6098"/>
    <cellStyle name="_Check" xfId="6099"/>
    <cellStyle name="Afjusted 6 4" xfId="6100"/>
    <cellStyle name="Note 2 4" xfId="6101"/>
    <cellStyle name="ac 2 5 4" xfId="6102"/>
    <cellStyle name="Afjusted 2 4 4" xfId="6103"/>
    <cellStyle name="Bold/Border 2 5 4" xfId="6104"/>
    <cellStyle name="Border Thin 2 5 4" xfId="6105"/>
    <cellStyle name="COL HEADINGS 2 5 4" xfId="6106"/>
    <cellStyle name="Date [mmm-yyyy] 2 5 4" xfId="6107"/>
    <cellStyle name="dp*NumberLine 2 5 4" xfId="6108"/>
    <cellStyle name="dp*NumberLineEPS 2 5 4" xfId="6109"/>
    <cellStyle name="dp*SheetSubTitle 2 5 4" xfId="6110"/>
    <cellStyle name="dp*SubTitle 2 5 4" xfId="6111"/>
    <cellStyle name="dp*ThinLineBelow 2 5 4" xfId="6112"/>
    <cellStyle name="Heading [Helv] 2 5 4" xfId="6113"/>
    <cellStyle name="Heading [Palat] 2 5 4" xfId="6114"/>
    <cellStyle name="Magic 2 5 4" xfId="6115"/>
    <cellStyle name="Outputs 2 5 4" xfId="6116"/>
    <cellStyle name="PB Table Standard Row 2 5 4" xfId="6117"/>
    <cellStyle name="P-Green Rule 2 5 4" xfId="6118"/>
    <cellStyle name="Style 44 3 5 4" xfId="6119"/>
    <cellStyle name="Style 45 3 5 4" xfId="6120"/>
    <cellStyle name="Style 49 3 5 4" xfId="6121"/>
    <cellStyle name="Style 51 3 5 4" xfId="6122"/>
    <cellStyle name="Style 44 2 5 4" xfId="6123"/>
    <cellStyle name="Style 45 2 5 4" xfId="6124"/>
    <cellStyle name="Style 49 2 5 4" xfId="6125"/>
    <cellStyle name="Style 51 2 5 4" xfId="6126"/>
    <cellStyle name="Table Head Aligned 2 5 4" xfId="6127"/>
    <cellStyle name="Table Head Green 2 5 4" xfId="6128"/>
    <cellStyle name="Title [Helv] 2 5 4" xfId="6129"/>
    <cellStyle name="Title [Palat] 2 5 4" xfId="6130"/>
    <cellStyle name="Note 2 3 2" xfId="6131"/>
    <cellStyle name="Note 2 2 2" xfId="6132"/>
    <cellStyle name="Percent 61" xfId="6133"/>
    <cellStyle name="ac 5 4" xfId="6134"/>
    <cellStyle name="Bold/Border 5 4" xfId="6135"/>
    <cellStyle name="Border Thin 6 4" xfId="6136"/>
    <cellStyle name="COL HEADINGS 5 4" xfId="6137"/>
    <cellStyle name="Date [mm-d-yyyy] 6 3" xfId="6138"/>
    <cellStyle name="Heading [Helv] 5 4" xfId="6139"/>
    <cellStyle name="Heading [Palat] 5 4" xfId="6140"/>
    <cellStyle name="Afjusted 2 2 2 3 5 2" xfId="6141"/>
    <cellStyle name="Title 18" xfId="6142"/>
    <cellStyle name="dp*NumberLine 2 2 2 2 5 2" xfId="6143"/>
    <cellStyle name="Outputs 5 4" xfId="6144"/>
    <cellStyle name="PB Table Standard Row 6 4" xfId="6145"/>
    <cellStyle name="P-Green Rule 6 4" xfId="6146"/>
    <cellStyle name="Style 44 4 3 4 10" xfId="6147"/>
    <cellStyle name="dp*SubTitle 3 2 2 8" xfId="6148"/>
    <cellStyle name="Normal 6 10" xfId="6149"/>
    <cellStyle name="dp*NumberLineEPS 5 6" xfId="6150"/>
    <cellStyle name="Bold/Border 2 2 2 9" xfId="6151"/>
    <cellStyle name="dp*SheetSubTitle 2 2 3 3 5 2" xfId="6152"/>
    <cellStyle name="Style 44 4 4 5 2" xfId="6153"/>
    <cellStyle name="Table Head Aligned 2 2 3 8 2" xfId="6154"/>
    <cellStyle name="P-Green Rule 3 2 7 2" xfId="6155"/>
    <cellStyle name="Linked Cell 7" xfId="6156"/>
    <cellStyle name="Style 44 4 3 2 5 2" xfId="6157"/>
    <cellStyle name="Date [mm-d-yyyy] 2 2 2 5 2" xfId="6158"/>
    <cellStyle name="Style 51 4 2 2 5 2" xfId="6159"/>
    <cellStyle name="PB Table Standard Row 3 2 2 5 2" xfId="6160"/>
    <cellStyle name="Style 51 4 5 5 2" xfId="6161"/>
    <cellStyle name="Normal 69" xfId="6162"/>
    <cellStyle name="Style 44 7 4" xfId="6163"/>
    <cellStyle name="Style 45 7 4" xfId="6164"/>
    <cellStyle name="Style 49 7 4" xfId="6165"/>
    <cellStyle name="Style 51 7 4" xfId="6166"/>
    <cellStyle name="Table Head Green 5 4" xfId="6167"/>
    <cellStyle name="Title [Palat] 4 4" xfId="6168"/>
    <cellStyle name="Note 2 5" xfId="6169"/>
    <cellStyle name="Comma 11 2" xfId="6170"/>
    <cellStyle name="Accent4 2 2" xfId="6171"/>
    <cellStyle name="Accent3 3" xfId="6172"/>
    <cellStyle name="40% - Accent5 2 2" xfId="6173"/>
    <cellStyle name="40% - Accent1 2 2" xfId="6174"/>
    <cellStyle name="20% - Accent3 2 2" xfId="6175"/>
    <cellStyle name="20% - Accent2 3" xfId="6176"/>
    <cellStyle name="_Expense Reserve Account" xfId="6177"/>
    <cellStyle name="Normal 68" xfId="6178"/>
    <cellStyle name="ac 2 6 4" xfId="6179"/>
    <cellStyle name="Bold/Border 2 6 4" xfId="6180"/>
    <cellStyle name="Border Thin 2 6 4" xfId="6181"/>
    <cellStyle name="COL HEADINGS 2 6 4" xfId="6182"/>
    <cellStyle name="Date [mm-d-yyyy] 2 3 3" xfId="6183"/>
    <cellStyle name="Heading [Helv] 2 6 4" xfId="6184"/>
    <cellStyle name="Heading [Palat] 2 6 4" xfId="6185"/>
    <cellStyle name="Outputs 2 6 4" xfId="6186"/>
    <cellStyle name="PB Table Standard Row 2 6 4" xfId="6187"/>
    <cellStyle name="P-Green Rule 2 6 4" xfId="6188"/>
    <cellStyle name="Style 44 3 6 4" xfId="6189"/>
    <cellStyle name="Style 45 3 6 4" xfId="6190"/>
    <cellStyle name="Style 49 3 6 4" xfId="6191"/>
    <cellStyle name="Style 51 3 6 4" xfId="6192"/>
    <cellStyle name="Style 44 2 6 4" xfId="6193"/>
    <cellStyle name="Style 45 2 6 4" xfId="6194"/>
    <cellStyle name="Style 49 2 6 4" xfId="6195"/>
    <cellStyle name="Style 51 2 6 4" xfId="6196"/>
    <cellStyle name="Table Head Green 2 6 4" xfId="6197"/>
    <cellStyle name="Title [Palat] 2 6 4" xfId="6198"/>
    <cellStyle name="Magic 2 2 2 3 5 2" xfId="6199"/>
    <cellStyle name="ac 2 2 2 4 5 2" xfId="6200"/>
    <cellStyle name="20% - Accent1 3" xfId="6201"/>
    <cellStyle name="40% - Accent1 3" xfId="6202"/>
    <cellStyle name="40% - Accent5 3" xfId="6203"/>
    <cellStyle name="60% - Accent3 3" xfId="6204"/>
    <cellStyle name="Title [Palat] 5 4" xfId="6205"/>
    <cellStyle name="Title [Helv] 4 4" xfId="6206"/>
    <cellStyle name="Table Head Green 6 4" xfId="6207"/>
    <cellStyle name="Table Head Aligned 4 4" xfId="6208"/>
    <cellStyle name="Style 51 9 3" xfId="6209"/>
    <cellStyle name="Style 49 9 3" xfId="6210"/>
    <cellStyle name="Style 45 9 3" xfId="6211"/>
    <cellStyle name="Style 44 9 3" xfId="6212"/>
    <cellStyle name="Heading [Palat] 2 2 3 2 5 2" xfId="6213"/>
    <cellStyle name="PB Table Standard Row 3 4 3 2" xfId="6214"/>
    <cellStyle name="Afjusted 3 4 5 2" xfId="6215"/>
    <cellStyle name="Style 49 5 7" xfId="6216"/>
    <cellStyle name="Bold/Border 2 2 4 7" xfId="6217"/>
    <cellStyle name="Style 45 4 3 4 9" xfId="6218"/>
    <cellStyle name="Afjusted 2 2 3 4 9" xfId="6219"/>
    <cellStyle name="Input 6" xfId="6220"/>
    <cellStyle name="Style 51 4 4 8" xfId="6221"/>
    <cellStyle name="Title [Helv] 2 2 3 2 10" xfId="6222"/>
    <cellStyle name="dp*ThinLineBelow 3 5 9" xfId="6223"/>
    <cellStyle name="Style 52 5 4" xfId="6224"/>
    <cellStyle name="Title 20" xfId="6225"/>
    <cellStyle name="P-Green Rule 7 3" xfId="6226"/>
    <cellStyle name="PB Table Standard Row 7 3" xfId="6227"/>
    <cellStyle name="Outputs 6 4" xfId="6228"/>
    <cellStyle name="dp*SheetSubTitle 2 2 2 3 5 2" xfId="6229"/>
    <cellStyle name="Magic 4 4" xfId="6230"/>
    <cellStyle name="Normal 72" xfId="6231"/>
    <cellStyle name="Heading [Palat] 6 4" xfId="6232"/>
    <cellStyle name="Heading [Helv] 6 4" xfId="6233"/>
    <cellStyle name="dp*ThinLineBelow 5 4" xfId="6234"/>
    <cellStyle name="dp*SubTitle 5 4" xfId="6235"/>
    <cellStyle name="dp*SheetSubTitle 4 4" xfId="6236"/>
    <cellStyle name="dp*NumberLineEPS 4 4" xfId="6237"/>
    <cellStyle name="dp*NumberLine 4 4" xfId="6238"/>
    <cellStyle name="Date [mmm-yyyy] 4 4" xfId="6239"/>
    <cellStyle name="Date [mm-d-yyyy] 7 4" xfId="6240"/>
    <cellStyle name="Percent 60" xfId="6241"/>
    <cellStyle name="COL HEADINGS 6 4" xfId="6242"/>
    <cellStyle name="Border Thin 7 4" xfId="6243"/>
    <cellStyle name="Bold/Border 6 4" xfId="6244"/>
    <cellStyle name="Afjusted 7 4" xfId="6245"/>
    <cellStyle name="ac 6 4" xfId="6246"/>
    <cellStyle name="Title 17" xfId="6247"/>
    <cellStyle name="dp*NumberLineEPS 3 10" xfId="6248"/>
    <cellStyle name="Normal 8 8" xfId="6249"/>
    <cellStyle name="Total 2 2 5" xfId="6250"/>
    <cellStyle name="Linked Cell 8" xfId="6251"/>
    <cellStyle name="Input 4" xfId="6252"/>
    <cellStyle name="Style 42 2 5" xfId="6253"/>
    <cellStyle name="Comma 54" xfId="6254"/>
    <cellStyle name="Heading [Palat] 2 2 2 9" xfId="6255"/>
    <cellStyle name="Style 44 4 2 9" xfId="6256"/>
    <cellStyle name="Border Thin 3 2 2 7" xfId="6257"/>
    <cellStyle name="Table Head Aligned 2 2 4 5 2" xfId="6258"/>
    <cellStyle name="Style 44 8 4" xfId="6259"/>
    <cellStyle name="Style 45 8 4" xfId="6260"/>
    <cellStyle name="Style 49 8 4" xfId="6261"/>
    <cellStyle name="Style 51 8 4" xfId="6262"/>
    <cellStyle name="_Sheet1" xfId="6263"/>
    <cellStyle name="Normal 9 8" xfId="6264"/>
    <cellStyle name="40% - Accent4 2 2" xfId="6265"/>
    <cellStyle name="20% - Accent6 2 2" xfId="6266"/>
    <cellStyle name="Normal 6 7" xfId="6267"/>
    <cellStyle name="Title [Palat] 6 4" xfId="6268"/>
    <cellStyle name="Title [Helv] 5 4" xfId="6269"/>
    <cellStyle name="Table Head Green 7 4" xfId="6270"/>
    <cellStyle name="Table Head Aligned 5 4" xfId="6271"/>
    <cellStyle name="Date [mmm-yyyy] 2 2 2 3 5 2" xfId="6272"/>
    <cellStyle name="Outputs 7 4" xfId="6273"/>
    <cellStyle name="Magic 5 4" xfId="6274"/>
    <cellStyle name="Heading [Palat] 7 4" xfId="6275"/>
    <cellStyle name="Heading [Helv] 7 4" xfId="6276"/>
    <cellStyle name="dp*SheetSubTitle 5 4" xfId="6277"/>
    <cellStyle name="dp*NumberLineEPS 5 4" xfId="6278"/>
    <cellStyle name="dp*NumberLine 5 4" xfId="6279"/>
    <cellStyle name="Date [mmm-yyyy] 5 4" xfId="6280"/>
    <cellStyle name="COL HEADINGS 7 4" xfId="6281"/>
    <cellStyle name="Bold/Border 7 4" xfId="6282"/>
    <cellStyle name="Afjusted 8 4" xfId="6283"/>
    <cellStyle name="ac 7 4" xfId="6284"/>
    <cellStyle name="Normal 7 7" xfId="6285"/>
    <cellStyle name="_Principal Account" xfId="6286"/>
    <cellStyle name="=C:\WINNT35\SYSTEM32\COMMAND.COM 4" xfId="6287"/>
    <cellStyle name="20% - Accent6 3" xfId="6288"/>
    <cellStyle name="40% - Accent4 3" xfId="6289"/>
    <cellStyle name="60% - Accent2 3" xfId="6290"/>
    <cellStyle name="Title [Palat] 7 4" xfId="6291"/>
    <cellStyle name="Title [Helv] 6 4" xfId="6292"/>
    <cellStyle name="Table Head Green 8 4" xfId="6293"/>
    <cellStyle name="Table Head Aligned 6 4" xfId="6294"/>
    <cellStyle name="Input 5" xfId="6295"/>
    <cellStyle name="dp*ThinLineBelow 3 4 4 2" xfId="6296"/>
    <cellStyle name="Heading [Palat] 2 2 3 3 5 2" xfId="6297"/>
    <cellStyle name="Style 51 4 3 3 7" xfId="6298"/>
    <cellStyle name="COL HEADINGS 2 2 4 7" xfId="6299"/>
    <cellStyle name="Comma 56" xfId="6300"/>
    <cellStyle name="Table Head Aligned 5 6" xfId="6301"/>
    <cellStyle name="dp*SubTitle 3 8" xfId="6302"/>
    <cellStyle name="Input 8" xfId="6303"/>
    <cellStyle name="Linked Cell 6" xfId="6304"/>
    <cellStyle name="Percent 57" xfId="6305"/>
    <cellStyle name="Outputs 8 4" xfId="6306"/>
    <cellStyle name="Magic 6 4" xfId="6307"/>
    <cellStyle name="Heading [Palat] 8 4" xfId="6308"/>
    <cellStyle name="Heading [Helv] 8 4" xfId="6309"/>
    <cellStyle name="dp*SheetSubTitle 6 4" xfId="6310"/>
    <cellStyle name="dp*NumberLineEPS 6 4" xfId="6311"/>
    <cellStyle name="dp*NumberLine 6 4" xfId="6312"/>
    <cellStyle name="COL HEADINGS 8 4" xfId="6313"/>
    <cellStyle name="Bold/Border 8 4" xfId="6314"/>
    <cellStyle name="Afjusted 9 4" xfId="6315"/>
    <cellStyle name="ac 8 4" xfId="6316"/>
    <cellStyle name="Normal 5 6" xfId="6317"/>
    <cellStyle name="Date [mmm-yyyy] 6 4" xfId="6318"/>
    <cellStyle name="Normal 3 2 5" xfId="6319"/>
    <cellStyle name="Title [Palat] 8 4" xfId="6320"/>
    <cellStyle name="Title [Helv] 7 4" xfId="6321"/>
    <cellStyle name="Table Head Green 9 4" xfId="6322"/>
    <cellStyle name="Table Head Aligned 7 4" xfId="6323"/>
    <cellStyle name="Outputs 9 4" xfId="6324"/>
    <cellStyle name="Magic 7 4" xfId="6325"/>
    <cellStyle name="Heading [Palat] 9 4" xfId="6326"/>
    <cellStyle name="Heading [Helv] 9 4" xfId="6327"/>
    <cellStyle name="dp*SheetSubTitle 7 4" xfId="6328"/>
    <cellStyle name="dp*NumberLineEPS 7 4" xfId="6329"/>
    <cellStyle name="dp*NumberLine 7 4" xfId="6330"/>
    <cellStyle name="Date [mmm-yyyy] 7 4" xfId="6331"/>
    <cellStyle name="COL HEADINGS 9 4" xfId="6332"/>
    <cellStyle name="Bold/Border 9 4" xfId="6333"/>
    <cellStyle name="Afjusted 10 4" xfId="6334"/>
    <cellStyle name="ac 9 4" xfId="6335"/>
    <cellStyle name="Normal 3_Collection" xfId="6336"/>
    <cellStyle name="Afjusted 3 6 3" xfId="6337"/>
    <cellStyle name="ac 2 7 3" xfId="6338"/>
    <cellStyle name="Afjusted 2 5 3" xfId="6339"/>
    <cellStyle name="Bold/Border 2 7 3" xfId="6340"/>
    <cellStyle name="COL HEADINGS 2 7 3" xfId="6341"/>
    <cellStyle name="Date [mmm-yyyy] 2 6 3" xfId="6342"/>
    <cellStyle name="dp*NumberLine 2 6 3" xfId="6343"/>
    <cellStyle name="dp*NumberLineEPS 2 6 3" xfId="6344"/>
    <cellStyle name="dp*SheetSubTitle 2 6 3" xfId="6345"/>
    <cellStyle name="Heading [Helv] 2 7 3" xfId="6346"/>
    <cellStyle name="Heading [Palat] 2 7 3" xfId="6347"/>
    <cellStyle name="Magic 2 6 3" xfId="6348"/>
    <cellStyle name="Outputs 2 7 3" xfId="6349"/>
    <cellStyle name="Table Head Aligned 2 6 3" xfId="6350"/>
    <cellStyle name="Table Head Green 2 7 3" xfId="6351"/>
    <cellStyle name="Title [Helv] 2 6 3" xfId="6352"/>
    <cellStyle name="Title [Palat] 2 7 3" xfId="6353"/>
    <cellStyle name="Date [mm-d-yyyy] 3 6 3" xfId="6354"/>
    <cellStyle name="Style 51 4 6 3" xfId="6355"/>
    <cellStyle name="Style 49 4 6 3" xfId="6356"/>
    <cellStyle name="Style 45 4 6 3" xfId="6357"/>
    <cellStyle name="Style 44 4 6 3" xfId="6358"/>
    <cellStyle name="P-Green Rule 3 6 3" xfId="6359"/>
    <cellStyle name="PB Table Standard Row 3 6 3" xfId="6360"/>
    <cellStyle name="dp*ThinLineBelow 3 6 3" xfId="6361"/>
    <cellStyle name="dp*SubTitle 3 6 3" xfId="6362"/>
    <cellStyle name="Border Thin 3 6 3" xfId="6363"/>
    <cellStyle name="Afjusted 4 6 3" xfId="6364"/>
    <cellStyle name="ac 2 2 5 3" xfId="6365"/>
    <cellStyle name="Afjusted 2 2 6 3" xfId="6366"/>
    <cellStyle name="Bold/Border 2 2 5 3" xfId="6367"/>
    <cellStyle name="COL HEADINGS 2 2 5 3" xfId="6368"/>
    <cellStyle name="Date [mmm-yyyy] 2 2 5 3" xfId="6369"/>
    <cellStyle name="dp*NumberLine 2 2 5 3" xfId="6370"/>
    <cellStyle name="dp*NumberLineEPS 2 2 5 3" xfId="6371"/>
    <cellStyle name="dp*SheetSubTitle 2 2 5 3" xfId="6372"/>
    <cellStyle name="Heading [Helv] 2 2 5 3" xfId="6373"/>
    <cellStyle name="Heading [Palat] 2 2 5 3" xfId="6374"/>
    <cellStyle name="Magic 2 2 5 3" xfId="6375"/>
    <cellStyle name="Outputs 2 2 5 3" xfId="6376"/>
    <cellStyle name="Table Head Aligned 2 2 5 3" xfId="6377"/>
    <cellStyle name="Table Head Green 2 2 5 3" xfId="6378"/>
    <cellStyle name="Title [Helv] 2 2 5 3" xfId="6379"/>
    <cellStyle name="Title [Palat] 2 2 5 3" xfId="6380"/>
    <cellStyle name="dp*SubTitle 2 2 2 3" xfId="6381"/>
    <cellStyle name="Border Thin 2 2 2 3" xfId="6382"/>
    <cellStyle name="Bold/Border 2 2 3 4 2 3" xfId="6383"/>
    <cellStyle name="Magic 2 2 3 4 2 3" xfId="6384"/>
    <cellStyle name="Title [Helv] 2 2 3 4 2 3" xfId="6385"/>
    <cellStyle name="Style 51 2 2 2 3" xfId="6386"/>
    <cellStyle name="Style 45 2 2 2 3" xfId="6387"/>
    <cellStyle name="Style 49 2 2 2 3" xfId="6388"/>
    <cellStyle name="Style 44 2 2 2 3" xfId="6389"/>
    <cellStyle name="Style 51 3 2 2 3" xfId="6390"/>
    <cellStyle name="Style 49 3 2 2 3" xfId="6391"/>
    <cellStyle name="Style 45 3 2 2 3" xfId="6392"/>
    <cellStyle name="Style 44 3 2 2 3" xfId="6393"/>
    <cellStyle name="P-Green Rule 2 2 2 3" xfId="6394"/>
    <cellStyle name="PB Table Standard Row 2 2 2 3" xfId="6395"/>
    <cellStyle name="dp*ThinLineBelow 2 2 2 3" xfId="6396"/>
    <cellStyle name="dp*ThinLineBelow 2 3 2 3" xfId="6397"/>
    <cellStyle name="Style 44 3 3 2 3" xfId="6398"/>
    <cellStyle name="COL HEADINGS 2 2 3 4 2 3" xfId="6399"/>
    <cellStyle name="Style 49 4 3 4 2 3" xfId="6400"/>
    <cellStyle name="Afjusted 3 3 4 2 3" xfId="6401"/>
    <cellStyle name="Date [mm-d-yyyy] 3 3 4 2 3" xfId="6402"/>
    <cellStyle name="Afjusted 4 3 4 2 3" xfId="6403"/>
    <cellStyle name="ac 2 2 3 4 2 3" xfId="6404"/>
    <cellStyle name="Afjusted 2 2 3 4 2 3" xfId="6405"/>
    <cellStyle name="Date [mmm-yyyy] 2 2 3 4 2 3" xfId="6406"/>
    <cellStyle name="dp*NumberLine 2 2 3 4 2 3" xfId="6407"/>
    <cellStyle name="dp*NumberLineEPS 2 2 3 4 2 3" xfId="6408"/>
    <cellStyle name="dp*SheetSubTitle 2 2 3 4 2 3" xfId="6409"/>
    <cellStyle name="Heading [Helv] 2 2 3 4 2 3" xfId="6410"/>
    <cellStyle name="Outputs 2 2 3 4 2 3" xfId="6411"/>
    <cellStyle name="Table Head Aligned 2 2 3 4 2 3" xfId="6412"/>
    <cellStyle name="Title [Palat] 2 2 3 4 2 3" xfId="6413"/>
    <cellStyle name="Afjusted 3 5 2 3" xfId="6414"/>
    <cellStyle name="Style 45 3 3 2 3" xfId="6415"/>
    <cellStyle name="Style 51 3 3 2 3" xfId="6416"/>
    <cellStyle name="Style 44 2 3 2 3" xfId="6417"/>
    <cellStyle name="Style 45 2 3 2 3" xfId="6418"/>
    <cellStyle name="Style 49 2 3 2 3" xfId="6419"/>
    <cellStyle name="Border Thin 3 5 2 3" xfId="6420"/>
    <cellStyle name="ac 2 2 4 2 3" xfId="6421"/>
    <cellStyle name="Afjusted 2 2 5 2 3" xfId="6422"/>
    <cellStyle name="Bold/Border 2 2 4 2 3" xfId="6423"/>
    <cellStyle name="COL HEADINGS 2 2 4 2 3" xfId="6424"/>
    <cellStyle name="Date [mmm-yyyy] 2 2 4 2 3" xfId="6425"/>
    <cellStyle name="dp*NumberLine 2 2 4 2 3" xfId="6426"/>
    <cellStyle name="dp*NumberLineEPS 2 2 4 2 3" xfId="6427"/>
    <cellStyle name="dp*SheetSubTitle 2 2 4 2 3" xfId="6428"/>
    <cellStyle name="Heading [Palat] 2 2 4 2 3" xfId="6429"/>
    <cellStyle name="Outputs 2 2 4 2 3" xfId="6430"/>
    <cellStyle name="Magic 2 2 4 2 3" xfId="6431"/>
    <cellStyle name="Title [Helv] 2 2 4 2 3" xfId="6432"/>
    <cellStyle name="Title [Palat] 2 2 4 2 3" xfId="6433"/>
    <cellStyle name="Title [Palat] 2 2 3 3 2 3" xfId="6434"/>
    <cellStyle name="Title [Helv] 2 2 3 3 2 3" xfId="6435"/>
    <cellStyle name="Table Head Aligned 2 2 3 3 2 3" xfId="6436"/>
    <cellStyle name="Magic 2 2 3 3 2 3" xfId="6437"/>
    <cellStyle name="Heading [Helv] 2 2 3 3 2 3" xfId="6438"/>
    <cellStyle name="dp*NumberLineEPS 2 2 3 3 2 3" xfId="6439"/>
    <cellStyle name="COL HEADINGS 2 2 3 3 2 3" xfId="6440"/>
    <cellStyle name="ac 2 2 3 3 2 3" xfId="6441"/>
    <cellStyle name="Afjusted 4 3 3 2 3" xfId="6442"/>
    <cellStyle name="Border Thin 3 3 3 2 3" xfId="6443"/>
    <cellStyle name="PB Table Standard Row 3 3 3 2 3" xfId="6444"/>
    <cellStyle name="Style 44 4 3 3 2 3" xfId="6445"/>
    <cellStyle name="Style 51 4 3 3 2 3" xfId="6446"/>
    <cellStyle name="Afjusted 3 3 3 2 3" xfId="6447"/>
    <cellStyle name="Style 49 4 5 2 3" xfId="6448"/>
    <cellStyle name="Style 44 4 5 2 3" xfId="6449"/>
    <cellStyle name="P-Green Rule 3 5 2 3" xfId="6450"/>
    <cellStyle name="dp*SubTitle 3 5 2 3" xfId="6451"/>
    <cellStyle name="Afjusted 4 5 2 3" xfId="6452"/>
    <cellStyle name="ac 2 3 2 3" xfId="6453"/>
    <cellStyle name="Bold/Border 2 3 2 3" xfId="6454"/>
    <cellStyle name="COL HEADINGS 2 3 2 3" xfId="6455"/>
    <cellStyle name="Date [mmm-yyyy] 2 3 2 3" xfId="6456"/>
    <cellStyle name="dp*NumberLine 2 3 2 3" xfId="6457"/>
    <cellStyle name="dp*NumberLineEPS 2 3 2 3" xfId="6458"/>
    <cellStyle name="dp*SheetSubTitle 2 3 2 3" xfId="6459"/>
    <cellStyle name="Heading [Helv] 2 3 2 3" xfId="6460"/>
    <cellStyle name="Heading [Palat] 2 3 2 3" xfId="6461"/>
    <cellStyle name="Magic 2 3 2 3" xfId="6462"/>
    <cellStyle name="Outputs 2 3 2 3" xfId="6463"/>
    <cellStyle name="Date [mmm-yyyy] 2 2 3 3 2 3" xfId="6464"/>
    <cellStyle name="Afjusted 2 2 3 3 2 3" xfId="6465"/>
    <cellStyle name="dp*ThinLineBelow 3 3 3 2 3" xfId="6466"/>
    <cellStyle name="Style 49 4 3 3 2 3" xfId="6467"/>
    <cellStyle name="Outputs 2 2 3 3 2 3" xfId="6468"/>
    <cellStyle name="dp*NumberLine 2 2 3 3 2 3" xfId="6469"/>
    <cellStyle name="Bold/Border 2 2 3 3 2 3" xfId="6470"/>
    <cellStyle name="dp*SubTitle 3 3 3 2 3" xfId="6471"/>
    <cellStyle name="Style 45 4 3 3 2 3" xfId="6472"/>
    <cellStyle name="Table Head Aligned 2 3 2 3" xfId="6473"/>
    <cellStyle name="Table Head Green 2 3 2 3" xfId="6474"/>
    <cellStyle name="Title [Helv] 2 3 2 3" xfId="6475"/>
    <cellStyle name="Title [Palat] 2 3 2 3" xfId="6476"/>
    <cellStyle name="Style 45 4 3 4 2 3" xfId="6477"/>
    <cellStyle name="Style 51 4 3 4 2 3" xfId="6478"/>
    <cellStyle name="Afjusted 3 4 2 3" xfId="6479"/>
    <cellStyle name="P-Green Rule 3 3 4 2 3" xfId="6480"/>
    <cellStyle name="Border Thin 2 3 2 3" xfId="6481"/>
    <cellStyle name="Style 49 3 3 2 3" xfId="6482"/>
    <cellStyle name="Style 51 2 3 2 3" xfId="6483"/>
    <cellStyle name="Heading [Helv] 2 2 4 2 3" xfId="6484"/>
    <cellStyle name="Table Head Aligned 2 2 4 2 3" xfId="6485"/>
    <cellStyle name="Table Head Green 2 2 4 2 3" xfId="6486"/>
    <cellStyle name="Table Head Green 2 2 3 3 2 3" xfId="6487"/>
    <cellStyle name="Heading [Palat] 2 2 3 3 2 3" xfId="6488"/>
    <cellStyle name="dp*SheetSubTitle 2 2 3 3 2 3" xfId="6489"/>
    <cellStyle name="P-Green Rule 3 3 3 2 3" xfId="6490"/>
    <cellStyle name="Date [mm-d-yyyy] 3 3 3 2 3" xfId="6491"/>
    <cellStyle name="Date [mm-d-yyyy] 3 4 2 3" xfId="6492"/>
    <cellStyle name="Style 51 4 4 2 3" xfId="6493"/>
    <cellStyle name="Style 49 4 4 2 3" xfId="6494"/>
    <cellStyle name="Style 45 4 4 2 3" xfId="6495"/>
    <cellStyle name="Style 44 4 4 2 3" xfId="6496"/>
    <cellStyle name="dp*ThinLineBelow 3 3 4 2 3" xfId="6497"/>
    <cellStyle name="P-Green Rule 3 4 2 3" xfId="6498"/>
    <cellStyle name="PB Table Standard Row 3 4 2 2" xfId="6499"/>
    <cellStyle name="dp*ThinLineBelow 3 4 2 3" xfId="6500"/>
    <cellStyle name="dp*SubTitle 3 4 2 3" xfId="6501"/>
    <cellStyle name="dp*SubTitle 3 3 4 2 3" xfId="6502"/>
    <cellStyle name="Border Thin 3 4 2 3" xfId="6503"/>
    <cellStyle name="Border Thin 3 3 4 2 3" xfId="6504"/>
    <cellStyle name="Afjusted 4 4 2 3" xfId="6505"/>
    <cellStyle name="Afjusted 2 2 4 2 3" xfId="6506"/>
    <cellStyle name="Style 44 4 3 4 2 3" xfId="6507"/>
    <cellStyle name="PB Table Standard Row 3 3 4 2 3" xfId="6508"/>
    <cellStyle name="Title [Palat] 2 2 3 5 3" xfId="6509"/>
    <cellStyle name="Title [Helv] 2 2 3 5 3" xfId="6510"/>
    <cellStyle name="Table Head Green 2 2 3 5 3" xfId="6511"/>
    <cellStyle name="Table Head Aligned 2 2 3 5 3" xfId="6512"/>
    <cellStyle name="Outputs 2 2 3 5 3" xfId="6513"/>
    <cellStyle name="Magic 2 2 3 5 3" xfId="6514"/>
    <cellStyle name="Heading [Palat] 2 2 3 5 3" xfId="6515"/>
    <cellStyle name="Heading [Helv] 2 2 3 5 3" xfId="6516"/>
    <cellStyle name="dp*SheetSubTitle 2 2 3 5 3" xfId="6517"/>
    <cellStyle name="dp*NumberLineEPS 2 2 3 5 3" xfId="6518"/>
    <cellStyle name="dp*NumberLine 2 2 3 5 3" xfId="6519"/>
    <cellStyle name="Date [mmm-yyyy] 2 2 3 5 3" xfId="6520"/>
    <cellStyle name="COL HEADINGS 2 2 3 5 3" xfId="6521"/>
    <cellStyle name="Bold/Border 2 2 3 5 3" xfId="6522"/>
    <cellStyle name="Afjusted 2 2 3 5 3" xfId="6523"/>
    <cellStyle name="ac 2 2 3 5 3" xfId="6524"/>
    <cellStyle name="Afjusted 4 3 5 3" xfId="6525"/>
    <cellStyle name="Border Thin 3 3 5 3" xfId="6526"/>
    <cellStyle name="dp*SubTitle 3 3 5 3" xfId="6527"/>
    <cellStyle name="dp*ThinLineBelow 3 3 5 3" xfId="6528"/>
    <cellStyle name="PB Table Standard Row 3 3 5 3" xfId="6529"/>
    <cellStyle name="P-Green Rule 3 3 5 3" xfId="6530"/>
    <cellStyle name="Style 44 4 3 5 3" xfId="6531"/>
    <cellStyle name="Style 45 4 3 5 3" xfId="6532"/>
    <cellStyle name="Style 49 4 3 5 3" xfId="6533"/>
    <cellStyle name="Style 51 4 3 5 3" xfId="6534"/>
    <cellStyle name="Date [mm-d-yyyy] 3 3 5 3" xfId="6535"/>
    <cellStyle name="Afjusted 3 3 5 3" xfId="6536"/>
    <cellStyle name="Date [mm-d-yyyy] 2 2 4 3" xfId="6537"/>
    <cellStyle name="Afjusted 3 2 5 3" xfId="6538"/>
    <cellStyle name="Date [mm-d-yyyy] 3 2 5 3" xfId="6539"/>
    <cellStyle name="Style 51 4 2 5 3" xfId="6540"/>
    <cellStyle name="Style 49 4 2 5 3" xfId="6541"/>
    <cellStyle name="Style 45 4 2 5 3" xfId="6542"/>
    <cellStyle name="Style 44 4 2 5 3" xfId="6543"/>
    <cellStyle name="P-Green Rule 3 2 5 3" xfId="6544"/>
    <cellStyle name="PB Table Standard Row 3 2 5 2" xfId="6545"/>
    <cellStyle name="dp*ThinLineBelow 3 2 5 3" xfId="6546"/>
    <cellStyle name="dp*SubTitle 3 2 5 3" xfId="6547"/>
    <cellStyle name="Border Thin 3 2 5 3" xfId="6548"/>
    <cellStyle name="Afjusted 4 2 5 3" xfId="6549"/>
    <cellStyle name="ac 2 2 2 5 3" xfId="6550"/>
    <cellStyle name="Afjusted 2 2 2 5 3" xfId="6551"/>
    <cellStyle name="Bold/Border 2 2 2 5 3" xfId="6552"/>
    <cellStyle name="COL HEADINGS 2 2 2 5 3" xfId="6553"/>
    <cellStyle name="Date [mmm-yyyy] 2 2 2 5 3" xfId="6554"/>
    <cellStyle name="dp*NumberLine 2 2 2 5 3" xfId="6555"/>
    <cellStyle name="dp*NumberLineEPS 2 2 2 5 3" xfId="6556"/>
    <cellStyle name="dp*SheetSubTitle 2 2 2 5 3" xfId="6557"/>
    <cellStyle name="Heading [Helv] 2 2 2 5 3" xfId="6558"/>
    <cellStyle name="Heading [Palat] 2 2 2 5 3" xfId="6559"/>
    <cellStyle name="Magic 2 2 2 5 3" xfId="6560"/>
    <cellStyle name="Outputs 2 2 2 5 3" xfId="6561"/>
    <cellStyle name="Table Head Aligned 2 2 2 5 3" xfId="6562"/>
    <cellStyle name="Table Head Green 2 2 2 5 3" xfId="6563"/>
    <cellStyle name="Title [Helv] 2 2 2 5 3" xfId="6564"/>
    <cellStyle name="Title [Palat] 2 2 2 5 3" xfId="6565"/>
    <cellStyle name="Table Head Green 2 2 3 4 2 3" xfId="6566"/>
    <cellStyle name="Heading [Palat] 2 2 3 4 2 3" xfId="6567"/>
    <cellStyle name="PB Table Standard Row 2 3 2 3" xfId="6568"/>
    <cellStyle name="P-Green Rule 2 3 2 3" xfId="6569"/>
    <cellStyle name="Title [Palat] 2 2 3 2 2 3" xfId="6570"/>
    <cellStyle name="Title [Helv] 2 2 3 2 2 3" xfId="6571"/>
    <cellStyle name="Table Head Green 2 2 3 2 2 3" xfId="6572"/>
    <cellStyle name="Table Head Aligned 2 2 3 2 2 3" xfId="6573"/>
    <cellStyle name="Outputs 2 2 3 2 2 3" xfId="6574"/>
    <cellStyle name="Magic 2 2 3 2 2 3" xfId="6575"/>
    <cellStyle name="Heading [Palat] 2 2 3 2 2 3" xfId="6576"/>
    <cellStyle name="Heading [Helv] 2 2 3 2 2 3" xfId="6577"/>
    <cellStyle name="dp*SheetSubTitle 2 2 3 2 2 3" xfId="6578"/>
    <cellStyle name="dp*NumberLineEPS 2 2 3 2 2 3" xfId="6579"/>
    <cellStyle name="dp*NumberLine 2 2 3 2 2 3" xfId="6580"/>
    <cellStyle name="Date [mmm-yyyy] 2 2 3 2 2 3" xfId="6581"/>
    <cellStyle name="COL HEADINGS 2 2 3 2 2 3" xfId="6582"/>
    <cellStyle name="Bold/Border 2 2 3 2 2 3" xfId="6583"/>
    <cellStyle name="Afjusted 2 2 3 2 2 3" xfId="6584"/>
    <cellStyle name="ac 2 2 3 2 2 3" xfId="6585"/>
    <cellStyle name="Afjusted 4 3 2 2 3" xfId="6586"/>
    <cellStyle name="Border Thin 3 3 2 2 3" xfId="6587"/>
    <cellStyle name="dp*SubTitle 3 3 2 2 3" xfId="6588"/>
    <cellStyle name="dp*ThinLineBelow 3 3 2 2 3" xfId="6589"/>
    <cellStyle name="PB Table Standard Row 3 3 2 2 3" xfId="6590"/>
    <cellStyle name="P-Green Rule 3 3 2 2 3" xfId="6591"/>
    <cellStyle name="Style 44 4 3 2 2 3" xfId="6592"/>
    <cellStyle name="Style 45 4 3 2 2 3" xfId="6593"/>
    <cellStyle name="Style 49 4 3 2 2 3" xfId="6594"/>
    <cellStyle name="Style 51 4 3 2 2 3" xfId="6595"/>
    <cellStyle name="Date [mm-d-yyyy] 3 3 2 2 3" xfId="6596"/>
    <cellStyle name="Afjusted 3 3 2 2 3" xfId="6597"/>
    <cellStyle name="Date [mm-d-yyyy] 3 5 2 3" xfId="6598"/>
    <cellStyle name="dp*SubTitle 2 3 2 3" xfId="6599"/>
    <cellStyle name="Date [mm-d-yyyy] 2 2 2 2 3" xfId="6600"/>
    <cellStyle name="Afjusted 3 2 2 2 3" xfId="6601"/>
    <cellStyle name="PB Table Standard Row 3 5 2 3" xfId="6602"/>
    <cellStyle name="Date [mm-d-yyyy] 3 2 2 2 3" xfId="6603"/>
    <cellStyle name="Style 51 4 2 2 2 3" xfId="6604"/>
    <cellStyle name="Style 49 4 2 2 2 3" xfId="6605"/>
    <cellStyle name="Style 45 4 2 2 2 3" xfId="6606"/>
    <cellStyle name="Style 44 4 2 2 2 3" xfId="6607"/>
    <cellStyle name="Style 45 4 5 2 3" xfId="6608"/>
    <cellStyle name="P-Green Rule 3 2 2 2 3" xfId="6609"/>
    <cellStyle name="PB Table Standard Row 3 2 2 2 3" xfId="6610"/>
    <cellStyle name="dp*ThinLineBelow 3 2 2 2 3" xfId="6611"/>
    <cellStyle name="dp*SubTitle 3 2 2 2 3" xfId="6612"/>
    <cellStyle name="Style 51 4 5 2 3" xfId="6613"/>
    <cellStyle name="Border Thin 3 2 2 2 3" xfId="6614"/>
    <cellStyle name="Afjusted 4 2 2 2 3" xfId="6615"/>
    <cellStyle name="ac 2 2 2 2 2 3" xfId="6616"/>
    <cellStyle name="Afjusted 2 2 2 2 2 3" xfId="6617"/>
    <cellStyle name="Bold/Border 2 2 2 2 2 3" xfId="6618"/>
    <cellStyle name="COL HEADINGS 2 2 2 2 2 3" xfId="6619"/>
    <cellStyle name="Date [mmm-yyyy] 2 2 2 2 2 3" xfId="6620"/>
    <cellStyle name="dp*NumberLine 2 2 2 2 2 3" xfId="6621"/>
    <cellStyle name="dp*NumberLineEPS 2 2 2 2 2 3" xfId="6622"/>
    <cellStyle name="dp*SheetSubTitle 2 2 2 2 2 3" xfId="6623"/>
    <cellStyle name="Heading [Helv] 2 2 2 2 2 3" xfId="6624"/>
    <cellStyle name="Heading [Palat] 2 2 2 2 2 3" xfId="6625"/>
    <cellStyle name="Magic 2 2 2 2 2 3" xfId="6626"/>
    <cellStyle name="Outputs 2 2 2 2 2 3" xfId="6627"/>
    <cellStyle name="Table Head Aligned 2 2 2 2 2 3" xfId="6628"/>
    <cellStyle name="Table Head Green 2 2 2 2 2 3" xfId="6629"/>
    <cellStyle name="Title [Helv] 2 2 2 2 2 3" xfId="6630"/>
    <cellStyle name="Title [Palat] 2 2 2 2 2 3" xfId="6631"/>
    <cellStyle name="dp*ThinLineBelow 3 5 2 3" xfId="6632"/>
    <cellStyle name="Date [mm-d-yyyy] 2 2 3 2 3" xfId="6633"/>
    <cellStyle name="Afjusted 3 2 3 2 3" xfId="6634"/>
    <cellStyle name="Date [mm-d-yyyy] 3 2 3 2 3" xfId="6635"/>
    <cellStyle name="Style 51 4 2 3 2 3" xfId="6636"/>
    <cellStyle name="Style 49 4 2 3 2 3" xfId="6637"/>
    <cellStyle name="Style 45 4 2 3 2 3" xfId="6638"/>
    <cellStyle name="Style 44 4 2 3 2 3" xfId="6639"/>
    <cellStyle name="P-Green Rule 3 2 3 2 3" xfId="6640"/>
    <cellStyle name="PB Table Standard Row 3 2 3 2 3" xfId="6641"/>
    <cellStyle name="dp*ThinLineBelow 3 2 3 2 3" xfId="6642"/>
    <cellStyle name="dp*SubTitle 3 2 3 2 3" xfId="6643"/>
    <cellStyle name="Border Thin 3 2 3 2 3" xfId="6644"/>
    <cellStyle name="Afjusted 4 2 3 2 3" xfId="6645"/>
    <cellStyle name="ac 2 2 2 3 2 3" xfId="6646"/>
    <cellStyle name="Afjusted 2 2 2 3 2 3" xfId="6647"/>
    <cellStyle name="Bold/Border 2 2 2 3 2 3" xfId="6648"/>
    <cellStyle name="COL HEADINGS 2 2 2 3 2 3" xfId="6649"/>
    <cellStyle name="Date [mmm-yyyy] 2 2 2 3 2 3" xfId="6650"/>
    <cellStyle name="dp*NumberLine 2 2 2 3 2 3" xfId="6651"/>
    <cellStyle name="dp*NumberLineEPS 2 2 2 3 2 3" xfId="6652"/>
    <cellStyle name="dp*SheetSubTitle 2 2 2 3 2 3" xfId="6653"/>
    <cellStyle name="Heading [Helv] 2 2 2 3 2 3" xfId="6654"/>
    <cellStyle name="Heading [Palat] 2 2 2 3 2 3" xfId="6655"/>
    <cellStyle name="Magic 2 2 2 3 2 3" xfId="6656"/>
    <cellStyle name="Outputs 2 2 2 3 2 3" xfId="6657"/>
    <cellStyle name="Table Head Aligned 2 2 2 3 2 3" xfId="6658"/>
    <cellStyle name="Table Head Green 2 2 2 3 2 3" xfId="6659"/>
    <cellStyle name="Title [Helv] 2 2 2 3 2 3" xfId="6660"/>
    <cellStyle name="Title [Palat] 2 2 2 3 2 3" xfId="6661"/>
    <cellStyle name="Afjusted 3 2 4 2 3" xfId="6662"/>
    <cellStyle name="Date [mm-d-yyyy] 3 2 4 2 3" xfId="6663"/>
    <cellStyle name="Style 51 4 2 4 2 3" xfId="6664"/>
    <cellStyle name="Style 49 4 2 4 2 3" xfId="6665"/>
    <cellStyle name="Style 45 4 2 4 2 3" xfId="6666"/>
    <cellStyle name="Style 44 4 2 4 2 3" xfId="6667"/>
    <cellStyle name="P-Green Rule 3 2 4 2 3" xfId="6668"/>
    <cellStyle name="PB Table Standard Row 3 2 4 2 3" xfId="6669"/>
    <cellStyle name="dp*ThinLineBelow 3 2 4 2 3" xfId="6670"/>
    <cellStyle name="dp*SubTitle 3 2 4 2 3" xfId="6671"/>
    <cellStyle name="Border Thin 3 2 4 2 3" xfId="6672"/>
    <cellStyle name="Afjusted 4 2 4 2 3" xfId="6673"/>
    <cellStyle name="ac 2 2 2 4 2 3" xfId="6674"/>
    <cellStyle name="Afjusted 2 2 2 4 2 3" xfId="6675"/>
    <cellStyle name="Bold/Border 2 2 2 4 2 3" xfId="6676"/>
    <cellStyle name="COL HEADINGS 2 2 2 4 2 3" xfId="6677"/>
    <cellStyle name="Date [mmm-yyyy] 2 2 2 4 2 3" xfId="6678"/>
    <cellStyle name="dp*NumberLine 2 2 2 4 2 3" xfId="6679"/>
    <cellStyle name="dp*NumberLineEPS 2 2 2 4 2 3" xfId="6680"/>
    <cellStyle name="dp*SheetSubTitle 2 2 2 4 2 3" xfId="6681"/>
    <cellStyle name="Heading [Helv] 2 2 2 4 2 3" xfId="6682"/>
    <cellStyle name="Heading [Palat] 2 2 2 4 2 3" xfId="6683"/>
    <cellStyle name="Magic 2 2 2 4 2 3" xfId="6684"/>
    <cellStyle name="Outputs 2 2 2 4 2 3" xfId="6685"/>
    <cellStyle name="Table Head Aligned 2 2 2 4 2 3" xfId="6686"/>
    <cellStyle name="Table Head Green 2 2 2 4 2 3" xfId="6687"/>
    <cellStyle name="Title [Helv] 2 2 2 4 2 3" xfId="6688"/>
    <cellStyle name="Title [Palat] 2 2 2 4 2 3" xfId="6689"/>
    <cellStyle name="Border Thin 4 2 3" xfId="6690"/>
    <cellStyle name="Date [mm-d-yyyy] 4 2 3" xfId="6691"/>
    <cellStyle name="dp*SubTitle 4 2 3" xfId="6692"/>
    <cellStyle name="dp*ThinLineBelow 4 2 3" xfId="6693"/>
    <cellStyle name="PB Table Standard Row 4 2 3" xfId="6694"/>
    <cellStyle name="P-Green Rule 4 2 3" xfId="6695"/>
    <cellStyle name="Style 44 5 2 3" xfId="6696"/>
    <cellStyle name="Style 45 5 2 3" xfId="6697"/>
    <cellStyle name="Style 49 5 2 3" xfId="6698"/>
    <cellStyle name="Style 51 5 2 3" xfId="6699"/>
    <cellStyle name="Title [Palat] 3 2 3" xfId="6700"/>
    <cellStyle name="Title [Helv] 3 2 3" xfId="6701"/>
    <cellStyle name="Table Head Green 3 2 3" xfId="6702"/>
    <cellStyle name="Table Head Aligned 3 2 3" xfId="6703"/>
    <cellStyle name="Outputs 3 2 3" xfId="6704"/>
    <cellStyle name="Magic 3 2 3" xfId="6705"/>
    <cellStyle name="Heading [Palat] 3 2 3" xfId="6706"/>
    <cellStyle name="Heading [Helv] 3 2 3" xfId="6707"/>
    <cellStyle name="dp*SheetSubTitle 3 2 3" xfId="6708"/>
    <cellStyle name="dp*NumberLineEPS 3 2 3" xfId="6709"/>
    <cellStyle name="dp*NumberLine 3 2 3" xfId="6710"/>
    <cellStyle name="COL HEADINGS 3 2 3" xfId="6711"/>
    <cellStyle name="Bold/Border 3 2 3" xfId="6712"/>
    <cellStyle name="Afjusted 5 2 3" xfId="6713"/>
    <cellStyle name="ac 3 2 3" xfId="6714"/>
    <cellStyle name="Date [mmm-yyyy] 3 2 3" xfId="6715"/>
    <cellStyle name="ac 2 4 2 3" xfId="6716"/>
    <cellStyle name="Afjusted 2 3 2 3" xfId="6717"/>
    <cellStyle name="Bold/Border 2 4 2 3" xfId="6718"/>
    <cellStyle name="Border Thin 2 4 2 3" xfId="6719"/>
    <cellStyle name="COL HEADINGS 2 4 2 3" xfId="6720"/>
    <cellStyle name="Date [mmm-yyyy] 2 4 2 3" xfId="6721"/>
    <cellStyle name="dp*NumberLine 2 4 2 3" xfId="6722"/>
    <cellStyle name="dp*NumberLineEPS 2 4 2 3" xfId="6723"/>
    <cellStyle name="dp*SheetSubTitle 2 4 2 3" xfId="6724"/>
    <cellStyle name="dp*SubTitle 2 4 2 3" xfId="6725"/>
    <cellStyle name="dp*ThinLineBelow 2 4 2 3" xfId="6726"/>
    <cellStyle name="Heading [Helv] 2 4 2 3" xfId="6727"/>
    <cellStyle name="Heading [Palat] 2 4 2 3" xfId="6728"/>
    <cellStyle name="Magic 2 4 2 3" xfId="6729"/>
    <cellStyle name="Outputs 2 4 2 3" xfId="6730"/>
    <cellStyle name="PB Table Standard Row 2 4 2 3" xfId="6731"/>
    <cellStyle name="P-Green Rule 2 4 2 3" xfId="6732"/>
    <cellStyle name="Style 44 3 4 2 3" xfId="6733"/>
    <cellStyle name="Style 45 3 4 2 3" xfId="6734"/>
    <cellStyle name="Style 49 3 4 2 3" xfId="6735"/>
    <cellStyle name="Style 51 3 4 2 3" xfId="6736"/>
    <cellStyle name="Style 44 2 4 2 3" xfId="6737"/>
    <cellStyle name="Style 45 2 4 2 3" xfId="6738"/>
    <cellStyle name="Style 49 2 4 2 3" xfId="6739"/>
    <cellStyle name="Style 51 2 4 2 3" xfId="6740"/>
    <cellStyle name="Table Head Aligned 2 4 2 3" xfId="6741"/>
    <cellStyle name="Table Head Green 2 4 2 3" xfId="6742"/>
    <cellStyle name="Title [Helv] 2 4 2 3" xfId="6743"/>
    <cellStyle name="Title [Palat] 2 4 2 3" xfId="6744"/>
    <cellStyle name="ac 4 2 3" xfId="6745"/>
    <cellStyle name="Bold/Border 4 2 3" xfId="6746"/>
    <cellStyle name="Border Thin 5 2 3" xfId="6747"/>
    <cellStyle name="COL HEADINGS 4 2 3" xfId="6748"/>
    <cellStyle name="Date [mm-d-yyyy] 5 2 3" xfId="6749"/>
    <cellStyle name="Heading [Helv] 4 2 3" xfId="6750"/>
    <cellStyle name="Heading [Palat] 4 2 3" xfId="6751"/>
    <cellStyle name="Outputs 4 2 3" xfId="6752"/>
    <cellStyle name="PB Table Standard Row 5 2 3" xfId="6753"/>
    <cellStyle name="P-Green Rule 5 2 3" xfId="6754"/>
    <cellStyle name="Style 44 6 2 3" xfId="6755"/>
    <cellStyle name="Style 45 6 2 3" xfId="6756"/>
    <cellStyle name="Style 49 6 2 3" xfId="6757"/>
    <cellStyle name="Style 51 6 2 3" xfId="6758"/>
    <cellStyle name="Table Head Green 4 2 3" xfId="6759"/>
    <cellStyle name="Afjusted 6 2 3" xfId="6760"/>
    <cellStyle name="ac 2 5 2 3" xfId="6761"/>
    <cellStyle name="Afjusted 2 4 2 3" xfId="6762"/>
    <cellStyle name="Bold/Border 2 5 2 3" xfId="6763"/>
    <cellStyle name="Border Thin 2 5 2 3" xfId="6764"/>
    <cellStyle name="COL HEADINGS 2 5 2 3" xfId="6765"/>
    <cellStyle name="Date [mmm-yyyy] 2 5 2 3" xfId="6766"/>
    <cellStyle name="dp*NumberLine 2 5 2 3" xfId="6767"/>
    <cellStyle name="dp*NumberLineEPS 2 5 2 3" xfId="6768"/>
    <cellStyle name="dp*SheetSubTitle 2 5 2 3" xfId="6769"/>
    <cellStyle name="dp*SubTitle 2 5 2 3" xfId="6770"/>
    <cellStyle name="dp*ThinLineBelow 2 5 2 3" xfId="6771"/>
    <cellStyle name="Heading [Helv] 2 5 2 3" xfId="6772"/>
    <cellStyle name="Heading [Palat] 2 5 2 3" xfId="6773"/>
    <cellStyle name="Magic 2 5 2 3" xfId="6774"/>
    <cellStyle name="Outputs 2 5 2 3" xfId="6775"/>
    <cellStyle name="PB Table Standard Row 2 5 2 3" xfId="6776"/>
    <cellStyle name="P-Green Rule 2 5 2 3" xfId="6777"/>
    <cellStyle name="Style 44 3 5 2 3" xfId="6778"/>
    <cellStyle name="Style 45 3 5 2 3" xfId="6779"/>
    <cellStyle name="Style 49 3 5 2 3" xfId="6780"/>
    <cellStyle name="Style 51 3 5 2 3" xfId="6781"/>
    <cellStyle name="Style 44 2 5 2 3" xfId="6782"/>
    <cellStyle name="Style 45 2 5 2 3" xfId="6783"/>
    <cellStyle name="Style 49 2 5 2 3" xfId="6784"/>
    <cellStyle name="Style 51 2 5 2 3" xfId="6785"/>
    <cellStyle name="Table Head Aligned 2 5 2 3" xfId="6786"/>
    <cellStyle name="Table Head Green 2 5 2 3" xfId="6787"/>
    <cellStyle name="Title [Helv] 2 5 2 3" xfId="6788"/>
    <cellStyle name="Title [Palat] 2 5 2 3" xfId="6789"/>
    <cellStyle name="ac 5 2 3" xfId="6790"/>
    <cellStyle name="Bold/Border 5 2 3" xfId="6791"/>
    <cellStyle name="Border Thin 6 2 3" xfId="6792"/>
    <cellStyle name="COL HEADINGS 5 2 3" xfId="6793"/>
    <cellStyle name="Heading [Helv] 5 2 3" xfId="6794"/>
    <cellStyle name="Heading [Palat] 5 2 3" xfId="6795"/>
    <cellStyle name="Outputs 5 2 3" xfId="6796"/>
    <cellStyle name="PB Table Standard Row 6 2 3" xfId="6797"/>
    <cellStyle name="P-Green Rule 6 2 3" xfId="6798"/>
    <cellStyle name="Style 44 7 2 3" xfId="6799"/>
    <cellStyle name="Style 45 7 2 3" xfId="6800"/>
    <cellStyle name="Style 49 7 2 3" xfId="6801"/>
    <cellStyle name="Style 51 7 2 3" xfId="6802"/>
    <cellStyle name="Table Head Green 5 2 3" xfId="6803"/>
    <cellStyle name="Title [Palat] 4 2 3" xfId="6804"/>
    <cellStyle name="ac 2 6 2 3" xfId="6805"/>
    <cellStyle name="Bold/Border 2 6 2 3" xfId="6806"/>
    <cellStyle name="Border Thin 2 6 2 3" xfId="6807"/>
    <cellStyle name="COL HEADINGS 2 6 2 3" xfId="6808"/>
    <cellStyle name="Heading [Helv] 2 6 2 3" xfId="6809"/>
    <cellStyle name="Heading [Palat] 2 6 2 3" xfId="6810"/>
    <cellStyle name="Outputs 2 6 2 3" xfId="6811"/>
    <cellStyle name="PB Table Standard Row 2 6 2 3" xfId="6812"/>
    <cellStyle name="P-Green Rule 2 6 2 3" xfId="6813"/>
    <cellStyle name="Style 44 3 6 2 3" xfId="6814"/>
    <cellStyle name="Style 45 3 6 2 3" xfId="6815"/>
    <cellStyle name="Style 49 3 6 2 3" xfId="6816"/>
    <cellStyle name="Style 51 3 6 2 3" xfId="6817"/>
    <cellStyle name="Style 44 2 6 2 3" xfId="6818"/>
    <cellStyle name="Style 45 2 6 2 3" xfId="6819"/>
    <cellStyle name="Style 49 2 6 2 3" xfId="6820"/>
    <cellStyle name="Style 51 2 6 2 3" xfId="6821"/>
    <cellStyle name="Table Head Green 2 6 2 3" xfId="6822"/>
    <cellStyle name="Title [Palat] 2 6 2 3" xfId="6823"/>
    <cellStyle name="Title [Palat] 5 2 3" xfId="6824"/>
    <cellStyle name="Title [Helv] 4 2 3" xfId="6825"/>
    <cellStyle name="Table Head Green 6 2 3" xfId="6826"/>
    <cellStyle name="Table Head Aligned 4 2 3" xfId="6827"/>
    <cellStyle name="Style 51 9 2 3" xfId="6828"/>
    <cellStyle name="Style 49 9 2 3" xfId="6829"/>
    <cellStyle name="Style 45 9 2 3" xfId="6830"/>
    <cellStyle name="Style 44 9 2 3" xfId="6831"/>
    <cellStyle name="P-Green Rule 7 2 3" xfId="6832"/>
    <cellStyle name="PB Table Standard Row 7 2 3" xfId="6833"/>
    <cellStyle name="Outputs 6 2 3" xfId="6834"/>
    <cellStyle name="Magic 4 2 3" xfId="6835"/>
    <cellStyle name="Heading [Palat] 6 2 3" xfId="6836"/>
    <cellStyle name="Heading [Helv] 6 2 3" xfId="6837"/>
    <cellStyle name="dp*ThinLineBelow 5 2 3" xfId="6838"/>
    <cellStyle name="dp*SubTitle 5 2 3" xfId="6839"/>
    <cellStyle name="dp*SheetSubTitle 4 2 3" xfId="6840"/>
    <cellStyle name="dp*NumberLineEPS 4 2 3" xfId="6841"/>
    <cellStyle name="dp*NumberLine 4 2 3" xfId="6842"/>
    <cellStyle name="Date [mmm-yyyy] 4 2 3" xfId="6843"/>
    <cellStyle name="Date [mm-d-yyyy] 7 2 3" xfId="6844"/>
    <cellStyle name="COL HEADINGS 6 2 3" xfId="6845"/>
    <cellStyle name="Border Thin 7 2 3" xfId="6846"/>
    <cellStyle name="Bold/Border 6 2 3" xfId="6847"/>
    <cellStyle name="Afjusted 7 2 3" xfId="6848"/>
    <cellStyle name="ac 6 2 3" xfId="6849"/>
    <cellStyle name="Style 44 8 2 3" xfId="6850"/>
    <cellStyle name="Style 45 8 2 3" xfId="6851"/>
    <cellStyle name="Style 49 8 2 3" xfId="6852"/>
    <cellStyle name="Style 51 8 2 3" xfId="6853"/>
    <cellStyle name="Title [Palat] 6 2 3" xfId="6854"/>
    <cellStyle name="Title [Helv] 5 2 3" xfId="6855"/>
    <cellStyle name="Table Head Green 7 2 3" xfId="6856"/>
    <cellStyle name="Table Head Aligned 5 2 3" xfId="6857"/>
    <cellStyle name="Outputs 7 2 3" xfId="6858"/>
    <cellStyle name="Magic 5 2 3" xfId="6859"/>
    <cellStyle name="Heading [Palat] 7 2 3" xfId="6860"/>
    <cellStyle name="Heading [Helv] 7 2 3" xfId="6861"/>
    <cellStyle name="dp*SheetSubTitle 5 2 3" xfId="6862"/>
    <cellStyle name="dp*NumberLineEPS 5 2 3" xfId="6863"/>
    <cellStyle name="dp*NumberLine 5 2 3" xfId="6864"/>
    <cellStyle name="Date [mmm-yyyy] 5 2 3" xfId="6865"/>
    <cellStyle name="COL HEADINGS 7 2 3" xfId="6866"/>
    <cellStyle name="Bold/Border 7 2 3" xfId="6867"/>
    <cellStyle name="Afjusted 8 2 3" xfId="6868"/>
    <cellStyle name="ac 7 2 3" xfId="6869"/>
    <cellStyle name="Title [Palat] 7 2 3" xfId="6870"/>
    <cellStyle name="Title [Helv] 6 2 3" xfId="6871"/>
    <cellStyle name="Table Head Green 8 2 3" xfId="6872"/>
    <cellStyle name="Table Head Aligned 6 2 3" xfId="6873"/>
    <cellStyle name="Outputs 8 2 3" xfId="6874"/>
    <cellStyle name="Magic 6 2 3" xfId="6875"/>
    <cellStyle name="Heading [Palat] 8 2 3" xfId="6876"/>
    <cellStyle name="Heading [Helv] 8 2 3" xfId="6877"/>
    <cellStyle name="dp*SheetSubTitle 6 2 3" xfId="6878"/>
    <cellStyle name="dp*NumberLineEPS 6 2 3" xfId="6879"/>
    <cellStyle name="dp*NumberLine 6 2 3" xfId="6880"/>
    <cellStyle name="COL HEADINGS 8 2 3" xfId="6881"/>
    <cellStyle name="Bold/Border 8 2 3" xfId="6882"/>
    <cellStyle name="Afjusted 9 2 3" xfId="6883"/>
    <cellStyle name="ac 8 2 3" xfId="6884"/>
    <cellStyle name="Date [mmm-yyyy] 6 2 3" xfId="6885"/>
    <cellStyle name="Title [Palat] 8 2 3" xfId="6886"/>
    <cellStyle name="Title [Helv] 7 2 3" xfId="6887"/>
    <cellStyle name="Table Head Green 9 2 3" xfId="6888"/>
    <cellStyle name="Table Head Aligned 7 2 3" xfId="6889"/>
    <cellStyle name="Outputs 9 2 3" xfId="6890"/>
    <cellStyle name="Magic 7 2 3" xfId="6891"/>
    <cellStyle name="Heading [Palat] 9 2 3" xfId="6892"/>
    <cellStyle name="Heading [Helv] 9 2 3" xfId="6893"/>
    <cellStyle name="dp*SheetSubTitle 7 2 3" xfId="6894"/>
    <cellStyle name="dp*NumberLineEPS 7 2 3" xfId="6895"/>
    <cellStyle name="dp*NumberLine 7 2 3" xfId="6896"/>
    <cellStyle name="Date [mmm-yyyy] 7 2 3" xfId="6897"/>
    <cellStyle name="COL HEADINGS 9 2 3" xfId="6898"/>
    <cellStyle name="Bold/Border 9 2 3" xfId="6899"/>
    <cellStyle name="Afjusted 10 2 3" xfId="6900"/>
    <cellStyle name="ac 9 2 3" xfId="6901"/>
    <cellStyle name="dp*NumberLine 2 2 2 4 5 2" xfId="6902"/>
    <cellStyle name="Title [Helv] 2 2 2 4 5 2" xfId="6903"/>
    <cellStyle name="Title [Palat] 2 2 2 4 5 2" xfId="6904"/>
    <cellStyle name="Date [mm-d-yyyy] 4 5 2" xfId="6905"/>
    <cellStyle name="Title [Helv] 3 5 2" xfId="6906"/>
    <cellStyle name="Magic 3 5 2" xfId="6907"/>
    <cellStyle name="Heading [Palat] 3 5 2" xfId="6908"/>
    <cellStyle name="dp*NumberLineEPS 3 5 2" xfId="6909"/>
    <cellStyle name="Bold/Border 3 5 2" xfId="6910"/>
    <cellStyle name="COL HEADINGS 2 4 5 2" xfId="6911"/>
    <cellStyle name="Style 44 3 4 5 2" xfId="6912"/>
    <cellStyle name="Style 45 3 4 5 2" xfId="6913"/>
    <cellStyle name="Style 49 3 4 5 2" xfId="6914"/>
    <cellStyle name="Style 51 3 4 5 2" xfId="6915"/>
    <cellStyle name="Style 44 2 4 5 2" xfId="6916"/>
    <cellStyle name="Style 45 2 4 5 2" xfId="6917"/>
    <cellStyle name="Style 49 2 4 5 2" xfId="6918"/>
    <cellStyle name="Style 51 2 4 5 2" xfId="6919"/>
    <cellStyle name="Table Head Aligned 2 4 5 2" xfId="6920"/>
    <cellStyle name="Table Head Green 2 4 5 2" xfId="6921"/>
    <cellStyle name="Title [Helv] 2 4 5 2" xfId="6922"/>
    <cellStyle name="ac 4 5 2" xfId="6923"/>
    <cellStyle name="Bold/Border 4 5 2" xfId="6924"/>
    <cellStyle name="Heading [Palat] 4 5 2" xfId="6925"/>
    <cellStyle name="PB Table Standard Row 5 5 2" xfId="6926"/>
    <cellStyle name="Style 51 6 5 2" xfId="6927"/>
    <cellStyle name="ac 2 5 5 2" xfId="6928"/>
    <cellStyle name="Afjusted 2 4 5 2" xfId="6929"/>
    <cellStyle name="Bold/Border 2 5 5 2" xfId="6930"/>
    <cellStyle name="Date [mmm-yyyy] 2 5 5 2" xfId="6931"/>
    <cellStyle name="Border Thin 3 2 4 10" xfId="6932"/>
    <cellStyle name="Table Head Aligned 2 2 3 2 10" xfId="6933"/>
    <cellStyle name="Style 45 2 5 5 2" xfId="6934"/>
    <cellStyle name="Bold/Border 5 5 2" xfId="6935"/>
    <cellStyle name="COL HEADINGS 5 5 2" xfId="6936"/>
    <cellStyle name="Heading [Helv] 5 5 2" xfId="6937"/>
    <cellStyle name="Outputs 5 5 2" xfId="6938"/>
    <cellStyle name="PB Table Standard Row 6 5 2" xfId="6939"/>
    <cellStyle name="P-Green Rule 6 5 2" xfId="6940"/>
    <cellStyle name="dp*SubTitle 3 3 10" xfId="6941"/>
    <cellStyle name="ac 9 6" xfId="6942"/>
    <cellStyle name="Afjusted 10 6" xfId="6943"/>
    <cellStyle name="Bold/Border 9 6" xfId="6944"/>
    <cellStyle name="dp*NumberLineEPS 7 6" xfId="6945"/>
    <cellStyle name="Heading [Palat] 9 6" xfId="6946"/>
    <cellStyle name="Outputs 9 6" xfId="6947"/>
    <cellStyle name="Table Head Green 9 6" xfId="6948"/>
    <cellStyle name="ac 8 6" xfId="6949"/>
    <cellStyle name="PB Table Standard Row 3 3 4 10" xfId="6950"/>
    <cellStyle name="Bold/Border 8 6" xfId="6951"/>
    <cellStyle name="COL HEADINGS 8 6" xfId="6952"/>
    <cellStyle name="Heading [Helv] 4 9" xfId="6953"/>
    <cellStyle name="dp*NumberLine 6 6" xfId="6954"/>
    <cellStyle name="dp*NumberLineEPS 6 6" xfId="6955"/>
    <cellStyle name="dp*SheetSubTitle 6 6" xfId="6956"/>
    <cellStyle name="Draw lines around data in range 3 4" xfId="6957"/>
    <cellStyle name="Millions 8 4" xfId="6958"/>
    <cellStyle name="SymbolBlue 3 5" xfId="6959"/>
    <cellStyle name="Heading [Helv] 8 6" xfId="6960"/>
    <cellStyle name="Heading [Palat] 8 6" xfId="6961"/>
    <cellStyle name="Style 49 4 3 2 9" xfId="6962"/>
    <cellStyle name="Border Thin 3 3 11" xfId="6963"/>
    <cellStyle name="SAPBEXaggDataEmph 9" xfId="6964"/>
    <cellStyle name="SAPBEXHLevel3 11" xfId="6965"/>
    <cellStyle name="SymbolBlue 2 5" xfId="6966"/>
    <cellStyle name="UNLOCKED 4 5" xfId="6967"/>
    <cellStyle name="Title [Palat] 2 2 4 10" xfId="6968"/>
    <cellStyle name="Style 44 4 8" xfId="6969"/>
    <cellStyle name="Border Thin 2 3 8" xfId="6970"/>
    <cellStyle name="Format text as bold, black on yellow 11" xfId="6971"/>
    <cellStyle name="Title [Helv] 2 2 3 12" xfId="6972"/>
    <cellStyle name="Style 45 4 3 11" xfId="6973"/>
    <cellStyle name="Table Head Aligned 6 6" xfId="6974"/>
    <cellStyle name="Table Head Green 8 6" xfId="6975"/>
    <cellStyle name="Title [Helv] 6 6" xfId="6976"/>
    <cellStyle name="Title [Palat] 7 6" xfId="6977"/>
    <cellStyle name="dp*SubTitle 2 4 9" xfId="6978"/>
    <cellStyle name="Arial8Italic 3 5" xfId="6979"/>
    <cellStyle name="ac 10" xfId="6980"/>
    <cellStyle name="Style 45 8 7" xfId="6981"/>
    <cellStyle name="Style 44 8 7" xfId="6982"/>
    <cellStyle name="Afjusted 11" xfId="6983"/>
    <cellStyle name="SAPBEXexcCritical6 8" xfId="6984"/>
    <cellStyle name="dp*SubTitle 2 2 9" xfId="6985"/>
    <cellStyle name="Bold/Border 2 2 3 2 9" xfId="6986"/>
    <cellStyle name="SAPBEXexcCritical4 2 4" xfId="6987"/>
    <cellStyle name="Style 40 11" xfId="6988"/>
    <cellStyle name="Style 35 11" xfId="6989"/>
    <cellStyle name="Style 28 9" xfId="6990"/>
    <cellStyle name="SAPBEXexcGood1 8" xfId="6991"/>
    <cellStyle name="Bold/Border 10" xfId="6992"/>
    <cellStyle name="SAPBEXstdItemX 2 5" xfId="6993"/>
    <cellStyle name="Date [mm-d-yyyy] 3 8" xfId="6994"/>
    <cellStyle name="ac 2 2 3 3 10" xfId="6995"/>
    <cellStyle name="Afjusted 3 4 10" xfId="6996"/>
    <cellStyle name="dp*ThinLineAbove 9" xfId="6997"/>
    <cellStyle name="dp*Number%ItalicsLineAbove 9" xfId="6998"/>
    <cellStyle name="Style 44 9 5" xfId="6999"/>
    <cellStyle name="Style 49 9 5" xfId="7000"/>
    <cellStyle name="Style 44 4 2 11" xfId="7001"/>
    <cellStyle name="Style 51 9 5" xfId="7002"/>
    <cellStyle name="Title [Palat] 2 2 3 2 10" xfId="7003"/>
    <cellStyle name="Table Head Green 6 7" xfId="7004"/>
    <cellStyle name="Title [Palat] 5 7" xfId="7005"/>
    <cellStyle name="Style 45 7 5 4" xfId="7006"/>
    <cellStyle name="Outputs 2 2 3 11" xfId="7007"/>
    <cellStyle name="dp*NumberLine 2 2 3 11" xfId="7008"/>
    <cellStyle name="Border Thin 2 5 9" xfId="7009"/>
    <cellStyle name="Date [mm-d-yyyy] 3 3 4 9" xfId="7010"/>
    <cellStyle name="dp*NumberLineEPS 2 5 9" xfId="7011"/>
    <cellStyle name="dp*ThinLineBelow 3 3 10" xfId="7012"/>
    <cellStyle name="COL HEADINGS 10" xfId="7013"/>
    <cellStyle name="Style 45 4 3 3 9" xfId="7014"/>
    <cellStyle name="PB Table Standard Row 3 3 3 9" xfId="7015"/>
    <cellStyle name="Style 44 4 3 3 9" xfId="7016"/>
    <cellStyle name="dp*SubTitle 3 5 8" xfId="7017"/>
    <cellStyle name="Afjusted 4 2 3 10" xfId="7018"/>
    <cellStyle name="SAPBEXHLevel3X 3 4" xfId="7019"/>
    <cellStyle name="UNLOCKED 12 4" xfId="7020"/>
    <cellStyle name="Title [Helv] 2 3 9" xfId="7021"/>
    <cellStyle name="Main 2 5" xfId="7022"/>
    <cellStyle name="ac 2 2 3 3 9" xfId="7023"/>
    <cellStyle name="UNLOCKED 11 4" xfId="7024"/>
    <cellStyle name="Magic 2 2 2 2 10" xfId="7025"/>
    <cellStyle name="Outputs 2 2 3 3 9" xfId="7026"/>
    <cellStyle name="Bold/Border 2 2 2 4 10" xfId="7027"/>
    <cellStyle name="UNLOCKED 8 4" xfId="7028"/>
    <cellStyle name="Style 44 4 4 9" xfId="7029"/>
    <cellStyle name="Heading [Palat] 2 3 9" xfId="7030"/>
    <cellStyle name="Heading [Palat] 2 4 10" xfId="7031"/>
    <cellStyle name="Currency-- 44" xfId="7032"/>
    <cellStyle name="WingdingsWhite 4 5" xfId="7033"/>
    <cellStyle name="SymbolBlue 4 5" xfId="7034"/>
    <cellStyle name="Title [Palat] 4 7" xfId="7035"/>
    <cellStyle name="Style 44 2 4 10" xfId="7036"/>
    <cellStyle name="Title [Palat] 2 2 2 12" xfId="7037"/>
    <cellStyle name="P-Green Rule 3 3 3 10" xfId="7038"/>
    <cellStyle name="SAPBEXexcBad7 8" xfId="7039"/>
    <cellStyle name="SAPBEXexcGood2 8" xfId="7040"/>
    <cellStyle name="UNLOCKED 40" xfId="7041"/>
    <cellStyle name="Date [mmm-yyyy] 8" xfId="7042"/>
    <cellStyle name="P-Green Rule 6 7" xfId="7043"/>
    <cellStyle name="Input 2 7" xfId="7044"/>
    <cellStyle name="PB Table Standard Row 3 2 2 9" xfId="7045"/>
    <cellStyle name="PB Table Standard Row 6 7" xfId="7046"/>
    <cellStyle name="WingdingsWhite 2 4" xfId="7047"/>
    <cellStyle name="Afjusted 2 2 2 11" xfId="7048"/>
    <cellStyle name="dp*NumberLine 2 2 2 11" xfId="7049"/>
    <cellStyle name="Heading [Helv] 2 2 2 11" xfId="7050"/>
    <cellStyle name="Style 25 3 5" xfId="7051"/>
    <cellStyle name="Style 28 3 5" xfId="7052"/>
    <cellStyle name="Heading [Palat] 2 2 3 4 9" xfId="7053"/>
    <cellStyle name="Table Head Green 2 2 3 2 9" xfId="7054"/>
    <cellStyle name="Heading [Palat] 2 2 3 2 9" xfId="7055"/>
    <cellStyle name="PB Table Standard Row 3 5 8" xfId="7056"/>
    <cellStyle name="dp*ThinLineBelow 3 2 2 8" xfId="7057"/>
    <cellStyle name="Afjusted 4 2 2 9" xfId="7058"/>
    <cellStyle name="COL HEADINGS 2 2 2 2 9" xfId="7059"/>
    <cellStyle name="dp*NumberLineEPS 2 2 2 2 9" xfId="7060"/>
    <cellStyle name="Heading [Palat] 2 2 2 2 9" xfId="7061"/>
    <cellStyle name="dp*SubTitle 3 2 3 9" xfId="7062"/>
    <cellStyle name="COL HEADINGS 2 2 2 3 9" xfId="7063"/>
    <cellStyle name="dp*NumberLineEPS 2 2 2 3 9" xfId="7064"/>
    <cellStyle name="Magic 2 2 2 3 9" xfId="7065"/>
    <cellStyle name="Table Head Green 2 2 2 3 9" xfId="7066"/>
    <cellStyle name="Afjusted 3 2 4 9" xfId="7067"/>
    <cellStyle name="Style 49 4 2 4 9" xfId="7068"/>
    <cellStyle name="Heading [Palat] 5 7" xfId="7069"/>
    <cellStyle name="Heading [Helv] 5 7" xfId="7070"/>
    <cellStyle name="Afjusted 4 2 4 9" xfId="7071"/>
    <cellStyle name="Style 49 4 2 3 10" xfId="7072"/>
    <cellStyle name="PB Table Standard Row 4 9" xfId="7073"/>
    <cellStyle name="Heading [Palat] 3 9" xfId="7074"/>
    <cellStyle name="ItemTypeClass 2 5" xfId="7075"/>
    <cellStyle name="Bold/Border 2 2 2 2 10" xfId="7076"/>
    <cellStyle name="Bold/Border 2 4 9" xfId="7077"/>
    <cellStyle name="dp*NumberLine 2 4 9" xfId="7078"/>
    <cellStyle name="Style 45 4 3 3 10" xfId="7079"/>
    <cellStyle name="UNLOCKED 7 5" xfId="7080"/>
    <cellStyle name="dp*NumberLine 8" xfId="7081"/>
    <cellStyle name="dp*NumberLineEPS 8" xfId="7082"/>
    <cellStyle name="Date [mm-d-yyyy] 6 5" xfId="7083"/>
    <cellStyle name="WingdingsRed 2 5" xfId="7084"/>
    <cellStyle name="SAPBEXundefined 2 5" xfId="7085"/>
    <cellStyle name="dp*SheetSubTitle 8" xfId="7086"/>
    <cellStyle name="SAPBEXHLevel1 2 5" xfId="7087"/>
    <cellStyle name="WingdingsWhite 12" xfId="7088"/>
    <cellStyle name="Style 48 4 4" xfId="7089"/>
    <cellStyle name="WingdingsBlack 3 5" xfId="7090"/>
    <cellStyle name="Border Thin 6 7" xfId="7091"/>
    <cellStyle name="ac 5 7" xfId="7092"/>
    <cellStyle name="Title [Palat] 4 9" xfId="7093"/>
    <cellStyle name="Bold/Border 2 6 9" xfId="7094"/>
    <cellStyle name="Heading [Palat] 2 6 9" xfId="7095"/>
    <cellStyle name="dp*NumberLine 2 11" xfId="7096"/>
    <cellStyle name="SAPBEXformats 2 5" xfId="7097"/>
    <cellStyle name="PB Table Standard Row 3 4 5" xfId="7098"/>
    <cellStyle name="Draw lines around data in range 3 5" xfId="7099"/>
    <cellStyle name="EYColumnHeading 10 4" xfId="7100"/>
    <cellStyle name="Title [Helv] 2 5 7" xfId="7101"/>
    <cellStyle name="Style 51 2 5 7" xfId="7102"/>
    <cellStyle name="Style 44 2 5 7" xfId="7103"/>
    <cellStyle name="Style 45 3 5 7" xfId="7104"/>
    <cellStyle name="PB Table Standard Row 2 5 7" xfId="7105"/>
    <cellStyle name="Heading [Palat] 2 5 7" xfId="7106"/>
    <cellStyle name="dp*ThinLineBelow 3 2 2 9" xfId="7107"/>
    <cellStyle name="ac 2 5 10" xfId="7108"/>
    <cellStyle name="Afjusted 6 10" xfId="7109"/>
    <cellStyle name="ArialNormal 11" xfId="7110"/>
    <cellStyle name="Border Thin 5 10" xfId="7111"/>
    <cellStyle name="Table Head Green 4 7" xfId="7112"/>
    <cellStyle name="Afjusted 2 2 2 4 10" xfId="7113"/>
    <cellStyle name="DateYearWholeEstimate 11" xfId="7114"/>
    <cellStyle name="Heading [Helv] 10" xfId="7115"/>
    <cellStyle name="Heading [Palat] 10" xfId="7116"/>
    <cellStyle name="ItemTypeClass 11" xfId="7117"/>
    <cellStyle name="SAPBEXundefined 9" xfId="7118"/>
    <cellStyle name="SAPBEXresItem 9" xfId="7119"/>
    <cellStyle name="SAPBEXHLevel3X 10" xfId="7120"/>
    <cellStyle name="Millions 2 4" xfId="7121"/>
    <cellStyle name="dp*SubTitle 3 3 2 8" xfId="7122"/>
    <cellStyle name="Outputs 4 7" xfId="7123"/>
    <cellStyle name="DateYearEstimate 2 4" xfId="7124"/>
    <cellStyle name="SAPBEXexcCritical6 2 4" xfId="7125"/>
    <cellStyle name="SAPBEXstdItem 2 4" xfId="7126"/>
    <cellStyle name="Style 53 2 4" xfId="7127"/>
    <cellStyle name="ItemTypeClass 12" xfId="7128"/>
    <cellStyle name="Bold/Border 2 2 2 11" xfId="7129"/>
    <cellStyle name="Style 27 3 5" xfId="7130"/>
    <cellStyle name="Heading [Helv] 2 2 3 2 9" xfId="7131"/>
    <cellStyle name="Date [mm-d-yyyy] 3 2 2 8" xfId="7132"/>
    <cellStyle name="Style 45 4 2 2 8" xfId="7133"/>
    <cellStyle name="P-Green Rule 3 2 2 8" xfId="7134"/>
    <cellStyle name="ac 2 2 2 2 9" xfId="7135"/>
    <cellStyle name="Date [mm-d-yyyy] 3 2 4 9" xfId="7136"/>
    <cellStyle name="Heading [Helv] 4 7" xfId="7137"/>
    <cellStyle name="P-Green Rule 4 9" xfId="7138"/>
    <cellStyle name="UNLOCKED 13 4" xfId="7139"/>
    <cellStyle name="Magic 8" xfId="7140"/>
    <cellStyle name="Style 53 3 4" xfId="7141"/>
    <cellStyle name="UNLOCKED 19 4" xfId="7142"/>
    <cellStyle name="P-Green Rule 2 4 9" xfId="7143"/>
    <cellStyle name="Style 51 2 5 10" xfId="7144"/>
    <cellStyle name="Style 45 4 3 4 10" xfId="7145"/>
    <cellStyle name="Style 44 2 3 10" xfId="7146"/>
    <cellStyle name="Date [mm-d-yyyy] 5 7" xfId="7147"/>
    <cellStyle name="Style 40 2 5" xfId="7148"/>
    <cellStyle name="SAPBEXstdDataEmph 2 5" xfId="7149"/>
    <cellStyle name="SAPBEXtitle 9" xfId="7150"/>
    <cellStyle name="Style 21 4 4" xfId="7151"/>
    <cellStyle name="Border Thin 5 7" xfId="7152"/>
    <cellStyle name="Bold/Border 4 7" xfId="7153"/>
    <cellStyle name="DateYearEstimate 5 4" xfId="7154"/>
    <cellStyle name="Outputs 2 3 10" xfId="7155"/>
    <cellStyle name="Date [mmm-yyyy] 2 2 4 10" xfId="7156"/>
    <cellStyle name="Format a row of totals 5 4" xfId="7157"/>
    <cellStyle name="ac 4 7" xfId="7158"/>
    <cellStyle name="SAPBEXtitle 2 5" xfId="7159"/>
    <cellStyle name="Table Head Green 5 9" xfId="7160"/>
    <cellStyle name="WingdingsWhite 5 4" xfId="7161"/>
    <cellStyle name="P-Green Rule 2 6 9" xfId="7162"/>
    <cellStyle name="Style 49 3 6 9" xfId="7163"/>
    <cellStyle name="Style 44 2 6 9" xfId="7164"/>
    <cellStyle name="Style 49 2 6 9" xfId="7165"/>
    <cellStyle name="dp*SheetSubTitle 2 11" xfId="7166"/>
    <cellStyle name="Bold/Border 2 12" xfId="7167"/>
    <cellStyle name="Arial8Italic 4 5" xfId="7168"/>
    <cellStyle name="Style 45 5 7" xfId="7169"/>
    <cellStyle name="Magic 2 2 2 3 7" xfId="7170"/>
    <cellStyle name="Date [mm-d-yyyy] 3 2 3 7" xfId="7171"/>
    <cellStyle name="ac 2 2 2 2 7" xfId="7172"/>
    <cellStyle name="Date [mm-d-yyyy] 2 2 9" xfId="7173"/>
    <cellStyle name="Date [mmm-yyyy] 2 2 4 9" xfId="7174"/>
    <cellStyle name="SAPBEXHLevel2 3 5" xfId="7175"/>
    <cellStyle name="dp*NumberLineEPS 2 11" xfId="7176"/>
    <cellStyle name="Border Thin 3 3 3 10" xfId="7177"/>
    <cellStyle name="COL HEADINGS 2 5 10" xfId="7178"/>
    <cellStyle name="Format text as bold, black on yellow 2 5" xfId="7179"/>
    <cellStyle name="dp*ThinLineBelow 3 3 11" xfId="7180"/>
    <cellStyle name="Format text as bold, black on yellow 2 4" xfId="7181"/>
    <cellStyle name="Heading [Helv] 2 2 2 2 10" xfId="7182"/>
    <cellStyle name="Style 53 4 5" xfId="7183"/>
    <cellStyle name="Bold/Border 2 2 4 9" xfId="7184"/>
    <cellStyle name="Style 45 3 2 8" xfId="7185"/>
    <cellStyle name="Style 45 4 2 3 9" xfId="7186"/>
    <cellStyle name="COL HEADINGS 2 2 2 4 9" xfId="7187"/>
    <cellStyle name="Afjusted 2 2 2 2 10" xfId="7188"/>
    <cellStyle name="ItemTypeClass 5 4" xfId="7189"/>
    <cellStyle name="Style 37 2 5" xfId="7190"/>
    <cellStyle name="WingdingsRed 12" xfId="7191"/>
    <cellStyle name="Outputs 2 2 2 4 9" xfId="7192"/>
    <cellStyle name="Style 44 3 2 8" xfId="7193"/>
    <cellStyle name="Style 45 4 3 9" xfId="7194"/>
    <cellStyle name="PB Table Standard Row 3 3 9" xfId="7195"/>
    <cellStyle name="Border Thin 3 3 9" xfId="7196"/>
    <cellStyle name="Afjusted 4 3 9" xfId="7197"/>
    <cellStyle name="Outputs 10" xfId="7198"/>
    <cellStyle name="ac 2 2 3 10" xfId="7199"/>
    <cellStyle name="COL HEADINGS 2 2 3 10" xfId="7200"/>
    <cellStyle name="dp*NumberLineEPS 2 2 3 10" xfId="7201"/>
    <cellStyle name="Heading [Palat] 2 2 3 10" xfId="7202"/>
    <cellStyle name="Magic 2 2 3 10" xfId="7203"/>
    <cellStyle name="Outputs 2 2 3 10" xfId="7204"/>
    <cellStyle name="Title [Helv] 2 2 3 10" xfId="7205"/>
    <cellStyle name="PB Table Standard Row 3 3 4 7" xfId="7206"/>
    <cellStyle name="Style 51 3 3 10" xfId="7207"/>
    <cellStyle name="Style 45 4 4 7" xfId="7208"/>
    <cellStyle name="Date [mm-d-yyyy] 3 4 7" xfId="7209"/>
    <cellStyle name="P-Green Rule 3 3 3 7" xfId="7210"/>
    <cellStyle name="dp*SheetSubTitle 2 2 3 3 7" xfId="7211"/>
    <cellStyle name="Heading [Palat] 2 2 3 3 7" xfId="7212"/>
    <cellStyle name="Table Head Aligned 2 2 4 7" xfId="7213"/>
    <cellStyle name="Heading [Helv] 2 2 4 7" xfId="7214"/>
    <cellStyle name="Style 51 2 3 7" xfId="7215"/>
    <cellStyle name="Style 49 3 3 7" xfId="7216"/>
    <cellStyle name="Style 45 4 3 3 7" xfId="7217"/>
    <cellStyle name="Date [mmm-yyyy] 2 3 7" xfId="7218"/>
    <cellStyle name="Afjusted 3 3 3 7" xfId="7219"/>
    <cellStyle name="Style 49 4 3 4 7" xfId="7220"/>
    <cellStyle name="COL HEADINGS 2 2 3 4 7" xfId="7221"/>
    <cellStyle name="Style 44 3 3 7" xfId="7222"/>
    <cellStyle name="dp*ThinLineBelow 2 3 7" xfId="7223"/>
    <cellStyle name="PB Table Standard Row 2 2 7" xfId="7224"/>
    <cellStyle name="Style 45 3 2 7" xfId="7225"/>
    <cellStyle name="Style 49 3 2 7" xfId="7226"/>
    <cellStyle name="Style 51 3 2 7" xfId="7227"/>
    <cellStyle name="Style 45 2 2 7" xfId="7228"/>
    <cellStyle name="Style 51 2 2 7" xfId="7229"/>
    <cellStyle name="Title [Helv] 2 2 3 4 7" xfId="7230"/>
    <cellStyle name="Bold/Border 2 2 3 4 7" xfId="7231"/>
    <cellStyle name="Afjusted 4 3 4 9" xfId="7232"/>
    <cellStyle name="Title [Palat] 2 2 3 11" xfId="7233"/>
    <cellStyle name="SAPBEXHLevel1X 3 4" xfId="7234"/>
    <cellStyle name="SAPBEXstdItemX 11" xfId="7235"/>
    <cellStyle name="dp*SubTitle 3 3 11" xfId="7236"/>
    <cellStyle name="COL HEADINGS 2 3 9" xfId="7237"/>
    <cellStyle name="Afjusted 4 2 2 10" xfId="7238"/>
    <cellStyle name="Magic 2 2 3 4 9" xfId="7239"/>
    <cellStyle name="Border Thin 2 2 7" xfId="7240"/>
    <cellStyle name="Afjusted 3 3 4 9" xfId="7241"/>
    <cellStyle name="Style 24 10" xfId="7242"/>
    <cellStyle name="Outputs 2 2 3 3 5 2" xfId="7243"/>
    <cellStyle name="COL HEADINGS 2 5 9" xfId="7244"/>
    <cellStyle name="Table Head Green 2 4 9" xfId="7245"/>
    <cellStyle name="Title [Helv] 2 4 9" xfId="7246"/>
    <cellStyle name="Table Head Aligned 2 4 9" xfId="7247"/>
    <cellStyle name="Style 44 4 3 4 9" xfId="7248"/>
    <cellStyle name="UNLOCKED 6 4" xfId="7249"/>
    <cellStyle name="Style 44 2 2 8" xfId="7250"/>
    <cellStyle name="Magic 2 5 9" xfId="7251"/>
    <cellStyle name="dp*SheetSubTitle 2 2 4 9" xfId="7252"/>
    <cellStyle name="Outputs 2 5 9" xfId="7253"/>
    <cellStyle name="Title [Helv] 2 2 4 9" xfId="7254"/>
    <cellStyle name="Style 45 3 3 9" xfId="7255"/>
    <cellStyle name="Style 44 3 5 9" xfId="7256"/>
    <cellStyle name="Style 51 4 4 7" xfId="7257"/>
    <cellStyle name="Style 44 4 4 8" xfId="7258"/>
    <cellStyle name="Bold/Border 2 2 2 12" xfId="7259"/>
    <cellStyle name="Style 45 3 5 9" xfId="7260"/>
    <cellStyle name="Table Head Green 2 2 9" xfId="7261"/>
    <cellStyle name="Heading [Palat] 2 2 3 4 10" xfId="7262"/>
    <cellStyle name="Heading [Helv] 5 9" xfId="7263"/>
    <cellStyle name="Style 51 3 4 10" xfId="7264"/>
    <cellStyle name="Style 45 7 5 5" xfId="7265"/>
    <cellStyle name="SAPBEXaggData 8" xfId="7266"/>
    <cellStyle name="DateYearEstimate 12" xfId="7267"/>
    <cellStyle name="Total 2 2 4" xfId="7268"/>
    <cellStyle name="Title [Helv] 2 2 3 4 10" xfId="7269"/>
    <cellStyle name="Border Thin 3 3 4 9" xfId="7270"/>
    <cellStyle name="Style 49 3 4 10" xfId="7271"/>
    <cellStyle name="Title [Palat] 2 11" xfId="7272"/>
    <cellStyle name="Style 44 3 10" xfId="7273"/>
    <cellStyle name="Heading [Helv] 2 11" xfId="7274"/>
    <cellStyle name="EYCurrency 2 4" xfId="7275"/>
    <cellStyle name="P-Green Rule 3 3 10" xfId="7276"/>
    <cellStyle name="Date [mmm-yyyy] 2 2 10" xfId="7277"/>
    <cellStyle name="Total 2 7" xfId="7278"/>
    <cellStyle name="UNLOCKED 38" xfId="7279"/>
    <cellStyle name="Title [Helv] 2 4 10" xfId="7280"/>
    <cellStyle name="PB Table Standard Row 2 4 10" xfId="7281"/>
    <cellStyle name="UNLOCKED 18 5" xfId="7282"/>
    <cellStyle name="dp*Number%ItalicsLineAbove 3 5" xfId="7283"/>
    <cellStyle name="Style 50 3 5" xfId="7284"/>
    <cellStyle name="dp*NumberLine 2 2 2 4 10" xfId="7285"/>
    <cellStyle name="ac 2 2 2 4 10" xfId="7286"/>
    <cellStyle name="Title [Helv] 2 2 2 3 10" xfId="7287"/>
    <cellStyle name="dp*NumberLineEPS 2 2 2 3 10" xfId="7288"/>
    <cellStyle name="Magic 2 2 3 2 10" xfId="7289"/>
    <cellStyle name="dp*SubTitle 3 2 8" xfId="7290"/>
    <cellStyle name="Draw lines around data in range 11" xfId="7291"/>
    <cellStyle name="Border Thin 3 3 4 10" xfId="7292"/>
    <cellStyle name="Heading [Helv] 2 2 4 10" xfId="7293"/>
    <cellStyle name="Style 49 4 3 3 10" xfId="7294"/>
    <cellStyle name="dp*SheetSubTitle 2 3 10" xfId="7295"/>
    <cellStyle name="Format a row of totals 11" xfId="7296"/>
    <cellStyle name="Style 49 4 5 9" xfId="7297"/>
    <cellStyle name="Table Head Aligned 2 2 3 3 10" xfId="7298"/>
    <cellStyle name="ac 2 2 4 10" xfId="7299"/>
    <cellStyle name="Main 10" xfId="7300"/>
    <cellStyle name="WingdingsWhite 2 5" xfId="7301"/>
    <cellStyle name="SAPBEXaggDataEmph 8" xfId="7302"/>
    <cellStyle name="SAPBEXexcCritical4 8" xfId="7303"/>
    <cellStyle name="SAPBEXtitle 8" xfId="7304"/>
    <cellStyle name="Style 24 9" xfId="7305"/>
    <cellStyle name="Style 37 11" xfId="7306"/>
    <cellStyle name="Style 50 11" xfId="7307"/>
    <cellStyle name="Style 53 11" xfId="7308"/>
    <cellStyle name="Millions 6 5" xfId="7309"/>
    <cellStyle name="Draw shadow and lines within range 2 4" xfId="7310"/>
    <cellStyle name="SAPBEXHLevel2 2 4" xfId="7311"/>
    <cellStyle name="SAPBEXHLevel3X 2 4" xfId="7312"/>
    <cellStyle name="SAPBEXresData 2 4" xfId="7313"/>
    <cellStyle name="SAPBEXstdItemX 2 4" xfId="7314"/>
    <cellStyle name="Style 35 2 4" xfId="7315"/>
    <cellStyle name="Style 40 2 4" xfId="7316"/>
    <cellStyle name="SymbolBlue 2 4" xfId="7317"/>
    <cellStyle name="Table Head Green 2 2 2 12" xfId="7318"/>
    <cellStyle name="Style 37 3 5" xfId="7319"/>
    <cellStyle name="Magic 2 2 3 2 9" xfId="7320"/>
    <cellStyle name="Afjusted 2 2 2 2 9" xfId="7321"/>
    <cellStyle name="Style 44 4 2 4 9" xfId="7322"/>
    <cellStyle name="PB Table Standard Row 3 2 4 9" xfId="7323"/>
    <cellStyle name="Border Thin 3 2 4 9" xfId="7324"/>
    <cellStyle name="Style 24 3 4" xfId="7325"/>
    <cellStyle name="Draw shadow and lines within range 3 4" xfId="7326"/>
    <cellStyle name="Date [mmm-yyyy] 2 4 9" xfId="7327"/>
    <cellStyle name="Outputs 2 4 9" xfId="7328"/>
    <cellStyle name="UNLOCKED 21 5" xfId="7329"/>
    <cellStyle name="Arial6Bold 4 5" xfId="7330"/>
    <cellStyle name="Bold/Border 4 9" xfId="7331"/>
    <cellStyle name="dp*NumberLineEPS 2 4 10" xfId="7332"/>
    <cellStyle name="COL HEADINGS 2 4 10" xfId="7333"/>
    <cellStyle name="Afjusted 2 3 10" xfId="7334"/>
    <cellStyle name="Date [mm-d-yyyy] 3 2 11" xfId="7335"/>
    <cellStyle name="dp*NumberLine 2 2 3 12" xfId="7336"/>
    <cellStyle name="Bold/Border 2 2 3 4 10" xfId="7337"/>
    <cellStyle name="Outputs 2 2 10" xfId="7338"/>
    <cellStyle name="Table Head Aligned 8" xfId="7339"/>
    <cellStyle name="Main 3 4" xfId="7340"/>
    <cellStyle name="Table Head Green 10" xfId="7341"/>
    <cellStyle name="Style 35 2 5" xfId="7342"/>
    <cellStyle name="SAPBEXHLevel3 2 5" xfId="7343"/>
    <cellStyle name="Style 35 4 4" xfId="7344"/>
    <cellStyle name="Style 37 4 4" xfId="7345"/>
    <cellStyle name="Style 52 4 4" xfId="7346"/>
    <cellStyle name="Style 53 4 4" xfId="7347"/>
    <cellStyle name="Table Head Green 2 5 9" xfId="7348"/>
    <cellStyle name="Title [Helv] 2 5 9" xfId="7349"/>
    <cellStyle name="UNLOCKED 24 4" xfId="7350"/>
    <cellStyle name="Title [Helv] 8" xfId="7351"/>
    <cellStyle name="Title [Palat] 9" xfId="7352"/>
    <cellStyle name="dp*NumberLine 2 4 10" xfId="7353"/>
    <cellStyle name="Border Thin 2 4 10" xfId="7354"/>
    <cellStyle name="Magic 2 2 2 3 10" xfId="7355"/>
    <cellStyle name="Table Head Aligned 2 2 3 12" xfId="7356"/>
    <cellStyle name="Style 44 4 3 3 10" xfId="7357"/>
    <cellStyle name="PB Table Standard Row 2 4 4 4 2" xfId="7358"/>
    <cellStyle name="SAPBEXstdData 2 5" xfId="7359"/>
    <cellStyle name="SAPBEXHLevel2X 2 5" xfId="7360"/>
    <cellStyle name="Style 22 5 4" xfId="7361"/>
    <cellStyle name="Style 36 5 4" xfId="7362"/>
    <cellStyle name="UNLOCKED 25 4" xfId="7363"/>
    <cellStyle name="Style 44 5 10" xfId="7364"/>
    <cellStyle name="Time Strip 2 5" xfId="7365"/>
    <cellStyle name="Style 43 12" xfId="7366"/>
    <cellStyle name="ac 2 12" xfId="7367"/>
    <cellStyle name="Style 40 12" xfId="7368"/>
    <cellStyle name="SAPBEXexcCritical4 2 5" xfId="7369"/>
    <cellStyle name="Style 45 4 5 9" xfId="7370"/>
    <cellStyle name="Heading [Helv] 3 10" xfId="7371"/>
    <cellStyle name="Draw shadow and lines within range 3 5" xfId="7372"/>
    <cellStyle name="Millions 4 5" xfId="7373"/>
    <cellStyle name="Format a row of totals 2 5" xfId="7374"/>
    <cellStyle name="Afjusted 2 2 3 2 10" xfId="7375"/>
    <cellStyle name="WingdingsWhite 6 4" xfId="7376"/>
    <cellStyle name="WingdingsRed 6 4" xfId="7377"/>
    <cellStyle name="SAPBEXexcGood1 2 5" xfId="7378"/>
    <cellStyle name="Style 28 2 5" xfId="7379"/>
    <cellStyle name="UNLOCKED 20 4" xfId="7380"/>
    <cellStyle name="Main 2 4" xfId="7381"/>
    <cellStyle name="Heading [Helv] 2 2 2 4 9" xfId="7382"/>
    <cellStyle name="Table Head Aligned 2 2 2 4 9" xfId="7383"/>
    <cellStyle name="PB Table Standard Row 5 10" xfId="7384"/>
    <cellStyle name="dp*Number%ItalicsLineAbove 3 4" xfId="7385"/>
    <cellStyle name="Table Head Green 2 2 2 4 7" xfId="7386"/>
    <cellStyle name="COL HEADINGS 2 3 7" xfId="7387"/>
    <cellStyle name="Style 51 4 5 7" xfId="7388"/>
    <cellStyle name="Style 44 4 3 3 7" xfId="7389"/>
    <cellStyle name="PB Table Standard Row 2 4 7" xfId="7390"/>
    <cellStyle name="Style 44 5 7" xfId="7391"/>
    <cellStyle name="Heading [Helv] 2 12" xfId="7392"/>
    <cellStyle name="Style 44 2 6 7" xfId="7393"/>
    <cellStyle name="Afjusted 3 3 4 7" xfId="7394"/>
    <cellStyle name="Outputs 6 7" xfId="7395"/>
    <cellStyle name="Style 22 11" xfId="7396"/>
    <cellStyle name="Heading [Palat] 2 2 4 9" xfId="7397"/>
    <cellStyle name="dp*SubTitle 3 3 3 7" xfId="7398"/>
    <cellStyle name="Title [Palat] 2 4 9" xfId="7399"/>
    <cellStyle name="Outputs 2 2 4 9" xfId="7400"/>
    <cellStyle name="Style 48 12" xfId="7401"/>
    <cellStyle name="Border Thin 2 6 7" xfId="7402"/>
    <cellStyle name="Bold/Border 2 3 9" xfId="7403"/>
    <cellStyle name="Style 51 7 7" xfId="7404"/>
    <cellStyle name="Border Thin 2 3 6" xfId="7405"/>
    <cellStyle name="P-Green Rule 3 3 4 7" xfId="7406"/>
    <cellStyle name="Style 51 4 3 4 7" xfId="7407"/>
    <cellStyle name="PB Table Standard Row 2 5 10" xfId="7408"/>
    <cellStyle name="Title [Palat] 2 3 7" xfId="7409"/>
    <cellStyle name="Title [Helv] 2 3 7" xfId="7410"/>
    <cellStyle name="Table Head Green 2 3 7" xfId="7411"/>
    <cellStyle name="Table Head Aligned 2 3 7" xfId="7412"/>
    <cellStyle name="Afjusted 3 3 3 9" xfId="7413"/>
    <cellStyle name="Date [mm-d-yyyy] 2 6" xfId="7414"/>
    <cellStyle name="Style 45 4 2 9" xfId="7415"/>
    <cellStyle name="Afjusted 5 7" xfId="7416"/>
    <cellStyle name="PB Table Standard Row 3 2 3 10" xfId="7417"/>
    <cellStyle name="Style 49 2 4 7" xfId="7418"/>
    <cellStyle name="dp*ThinLineBelow 3 3 3 7" xfId="7419"/>
    <cellStyle name="SAPBEXresItem 8" xfId="7420"/>
    <cellStyle name="Afjusted 3 10" xfId="7421"/>
    <cellStyle name="Magic 2 2 3 11" xfId="7422"/>
    <cellStyle name="PB Table Standard Row 3 5 7" xfId="7423"/>
    <cellStyle name="Border Thin 3 3 3 7" xfId="7424"/>
    <cellStyle name="Style 45 4 3 3 5 2" xfId="7425"/>
    <cellStyle name="dp*SheetSubTitle 2 2 2 4 7" xfId="7426"/>
    <cellStyle name="dp*SubTitle 3 2 2 7" xfId="7427"/>
    <cellStyle name="Afjusted 3 2 2 7" xfId="7428"/>
    <cellStyle name="dp*SubTitle 3 3 2 6" xfId="7429"/>
    <cellStyle name="Afjusted 4 3 3 7" xfId="7430"/>
    <cellStyle name="ac 2 2 4 7" xfId="7431"/>
    <cellStyle name="ItemTypeClass 4 5" xfId="7432"/>
    <cellStyle name="Heading [Helv] 2 5 9" xfId="7433"/>
    <cellStyle name="ac 2 10" xfId="7434"/>
    <cellStyle name="Afjusted 2 7" xfId="7435"/>
    <cellStyle name="Bold/Border 2 10" xfId="7436"/>
    <cellStyle name="Style 49 4 9" xfId="7437"/>
    <cellStyle name="COL HEADINGS 2 10" xfId="7438"/>
    <cellStyle name="Draw lines around data in range 2 5" xfId="7439"/>
    <cellStyle name="Outputs 2 4 10" xfId="7440"/>
    <cellStyle name="Date [mmm-yyyy] 2 9" xfId="7441"/>
    <cellStyle name="Style 51 5 9" xfId="7442"/>
    <cellStyle name="dp*NumberLineEPS 3 9" xfId="7443"/>
    <cellStyle name="COL HEADINGS 2 2 3 3 10" xfId="7444"/>
    <cellStyle name="dp*NumberLine 2 9" xfId="7445"/>
    <cellStyle name="dp*NumberLineEPS 2 9" xfId="7446"/>
    <cellStyle name="dp*SheetSubTitle 2 9" xfId="7447"/>
    <cellStyle name="Style 49 4 2 4 10" xfId="7448"/>
    <cellStyle name="Heading [Helv] 2 10" xfId="7449"/>
    <cellStyle name="Heading [Palat] 2 10" xfId="7450"/>
    <cellStyle name="Magic 2 9" xfId="7451"/>
    <cellStyle name="dp*NumberCurrencyLine 3 3" xfId="7452"/>
    <cellStyle name="dp*LabelLine 3 4" xfId="7453"/>
    <cellStyle name="dp*LabelItalicsLineAbove 3 3" xfId="7454"/>
    <cellStyle name="Outputs 2 10" xfId="7455"/>
    <cellStyle name="Title [Palat] 2 2 4 9" xfId="7456"/>
    <cellStyle name="P-Green Rule 2 5 10" xfId="7457"/>
    <cellStyle name="Afjusted 3 4 9" xfId="7458"/>
    <cellStyle name="Draw shadow and lines within range 11" xfId="7459"/>
    <cellStyle name="Style 44 3 9" xfId="7460"/>
    <cellStyle name="dp*SubTitle 3 2 4 9" xfId="7461"/>
    <cellStyle name="Outputs 3 9" xfId="7462"/>
    <cellStyle name="Magic 2 4 9" xfId="7463"/>
    <cellStyle name="Table Head Green 2 2 3 4 9" xfId="7464"/>
    <cellStyle name="Style 44 2 9" xfId="7465"/>
    <cellStyle name="dp*ThinLineBelow 3 2 4 9" xfId="7466"/>
    <cellStyle name="Style 52 3 5" xfId="7467"/>
    <cellStyle name="Style 22 3 4" xfId="7468"/>
    <cellStyle name="dp*SheetSubTitle 2 4 9" xfId="7469"/>
    <cellStyle name="Table Head Aligned 2 9" xfId="7470"/>
    <cellStyle name="Table Head Green 2 10" xfId="7471"/>
    <cellStyle name="WingdingsRed 3 5" xfId="7472"/>
    <cellStyle name="Title [Helv] 2 9" xfId="7473"/>
    <cellStyle name="Title [Palat] 2 10" xfId="7474"/>
    <cellStyle name="Style 45 4 3 2 7" xfId="7475"/>
    <cellStyle name="dp*NumberLineEPS 2 2 3 3 7" xfId="7476"/>
    <cellStyle name="Date [mmm-yyyy] 2 2 3 2 7" xfId="7477"/>
    <cellStyle name="Heading [Helv] 2 2 3 3 7" xfId="7478"/>
    <cellStyle name="Style 44 4 2 2 7" xfId="7479"/>
    <cellStyle name="PB Table Standard Row 3 3 3 7" xfId="7480"/>
    <cellStyle name="Afjusted 3 3 2 7" xfId="7481"/>
    <cellStyle name="COL HEADINGS 2 2 3 3 7" xfId="7482"/>
    <cellStyle name="dp*NumberLineEPS 2 2 2 4 7" xfId="7483"/>
    <cellStyle name="dp*ThinLineBelow 3 2 2 7" xfId="7484"/>
    <cellStyle name="Date [mm-d-yyyy] 2 2 2 7" xfId="7485"/>
    <cellStyle name="Border Thin 3 3 2 6" xfId="7486"/>
    <cellStyle name="dp*SheetSubTitle 2 2 2 9" xfId="7487"/>
    <cellStyle name="ac 2 2 3 3 7" xfId="7488"/>
    <cellStyle name="dp*NumberLineEPS 2 2 2 9" xfId="7489"/>
    <cellStyle name="Style 49 3 4 7" xfId="7490"/>
    <cellStyle name="Date [mmm-yyyy] 2 2 3 3 7" xfId="7491"/>
    <cellStyle name="SAPBEXHLevel0 2 5" xfId="7492"/>
    <cellStyle name="Style 51 4 2 3 7" xfId="7493"/>
    <cellStyle name="SAPBEXresData 2 5" xfId="7494"/>
    <cellStyle name="Border Thin 2 2 8" xfId="7495"/>
    <cellStyle name="Style 49 3 6 7" xfId="7496"/>
    <cellStyle name="ac 2 2 3 4 7" xfId="7497"/>
    <cellStyle name="Heading [Helv] 2 4 7" xfId="7498"/>
    <cellStyle name="Table Head Aligned 2 4 10" xfId="7499"/>
    <cellStyle name="SAPBEXformats 8" xfId="7500"/>
    <cellStyle name="dp*ThinLineBelow 2 3 9" xfId="7501"/>
    <cellStyle name="dp*SheetSubTitle 3 9" xfId="7502"/>
    <cellStyle name="Outputs 2 2 2 4 10" xfId="7503"/>
    <cellStyle name="Outputs 2 2 2 12" xfId="7504"/>
    <cellStyle name="PB Table Standard Row 2 4 9" xfId="7505"/>
    <cellStyle name="Calculation 2 7" xfId="7506"/>
    <cellStyle name="SSComma2 2 5" xfId="7507"/>
    <cellStyle name="Heading [Helv] 2 5 7" xfId="7508"/>
    <cellStyle name="Date [mm-d-yyyy] 3 2 3 10" xfId="7509"/>
    <cellStyle name="Table Head Aligned 2 2 9" xfId="7510"/>
    <cellStyle name="Style 45 4 2 11" xfId="7511"/>
    <cellStyle name="Bold/Border 2 2 3 12" xfId="7512"/>
    <cellStyle name="SAPBEXexcBad9 8" xfId="7513"/>
    <cellStyle name="SSDfltPct 8" xfId="7514"/>
    <cellStyle name="dp*SheetSubTitle 2 2 3 11" xfId="7515"/>
    <cellStyle name="Afjusted 2 2 2 12" xfId="7516"/>
    <cellStyle name="Title [Helv] 2 10" xfId="7517"/>
    <cellStyle name="COL HEADINGS 5 9" xfId="7518"/>
    <cellStyle name="Style 45 5 9" xfId="7519"/>
    <cellStyle name="Border 2 3" xfId="7520"/>
    <cellStyle name="Magic 2 5 10" xfId="7521"/>
    <cellStyle name="SAPBEXHLevel1X 3 5" xfId="7522"/>
    <cellStyle name="Arial6Bold 11" xfId="7523"/>
    <cellStyle name="Afjusted 3 5 5 5" xfId="7524"/>
    <cellStyle name="Afjusted 4 9" xfId="7525"/>
    <cellStyle name="UNLOCKED 2 5" xfId="7526"/>
    <cellStyle name="Arial8Bold 2 5" xfId="7527"/>
    <cellStyle name="SAPBEXaggDataEmph 2 4" xfId="7528"/>
    <cellStyle name="UNLOCKED 2 4" xfId="7529"/>
    <cellStyle name="Afjusted 3 3 11" xfId="7530"/>
    <cellStyle name="Output 2 2 4" xfId="7531"/>
    <cellStyle name="dp*SheetSubTitle 2 2 3 2 9" xfId="7532"/>
    <cellStyle name="Bold/Border 2 2 2 2 9" xfId="7533"/>
    <cellStyle name="DateYearEstimate 3 4" xfId="7534"/>
    <cellStyle name="Style 44 3 4 9" xfId="7535"/>
    <cellStyle name="Table Head Green 2 2 3 3 10" xfId="7536"/>
    <cellStyle name="Outputs 2 6 9" xfId="7537"/>
    <cellStyle name="WingdingsBlack 6 4" xfId="7538"/>
    <cellStyle name="dp*NumberLine 2 4 7" xfId="7539"/>
    <cellStyle name="Outputs 2 3 7" xfId="7540"/>
    <cellStyle name="Date [mm-d-yyyy] 3 7" xfId="7541"/>
    <cellStyle name="Title [Palat] 2 2 2 2 10" xfId="7542"/>
    <cellStyle name="PB Table Standard Row 2 8" xfId="7543"/>
    <cellStyle name="SSComma0 9" xfId="7544"/>
    <cellStyle name="Style 51 4 7" xfId="7545"/>
    <cellStyle name="Style 49 4 7" xfId="7546"/>
    <cellStyle name="Style 45 4 7" xfId="7547"/>
    <cellStyle name="P-Green Rule 3 2 4 9" xfId="7548"/>
    <cellStyle name="Title [Helv] 2 2 3 3 9" xfId="7549"/>
    <cellStyle name="PB Table Standard Row 2 2 9" xfId="7550"/>
    <cellStyle name="Arial8Bold 3 4" xfId="7551"/>
    <cellStyle name="WingdingsBlack 3 4" xfId="7552"/>
    <cellStyle name="SAPBEXstdDataEmph 9" xfId="7553"/>
    <cellStyle name="Style 45 4 2 2 9" xfId="7554"/>
    <cellStyle name="Magic 2 3 7" xfId="7555"/>
    <cellStyle name="dp*NumberLine 2 3 9" xfId="7556"/>
    <cellStyle name="Border Thin 2 4 7" xfId="7557"/>
    <cellStyle name="Bold/Border 2 2 2 3 10" xfId="7558"/>
    <cellStyle name="Afjusted 4 5 9" xfId="7559"/>
    <cellStyle name="Heading [Palat] 2 3 7" xfId="7560"/>
    <cellStyle name="SAPBEXexcCritical6 9" xfId="7561"/>
    <cellStyle name="Heading [Helv] 2 3 7" xfId="7562"/>
    <cellStyle name="Afjusted 4 8" xfId="7563"/>
    <cellStyle name="Arial8Italic 11" xfId="7564"/>
    <cellStyle name="ac 2 2 8" xfId="7565"/>
    <cellStyle name="Afjusted 2 2 8" xfId="7566"/>
    <cellStyle name="Bold/Border 2 2 8" xfId="7567"/>
    <cellStyle name="COL HEADINGS 2 2 8" xfId="7568"/>
    <cellStyle name="Date [mmm-yyyy] 2 2 8" xfId="7569"/>
    <cellStyle name="Style 53 3 5" xfId="7570"/>
    <cellStyle name="dp*NumberLine 2 2 2 2 10" xfId="7571"/>
    <cellStyle name="Border Thin 3 5 9" xfId="7572"/>
    <cellStyle name="dp*NumberLine 2 2 8" xfId="7573"/>
    <cellStyle name="dp*NumberLineEPS 2 2 8" xfId="7574"/>
    <cellStyle name="dp*SheetSubTitle 2 2 8" xfId="7575"/>
    <cellStyle name="Heading [Helv] 2 2 8" xfId="7576"/>
    <cellStyle name="Heading [Palat] 2 2 8" xfId="7577"/>
    <cellStyle name="Magic 2 2 8" xfId="7578"/>
    <cellStyle name="Outputs 2 2 8" xfId="7579"/>
    <cellStyle name="Table Head Aligned 2 2 8" xfId="7580"/>
    <cellStyle name="Table Head Green 2 2 8" xfId="7581"/>
    <cellStyle name="Title [Helv] 2 2 8" xfId="7582"/>
    <cellStyle name="Title [Palat] 2 2 8" xfId="7583"/>
    <cellStyle name="SSDfltPct0 9" xfId="7584"/>
    <cellStyle name="COL HEADINGS 2 4 7" xfId="7585"/>
    <cellStyle name="Afjusted 2 2 3 3 7" xfId="7586"/>
    <cellStyle name="Afjusted 2 3 7" xfId="7587"/>
    <cellStyle name="ac 2 4 7" xfId="7588"/>
    <cellStyle name="dp*SubTitle 4 7" xfId="7589"/>
    <cellStyle name="Date [mm-d-yyyy] 4 7" xfId="7590"/>
    <cellStyle name="Table Head Aligned 2 2 3 4 9" xfId="7591"/>
    <cellStyle name="Style 25 2 4" xfId="7592"/>
    <cellStyle name="dp*SheetSubTitle 2 3 7" xfId="7593"/>
    <cellStyle name="WingdingsRed 4 4" xfId="7594"/>
    <cellStyle name="dp*NumberLineEPS 2 3 7" xfId="7595"/>
    <cellStyle name="dp*NumberLine 2 3 7" xfId="7596"/>
    <cellStyle name="Heading [Helv] 2 2 3 3 10" xfId="7597"/>
    <cellStyle name="Title [Helv] 2 4 7" xfId="7598"/>
    <cellStyle name="Heading [Palat] 2 2 2 3 7" xfId="7599"/>
    <cellStyle name="DateYearWholeEstimate 2 5" xfId="7600"/>
    <cellStyle name="Style 49 2 2 9" xfId="7601"/>
    <cellStyle name="P-Green Rule 2 4 7" xfId="7602"/>
    <cellStyle name="Title [Palat] 2 4 7" xfId="7603"/>
    <cellStyle name="FieldName 4 4" xfId="7604"/>
    <cellStyle name="dp*SheetSubTitle 2 2 2 2 10" xfId="7605"/>
    <cellStyle name="dp*SheetSubTitle 2 2 3 12" xfId="7606"/>
    <cellStyle name="Outputs 8 6" xfId="7607"/>
    <cellStyle name="Format text as bold, black on yellow 3 5" xfId="7608"/>
    <cellStyle name="Bold/Border 2 2 3 11" xfId="7609"/>
    <cellStyle name="ac 3 7" xfId="7610"/>
    <cellStyle name="Outputs 2 2 3 3 5" xfId="7611"/>
    <cellStyle name="Afjusted 3 5 5" xfId="7612"/>
    <cellStyle name="Style 45 7 5" xfId="7613"/>
    <cellStyle name="Afjusted 4 2 3 7" xfId="7614"/>
    <cellStyle name="COL HEADINGS 3 7" xfId="7615"/>
    <cellStyle name="Border Thin 3 2 4 7" xfId="7616"/>
    <cellStyle name="dp*NumberLineEPS 2 2 3 12" xfId="7617"/>
    <cellStyle name="dp*SubTitle 2 2 6" xfId="7618"/>
    <cellStyle name="Border Thin 2 2 6" xfId="7619"/>
    <cellStyle name="Date [mmm-yyyy] 2 2 2 3 7" xfId="7620"/>
    <cellStyle name="Style 45 3 6 7" xfId="7621"/>
    <cellStyle name="Title [Helv] 2 2 3 3 7" xfId="7622"/>
    <cellStyle name="Title [Palat] 2 2 2 2 7" xfId="7623"/>
    <cellStyle name="Style 45 4 2 3 10" xfId="7624"/>
    <cellStyle name="dp*NumberLine 2 5 9" xfId="7625"/>
    <cellStyle name="SAPBEXHLevel1X 4 4" xfId="7626"/>
    <cellStyle name="P-Green Rule 3 5 8" xfId="7627"/>
    <cellStyle name="SAPBEXexcBad8 9" xfId="7628"/>
    <cellStyle name="P-Green Rule 3 2 4 10" xfId="7629"/>
    <cellStyle name="Style 44 2 4 7" xfId="7630"/>
    <cellStyle name="COL HEADINGS 2 2 4 9" xfId="7631"/>
    <cellStyle name="dp*NumberLineEPS 2 2 2 2 10" xfId="7632"/>
    <cellStyle name="ac 2 2 2 4 7" xfId="7633"/>
    <cellStyle name="Bold/Border 2 2 3 4 6" xfId="7634"/>
    <cellStyle name="Magic 2 2 3 4 6" xfId="7635"/>
    <cellStyle name="Title [Helv] 2 2 3 4 6" xfId="7636"/>
    <cellStyle name="Style 51 2 2 6" xfId="7637"/>
    <cellStyle name="Style 45 2 2 6" xfId="7638"/>
    <cellStyle name="Style 49 2 2 6" xfId="7639"/>
    <cellStyle name="Style 44 2 2 6" xfId="7640"/>
    <cellStyle name="Style 51 3 2 6" xfId="7641"/>
    <cellStyle name="Style 49 3 2 6" xfId="7642"/>
    <cellStyle name="Style 45 3 2 6" xfId="7643"/>
    <cellStyle name="Style 44 3 2 6" xfId="7644"/>
    <cellStyle name="P-Green Rule 2 2 6" xfId="7645"/>
    <cellStyle name="PB Table Standard Row 2 2 6" xfId="7646"/>
    <cellStyle name="dp*ThinLineBelow 2 2 6" xfId="7647"/>
    <cellStyle name="P-Green Rule 2 3 9" xfId="7648"/>
    <cellStyle name="dp*ThinLineBelow 2 3 6" xfId="7649"/>
    <cellStyle name="Style 44 3 3 6" xfId="7650"/>
    <cellStyle name="COL HEADINGS 2 2 3 4 6" xfId="7651"/>
    <cellStyle name="Style 49 4 3 4 6" xfId="7652"/>
    <cellStyle name="Heading [Palat] 2 2 3 3 9" xfId="7653"/>
    <cellStyle name="dp*SheetSubTitle 2 4 10" xfId="7654"/>
    <cellStyle name="Afjusted 3 3 4 6" xfId="7655"/>
    <cellStyle name="Date [mm-d-yyyy] 3 3 4 6" xfId="7656"/>
    <cellStyle name="Afjusted 4 3 4 6" xfId="7657"/>
    <cellStyle name="ac 2 2 3 4 6" xfId="7658"/>
    <cellStyle name="Afjusted 2 2 3 4 6" xfId="7659"/>
    <cellStyle name="Date [mmm-yyyy] 2 2 3 4 6" xfId="7660"/>
    <cellStyle name="dp*NumberLine 2 2 3 4 6" xfId="7661"/>
    <cellStyle name="dp*NumberLineEPS 2 2 3 4 6" xfId="7662"/>
    <cellStyle name="dp*SheetSubTitle 2 2 3 4 6" xfId="7663"/>
    <cellStyle name="Heading [Helv] 2 2 3 4 6" xfId="7664"/>
    <cellStyle name="Outputs 2 2 3 4 6" xfId="7665"/>
    <cellStyle name="Table Head Aligned 2 2 3 4 6" xfId="7666"/>
    <cellStyle name="Title [Palat] 2 2 3 4 6" xfId="7667"/>
    <cellStyle name="dp*NumberLineEPS 2 2 2 3 7" xfId="7668"/>
    <cellStyle name="Afjusted 3 2 3 7" xfId="7669"/>
    <cellStyle name="Table Head Aligned 2 2 3 3 7" xfId="7670"/>
    <cellStyle name="Style 44 3 4 10" xfId="7671"/>
    <cellStyle name="Table Head Aligned 2 2 2 7 4" xfId="7672"/>
    <cellStyle name="dp*ThinLineBelow 3 2 3 7" xfId="7673"/>
    <cellStyle name="Afjusted 3 5 6" xfId="7674"/>
    <cellStyle name="Style 45 3 3 6" xfId="7675"/>
    <cellStyle name="Style 51 3 3 6" xfId="7676"/>
    <cellStyle name="Style 44 2 3 6" xfId="7677"/>
    <cellStyle name="Style 45 2 3 6" xfId="7678"/>
    <cellStyle name="Style 49 2 3 6" xfId="7679"/>
    <cellStyle name="Border Thin 3 5 6" xfId="7680"/>
    <cellStyle name="ac 2 2 4 6" xfId="7681"/>
    <cellStyle name="Afjusted 2 2 5 6" xfId="7682"/>
    <cellStyle name="Bold/Border 2 2 4 6" xfId="7683"/>
    <cellStyle name="COL HEADINGS 2 2 4 6" xfId="7684"/>
    <cellStyle name="Date [mmm-yyyy] 2 2 4 6" xfId="7685"/>
    <cellStyle name="dp*NumberLine 2 2 4 6" xfId="7686"/>
    <cellStyle name="dp*NumberLineEPS 2 2 4 6" xfId="7687"/>
    <cellStyle name="dp*SheetSubTitle 2 2 4 6" xfId="7688"/>
    <cellStyle name="Heading [Palat] 2 2 4 6" xfId="7689"/>
    <cellStyle name="Outputs 2 2 4 6" xfId="7690"/>
    <cellStyle name="Magic 2 2 4 6" xfId="7691"/>
    <cellStyle name="Title [Helv] 2 2 4 6" xfId="7692"/>
    <cellStyle name="Title [Palat] 2 2 4 6" xfId="7693"/>
    <cellStyle name="Title [Palat] 2 2 3 3 6" xfId="7694"/>
    <cellStyle name="Title [Helv] 2 2 3 3 6" xfId="7695"/>
    <cellStyle name="Table Head Aligned 2 2 3 3 6" xfId="7696"/>
    <cellStyle name="Magic 2 2 3 3 6" xfId="7697"/>
    <cellStyle name="Heading [Helv] 2 2 3 3 6" xfId="7698"/>
    <cellStyle name="dp*NumberLineEPS 2 2 3 3 6" xfId="7699"/>
    <cellStyle name="COL HEADINGS 2 2 3 3 6" xfId="7700"/>
    <cellStyle name="ac 2 2 3 3 6" xfId="7701"/>
    <cellStyle name="Afjusted 4 3 3 6" xfId="7702"/>
    <cellStyle name="Border Thin 3 3 3 6" xfId="7703"/>
    <cellStyle name="PB Table Standard Row 3 3 3 6" xfId="7704"/>
    <cellStyle name="Style 44 4 3 3 6" xfId="7705"/>
    <cellStyle name="Style 51 4 3 3 6" xfId="7706"/>
    <cellStyle name="Afjusted 3 3 3 6" xfId="7707"/>
    <cellStyle name="Currency-- 47" xfId="7708"/>
    <cellStyle name="Style 49 4 5 6" xfId="7709"/>
    <cellStyle name="Style 44 4 5 6" xfId="7710"/>
    <cellStyle name="P-Green Rule 3 5 6" xfId="7711"/>
    <cellStyle name="dp*SubTitle 3 5 6" xfId="7712"/>
    <cellStyle name="Afjusted 4 5 6" xfId="7713"/>
    <cellStyle name="Bold/Border 3 7" xfId="7714"/>
    <cellStyle name="Style 51 4 2 10" xfId="7715"/>
    <cellStyle name="Border Thin 3 2 3 7" xfId="7716"/>
    <cellStyle name="Format text as bold, black on yellow 3 4" xfId="7717"/>
    <cellStyle name="dp*SubTitle 2 2 8" xfId="7718"/>
    <cellStyle name="Table Head Green 2 4 7" xfId="7719"/>
    <cellStyle name="Style 45 2 4 7" xfId="7720"/>
    <cellStyle name="SAPBEXHLevel1X 10" xfId="7721"/>
    <cellStyle name="ac 2 3 6" xfId="7722"/>
    <cellStyle name="Bold/Border 2 3 6" xfId="7723"/>
    <cellStyle name="COL HEADINGS 2 3 6" xfId="7724"/>
    <cellStyle name="Date [mmm-yyyy] 2 3 6" xfId="7725"/>
    <cellStyle name="dp*NumberLine 2 3 6" xfId="7726"/>
    <cellStyle name="dp*NumberLineEPS 2 3 6" xfId="7727"/>
    <cellStyle name="dp*SheetSubTitle 2 3 6" xfId="7728"/>
    <cellStyle name="Heading [Helv] 2 3 6" xfId="7729"/>
    <cellStyle name="Heading [Palat] 2 3 6" xfId="7730"/>
    <cellStyle name="Magic 2 3 6" xfId="7731"/>
    <cellStyle name="Outputs 2 3 6" xfId="7732"/>
    <cellStyle name="Date [mmm-yyyy] 2 2 3 3 6" xfId="7733"/>
    <cellStyle name="Afjusted 2 2 3 3 6" xfId="7734"/>
    <cellStyle name="dp*ThinLineBelow 3 3 3 6" xfId="7735"/>
    <cellStyle name="Style 49 4 3 3 6" xfId="7736"/>
    <cellStyle name="Outputs 2 2 3 3 6" xfId="7737"/>
    <cellStyle name="dp*NumberLine 2 2 3 3 6" xfId="7738"/>
    <cellStyle name="Bold/Border 2 2 3 3 6" xfId="7739"/>
    <cellStyle name="dp*SubTitle 3 3 3 6" xfId="7740"/>
    <cellStyle name="Style 45 4 3 3 6" xfId="7741"/>
    <cellStyle name="Table Head Aligned 2 3 6" xfId="7742"/>
    <cellStyle name="Table Head Green 2 3 6" xfId="7743"/>
    <cellStyle name="Title [Helv] 2 3 6" xfId="7744"/>
    <cellStyle name="Title [Palat] 2 3 6" xfId="7745"/>
    <cellStyle name="Style 45 3 4 7" xfId="7746"/>
    <cellStyle name="Style 45 4 3 4 6" xfId="7747"/>
    <cellStyle name="WingdingsBlack 5 4" xfId="7748"/>
    <cellStyle name="Style 51 4 3 4 6" xfId="7749"/>
    <cellStyle name="dp*ThinLineBelow 2 4 7" xfId="7750"/>
    <cellStyle name="Afjusted 3 4 6" xfId="7751"/>
    <cellStyle name="P-Green Rule 3 3 4 6" xfId="7752"/>
    <cellStyle name="Style 49 3 3 6" xfId="7753"/>
    <cellStyle name="Style 51 2 3 6" xfId="7754"/>
    <cellStyle name="Heading [Helv] 2 2 4 6" xfId="7755"/>
    <cellStyle name="Table Head Aligned 2 2 4 6" xfId="7756"/>
    <cellStyle name="Table Head Green 2 2 4 6" xfId="7757"/>
    <cellStyle name="Table Head Green 2 2 3 3 6" xfId="7758"/>
    <cellStyle name="Heading [Palat] 2 2 3 3 6" xfId="7759"/>
    <cellStyle name="dp*SheetSubTitle 2 2 3 3 6" xfId="7760"/>
    <cellStyle name="P-Green Rule 3 3 3 6" xfId="7761"/>
    <cellStyle name="Date [mm-d-yyyy] 3 3 3 6" xfId="7762"/>
    <cellStyle name="Date [mmm-yyyy] 2 4 7" xfId="7763"/>
    <cellStyle name="Date [mm-d-yyyy] 3 4 6" xfId="7764"/>
    <cellStyle name="Style 26 10" xfId="7765"/>
    <cellStyle name="Style 51 4 4 6" xfId="7766"/>
    <cellStyle name="Style 49 4 4 6" xfId="7767"/>
    <cellStyle name="Style 45 4 4 6" xfId="7768"/>
    <cellStyle name="Style 44 4 4 6" xfId="7769"/>
    <cellStyle name="dp*ThinLineBelow 3 3 4 6" xfId="7770"/>
    <cellStyle name="dp*NumberLineEPS 2 2 4 9" xfId="7771"/>
    <cellStyle name="dp*SubTitle 3 3 4 6" xfId="7772"/>
    <cellStyle name="Afjusted 3 5 10" xfId="7773"/>
    <cellStyle name="Bold/Border 2 4 7" xfId="7774"/>
    <cellStyle name="Border Thin 3 3 4 6" xfId="7775"/>
    <cellStyle name="Afjusted 4 4 6" xfId="7776"/>
    <cellStyle name="Afjusted 2 2 4 6" xfId="7777"/>
    <cellStyle name="dp*SubTitle 3 2 3 7" xfId="7778"/>
    <cellStyle name="Style 44 4 3 4 6" xfId="7779"/>
    <cellStyle name="Heading [Helv] 2 2 3 3 9" xfId="7780"/>
    <cellStyle name="Table Head Aligned 2 5 10" xfId="7781"/>
    <cellStyle name="PB Table Standard Row 3 3 4 6" xfId="7782"/>
    <cellStyle name="Title [Palat] 2 2 3 9" xfId="7783"/>
    <cellStyle name="Title [Helv] 2 2 3 9" xfId="7784"/>
    <cellStyle name="Table Head Green 2 2 3 9" xfId="7785"/>
    <cellStyle name="Table Head Aligned 2 2 3 9" xfId="7786"/>
    <cellStyle name="Outputs 2 2 3 9" xfId="7787"/>
    <cellStyle name="Magic 2 2 3 9" xfId="7788"/>
    <cellStyle name="Heading [Palat] 2 2 3 9" xfId="7789"/>
    <cellStyle name="Heading [Helv] 2 2 3 9" xfId="7790"/>
    <cellStyle name="dp*SheetSubTitle 2 2 3 9" xfId="7791"/>
    <cellStyle name="dp*NumberLineEPS 2 2 3 9" xfId="7792"/>
    <cellStyle name="dp*NumberLine 2 2 3 9" xfId="7793"/>
    <cellStyle name="Date [mmm-yyyy] 2 2 3 9" xfId="7794"/>
    <cellStyle name="COL HEADINGS 2 2 3 9" xfId="7795"/>
    <cellStyle name="Bold/Border 2 2 3 9" xfId="7796"/>
    <cellStyle name="Afjusted 2 2 3 8" xfId="7797"/>
    <cellStyle name="ac 2 2 3 9" xfId="7798"/>
    <cellStyle name="Afjusted 4 3 8" xfId="7799"/>
    <cellStyle name="SAPBEXHLevel3 3 5" xfId="7800"/>
    <cellStyle name="Border Thin 3 3 8" xfId="7801"/>
    <cellStyle name="dp*SubTitle 3 3 8" xfId="7802"/>
    <cellStyle name="dp*ThinLineBelow 3 3 8" xfId="7803"/>
    <cellStyle name="PB Table Standard Row 3 3 8" xfId="7804"/>
    <cellStyle name="P-Green Rule 3 3 8" xfId="7805"/>
    <cellStyle name="Style 44 4 3 8" xfId="7806"/>
    <cellStyle name="Style 45 4 3 8" xfId="7807"/>
    <cellStyle name="Style 49 4 3 8" xfId="7808"/>
    <cellStyle name="Style 51 4 3 8" xfId="7809"/>
    <cellStyle name="Table Head Green 2 2 2 3 7" xfId="7810"/>
    <cellStyle name="Date [mm-d-yyyy] 3 3 8" xfId="7811"/>
    <cellStyle name="dp*SheetSubTitle 5 6" xfId="7812"/>
    <cellStyle name="Table Head Green 7 6" xfId="7813"/>
    <cellStyle name="Table Head Green 4 10" xfId="7814"/>
    <cellStyle name="PB Table Standard Row 7 4" xfId="7815"/>
    <cellStyle name="Afjusted 3 3 9" xfId="7816"/>
    <cellStyle name="dp*SheetSubTitle 2 2 2 4 10" xfId="7817"/>
    <cellStyle name="Style 49 2 5 9" xfId="7818"/>
    <cellStyle name="P-Green Rule 3 3 4 10" xfId="7819"/>
    <cellStyle name="Style 49 4 3 4 10" xfId="7820"/>
    <cellStyle name="Style 45 4 9" xfId="7821"/>
    <cellStyle name="SSComma0 2 5" xfId="7822"/>
    <cellStyle name="Main 3 5" xfId="7823"/>
    <cellStyle name="Style 45 2 3 9" xfId="7824"/>
    <cellStyle name="Style 45 6 7" xfId="7825"/>
    <cellStyle name="ac 2 3 10" xfId="7826"/>
    <cellStyle name="P-Green Rule 2 2 8" xfId="7827"/>
    <cellStyle name="ac 2 2 2 3 7" xfId="7828"/>
    <cellStyle name="Table Head Aligned 2 2 2 3 7" xfId="7829"/>
    <cellStyle name="Style 51 5 7" xfId="7830"/>
    <cellStyle name="Afjusted 4 5 7" xfId="7831"/>
    <cellStyle name="dp*SubTitle 3 3 3 9" xfId="7832"/>
    <cellStyle name="Style 49 4 2 4 7" xfId="7833"/>
    <cellStyle name="Date [mm-d-yyyy] 3 2 4 7" xfId="7834"/>
    <cellStyle name="P-Green Rule 3 5 7" xfId="7835"/>
    <cellStyle name="Style 51 4 2 4 7" xfId="7836"/>
    <cellStyle name="Outputs 2 2 2 3 7" xfId="7837"/>
    <cellStyle name="Style 21 4 5" xfId="7838"/>
    <cellStyle name="Afjusted 3 2 4 7" xfId="7839"/>
    <cellStyle name="Style 37 12" xfId="7840"/>
    <cellStyle name="Title [Palat] 2 2 2 3 7" xfId="7841"/>
    <cellStyle name="Style 45 4 2 4 7" xfId="7842"/>
    <cellStyle name="Bold/Border 5 9" xfId="7843"/>
    <cellStyle name="Title [Helv] 2 2 2 3 7" xfId="7844"/>
    <cellStyle name="Style 44 4 5 7" xfId="7845"/>
    <cellStyle name="dp*SubTitle 3 5 7" xfId="7846"/>
    <cellStyle name="SAPBEXHLevel1 3 4" xfId="7847"/>
    <cellStyle name="Title [Helv] 2 2 4 7" xfId="7848"/>
    <cellStyle name="Border Thin 6 9" xfId="7849"/>
    <cellStyle name="Title [Palat] 2 2 3 3 7" xfId="7850"/>
    <cellStyle name="Title [Palat] 2 2 4 7" xfId="7851"/>
    <cellStyle name="Afjusted 4 3 10" xfId="7852"/>
    <cellStyle name="Magic 2 2 4 9" xfId="7853"/>
    <cellStyle name="Bold/Border 2 2 3 3 7" xfId="7854"/>
    <cellStyle name="Style 45 2 4 9" xfId="7855"/>
    <cellStyle name="UNLOCKED 23 5" xfId="7856"/>
    <cellStyle name="Date [mmm-yyyy] 2 2 2 4 10" xfId="7857"/>
    <cellStyle name="Outputs 2 2 2 2 10" xfId="7858"/>
    <cellStyle name="Style 45 2 2 8" xfId="7859"/>
    <cellStyle name="Date [mm-d-yyyy] 2 2 8" xfId="7860"/>
    <cellStyle name="Afjusted 3 2 9" xfId="7861"/>
    <cellStyle name="Afjusted 2 2 4 9" xfId="7862"/>
    <cellStyle name="ac 7 6" xfId="7863"/>
    <cellStyle name="dp*SubTitle 3 3 4 9" xfId="7864"/>
    <cellStyle name="Style 49 4 5 8" xfId="7865"/>
    <cellStyle name="Date [mm-d-yyyy] 3 2 9" xfId="7866"/>
    <cellStyle name="Style 51 4 2 8" xfId="7867"/>
    <cellStyle name="Style 49 4 2 8" xfId="7868"/>
    <cellStyle name="Style 45 4 2 8" xfId="7869"/>
    <cellStyle name="Style 44 4 2 8" xfId="7870"/>
    <cellStyle name="Date [mmm-yyyy] 2 3 9" xfId="7871"/>
    <cellStyle name="dp*NumberLine 2 2 4 9" xfId="7872"/>
    <cellStyle name="dp*ThinLineBelow 3 3 4 9" xfId="7873"/>
    <cellStyle name="Table Head Green 2 5 10" xfId="7874"/>
    <cellStyle name="Style 48 3 5" xfId="7875"/>
    <cellStyle name="Date [mmm-yyyy] 2 2 2 2 9" xfId="7876"/>
    <cellStyle name="Afjusted 4 2 9" xfId="7877"/>
    <cellStyle name="ac 2 2 2 8" xfId="7878"/>
    <cellStyle name="Afjusted 2 2 2 9" xfId="7879"/>
    <cellStyle name="Bold/Border 2 2 2 8" xfId="7880"/>
    <cellStyle name="COL HEADINGS 2 2 2 8" xfId="7881"/>
    <cellStyle name="Date [mmm-yyyy] 2 2 2 8" xfId="7882"/>
    <cellStyle name="dp*NumberLine 2 2 2 8" xfId="7883"/>
    <cellStyle name="dp*NumberLineEPS 2 2 2 8" xfId="7884"/>
    <cellStyle name="dp*SheetSubTitle 2 2 2 8" xfId="7885"/>
    <cellStyle name="Heading [Helv] 2 2 2 8" xfId="7886"/>
    <cellStyle name="Heading [Palat] 2 2 2 8" xfId="7887"/>
    <cellStyle name="Magic 2 2 2 8" xfId="7888"/>
    <cellStyle name="Outputs 2 2 2 8" xfId="7889"/>
    <cellStyle name="Table Head Aligned 2 2 2 8" xfId="7890"/>
    <cellStyle name="Table Head Green 2 2 2 8" xfId="7891"/>
    <cellStyle name="Title [Helv] 2 2 2 8" xfId="7892"/>
    <cellStyle name="Title [Palat] 2 2 2 8" xfId="7893"/>
    <cellStyle name="dp*SubTitle 3 2 2 9" xfId="7894"/>
    <cellStyle name="Style 45 3 5 10" xfId="7895"/>
    <cellStyle name="Style 53 5 4" xfId="7896"/>
    <cellStyle name="DateYearWholeEstimate 4 5" xfId="7897"/>
    <cellStyle name="Border Thin 3 5 5 2" xfId="7898"/>
    <cellStyle name="Style 51 7 5 2" xfId="7899"/>
    <cellStyle name="dp*NumberLine 2 2 3 2 10" xfId="7900"/>
    <cellStyle name="Style 49 4 5 7" xfId="7901"/>
    <cellStyle name="Table Head Green 2 2 3 4 6" xfId="7902"/>
    <cellStyle name="Heading [Palat] 2 2 3 4 6" xfId="7903"/>
    <cellStyle name="Border Thin 3 3 4 7" xfId="7904"/>
    <cellStyle name="P-Green Rule 2 3 6" xfId="7905"/>
    <cellStyle name="Title [Palat] 2 2 3 2 6" xfId="7906"/>
    <cellStyle name="Title [Helv] 2 2 3 2 6" xfId="7907"/>
    <cellStyle name="Table Head Green 2 2 3 2 6" xfId="7908"/>
    <cellStyle name="Table Head Aligned 2 2 3 2 6" xfId="7909"/>
    <cellStyle name="Outputs 2 2 3 2 6" xfId="7910"/>
    <cellStyle name="Magic 2 2 3 2 6" xfId="7911"/>
    <cellStyle name="Heading [Palat] 2 2 3 2 6" xfId="7912"/>
    <cellStyle name="Heading [Helv] 2 2 3 2 6" xfId="7913"/>
    <cellStyle name="dp*SheetSubTitle 2 2 3 2 6" xfId="7914"/>
    <cellStyle name="dp*NumberLineEPS 2 2 3 2 6" xfId="7915"/>
    <cellStyle name="dp*NumberLine 2 2 3 2 6" xfId="7916"/>
    <cellStyle name="Date [mmm-yyyy] 2 2 3 2 6" xfId="7917"/>
    <cellStyle name="COL HEADINGS 2 2 3 2 6" xfId="7918"/>
    <cellStyle name="Bold/Border 2 2 3 2 6" xfId="7919"/>
    <cellStyle name="Afjusted 2 2 3 2 6" xfId="7920"/>
    <cellStyle name="ac 2 2 3 2 6" xfId="7921"/>
    <cellStyle name="Afjusted 4 3 2 6" xfId="7922"/>
    <cellStyle name="COL HEADINGS 2 2 3 4 10" xfId="7923"/>
    <cellStyle name="dp*ThinLineBelow 3 3 2 6" xfId="7924"/>
    <cellStyle name="dp*SubTitle 3 3 4 7" xfId="7925"/>
    <cellStyle name="P-Green Rule 3 3 2 6" xfId="7926"/>
    <cellStyle name="Style 44 4 3 2 6" xfId="7927"/>
    <cellStyle name="Style 45 4 3 2 6" xfId="7928"/>
    <cellStyle name="Style 49 4 3 2 6" xfId="7929"/>
    <cellStyle name="Style 51 4 3 2 6" xfId="7930"/>
    <cellStyle name="Date [mm-d-yyyy] 3 3 2 6" xfId="7931"/>
    <cellStyle name="Afjusted 3 3 2 6" xfId="7932"/>
    <cellStyle name="Date [mm-d-yyyy] 3 5 6" xfId="7933"/>
    <cellStyle name="Table Head Green 2 2 2 3 10" xfId="7934"/>
    <cellStyle name="Date [mm-d-yyyy] 2 2 2 6" xfId="7935"/>
    <cellStyle name="Afjusted 3 2 2 6" xfId="7936"/>
    <cellStyle name="PB Table Standard Row 3 5 6" xfId="7937"/>
    <cellStyle name="Date [mm-d-yyyy] 3 2 2 6" xfId="7938"/>
    <cellStyle name="Style 51 4 2 2 6" xfId="7939"/>
    <cellStyle name="Style 49 4 2 2 6" xfId="7940"/>
    <cellStyle name="Style 45 4 2 2 6" xfId="7941"/>
    <cellStyle name="Style 44 4 2 2 6" xfId="7942"/>
    <cellStyle name="Style 45 4 5 6" xfId="7943"/>
    <cellStyle name="P-Green Rule 3 2 2 6" xfId="7944"/>
    <cellStyle name="PB Table Standard Row 3 2 2 6" xfId="7945"/>
    <cellStyle name="dp*ThinLineBelow 3 2 2 6" xfId="7946"/>
    <cellStyle name="dp*SubTitle 3 2 2 6" xfId="7947"/>
    <cellStyle name="Style 51 4 5 6" xfId="7948"/>
    <cellStyle name="Border Thin 3 2 2 6" xfId="7949"/>
    <cellStyle name="Afjusted 4 2 2 6" xfId="7950"/>
    <cellStyle name="ac 2 2 2 2 6" xfId="7951"/>
    <cellStyle name="Afjusted 2 2 2 2 6" xfId="7952"/>
    <cellStyle name="Bold/Border 2 2 2 2 6" xfId="7953"/>
    <cellStyle name="COL HEADINGS 2 2 2 2 6" xfId="7954"/>
    <cellStyle name="Date [mmm-yyyy] 2 2 2 2 6" xfId="7955"/>
    <cellStyle name="dp*NumberLine 2 2 2 2 6" xfId="7956"/>
    <cellStyle name="dp*NumberLineEPS 2 2 2 2 6" xfId="7957"/>
    <cellStyle name="dp*SheetSubTitle 2 2 2 2 6" xfId="7958"/>
    <cellStyle name="Heading [Helv] 2 2 2 2 6" xfId="7959"/>
    <cellStyle name="Heading [Palat] 2 2 2 2 6" xfId="7960"/>
    <cellStyle name="Magic 2 2 2 2 6" xfId="7961"/>
    <cellStyle name="Outputs 2 2 2 2 6" xfId="7962"/>
    <cellStyle name="Table Head Aligned 2 2 2 2 6" xfId="7963"/>
    <cellStyle name="Table Head Green 2 2 2 2 6" xfId="7964"/>
    <cellStyle name="Title [Helv] 2 2 2 2 6" xfId="7965"/>
    <cellStyle name="Title [Palat] 2 2 2 2 6" xfId="7966"/>
    <cellStyle name="dp*ThinLineBelow 3 5 6" xfId="7967"/>
    <cellStyle name="Date [mm-d-yyyy] 2 2 3 6" xfId="7968"/>
    <cellStyle name="Afjusted 3 2 3 6" xfId="7969"/>
    <cellStyle name="Date [mm-d-yyyy] 3 2 3 6" xfId="7970"/>
    <cellStyle name="Style 51 4 2 3 6" xfId="7971"/>
    <cellStyle name="Style 49 4 2 3 6" xfId="7972"/>
    <cellStyle name="Style 45 4 2 3 6" xfId="7973"/>
    <cellStyle name="Style 44 4 2 3 6" xfId="7974"/>
    <cellStyle name="P-Green Rule 3 2 3 6" xfId="7975"/>
    <cellStyle name="PB Table Standard Row 3 2 3 6" xfId="7976"/>
    <cellStyle name="dp*ThinLineBelow 3 2 3 6" xfId="7977"/>
    <cellStyle name="dp*SubTitle 3 2 3 6" xfId="7978"/>
    <cellStyle name="Border Thin 3 2 3 6" xfId="7979"/>
    <cellStyle name="Afjusted 4 2 3 6" xfId="7980"/>
    <cellStyle name="ac 2 2 2 3 6" xfId="7981"/>
    <cellStyle name="Afjusted 2 2 2 3 6" xfId="7982"/>
    <cellStyle name="Bold/Border 2 2 2 3 6" xfId="7983"/>
    <cellStyle name="COL HEADINGS 2 2 2 3 6" xfId="7984"/>
    <cellStyle name="Date [mmm-yyyy] 2 2 2 3 6" xfId="7985"/>
    <cellStyle name="dp*NumberLine 2 2 2 3 6" xfId="7986"/>
    <cellStyle name="dp*NumberLineEPS 2 2 2 3 6" xfId="7987"/>
    <cellStyle name="dp*SheetSubTitle 2 2 2 3 6" xfId="7988"/>
    <cellStyle name="Heading [Helv] 2 2 2 3 6" xfId="7989"/>
    <cellStyle name="Heading [Palat] 2 2 2 3 6" xfId="7990"/>
    <cellStyle name="Magic 2 2 2 3 6" xfId="7991"/>
    <cellStyle name="Outputs 2 2 2 3 6" xfId="7992"/>
    <cellStyle name="Table Head Aligned 2 2 2 3 6" xfId="7993"/>
    <cellStyle name="Table Head Green 2 2 2 3 6" xfId="7994"/>
    <cellStyle name="Title [Helv] 2 2 2 3 6" xfId="7995"/>
    <cellStyle name="Title [Palat] 2 2 2 3 6" xfId="7996"/>
    <cellStyle name="Afjusted 3 2 4 6" xfId="7997"/>
    <cellStyle name="Date [mm-d-yyyy] 3 2 4 6" xfId="7998"/>
    <cellStyle name="Style 51 4 2 4 6" xfId="7999"/>
    <cellStyle name="Style 49 4 2 4 6" xfId="8000"/>
    <cellStyle name="Style 45 4 2 4 6" xfId="8001"/>
    <cellStyle name="Style 44 4 2 4 6" xfId="8002"/>
    <cellStyle name="P-Green Rule 3 2 4 6" xfId="8003"/>
    <cellStyle name="PB Table Standard Row 3 2 4 6" xfId="8004"/>
    <cellStyle name="dp*ThinLineBelow 3 2 4 6" xfId="8005"/>
    <cellStyle name="dp*SubTitle 3 2 4 6" xfId="8006"/>
    <cellStyle name="Border Thin 3 2 4 6" xfId="8007"/>
    <cellStyle name="Afjusted 4 2 4 6" xfId="8008"/>
    <cellStyle name="ac 2 2 2 4 6" xfId="8009"/>
    <cellStyle name="Afjusted 2 2 2 4 6" xfId="8010"/>
    <cellStyle name="Bold/Border 2 2 2 4 6" xfId="8011"/>
    <cellStyle name="COL HEADINGS 2 2 2 4 6" xfId="8012"/>
    <cellStyle name="Date [mmm-yyyy] 2 2 2 4 6" xfId="8013"/>
    <cellStyle name="dp*NumberLine 2 2 2 4 6" xfId="8014"/>
    <cellStyle name="dp*NumberLineEPS 2 2 2 4 6" xfId="8015"/>
    <cellStyle name="dp*SheetSubTitle 2 2 2 4 6" xfId="8016"/>
    <cellStyle name="Heading [Helv] 2 2 2 4 6" xfId="8017"/>
    <cellStyle name="Heading [Palat] 2 2 2 4 6" xfId="8018"/>
    <cellStyle name="Magic 2 2 2 4 6" xfId="8019"/>
    <cellStyle name="Outputs 2 2 2 4 6" xfId="8020"/>
    <cellStyle name="Table Head Aligned 2 2 2 4 6" xfId="8021"/>
    <cellStyle name="Table Head Green 2 2 2 4 6" xfId="8022"/>
    <cellStyle name="Title [Helv] 2 2 2 4 6" xfId="8023"/>
    <cellStyle name="Title [Palat] 2 2 2 4 6" xfId="8024"/>
    <cellStyle name="PB Table Standard Row 3 2 3 7" xfId="8025"/>
    <cellStyle name="Style 40 4 5" xfId="8026"/>
    <cellStyle name="Magic 2 2 4 7" xfId="8027"/>
    <cellStyle name="Border Thin 4 6" xfId="8028"/>
    <cellStyle name="Date [mm-d-yyyy] 4 6" xfId="8029"/>
    <cellStyle name="dp*SubTitle 4 6" xfId="8030"/>
    <cellStyle name="dp*ThinLineBelow 4 6" xfId="8031"/>
    <cellStyle name="PB Table Standard Row 4 6" xfId="8032"/>
    <cellStyle name="P-Green Rule 4 6" xfId="8033"/>
    <cellStyle name="Style 44 5 6" xfId="8034"/>
    <cellStyle name="Style 45 5 6" xfId="8035"/>
    <cellStyle name="Style 49 5 6" xfId="8036"/>
    <cellStyle name="Style 51 5 6" xfId="8037"/>
    <cellStyle name="P-Green Rule 3 2 3 7" xfId="8038"/>
    <cellStyle name="dp*SubTitle 3 2 3 10" xfId="8039"/>
    <cellStyle name="Outputs 2 2 4 7" xfId="8040"/>
    <cellStyle name="dp*NumberLineEPS 2 2 3 4 9" xfId="8041"/>
    <cellStyle name="Outputs 4 10" xfId="8042"/>
    <cellStyle name="Table Head Aligned 2 2 2 4 7" xfId="8043"/>
    <cellStyle name="Bold/Border 2 2 2 3 9" xfId="8044"/>
    <cellStyle name="Style 44 4 2 3 7" xfId="8045"/>
    <cellStyle name="dp*ThinLineAbove 2 5" xfId="8046"/>
    <cellStyle name="Heading [Palat] 2 2 4 7" xfId="8047"/>
    <cellStyle name="Title [Palat] 3 6" xfId="8048"/>
    <cellStyle name="Title [Helv] 3 6" xfId="8049"/>
    <cellStyle name="Table Head Green 3 6" xfId="8050"/>
    <cellStyle name="Table Head Aligned 3 6" xfId="8051"/>
    <cellStyle name="Title [Helv] 2 3 10" xfId="8052"/>
    <cellStyle name="Arial8Italic 3 4" xfId="8053"/>
    <cellStyle name="WingdingsWhite 3 4" xfId="8054"/>
    <cellStyle name="Heading [Helv] 2 2 2 2 9" xfId="8055"/>
    <cellStyle name="dp*NumberLine 2 2 3 2 9" xfId="8056"/>
    <cellStyle name="Style 44 4 2 10" xfId="8057"/>
    <cellStyle name="Table Head Green 2 2 2 2 10" xfId="8058"/>
    <cellStyle name="WingdingsRed 2 4" xfId="8059"/>
    <cellStyle name="SAPBEXaggItemX 2 4" xfId="8060"/>
    <cellStyle name="WingdingsRed 11" xfId="8061"/>
    <cellStyle name="dp*ThinLineBelow 3 3 2 9" xfId="8062"/>
    <cellStyle name="Table Head Green 5 7" xfId="8063"/>
    <cellStyle name="Outputs 3 6" xfId="8064"/>
    <cellStyle name="Magic 3 6" xfId="8065"/>
    <cellStyle name="Style 44 4 7" xfId="8066"/>
    <cellStyle name="Heading [Palat] 3 6" xfId="8067"/>
    <cellStyle name="Heading [Helv] 3 6" xfId="8068"/>
    <cellStyle name="dp*SubTitle 2 5 7" xfId="8069"/>
    <cellStyle name="dp*SheetSubTitle 3 6" xfId="8070"/>
    <cellStyle name="dp*NumberLineEPS 3 6" xfId="8071"/>
    <cellStyle name="dp*NumberLine 3 6" xfId="8072"/>
    <cellStyle name="Style 45 4 8" xfId="8073"/>
    <cellStyle name="Outputs 5 7" xfId="8074"/>
    <cellStyle name="DateYearEstimate 11" xfId="8075"/>
    <cellStyle name="COL HEADINGS 3 6" xfId="8076"/>
    <cellStyle name="Bold/Border 3 6" xfId="8077"/>
    <cellStyle name="Afjusted 7 7" xfId="8078"/>
    <cellStyle name="SAPBEXresItemX 10" xfId="8079"/>
    <cellStyle name="Afjusted 5 6" xfId="8080"/>
    <cellStyle name="ac 3 6" xfId="8081"/>
    <cellStyle name="SAPBEXexcCritical5 8" xfId="8082"/>
    <cellStyle name="dp*SheetSubTitle 2 2 4 7" xfId="8083"/>
    <cellStyle name="PB Table Standard Row 3 3 10" xfId="8084"/>
    <cellStyle name="Style 45 4 2 3 7" xfId="8085"/>
    <cellStyle name="Date [mmm-yyyy] 3 6" xfId="8086"/>
    <cellStyle name="Style 49 4 2 3 7" xfId="8087"/>
    <cellStyle name="Title [Palat] 2 6 7" xfId="8088"/>
    <cellStyle name="dp*NumberLineEPS 2 2 4 7" xfId="8089"/>
    <cellStyle name="Style 49 7 7" xfId="8090"/>
    <cellStyle name="Magic 2 2 2 2 7" xfId="8091"/>
    <cellStyle name="Table Head Green 2 6 7" xfId="8092"/>
    <cellStyle name="dp*NumberLine 2 2 4 7" xfId="8093"/>
    <cellStyle name="Afjusted 3 2 12" xfId="8094"/>
    <cellStyle name="Heading [Palat] 2 2 2 2 7" xfId="8095"/>
    <cellStyle name="Date [mmm-yyyy] 2 2 4 7" xfId="8096"/>
    <cellStyle name="COL HEADINGS 2 6 9" xfId="8097"/>
    <cellStyle name="ac 2 4 6" xfId="8098"/>
    <cellStyle name="Afjusted 2 3 6" xfId="8099"/>
    <cellStyle name="Bold/Border 2 4 6" xfId="8100"/>
    <cellStyle name="Border Thin 2 4 6" xfId="8101"/>
    <cellStyle name="COL HEADINGS 2 4 6" xfId="8102"/>
    <cellStyle name="Date [mmm-yyyy] 2 4 6" xfId="8103"/>
    <cellStyle name="dp*NumberLine 2 4 6" xfId="8104"/>
    <cellStyle name="dp*NumberLineEPS 2 4 6" xfId="8105"/>
    <cellStyle name="dp*SheetSubTitle 2 4 6" xfId="8106"/>
    <cellStyle name="dp*SubTitle 2 4 6" xfId="8107"/>
    <cellStyle name="dp*ThinLineBelow 2 4 6" xfId="8108"/>
    <cellStyle name="Heading [Helv] 2 4 6" xfId="8109"/>
    <cellStyle name="Heading [Palat] 2 4 6" xfId="8110"/>
    <cellStyle name="Magic 2 4 6" xfId="8111"/>
    <cellStyle name="Outputs 2 4 6" xfId="8112"/>
    <cellStyle name="PB Table Standard Row 2 4 6" xfId="8113"/>
    <cellStyle name="P-Green Rule 2 4 6" xfId="8114"/>
    <cellStyle name="Style 44 3 4 6" xfId="8115"/>
    <cellStyle name="Style 45 3 4 6" xfId="8116"/>
    <cellStyle name="Style 49 3 4 6" xfId="8117"/>
    <cellStyle name="Style 51 3 4 6" xfId="8118"/>
    <cellStyle name="Style 44 2 4 6" xfId="8119"/>
    <cellStyle name="Style 45 2 4 6" xfId="8120"/>
    <cellStyle name="Style 49 2 4 6" xfId="8121"/>
    <cellStyle name="Style 51 2 4 6" xfId="8122"/>
    <cellStyle name="Table Head Aligned 2 4 6" xfId="8123"/>
    <cellStyle name="Table Head Green 2 4 6" xfId="8124"/>
    <cellStyle name="Title [Helv] 2 4 6" xfId="8125"/>
    <cellStyle name="Title [Palat] 2 4 6" xfId="8126"/>
    <cellStyle name="Heading [Helv] 2 2 2 2 7" xfId="8127"/>
    <cellStyle name="Style 51 2 6 7" xfId="8128"/>
    <cellStyle name="Style 49 2 3 7" xfId="8129"/>
    <cellStyle name="Style 51 3 6 9" xfId="8130"/>
    <cellStyle name="dp*SheetSubTitle 2 2 2 2 7" xfId="8131"/>
    <cellStyle name="Style 49 2 6 7" xfId="8132"/>
    <cellStyle name="Style 45 2 3 7" xfId="8133"/>
    <cellStyle name="dp*ThinLineBelow 3 2 4 7" xfId="8134"/>
    <cellStyle name="P-Green Rule 3 3 2 7" xfId="8135"/>
    <cellStyle name="Date [mm-d-yyyy] 3 4 5 2" xfId="8136"/>
    <cellStyle name="dp*SubTitle 3 3 4 5 2" xfId="8137"/>
    <cellStyle name="Title [Helv] 2 2 3 8 2" xfId="8138"/>
    <cellStyle name="Outputs 2 2 3 8 2" xfId="8139"/>
    <cellStyle name="dp*NumberLineEPS 2 2 3 8 2" xfId="8140"/>
    <cellStyle name="Date [mm-d-yyyy] 2 2 7 2" xfId="8141"/>
    <cellStyle name="PB Table Standard Row 3 2 6 2" xfId="8142"/>
    <cellStyle name="Date [mm-d-yyyy] 2 2 3 5 2" xfId="8143"/>
    <cellStyle name="Table Head Green 2 2 2 3 5 2" xfId="8144"/>
    <cellStyle name="P-Green Rule 3 2 4 5 2" xfId="8145"/>
    <cellStyle name="Afjusted 2 2 2 4 5 2" xfId="8146"/>
    <cellStyle name="dp*NumberLineEPS 2 2 2 4 5 2" xfId="8147"/>
    <cellStyle name="dp*NumberLine 3 5 2" xfId="8148"/>
    <cellStyle name="Afjusted 5 5 2" xfId="8149"/>
    <cellStyle name="Heading [Helv] 2 4 5 2" xfId="8150"/>
    <cellStyle name="Date [mmm-yyyy] 7 6" xfId="8151"/>
    <cellStyle name="dp*SheetSubTitle 7 6" xfId="8152"/>
    <cellStyle name="Magic 7 6" xfId="8153"/>
    <cellStyle name="Title [Helv] 7 6" xfId="8154"/>
    <cellStyle name="Afjusted 9 6" xfId="8155"/>
    <cellStyle name="Arial6Bold 5 4" xfId="8156"/>
    <cellStyle name="Style 44 4 2 3 9" xfId="8157"/>
    <cellStyle name="SSFixed2 8" xfId="8158"/>
    <cellStyle name="SAPBEXaggItem 8" xfId="8159"/>
    <cellStyle name="Main 11" xfId="8160"/>
    <cellStyle name="SSDfltPct 2 5" xfId="8161"/>
    <cellStyle name="Style 45 2 3 10" xfId="8162"/>
    <cellStyle name="Style 51 3 2 9" xfId="8163"/>
    <cellStyle name="Table Head Green 2 2 3 2 10" xfId="8164"/>
    <cellStyle name="UNLOCKED 17 5" xfId="8165"/>
    <cellStyle name="ac 4 6" xfId="8166"/>
    <cellStyle name="COL HEADINGS 4 9" xfId="8167"/>
    <cellStyle name="Heading [Helv] 6 7" xfId="8168"/>
    <cellStyle name="P-Green Rule 7 5" xfId="8169"/>
    <cellStyle name="SAPBEXstdData 8" xfId="8170"/>
    <cellStyle name="Bold/Border 4 6" xfId="8171"/>
    <cellStyle name="Style 36 2 5" xfId="8172"/>
    <cellStyle name="Border Thin 5 6" xfId="8173"/>
    <cellStyle name="Date [mm-d-yyyy] 3 4 9" xfId="8174"/>
    <cellStyle name="Style 45 9 5" xfId="8175"/>
    <cellStyle name="Draw lines around data in range 4 5" xfId="8176"/>
    <cellStyle name="dp*NumberLine 3 10" xfId="8177"/>
    <cellStyle name="Heading [Helv] 2 3 9" xfId="8178"/>
    <cellStyle name="dp*ThinLineBelow 3 3 3 9" xfId="8179"/>
    <cellStyle name="ac 2 5 9" xfId="8180"/>
    <cellStyle name="dp*NumberLineEPS 2 2 3 3 9" xfId="8181"/>
    <cellStyle name="COL HEADINGS 4 6" xfId="8182"/>
    <cellStyle name="Style 44 2 3 9" xfId="8183"/>
    <cellStyle name="dp*SheetSubTitle 2 2 3 2 10" xfId="8184"/>
    <cellStyle name="Style 49 3 3 9" xfId="8185"/>
    <cellStyle name="Style 51 4 3 3 9" xfId="8186"/>
    <cellStyle name="Style 49 2 2 8" xfId="8187"/>
    <cellStyle name="Afjusted 2 2 3 4 10" xfId="8188"/>
    <cellStyle name="Style 45 7 7" xfId="8189"/>
    <cellStyle name="SAPBEXHLevel3 10" xfId="8190"/>
    <cellStyle name="Style 48 11" xfId="8191"/>
    <cellStyle name="Date [mm-d-yyyy] 5 6" xfId="8192"/>
    <cellStyle name="Arial8Italic 2 4" xfId="8193"/>
    <cellStyle name="Table Head Aligned 2 2 3 4 10" xfId="8194"/>
    <cellStyle name="Afjusted 3 2 11" xfId="8195"/>
    <cellStyle name="DateYearEstimate 3 5" xfId="8196"/>
    <cellStyle name="ac 2 2 3 2 9" xfId="8197"/>
    <cellStyle name="Style 49 4 2 2 8" xfId="8198"/>
    <cellStyle name="ac 3 9" xfId="8199"/>
    <cellStyle name="Style 21 5 4" xfId="8200"/>
    <cellStyle name="WingdingsRed 5 4" xfId="8201"/>
    <cellStyle name="PB Table Standard Row 2 6 9" xfId="8202"/>
    <cellStyle name="dp*NumberLine 2 2 2 3 10" xfId="8203"/>
    <cellStyle name="ac 2 2 3 4 9" xfId="8204"/>
    <cellStyle name="dp*ThinLineBelow 4 9" xfId="8205"/>
    <cellStyle name="Table Head Green 2 5 7" xfId="8206"/>
    <cellStyle name="Style 49 2 5 7" xfId="8207"/>
    <cellStyle name="Style 51 3 5 7" xfId="8208"/>
    <cellStyle name="Style 44 3 5 7" xfId="8209"/>
    <cellStyle name="Outputs 2 5 7" xfId="8210"/>
    <cellStyle name="dp*NumberLineEPS 2 5 7" xfId="8211"/>
    <cellStyle name="Table Head Green 2 2 2 4 10" xfId="8212"/>
    <cellStyle name="Magic 2 4 10" xfId="8213"/>
    <cellStyle name="Date [mmm-yyyy] 3 10" xfId="8214"/>
    <cellStyle name="PB Table Standard Row 2 3 7" xfId="8215"/>
    <cellStyle name="Style 49 6 7" xfId="8216"/>
    <cellStyle name="Heading [Helv] 4 6" xfId="8217"/>
    <cellStyle name="Heading [Palat] 4 6" xfId="8218"/>
    <cellStyle name="Heading [Palat] 2 2 10" xfId="8219"/>
    <cellStyle name="SAPBEXHLevel3X 2 5" xfId="8220"/>
    <cellStyle name="SSDfltPct 9" xfId="8221"/>
    <cellStyle name="SAPBEXformats 9" xfId="8222"/>
    <cellStyle name="SAPBEXexcBad8 8" xfId="8223"/>
    <cellStyle name="Time Strip 2 4" xfId="8224"/>
    <cellStyle name="Arial6Bold 2 4" xfId="8225"/>
    <cellStyle name="Magic 2 2 2 12" xfId="8226"/>
    <cellStyle name="dp*NumberLineEPS 2 2 2 11" xfId="8227"/>
    <cellStyle name="Afjusted 4 3 2 9" xfId="8228"/>
    <cellStyle name="Style 45 4 2 4 9" xfId="8229"/>
    <cellStyle name="ac 2 2 2 4 9" xfId="8230"/>
    <cellStyle name="dp*NumberLine 3 9" xfId="8231"/>
    <cellStyle name="Border Thin 2 4 9" xfId="8232"/>
    <cellStyle name="Style 49 3 4 9" xfId="8233"/>
    <cellStyle name="dp*NumberLine 2 2 3 3 10" xfId="8234"/>
    <cellStyle name="Style 45 3 2 9" xfId="8235"/>
    <cellStyle name="Magic 2 11" xfId="8236"/>
    <cellStyle name="Draw shadow and lines within range 5 4" xfId="8237"/>
    <cellStyle name="Border Thin 2 6 9" xfId="8238"/>
    <cellStyle name="Title [Palat] 2 6 9" xfId="8239"/>
    <cellStyle name="Style 42 12" xfId="8240"/>
    <cellStyle name="dp*SheetSubTitle 3 7" xfId="8241"/>
    <cellStyle name="Border Thin 4 7" xfId="8242"/>
    <cellStyle name="Bold/Border 2 2 2 3 7" xfId="8243"/>
    <cellStyle name="Table Head Green 2 2 2 2 7" xfId="8244"/>
    <cellStyle name="dp*SheetSubTitle 2 2 3 2 7" xfId="8245"/>
    <cellStyle name="dp*ThinLineBelow 2 5 9" xfId="8246"/>
    <cellStyle name="SAPBEXHLevel2 3 4" xfId="8247"/>
    <cellStyle name="SAPBEXexcCritical6 2 5" xfId="8248"/>
    <cellStyle name="SAPBEXaggItemX 2 5" xfId="8249"/>
    <cellStyle name="Style 44 3 3 9" xfId="8250"/>
    <cellStyle name="Title [Palat] 2 2 2 4 9" xfId="8251"/>
    <cellStyle name="SAPBEXHLevel2X 3 4" xfId="8252"/>
    <cellStyle name="Style 51 4 3 9" xfId="8253"/>
    <cellStyle name="Style 44 4 3 9" xfId="8254"/>
    <cellStyle name="dp*ThinLineBelow 3 3 9" xfId="8255"/>
    <cellStyle name="Outputs 4 6" xfId="8256"/>
    <cellStyle name="Afjusted 2 2 3 9" xfId="8257"/>
    <cellStyle name="Date [mmm-yyyy] 2 2 3 10" xfId="8258"/>
    <cellStyle name="dp*SheetSubTitle 2 2 3 10" xfId="8259"/>
    <cellStyle name="Table Head Aligned 2 2 3 10" xfId="8260"/>
    <cellStyle name="Title [Palat] 2 2 3 10" xfId="8261"/>
    <cellStyle name="Style 44 4 3 4 7" xfId="8262"/>
    <cellStyle name="PB Table Standard Row 5 6" xfId="8263"/>
    <cellStyle name="dp*ThinLineBelow 3 3 4 7" xfId="8264"/>
    <cellStyle name="Style 49 4 4 7" xfId="8265"/>
    <cellStyle name="Table Head Green 2 2 3 3 7" xfId="8266"/>
    <cellStyle name="Afjusted 3 4 7" xfId="8267"/>
    <cellStyle name="Style 45 4 3 4 7" xfId="8268"/>
    <cellStyle name="dp*NumberLine 2 2 3 3 7" xfId="8269"/>
    <cellStyle name="SAPBEXHLevel0 3 4" xfId="8270"/>
    <cellStyle name="P-Green Rule 2 2 7" xfId="8271"/>
    <cellStyle name="Style 44 2 2 7" xfId="8272"/>
    <cellStyle name="Magic 2 2 3 4 7" xfId="8273"/>
    <cellStyle name="P-Green Rule 5 6" xfId="8274"/>
    <cellStyle name="SAPBEXexcCritical4 9" xfId="8275"/>
    <cellStyle name="Style 26 2 5" xfId="8276"/>
    <cellStyle name="dp*SubTitle 2 2 7" xfId="8277"/>
    <cellStyle name="dp*NumberLine 2 2 3 3 9" xfId="8278"/>
    <cellStyle name="Arial6Bold 2 5" xfId="8279"/>
    <cellStyle name="Style 44 2 4 9" xfId="8280"/>
    <cellStyle name="Heading [Helv] 2 2 4 9" xfId="8281"/>
    <cellStyle name="Style 51 2 3 9" xfId="8282"/>
    <cellStyle name="Style 49 4 4 9" xfId="8283"/>
    <cellStyle name="Title [Palat] 2 2 9" xfId="8284"/>
    <cellStyle name="Style 49 4 4 10" xfId="8285"/>
    <cellStyle name="Table Head Green 2 11" xfId="8286"/>
    <cellStyle name="ac 5 9" xfId="8287"/>
    <cellStyle name="Style 49 9 7" xfId="8288"/>
    <cellStyle name="Date [mm-d-yyyy] 2 7" xfId="8289"/>
    <cellStyle name="Style 45 2 4 10" xfId="8290"/>
    <cellStyle name="Heading [Helv] 2 4 10" xfId="8291"/>
    <cellStyle name="dp*SubTitle 3 2 4 10" xfId="8292"/>
    <cellStyle name="Heading [Palat] 2 2 2 3 10" xfId="8293"/>
    <cellStyle name="Afjusted 3 2 3 10" xfId="8294"/>
    <cellStyle name="Date [mmm-yyyy] 2 2 3 12" xfId="8295"/>
    <cellStyle name="SAPBEXHLevel1 10" xfId="8296"/>
    <cellStyle name="SAPBEXundefined 8" xfId="8297"/>
    <cellStyle name="SSComma0 8" xfId="8298"/>
    <cellStyle name="Style 25 9" xfId="8299"/>
    <cellStyle name="Style 42 11" xfId="8300"/>
    <cellStyle name="SAPBEXresDataEmph 2 4" xfId="8301"/>
    <cellStyle name="SAPBEXtitle 2 4" xfId="8302"/>
    <cellStyle name="Style 36 2 4" xfId="8303"/>
    <cellStyle name="Style 42 2 4" xfId="8304"/>
    <cellStyle name="UNLOCKED 4 4" xfId="8305"/>
    <cellStyle name="Format text as bold, black on yellow 4 5" xfId="8306"/>
    <cellStyle name="SAPBEXexcGood3 2 5" xfId="8307"/>
    <cellStyle name="Table Head Aligned 2 2 2 2 10" xfId="8308"/>
    <cellStyle name="Afjusted 4 2 11" xfId="8309"/>
    <cellStyle name="Title [Palat] 2 2 3 2 9" xfId="8310"/>
    <cellStyle name="Table Head Aligned 2 2 2 2 9" xfId="8311"/>
    <cellStyle name="Style 44 6 6" xfId="8312"/>
    <cellStyle name="Style 45 6 6" xfId="8313"/>
    <cellStyle name="Border Thin 4 9" xfId="8314"/>
    <cellStyle name="Style 51 4 2 3 10" xfId="8315"/>
    <cellStyle name="Title [Palat] 3 9" xfId="8316"/>
    <cellStyle name="Style 49 6 6" xfId="8317"/>
    <cellStyle name="UNLOCKED 15 4" xfId="8318"/>
    <cellStyle name="Style 51 6 6" xfId="8319"/>
    <cellStyle name="UNLOCKED 19 5" xfId="8320"/>
    <cellStyle name="Draw lines around data in range 4 4" xfId="8321"/>
    <cellStyle name="Heading [Helv] 2 2 3 12" xfId="8322"/>
    <cellStyle name="Heading [Helv] 2 2 10" xfId="8323"/>
    <cellStyle name="Afjusted 2 2 9" xfId="8324"/>
    <cellStyle name="Table Head Green 4 6" xfId="8325"/>
    <cellStyle name="SSFixed2 2 5" xfId="8326"/>
    <cellStyle name="Currency-- 45" xfId="8327"/>
    <cellStyle name="Style 40 4 4" xfId="8328"/>
    <cellStyle name="Style 50 4 4" xfId="8329"/>
    <cellStyle name="WingdingsBlack 4 4" xfId="8330"/>
    <cellStyle name="dp*SubTitle 2 5 9" xfId="8331"/>
    <cellStyle name="Title [Palat] 2 5 9" xfId="8332"/>
    <cellStyle name="Border Thin 3 2 2 9" xfId="8333"/>
    <cellStyle name="Style 45 6 10" xfId="8334"/>
    <cellStyle name="ac 2 4 10" xfId="8335"/>
    <cellStyle name="Afjusted 2 2 5 10" xfId="8336"/>
    <cellStyle name="DateYearWholeEstimate 12" xfId="8337"/>
    <cellStyle name="Style 43 5 4" xfId="8338"/>
    <cellStyle name="Style 51 2 6 9" xfId="8339"/>
    <cellStyle name="Table Head Aligned 2 11" xfId="8340"/>
    <cellStyle name="Table Head Aligned 4 9" xfId="8341"/>
    <cellStyle name="P-Green Rule 6 9" xfId="8342"/>
    <cellStyle name="Style 27 2 4" xfId="8343"/>
    <cellStyle name="Style 36 3 4" xfId="8344"/>
    <cellStyle name="Style 22 3 5" xfId="8345"/>
    <cellStyle name="Magic 2 2 2 4 7" xfId="8346"/>
    <cellStyle name="Style 49 4 2 2 7" xfId="8347"/>
    <cellStyle name="Outputs 2 4 7" xfId="8348"/>
    <cellStyle name="ItemTypeClass 2 4" xfId="8349"/>
    <cellStyle name="Style 49 4 2 9" xfId="8350"/>
    <cellStyle name="dp*NumberLineEPS 2 2 2 2 7" xfId="8351"/>
    <cellStyle name="Style 44 2 3 7" xfId="8352"/>
    <cellStyle name="Afjusted 6 6" xfId="8353"/>
    <cellStyle name="Style 44 7 7" xfId="8354"/>
    <cellStyle name="ac 2 5 6" xfId="8355"/>
    <cellStyle name="Afjusted 2 4 6" xfId="8356"/>
    <cellStyle name="Bold/Border 2 5 6" xfId="8357"/>
    <cellStyle name="Border Thin 2 5 6" xfId="8358"/>
    <cellStyle name="COL HEADINGS 2 5 6" xfId="8359"/>
    <cellStyle name="Date [mmm-yyyy] 2 5 6" xfId="8360"/>
    <cellStyle name="dp*NumberLine 2 5 6" xfId="8361"/>
    <cellStyle name="dp*NumberLineEPS 2 5 6" xfId="8362"/>
    <cellStyle name="dp*SheetSubTitle 2 5 6" xfId="8363"/>
    <cellStyle name="dp*SubTitle 2 5 6" xfId="8364"/>
    <cellStyle name="dp*ThinLineBelow 2 5 6" xfId="8365"/>
    <cellStyle name="Heading [Helv] 2 5 6" xfId="8366"/>
    <cellStyle name="Heading [Palat] 2 5 6" xfId="8367"/>
    <cellStyle name="Magic 2 5 6" xfId="8368"/>
    <cellStyle name="Outputs 2 5 6" xfId="8369"/>
    <cellStyle name="PB Table Standard Row 2 5 6" xfId="8370"/>
    <cellStyle name="P-Green Rule 2 5 6" xfId="8371"/>
    <cellStyle name="Style 44 3 5 6" xfId="8372"/>
    <cellStyle name="Style 45 3 5 6" xfId="8373"/>
    <cellStyle name="Style 49 3 5 6" xfId="8374"/>
    <cellStyle name="Style 51 3 5 6" xfId="8375"/>
    <cellStyle name="Style 44 2 5 6" xfId="8376"/>
    <cellStyle name="Style 45 2 5 6" xfId="8377"/>
    <cellStyle name="Style 49 2 5 6" xfId="8378"/>
    <cellStyle name="Style 51 2 5 6" xfId="8379"/>
    <cellStyle name="Table Head Aligned 2 5 6" xfId="8380"/>
    <cellStyle name="Table Head Green 2 5 6" xfId="8381"/>
    <cellStyle name="Title [Helv] 2 5 6" xfId="8382"/>
    <cellStyle name="Title [Palat] 2 5 6" xfId="8383"/>
    <cellStyle name="Style 21 3 4" xfId="8384"/>
    <cellStyle name="EYColumnHeading 10 5" xfId="8385"/>
    <cellStyle name="Style 51 6 7" xfId="8386"/>
    <cellStyle name="Afjusted 2 2 2 4 7" xfId="8387"/>
    <cellStyle name="Date [mm-d-yyyy] 3 2 2 7" xfId="8388"/>
    <cellStyle name="Style 45 4 5 7" xfId="8389"/>
    <cellStyle name="Style 49 4 3 2 7" xfId="8390"/>
    <cellStyle name="Date [mm-d-yyyy] 3 5 7" xfId="8391"/>
    <cellStyle name="COL HEADINGS 2 2 3 2 7" xfId="8392"/>
    <cellStyle name="COL HEADINGS 2 2 2 9" xfId="8393"/>
    <cellStyle name="Outputs 2 2 3 2 9" xfId="8394"/>
    <cellStyle name="Style 49 5 9" xfId="8395"/>
    <cellStyle name="dp*NumberLine 2 2 2 2 7" xfId="8396"/>
    <cellStyle name="Style 45 2 6 7" xfId="8397"/>
    <cellStyle name="Style 51 3 3 7" xfId="8398"/>
    <cellStyle name="Date [mmm-yyyy] 2 2 2 2 7" xfId="8399"/>
    <cellStyle name="P-Green Rule 2 6 7" xfId="8400"/>
    <cellStyle name="Style 45 3 3 7" xfId="8401"/>
    <cellStyle name="Note 2 8" xfId="8402"/>
    <cellStyle name="COL HEADINGS 2 2 2 2 7" xfId="8403"/>
    <cellStyle name="Afjusted 3 5 7" xfId="8404"/>
    <cellStyle name="Border Thin 5 9" xfId="8405"/>
    <cellStyle name="P-Green Rule 3 2 4 7" xfId="8406"/>
    <cellStyle name="Style 45 4 4 5 2" xfId="8407"/>
    <cellStyle name="Border Thin 3 4 4 2" xfId="8408"/>
    <cellStyle name="Table Head Green 2 2 3 8 2" xfId="8409"/>
    <cellStyle name="Magic 2 2 3 8 2" xfId="8410"/>
    <cellStyle name="dp*NumberLine 2 2 3 8 2" xfId="8411"/>
    <cellStyle name="Style 49 4 2 7 2" xfId="8412"/>
    <cellStyle name="Afjusted 2 2 2 8 2" xfId="8413"/>
    <cellStyle name="PB Table Standard Row 3 2 3 5 2" xfId="8414"/>
    <cellStyle name="Afjusted 3 2 4 5 2" xfId="8415"/>
    <cellStyle name="dp*SubTitle 3 2 4 5 2" xfId="8416"/>
    <cellStyle name="Bold/Border 2 2 2 4 5 2" xfId="8417"/>
    <cellStyle name="Heading [Palat] 2 2 2 4 5 2" xfId="8418"/>
    <cellStyle name="COL HEADINGS 3 5 2" xfId="8419"/>
    <cellStyle name="Date [mmm-yyyy] 3 5 2" xfId="8420"/>
    <cellStyle name="Heading [Palat] 2 4 5 2" xfId="8421"/>
    <cellStyle name="dp*NumberLine 7 6" xfId="8422"/>
    <cellStyle name="Heading [Helv] 9 6" xfId="8423"/>
    <cellStyle name="Table Head Aligned 7 6" xfId="8424"/>
    <cellStyle name="Title [Palat] 8 6" xfId="8425"/>
    <cellStyle name="Date [mmm-yyyy] 6 6" xfId="8426"/>
    <cellStyle name="Table Head Green 2 3 10" xfId="8427"/>
    <cellStyle name="Heading [Helv] 2 2 2 12" xfId="8428"/>
    <cellStyle name="Afjusted 3 3 2 9" xfId="8429"/>
    <cellStyle name="COL HEADINGS 2 2 3 2 9" xfId="8430"/>
    <cellStyle name="Style 43 11" xfId="8431"/>
    <cellStyle name="Style 26 9" xfId="8432"/>
    <cellStyle name="SSComma2 8" xfId="8433"/>
    <cellStyle name="Style 43 2 5" xfId="8434"/>
    <cellStyle name="PB Table Standard Row 3 3 3 10" xfId="8435"/>
    <cellStyle name="Outputs 2 2 3 3 5 5" xfId="8436"/>
    <cellStyle name="Calculation 2 2 5" xfId="8437"/>
    <cellStyle name="dp*ThinLineBelow 3 2 8" xfId="8438"/>
    <cellStyle name="Style 27 2 5" xfId="8439"/>
    <cellStyle name="ac 5 6" xfId="8440"/>
    <cellStyle name="SAPBEXaggItemX 10" xfId="8441"/>
    <cellStyle name="Format a row of totals 12" xfId="8442"/>
    <cellStyle name="P-Green Rule 3 2 8" xfId="8443"/>
    <cellStyle name="dp*NumberLine 4 7" xfId="8444"/>
    <cellStyle name="P-Green Rule 3 2 3 9" xfId="8445"/>
    <cellStyle name="Table Head Green 2 4 10" xfId="8446"/>
    <cellStyle name="Arial8Bold 5 4" xfId="8447"/>
    <cellStyle name="SAPBEXHLevel2X 10" xfId="8448"/>
    <cellStyle name="Bold/Border 5 6" xfId="8449"/>
    <cellStyle name="Style 52 2 5" xfId="8450"/>
    <cellStyle name="Border Thin 6 6" xfId="8451"/>
    <cellStyle name="Table Head Aligned 4 7" xfId="8452"/>
    <cellStyle name="Title [Helv] 4 7" xfId="8453"/>
    <cellStyle name="Style 49 4 3 3 9" xfId="8454"/>
    <cellStyle name="P-Green Rule 3 3 4 9" xfId="8455"/>
    <cellStyle name="Afjusted 4 3 3 9" xfId="8456"/>
    <cellStyle name="COL HEADINGS 5 6" xfId="8457"/>
    <cellStyle name="Border Thin 3 3 3 9" xfId="8458"/>
    <cellStyle name="Date [mmm-yyyy] 2 2 3 4 9" xfId="8459"/>
    <cellStyle name="Title [Helv] 2 2 3 4 9" xfId="8460"/>
    <cellStyle name="Afjusted 2 4 10" xfId="8461"/>
    <cellStyle name="SAPBEXstdDataEmph 8" xfId="8462"/>
    <cellStyle name="Date [mm-d-yyyy] 6 4" xfId="8463"/>
    <cellStyle name="dp*Number%ItalicsLineAbove 2 4" xfId="8464"/>
    <cellStyle name="Style 25 2 5" xfId="8465"/>
    <cellStyle name="Style 49 4 2 10" xfId="8466"/>
    <cellStyle name="Heading [Palat] 2 2 2 2 10" xfId="8467"/>
    <cellStyle name="Style 45 4 5 8" xfId="8468"/>
    <cellStyle name="Table Head Green 2 2 3 4 10" xfId="8469"/>
    <cellStyle name="Style 35 5 4" xfId="8470"/>
    <cellStyle name="Style 22 12" xfId="8471"/>
    <cellStyle name="Style 45 3 6 9" xfId="8472"/>
    <cellStyle name="Table Head Green 2 6 9" xfId="8473"/>
    <cellStyle name="Title [Palat] 2 5 7" xfId="8474"/>
    <cellStyle name="Table Head Aligned 2 5 7" xfId="8475"/>
    <cellStyle name="Style 45 2 5 7" xfId="8476"/>
    <cellStyle name="Style 49 3 5 7" xfId="8477"/>
    <cellStyle name="P-Green Rule 2 5 7" xfId="8478"/>
    <cellStyle name="Magic 2 5 7" xfId="8479"/>
    <cellStyle name="Date [mmm-yyyy] 2 5 7" xfId="8480"/>
    <cellStyle name="Afjusted 2 2 4 8" xfId="8481"/>
    <cellStyle name="Date [mmm-yyyy] 2 4 10" xfId="8482"/>
    <cellStyle name="dp*NumberLineEPS 2 2 2 4 10" xfId="8483"/>
    <cellStyle name="dp*SheetSubTitle 2 2 2 12" xfId="8484"/>
    <cellStyle name="Date [mm-d-yyyy] 2 2 10" xfId="8485"/>
    <cellStyle name="EYCurrency 2 5" xfId="8486"/>
    <cellStyle name="Heading [Helv] 5 6" xfId="8487"/>
    <cellStyle name="Heading [Palat] 5 6" xfId="8488"/>
    <cellStyle name="SAPBEXexcBad9 9" xfId="8489"/>
    <cellStyle name="SAPBEXexcGood3 8" xfId="8490"/>
    <cellStyle name="P-Green Rule 5 7" xfId="8491"/>
    <cellStyle name="PB Table Standard Row 5 7" xfId="8492"/>
    <cellStyle name="ArialNormal 2 4" xfId="8493"/>
    <cellStyle name="P-Green Rule 3 2 3 10" xfId="8494"/>
    <cellStyle name="DateYearWholeEstimate 3 5" xfId="8495"/>
    <cellStyle name="Style 45 4 2 10" xfId="8496"/>
    <cellStyle name="Heading [Palat] 2 2 2 11" xfId="8497"/>
    <cellStyle name="Table Head Aligned 2 2 3 2 9" xfId="8498"/>
    <cellStyle name="Date [mm-d-yyyy] 2 2 2 8" xfId="8499"/>
    <cellStyle name="Heading [Palat] 4 7" xfId="8500"/>
    <cellStyle name="Date [mm-d-yyyy] 4 9" xfId="8501"/>
    <cellStyle name="UNLOCKED 16 4" xfId="8502"/>
    <cellStyle name="ArialNormal 3 4" xfId="8503"/>
    <cellStyle name="dp*NumberLineEPS 2 4 9" xfId="8504"/>
    <cellStyle name="Afjusted 4 2 4 10" xfId="8505"/>
    <cellStyle name="dp*NumberLine 2 2 4 10" xfId="8506"/>
    <cellStyle name="Arial6Bold 10 2" xfId="8507"/>
    <cellStyle name="UNLOCKED 3 5" xfId="8508"/>
    <cellStyle name="Style 45 4 2 4 10" xfId="8509"/>
    <cellStyle name="Table Head Green 2 2 4 10" xfId="8510"/>
    <cellStyle name="Style 49 7 9" xfId="8511"/>
    <cellStyle name="Header2 2 2 4" xfId="8512"/>
    <cellStyle name="Afjusted 2 8" xfId="8513"/>
    <cellStyle name="Style 45 5 10" xfId="8514"/>
    <cellStyle name="Afjusted 2 2 2 3 7" xfId="8515"/>
    <cellStyle name="Style 52 4 5" xfId="8516"/>
    <cellStyle name="SAPBEXstdItemX 3 5" xfId="8517"/>
    <cellStyle name="SAPBEXresItemX 3 5" xfId="8518"/>
    <cellStyle name="Style 26 2 4" xfId="8519"/>
    <cellStyle name="Style 37 3 4" xfId="8520"/>
    <cellStyle name="Style 49 4 3 9" xfId="8521"/>
    <cellStyle name="P-Green Rule 3 3 9" xfId="8522"/>
    <cellStyle name="dp*SubTitle 3 3 9" xfId="8523"/>
    <cellStyle name="Style 50 4 5" xfId="8524"/>
    <cellStyle name="Outputs 5 6" xfId="8525"/>
    <cellStyle name="Bold/Border 2 2 3 10" xfId="8526"/>
    <cellStyle name="dp*NumberLine 2 2 3 10" xfId="8527"/>
    <cellStyle name="Heading [Helv] 2 2 3 10" xfId="8528"/>
    <cellStyle name="Table Head Green 2 2 3 10" xfId="8529"/>
    <cellStyle name="dp*Number%ItalicsLineAbove 10" xfId="8530"/>
    <cellStyle name="PB Table Standard Row 6 6" xfId="8531"/>
    <cellStyle name="Style 44 4 4 7" xfId="8532"/>
    <cellStyle name="Afjusted 4 2 12" xfId="8533"/>
    <cellStyle name="Date [mm-d-yyyy] 3 3 3 7" xfId="8534"/>
    <cellStyle name="Table Head Green 2 2 4 7" xfId="8535"/>
    <cellStyle name="Outputs 2 2 3 3 7" xfId="8536"/>
    <cellStyle name="dp*ThinLineBelow 2 2 7" xfId="8537"/>
    <cellStyle name="Style 44 3 2 7" xfId="8538"/>
    <cellStyle name="Style 49 2 2 7" xfId="8539"/>
    <cellStyle name="P-Green Rule 6 6" xfId="8540"/>
    <cellStyle name="SSDecs3 9" xfId="8541"/>
    <cellStyle name="Outputs 5 9" xfId="8542"/>
    <cellStyle name="Input 2 6" xfId="8543"/>
    <cellStyle name="Table Head Aligned 2 3 9" xfId="8544"/>
    <cellStyle name="Style 44 4 5 8" xfId="8545"/>
    <cellStyle name="Style 51 2 4 9" xfId="8546"/>
    <cellStyle name="Heading [Helv] 2 2 3 11" xfId="8547"/>
    <cellStyle name="Style 49 2 4 9" xfId="8548"/>
    <cellStyle name="dp*SheetSubTitle 2 5 9" xfId="8549"/>
    <cellStyle name="Style 51 3 3 9" xfId="8550"/>
    <cellStyle name="Style 49 3 5 9" xfId="8551"/>
    <cellStyle name="Style 45 4 4 8" xfId="8552"/>
    <cellStyle name="Title [Helv] 2 2 9" xfId="8553"/>
    <cellStyle name="Date [mm-d-yyyy] 5 9" xfId="8554"/>
    <cellStyle name="dp*SheetSubTitle 2 2 3 4 9" xfId="8555"/>
    <cellStyle name="Arial8Bold 4 4" xfId="8556"/>
    <cellStyle name="P-Green Rule 3 4 6" xfId="8557"/>
    <cellStyle name="SAPBEXHLevel2X 11" xfId="8558"/>
    <cellStyle name="Style 45 3 4 10" xfId="8559"/>
    <cellStyle name="Bold/Border 2 4 10" xfId="8560"/>
    <cellStyle name="Style 51 4 2 4 10" xfId="8561"/>
    <cellStyle name="Heading [Helv] 2 2 2 3 10" xfId="8562"/>
    <cellStyle name="Heading [Helv] 2 2 3 2 10" xfId="8563"/>
    <cellStyle name="ac 2 2 2 12" xfId="8564"/>
    <cellStyle name="Table Head Green 2 2 3 12" xfId="8565"/>
    <cellStyle name="Afjusted 3 3 3 10" xfId="8566"/>
    <cellStyle name="Style 44 3 2 9" xfId="8567"/>
    <cellStyle name="SAPBEXresDataEmph 8" xfId="8568"/>
    <cellStyle name="SSDfltPct0 8" xfId="8569"/>
    <cellStyle name="SAPBEXresItem 2 4" xfId="8570"/>
    <cellStyle name="SAPBEXundefined 2 4" xfId="8571"/>
    <cellStyle name="Style 37 2 4" xfId="8572"/>
    <cellStyle name="Style 50 2 4" xfId="8573"/>
    <cellStyle name="COL HEADINGS 2 2 3 2 10" xfId="8574"/>
    <cellStyle name="COL HEADINGS 4 10" xfId="8575"/>
    <cellStyle name="dp*NumberLineEPS 2 2 3 4 10" xfId="8576"/>
    <cellStyle name="COL HEADINGS 2 2 2 11" xfId="8577"/>
    <cellStyle name="Title [Helv] 2 2 3 2 9" xfId="8578"/>
    <cellStyle name="Style 45 4 3 2 9" xfId="8579"/>
    <cellStyle name="PB Table Standard Row 3 2 3 9" xfId="8580"/>
    <cellStyle name="Style 44 7 6" xfId="8581"/>
    <cellStyle name="Style 45 7 6" xfId="8582"/>
    <cellStyle name="dp*SubTitle 4 9" xfId="8583"/>
    <cellStyle name="UNLOCKED 14 4" xfId="8584"/>
    <cellStyle name="Table Head Aligned 3 9" xfId="8585"/>
    <cellStyle name="Style 49 7 6" xfId="8586"/>
    <cellStyle name="Table Head Green 3 10" xfId="8587"/>
    <cellStyle name="Style 51 7 6" xfId="8588"/>
    <cellStyle name="ac 4 9" xfId="8589"/>
    <cellStyle name="DateYearWholeEstimate 4 4" xfId="8590"/>
    <cellStyle name="Draw shadow and lines within range 4 4" xfId="8591"/>
    <cellStyle name="Outputs 2 2 3 12" xfId="8592"/>
    <cellStyle name="dp*NumberLineEPS 2 3 10" xfId="8593"/>
    <cellStyle name="ItemTypeClass 4 4" xfId="8594"/>
    <cellStyle name="UNLOCKED 6 5" xfId="8595"/>
    <cellStyle name="Table Head Green 5 6" xfId="8596"/>
    <cellStyle name="SSDecs3 2 5" xfId="8597"/>
    <cellStyle name="SAPBEXaggItemX 3 4" xfId="8598"/>
    <cellStyle name="Style 22 4 4" xfId="8599"/>
    <cellStyle name="Style 36 4 4" xfId="8600"/>
    <cellStyle name="Style 43 4 4" xfId="8601"/>
    <cellStyle name="Style 51 6 9" xfId="8602"/>
    <cellStyle name="Table Head Aligned 2 5 9" xfId="8603"/>
    <cellStyle name="Style 51 4 5 9" xfId="8604"/>
    <cellStyle name="Style 37 4 5" xfId="8605"/>
    <cellStyle name="Title [Palat] 4 6" xfId="8606"/>
    <cellStyle name="Bold/Border 2 3 10" xfId="8607"/>
    <cellStyle name="Style 49 2 3 10" xfId="8608"/>
    <cellStyle name="SSDecs3 2 3 2" xfId="8609"/>
    <cellStyle name="SSDfltPct0 2 5" xfId="8610"/>
    <cellStyle name="Style 40 5 4" xfId="8611"/>
    <cellStyle name="Style 42 5 4" xfId="8612"/>
    <cellStyle name="SAPBEXaggDataEmph 2 5" xfId="8613"/>
    <cellStyle name="Style 53 6 4" xfId="8614"/>
    <cellStyle name="Style 49 5 10" xfId="8615"/>
    <cellStyle name="Main 4 4" xfId="8616"/>
    <cellStyle name="Bold/Border 2 5 10" xfId="8617"/>
    <cellStyle name="Date [mmm-yyyy] 2 2 2 4 9" xfId="8618"/>
    <cellStyle name="Style 35 4 5" xfId="8619"/>
    <cellStyle name="ArialNormal 2 5" xfId="8620"/>
    <cellStyle name="PB Table Standard Row 3 3 2 5" xfId="8621"/>
    <cellStyle name="Table Head Aligned 2 2 2 2 7" xfId="8622"/>
    <cellStyle name="Heading [Palat] 2 2 3 2 7" xfId="8623"/>
    <cellStyle name="Style 52 11" xfId="8624"/>
    <cellStyle name="Heading [Helv] 2 2 2 4 7" xfId="8625"/>
    <cellStyle name="Style 51 4 2 2 7" xfId="8626"/>
    <cellStyle name="Style 51 4 3 2 7" xfId="8627"/>
    <cellStyle name="Title [Helv] 2 3 5 2" xfId="8628"/>
    <cellStyle name="P-Green Rule 4 7" xfId="8629"/>
    <cellStyle name="Date [mmm-yyyy] 2 2 2 4 7" xfId="8630"/>
    <cellStyle name="P-Green Rule 3 2 2 7" xfId="8631"/>
    <cellStyle name="dp*SubTitle 2 3 6" xfId="8632"/>
    <cellStyle name="ac 2 2 3 2 7" xfId="8633"/>
    <cellStyle name="dp*SheetSubTitle 2 2 2 4 9" xfId="8634"/>
    <cellStyle name="ac 2 6 6" xfId="8635"/>
    <cellStyle name="Bold/Border 2 6 6" xfId="8636"/>
    <cellStyle name="Border Thin 2 6 6" xfId="8637"/>
    <cellStyle name="COL HEADINGS 2 6 6" xfId="8638"/>
    <cellStyle name="Date [mm-d-yyyy] 2 3 4" xfId="8639"/>
    <cellStyle name="Bold/Border 3 9" xfId="8640"/>
    <cellStyle name="Date [mm-d-yyyy] 3 2 4 10" xfId="8641"/>
    <cellStyle name="Heading [Helv] 2 6 6" xfId="8642"/>
    <cellStyle name="Heading [Palat] 2 6 6" xfId="8643"/>
    <cellStyle name="dp*LabelLine 3 2 3" xfId="8644"/>
    <cellStyle name="Outputs 2 6 6" xfId="8645"/>
    <cellStyle name="PB Table Standard Row 2 6 6" xfId="8646"/>
    <cellStyle name="P-Green Rule 2 6 6" xfId="8647"/>
    <cellStyle name="Style 44 3 6 6" xfId="8648"/>
    <cellStyle name="Style 45 3 6 6" xfId="8649"/>
    <cellStyle name="Style 49 3 6 6" xfId="8650"/>
    <cellStyle name="Style 51 3 6 6" xfId="8651"/>
    <cellStyle name="Style 44 2 6 6" xfId="8652"/>
    <cellStyle name="Style 45 2 6 6" xfId="8653"/>
    <cellStyle name="Style 49 2 6 6" xfId="8654"/>
    <cellStyle name="Style 51 2 6 6" xfId="8655"/>
    <cellStyle name="Table Head Green 2 6 6" xfId="8656"/>
    <cellStyle name="Title [Palat] 2 6 6" xfId="8657"/>
    <cellStyle name="Heading [Palat] 2 2 2 4 10" xfId="8658"/>
    <cellStyle name="Style 44 4 3 2 7" xfId="8659"/>
    <cellStyle name="dp*NumberLine 2 2 3 2 7" xfId="8660"/>
    <cellStyle name="Style 45 4 2 2 7" xfId="8661"/>
    <cellStyle name="Date [mm-d-yyyy] 3 3 2 7" xfId="8662"/>
    <cellStyle name="dp*NumberLine 2 2 2 4 7" xfId="8663"/>
    <cellStyle name="PB Table Standard Row 3 2 2 7" xfId="8664"/>
    <cellStyle name="SAPBEXHLevel0X 3 4" xfId="8665"/>
    <cellStyle name="Afjusted 4 3 2 7" xfId="8666"/>
    <cellStyle name="Date [mmm-yyyy] 2 2 2 9" xfId="8667"/>
    <cellStyle name="Style 51 4 3 4 9" xfId="8668"/>
    <cellStyle name="PB Table Standard Row 2 6 7" xfId="8669"/>
    <cellStyle name="Date [mm-d-yyyy] 3 2 10" xfId="8670"/>
    <cellStyle name="Border Thin 3 5 5" xfId="8671"/>
    <cellStyle name="Style 51 7 5" xfId="8672"/>
    <cellStyle name="Bold/Border 2 2 2 2 7" xfId="8673"/>
    <cellStyle name="Outputs 2 6 7" xfId="8674"/>
    <cellStyle name="UNLOCKED 10 5" xfId="8675"/>
    <cellStyle name="SAPBEXaggItem 2 5" xfId="8676"/>
    <cellStyle name="dp*NumberLine 2 2 2 12" xfId="8677"/>
    <cellStyle name="Title [Helv] 2 2 3 2 7" xfId="8678"/>
    <cellStyle name="dp*ThinLineBelow 3 3 2 7" xfId="8679"/>
    <cellStyle name="ac 2 2 3 4 10" xfId="8680"/>
    <cellStyle name="dp*ThinLineBelow 3 3 4 10" xfId="8681"/>
    <cellStyle name="Heading [Helv] 2 4 9" xfId="8682"/>
    <cellStyle name="COL HEADINGS 2 2 2 3 7" xfId="8683"/>
    <cellStyle name="Title [Helv] 2 2 3 11" xfId="8684"/>
    <cellStyle name="PB Table Standard Row 3 2 4 7" xfId="8685"/>
    <cellStyle name="Title [Palat] 2 2 2 4 7" xfId="8686"/>
    <cellStyle name="Title [Palat] 2 5 10" xfId="8687"/>
    <cellStyle name="ArialNormal 5 4" xfId="8688"/>
    <cellStyle name="Heading [Palat] 2 2 2 4 7" xfId="8689"/>
    <cellStyle name="dp*NumberLineEPS 2 2 4 10" xfId="8690"/>
    <cellStyle name="Title [Helv] 2 2 2 2 7" xfId="8691"/>
    <cellStyle name="SAPBEXresItemX 3 4" xfId="8692"/>
    <cellStyle name="dp*SheetSubTitle 2 4 7" xfId="8693"/>
    <cellStyle name="Style 44 3 4 7" xfId="8694"/>
    <cellStyle name="Style 51 6 10" xfId="8695"/>
    <cellStyle name="Outputs 2 2 3 4 9" xfId="8696"/>
    <cellStyle name="dp*NumberLineEPS 2 2 3 2 7" xfId="8697"/>
    <cellStyle name="Afjusted 2 2 3 2 7" xfId="8698"/>
    <cellStyle name="Style 44 3 3 10" xfId="8699"/>
    <cellStyle name="Afjusted 4 4 9" xfId="8700"/>
    <cellStyle name="Heading [Helv] 3 7" xfId="8701"/>
    <cellStyle name="Magic 3 7" xfId="8702"/>
    <cellStyle name="Date [mmm-yyyy] 2 2 2 12" xfId="8703"/>
    <cellStyle name="Outputs 3 7" xfId="8704"/>
    <cellStyle name="Date [mm-d-yyyy] 2 2 3 7" xfId="8705"/>
    <cellStyle name="Heading [Helv] 2 2 2 3 7" xfId="8706"/>
    <cellStyle name="Style 51 3 6 7" xfId="8707"/>
    <cellStyle name="ac 2 6 7" xfId="8708"/>
    <cellStyle name="Table Head Aligned 2 3 10" xfId="8709"/>
    <cellStyle name="Heading [Palat] 2 5 9" xfId="8710"/>
    <cellStyle name="Heading [Helv] 2 3 10" xfId="8711"/>
    <cellStyle name="Bold/Border 2 6 7" xfId="8712"/>
    <cellStyle name="UNLOCKED 21 4" xfId="8713"/>
    <cellStyle name="Bold/Border 2 3 7" xfId="8714"/>
    <cellStyle name="Heading [Palat] 2 2 3 3 10" xfId="8715"/>
    <cellStyle name="dp*NumberLine 2 2 2 9" xfId="8716"/>
    <cellStyle name="Outputs 2 2 2 4 7" xfId="8717"/>
    <cellStyle name="dp*NumberLine 2 2 2 3 7" xfId="8718"/>
    <cellStyle name="Afjusted 2 2 5 7" xfId="8719"/>
    <cellStyle name="Afjusted 3 12" xfId="8720"/>
    <cellStyle name="Heading [Palat] 2 2 3 2 10" xfId="8721"/>
    <cellStyle name="ac 2 2 2 9" xfId="8722"/>
    <cellStyle name="COL HEADINGS 2 2 2 4 7" xfId="8723"/>
    <cellStyle name="Afjusted 2 2 3 11" xfId="8724"/>
    <cellStyle name="Table Head Aligned 3 7" xfId="8725"/>
    <cellStyle name="Table Head Green 3 7" xfId="8726"/>
    <cellStyle name="Title [Helv] 3 7" xfId="8727"/>
    <cellStyle name="dp*ThinLineBelow 4 7" xfId="8728"/>
    <cellStyle name="DateYearWholeEstimate 5 4" xfId="8729"/>
    <cellStyle name="UNLOCKED 14 5" xfId="8730"/>
    <cellStyle name="Magic 2 2 3 3 9" xfId="8731"/>
    <cellStyle name="Title [Palat] 3 7" xfId="8732"/>
    <cellStyle name="Bold/Border 2 2 3 3 9" xfId="8733"/>
    <cellStyle name="Afjusted 4 2 4 7" xfId="8734"/>
    <cellStyle name="Style 42 4 5" xfId="8735"/>
    <cellStyle name="PB Table Standard Row 4 7" xfId="8736"/>
    <cellStyle name="dp*SubTitle 3 2 4 7" xfId="8737"/>
    <cellStyle name="Date [mm-d-yyyy] 3 3 3 9" xfId="8738"/>
    <cellStyle name="Date [mmm-yyyy] 3 7" xfId="8739"/>
    <cellStyle name="Style 44 2 2 9" xfId="8740"/>
    <cellStyle name="dp*NumberLineEPS 3 7" xfId="8741"/>
    <cellStyle name="dp*NumberLine 3 7" xfId="8742"/>
    <cellStyle name="Border 2 3 2" xfId="8743"/>
    <cellStyle name="Table Head Aligned 2 4 7" xfId="8744"/>
    <cellStyle name="Heading [Helv] 2 2 3 2 7" xfId="8745"/>
    <cellStyle name="Afjusted 2 4 9" xfId="8746"/>
    <cellStyle name="Magic 2 2 3 2 7" xfId="8747"/>
    <cellStyle name="Afjusted 2 2 2 2 7" xfId="8748"/>
    <cellStyle name="Afjusted 3 2 4 10" xfId="8749"/>
    <cellStyle name="P-Green Rule 2 5 9" xfId="8750"/>
    <cellStyle name="Style 51 9 7" xfId="8751"/>
    <cellStyle name="Style 51 7 5 4" xfId="8752"/>
    <cellStyle name="Title [Palat] 5 6" xfId="8753"/>
    <cellStyle name="Title [Helv] 4 6" xfId="8754"/>
    <cellStyle name="Table Head Green 6 6" xfId="8755"/>
    <cellStyle name="Table Head Aligned 4 6" xfId="8756"/>
    <cellStyle name="UNLOCKED 11 5" xfId="8757"/>
    <cellStyle name="Style 51 9 4" xfId="8758"/>
    <cellStyle name="Title [Helv] 3 10" xfId="8759"/>
    <cellStyle name="Style 49 9 4" xfId="8760"/>
    <cellStyle name="Style 50 3 4" xfId="8761"/>
    <cellStyle name="Style 45 9 4" xfId="8762"/>
    <cellStyle name="Style 44 9 4" xfId="8763"/>
    <cellStyle name="ac 2 2 2 3 9" xfId="8764"/>
    <cellStyle name="dp*SheetSubTitle 2 2 2 11" xfId="8765"/>
    <cellStyle name="dp*SubTitle 3 5 9" xfId="8766"/>
    <cellStyle name="SSDecs3 2 4" xfId="8767"/>
    <cellStyle name="SAPBEXresItemX 2 4" xfId="8768"/>
    <cellStyle name="SAPBEXexcBad8 2 4" xfId="8769"/>
    <cellStyle name="Title [Helv] 2 2 2 12" xfId="8770"/>
    <cellStyle name="SAPBEXresDataEmph 9" xfId="8771"/>
    <cellStyle name="Style 21 2 5" xfId="8772"/>
    <cellStyle name="Outputs 3 10" xfId="8773"/>
    <cellStyle name="Heading [Helv] 2 5 10" xfId="8774"/>
    <cellStyle name="ArialNormal 3 5" xfId="8775"/>
    <cellStyle name="SAPBEXresItemX 2 5" xfId="8776"/>
    <cellStyle name="Style 44 4 3 10" xfId="8777"/>
    <cellStyle name="dp*NumberLineEPS 2 10" xfId="8778"/>
    <cellStyle name="PB Table Standard Row 3 2 7" xfId="8779"/>
    <cellStyle name="dp*ThinLineBelow 3 4 6" xfId="8780"/>
    <cellStyle name="Format a row of totals 3 4" xfId="8781"/>
    <cellStyle name="SAPBEXHLevel0X 10" xfId="8782"/>
    <cellStyle name="Style 51 4 9" xfId="8783"/>
    <cellStyle name="Table Head Aligned 2 2 4 10" xfId="8784"/>
    <cellStyle name="COL HEADINGS 2 2 9" xfId="8785"/>
    <cellStyle name="Magic 2 2 9" xfId="8786"/>
    <cellStyle name="Date [mmm-yyyy] 2 2 3 3 10" xfId="8787"/>
    <cellStyle name="Style 44 4 3 2 9" xfId="8788"/>
    <cellStyle name="Style 45 7 5 2" xfId="8789"/>
    <cellStyle name="P-Green Rule 7 4" xfId="8790"/>
    <cellStyle name="Outputs 6 6" xfId="8791"/>
    <cellStyle name="Title [Helv] 2 5 10" xfId="8792"/>
    <cellStyle name="Afjusted 2 2 3 3 10" xfId="8793"/>
    <cellStyle name="Style 45 7 9" xfId="8794"/>
    <cellStyle name="Magic 4 6" xfId="8795"/>
    <cellStyle name="Date [mm-d-yyyy] 3 3 10" xfId="8796"/>
    <cellStyle name="Afjusted 2 4 7" xfId="8797"/>
    <cellStyle name="SSComma2 2 4" xfId="8798"/>
    <cellStyle name="SAPBEXHLevel1 2 4" xfId="8799"/>
    <cellStyle name="dp*ThinLineAbove 2 4" xfId="8800"/>
    <cellStyle name="ac 2 3 9" xfId="8801"/>
    <cellStyle name="SAPBEXstdItem 8" xfId="8802"/>
    <cellStyle name="Heading [Palat] 6 6" xfId="8803"/>
    <cellStyle name="Heading [Helv] 6 6" xfId="8804"/>
    <cellStyle name="ArialNormal 4 5" xfId="8805"/>
    <cellStyle name="P-Green Rule 3 2 2 9" xfId="8806"/>
    <cellStyle name="Border Thin 2 5 7" xfId="8807"/>
    <cellStyle name="Style 48 5 4" xfId="8808"/>
    <cellStyle name="Draw lines around data in range 5 4" xfId="8809"/>
    <cellStyle name="dp*ThinLineBelow 5 5" xfId="8810"/>
    <cellStyle name="Style 44 6 9" xfId="8811"/>
    <cellStyle name="dp*SheetSubTitle 4 6" xfId="8812"/>
    <cellStyle name="dp*NumberLineEPS 4 6" xfId="8813"/>
    <cellStyle name="dp*NumberLine 4 6" xfId="8814"/>
    <cellStyle name="Style 42 4 4" xfId="8815"/>
    <cellStyle name="Date [mmm-yyyy] 3 9" xfId="8816"/>
    <cellStyle name="SymbolBlue 3 4" xfId="8817"/>
    <cellStyle name="SAPBEXexcCritical5 2 4" xfId="8818"/>
    <cellStyle name="Date [mmm-yyyy] 4 6" xfId="8819"/>
    <cellStyle name="Date [mm-d-yyyy] 7 5" xfId="8820"/>
    <cellStyle name="Date [mmm-yyyy] 2 3 10" xfId="8821"/>
    <cellStyle name="COL HEADINGS 6 6" xfId="8822"/>
    <cellStyle name="Magic 2 3 9" xfId="8823"/>
    <cellStyle name="dp*SheetSubTitle 2 2 4 10" xfId="8824"/>
    <cellStyle name="Bold/Border 6 6" xfId="8825"/>
    <cellStyle name="Date [mm-d-yyyy] 3 5 8" xfId="8826"/>
    <cellStyle name="dp*SheetSubTitle 4 7" xfId="8827"/>
    <cellStyle name="Arial8Italic 5 4" xfId="8828"/>
    <cellStyle name="SSDecs3 8" xfId="8829"/>
    <cellStyle name="Afjusted 7 6" xfId="8830"/>
    <cellStyle name="ac 6 6" xfId="8831"/>
    <cellStyle name="Heading [Helv] 2 2 9" xfId="8832"/>
    <cellStyle name="Magic 2 2 3 4 10" xfId="8833"/>
    <cellStyle name="SAPBEXHLevel1 3 5" xfId="8834"/>
    <cellStyle name="Magic 2 2 3 3 10" xfId="8835"/>
    <cellStyle name="Style 50 2 5" xfId="8836"/>
    <cellStyle name="SAPBEXstdItemX 10" xfId="8837"/>
    <cellStyle name="Heading [Palat] 2 4 9" xfId="8838"/>
    <cellStyle name="Heading [Palat] 2 2 3 12" xfId="8839"/>
    <cellStyle name="Calculation 2 2 4" xfId="8840"/>
    <cellStyle name="Table Head Green 2 12" xfId="8841"/>
    <cellStyle name="Style 44 2 10" xfId="8842"/>
    <cellStyle name="Style 51 2 5 9" xfId="8843"/>
    <cellStyle name="Title [Palat] 2 2 3 4 10" xfId="8844"/>
    <cellStyle name="SAPBEXexcBad7 2 5" xfId="8845"/>
    <cellStyle name="dp*SubTitle 2 5 10" xfId="8846"/>
    <cellStyle name="Style 44 8 6" xfId="8847"/>
    <cellStyle name="Style 45 8 6" xfId="8848"/>
    <cellStyle name="Style 49 8 6" xfId="8849"/>
    <cellStyle name="Style 51 8 6" xfId="8850"/>
    <cellStyle name="SAPBEXresDataEmph 2 5" xfId="8851"/>
    <cellStyle name="SSComma2 9" xfId="8852"/>
    <cellStyle name="SAPBEXHLevel3X 11" xfId="8853"/>
    <cellStyle name="Magic 2 2 2 4 10" xfId="8854"/>
    <cellStyle name="SAPBEXexcGood2 2 4" xfId="8855"/>
    <cellStyle name="ac 2 2 4 9" xfId="8856"/>
    <cellStyle name="Style 36 3 5" xfId="8857"/>
    <cellStyle name="Style 51 4 2 2 8" xfId="8858"/>
    <cellStyle name="Heading [Helv] 2 2 2 3 9" xfId="8859"/>
    <cellStyle name="Style 43 3 4" xfId="8860"/>
    <cellStyle name="ArialNormal 4 4" xfId="8861"/>
    <cellStyle name="Style 28 10" xfId="8862"/>
    <cellStyle name="Format text as bold, black on yellow 4 4" xfId="8863"/>
    <cellStyle name="COL HEADINGS 2 2 3 3 9" xfId="8864"/>
    <cellStyle name="Heading [Palat] 2 6 7" xfId="8865"/>
    <cellStyle name="Title [Palat] 2 2 3 2 7" xfId="8866"/>
    <cellStyle name="Magic 2 4 7" xfId="8867"/>
    <cellStyle name="SymbolBlue 4 4" xfId="8868"/>
    <cellStyle name="Bold/Border 2 2 2 4 7" xfId="8869"/>
    <cellStyle name="dp*SheetSubTitle 2 2 2 3 7" xfId="8870"/>
    <cellStyle name="Magic 2 2 2 9" xfId="8871"/>
    <cellStyle name="Border Thin 2 5 10" xfId="8872"/>
    <cellStyle name="Style 51 2 4 10" xfId="8873"/>
    <cellStyle name="UNLOCKED 9 4" xfId="8874"/>
    <cellStyle name="UNLOCKED 10 4" xfId="8875"/>
    <cellStyle name="Style 44 3 6 7" xfId="8876"/>
    <cellStyle name="SAPBEXHLevel0 3 5" xfId="8877"/>
    <cellStyle name="UNLOCKED 20 5" xfId="8878"/>
    <cellStyle name="Style 51 3 4 7" xfId="8879"/>
    <cellStyle name="Heading [Palat] 2 4 7" xfId="8880"/>
    <cellStyle name="dp*SubTitle 2 4 7" xfId="8881"/>
    <cellStyle name="Style 49 3 3 10" xfId="8882"/>
    <cellStyle name="Heading [Palat] 3 7" xfId="8883"/>
    <cellStyle name="dp*ThinLineBelow 3 5 7" xfId="8884"/>
    <cellStyle name="Bold/Border 2 2 3 2 7" xfId="8885"/>
    <cellStyle name="ac 2 3 7" xfId="8886"/>
    <cellStyle name="Magic 2 2 3 3 7" xfId="8887"/>
    <cellStyle name="Border Thin 3 5 7" xfId="8888"/>
    <cellStyle name="Style 44 4 2 3 10" xfId="8889"/>
    <cellStyle name="dp*NumberLineEPS 2 4 7" xfId="8890"/>
    <cellStyle name="Date [mm-d-yyyy] 2 3 5" xfId="8891"/>
    <cellStyle name="dp*ThinLineBelow 3 2 3 9" xfId="8892"/>
    <cellStyle name="Afjusted 2 2 3 3 9" xfId="8893"/>
    <cellStyle name="Heading [Helv] 2 6 7" xfId="8894"/>
    <cellStyle name="P-Green Rule 2 3 7" xfId="8895"/>
    <cellStyle name="WingdingsBlack 12" xfId="8896"/>
    <cellStyle name="SAPBEXHLevel2X 2 4" xfId="8897"/>
    <cellStyle name="PB Table Standard Row 2 3 5" xfId="8898"/>
    <cellStyle name="Style 44 5 9" xfId="8899"/>
    <cellStyle name="Style 51 2 2 8" xfId="8900"/>
    <cellStyle name="Title [Palat] 6 5" xfId="8901"/>
    <cellStyle name="Title [Helv] 5 5" xfId="8902"/>
    <cellStyle name="Table Head Green 7 5" xfId="8903"/>
    <cellStyle name="Table Head Aligned 5 5" xfId="8904"/>
    <cellStyle name="Outputs 7 5" xfId="8905"/>
    <cellStyle name="Style 49 6 9" xfId="8906"/>
    <cellStyle name="Magic 5 5" xfId="8907"/>
    <cellStyle name="Heading [Palat] 7 5" xfId="8908"/>
    <cellStyle name="Heading [Helv] 7 5" xfId="8909"/>
    <cellStyle name="dp*SheetSubTitle 5 5" xfId="8910"/>
    <cellStyle name="dp*NumberLineEPS 5 5" xfId="8911"/>
    <cellStyle name="dp*NumberLine 5 5" xfId="8912"/>
    <cellStyle name="Date [mmm-yyyy] 5 5" xfId="8913"/>
    <cellStyle name="Border Thin 2 2 9" xfId="8914"/>
    <cellStyle name="COL HEADINGS 7 5" xfId="8915"/>
    <cellStyle name="Bold/Border 7 5" xfId="8916"/>
    <cellStyle name="Afjusted 8 5" xfId="8917"/>
    <cellStyle name="ac 7 5" xfId="8918"/>
    <cellStyle name="Style 44 3 5 10" xfId="8919"/>
    <cellStyle name="Outputs 2 2 3 2 10" xfId="8920"/>
    <cellStyle name="Heading [Palat] 2 2 3 4 7" xfId="8921"/>
    <cellStyle name="Table Head Green 2 2 3 4 7" xfId="8922"/>
    <cellStyle name="COL HEADINGS 2 6 7" xfId="8923"/>
    <cellStyle name="Title [Palat] 2 2 3 4 7" xfId="8924"/>
    <cellStyle name="Note 2 7" xfId="8925"/>
    <cellStyle name="Afjusted 2 2 5 9" xfId="8926"/>
    <cellStyle name="Title [Palat] 7 5" xfId="8927"/>
    <cellStyle name="Title [Helv] 6 5" xfId="8928"/>
    <cellStyle name="Table Head Green 8 5" xfId="8929"/>
    <cellStyle name="Table Head Aligned 6 5" xfId="8930"/>
    <cellStyle name="Style 51 4 3 3 10" xfId="8931"/>
    <cellStyle name="ac 2 4 9" xfId="8932"/>
    <cellStyle name="Style 25 3 4" xfId="8933"/>
    <cellStyle name="Table Head Aligned 2 2 2 3 9" xfId="8934"/>
    <cellStyle name="PB Table Standard Row 3 2 2 8" xfId="8935"/>
    <cellStyle name="Style 28 2 4" xfId="8936"/>
    <cellStyle name="SAPBEXstdData 2 4" xfId="8937"/>
    <cellStyle name="SAPBEXformats 2 4" xfId="8938"/>
    <cellStyle name="Border 2 4" xfId="8939"/>
    <cellStyle name="SAPBEXHLevel1X 2 5" xfId="8940"/>
    <cellStyle name="Style 40 3 5" xfId="8941"/>
    <cellStyle name="Title [Palat] 2 4 10" xfId="8942"/>
    <cellStyle name="dp*NumberLineEPS 2 5 10" xfId="8943"/>
    <cellStyle name="UNLOCKED 24 5" xfId="8944"/>
    <cellStyle name="Date [mm-d-yyyy] 5 10" xfId="8945"/>
    <cellStyle name="Global 2 4" xfId="8946"/>
    <cellStyle name="Table Head Green 2 2 3 11" xfId="8947"/>
    <cellStyle name="DateYearEstimate 4 4" xfId="8948"/>
    <cellStyle name="Magic 2 10" xfId="8949"/>
    <cellStyle name="Border Thin 3 2 8" xfId="8950"/>
    <cellStyle name="UNLOCKED 7 4" xfId="8951"/>
    <cellStyle name="Date [mm-d-yyyy] 2 2 3 10" xfId="8952"/>
    <cellStyle name="dp*NumberLine 2 3 10" xfId="8953"/>
    <cellStyle name="Style 22 4 5" xfId="8954"/>
    <cellStyle name="Style 36 11" xfId="8955"/>
    <cellStyle name="SAPBEXstdItem 2 5" xfId="8956"/>
    <cellStyle name="Style 42 3 5" xfId="8957"/>
    <cellStyle name="Table Head Aligned 2 2 3 3 9" xfId="8958"/>
    <cellStyle name="dp*NumberLineEPS 2 2 9" xfId="8959"/>
    <cellStyle name="Afjusted 3 5 5 2" xfId="8960"/>
    <cellStyle name="Outputs 8 5" xfId="8961"/>
    <cellStyle name="Magic 6 5" xfId="8962"/>
    <cellStyle name="Style 48 2 4" xfId="8963"/>
    <cellStyle name="SAPBEXHLevel3 2 4" xfId="8964"/>
    <cellStyle name="SAPBEXaggData 2 4" xfId="8965"/>
    <cellStyle name="Heading [Palat] 8 5" xfId="8966"/>
    <cellStyle name="Heading [Helv] 8 5" xfId="8967"/>
    <cellStyle name="Border 9" xfId="8968"/>
    <cellStyle name="Afjusted 4 5 10" xfId="8969"/>
    <cellStyle name="ArialNormal 12" xfId="8970"/>
    <cellStyle name="dp*NumberLineEPS 2 2 3 3 10" xfId="8971"/>
    <cellStyle name="COL HEADINGS 5 7" xfId="8972"/>
    <cellStyle name="dp*SheetSubTitle 6 5" xfId="8973"/>
    <cellStyle name="dp*NumberLineEPS 6 5" xfId="8974"/>
    <cellStyle name="dp*NumberLine 6 5" xfId="8975"/>
    <cellStyle name="SSComma0 2 4" xfId="8976"/>
    <cellStyle name="COL HEADINGS 8 5" xfId="8977"/>
    <cellStyle name="Date [mmm-yyyy] 2 2 3 3 9" xfId="8978"/>
    <cellStyle name="Bold/Border 8 5" xfId="8979"/>
    <cellStyle name="Afjusted 2 2 3 2 9" xfId="8980"/>
    <cellStyle name="Style 49 6 10" xfId="8981"/>
    <cellStyle name="P-Green Rule 5 9" xfId="8982"/>
    <cellStyle name="Style 21 11" xfId="8983"/>
    <cellStyle name="Afjusted 9 5" xfId="8984"/>
    <cellStyle name="ac 8 5" xfId="8985"/>
    <cellStyle name="Title [Helv] 2 2 2 4 10" xfId="8986"/>
    <cellStyle name="Table Head Aligned 2 2 3 4 7" xfId="8987"/>
    <cellStyle name="Millions 7 4" xfId="8988"/>
    <cellStyle name="Date [mmm-yyyy] 6 5" xfId="8989"/>
    <cellStyle name="UNLOCKED 5 4" xfId="8990"/>
    <cellStyle name="Outputs 2 2 3 4 7" xfId="8991"/>
    <cellStyle name="Title [Palat] 8 5" xfId="8992"/>
    <cellStyle name="Title [Helv] 7 5" xfId="8993"/>
    <cellStyle name="Table Head Green 9 5" xfId="8994"/>
    <cellStyle name="Table Head Aligned 7 5" xfId="8995"/>
    <cellStyle name="Outputs 9 5" xfId="8996"/>
    <cellStyle name="Magic 7 5" xfId="8997"/>
    <cellStyle name="Heading [Palat] 9 5" xfId="8998"/>
    <cellStyle name="Heading [Helv] 9 5" xfId="8999"/>
    <cellStyle name="dp*SheetSubTitle 7 5" xfId="9000"/>
    <cellStyle name="dp*NumberLineEPS 7 5" xfId="9001"/>
    <cellStyle name="dp*NumberLine 7 5" xfId="9002"/>
    <cellStyle name="Date [mmm-yyyy] 7 5" xfId="9003"/>
    <cellStyle name="COL HEADINGS 9 5" xfId="9004"/>
    <cellStyle name="Bold/Border 9 5" xfId="9005"/>
    <cellStyle name="Afjusted 10 5" xfId="9006"/>
    <cellStyle name="ac 9 5" xfId="9007"/>
    <cellStyle name="Heading [Helv] 2 2 3 4 7" xfId="9008"/>
    <cellStyle name="COL HEADINGS 2 2 10" xfId="9009"/>
    <cellStyle name="P-Green Rule 6 5" xfId="9010"/>
    <cellStyle name="PB Table Standard Row 6 5" xfId="9011"/>
    <cellStyle name="Outputs 5 5" xfId="9012"/>
    <cellStyle name="Heading [Helv] 5 5" xfId="9013"/>
    <cellStyle name="COL HEADINGS 5 5" xfId="9014"/>
    <cellStyle name="Bold/Border 5 5" xfId="9015"/>
    <cellStyle name="Style 45 2 5 5" xfId="9016"/>
    <cellStyle name="Date [mmm-yyyy] 2 5 5" xfId="9017"/>
    <cellStyle name="Bold/Border 2 5 5" xfId="9018"/>
    <cellStyle name="Afjusted 2 4 5" xfId="9019"/>
    <cellStyle name="ac 2 5 5" xfId="9020"/>
    <cellStyle name="Style 51 6 5" xfId="9021"/>
    <cellStyle name="PB Table Standard Row 5 5" xfId="9022"/>
    <cellStyle name="Table Head Aligned 2 2 10" xfId="9023"/>
    <cellStyle name="Heading [Palat] 4 5" xfId="9024"/>
    <cellStyle name="Bold/Border 4 5" xfId="9025"/>
    <cellStyle name="ac 4 5" xfId="9026"/>
    <cellStyle name="Title [Helv] 2 4 5" xfId="9027"/>
    <cellStyle name="Table Head Green 2 4 5" xfId="9028"/>
    <cellStyle name="Table Head Aligned 2 4 5" xfId="9029"/>
    <cellStyle name="Style 51 2 4 5" xfId="9030"/>
    <cellStyle name="Style 49 2 4 5" xfId="9031"/>
    <cellStyle name="Style 45 2 4 5" xfId="9032"/>
    <cellStyle name="Style 44 2 4 5" xfId="9033"/>
    <cellStyle name="Style 51 3 4 5" xfId="9034"/>
    <cellStyle name="Style 49 3 4 5" xfId="9035"/>
    <cellStyle name="Style 45 3 4 5" xfId="9036"/>
    <cellStyle name="Style 44 3 4 5" xfId="9037"/>
    <cellStyle name="P-Green Rule 2 4 5" xfId="9038"/>
    <cellStyle name="PB Table Standard Row 2 4 5" xfId="9039"/>
    <cellStyle name="Outputs 2 4 5" xfId="9040"/>
    <cellStyle name="Magic 2 4 5" xfId="9041"/>
    <cellStyle name="Heading [Palat] 2 4 5" xfId="9042"/>
    <cellStyle name="Heading [Helv] 2 4 5" xfId="9043"/>
    <cellStyle name="COL HEADINGS 2 4 5" xfId="9044"/>
    <cellStyle name="Date [mmm-yyyy] 3 5" xfId="9045"/>
    <cellStyle name="Afjusted 5 5" xfId="9046"/>
    <cellStyle name="Bold/Border 3 5" xfId="9047"/>
    <cellStyle name="COL HEADINGS 3 5" xfId="9048"/>
    <cellStyle name="dp*NumberLine 3 5" xfId="9049"/>
    <cellStyle name="dp*NumberLineEPS 3 5" xfId="9050"/>
    <cellStyle name="Heading [Palat] 3 5" xfId="9051"/>
    <cellStyle name="Magic 3 5" xfId="9052"/>
    <cellStyle name="Title [Helv] 3 5" xfId="9053"/>
    <cellStyle name="Date [mm-d-yyyy] 4 5" xfId="9054"/>
    <cellStyle name="Title [Palat] 2 2 2 4 5" xfId="9055"/>
    <cellStyle name="Title [Helv] 2 2 2 4 5" xfId="9056"/>
    <cellStyle name="Heading [Palat] 2 2 2 4 5" xfId="9057"/>
    <cellStyle name="dp*NumberLineEPS 2 2 2 4 5" xfId="9058"/>
    <cellStyle name="dp*NumberLine 2 2 2 4 5" xfId="9059"/>
    <cellStyle name="Bold/Border 2 2 2 4 5" xfId="9060"/>
    <cellStyle name="Afjusted 2 2 2 4 5" xfId="9061"/>
    <cellStyle name="ac 2 2 2 4 5" xfId="9062"/>
    <cellStyle name="dp*SubTitle 3 2 4 5" xfId="9063"/>
    <cellStyle name="P-Green Rule 3 2 4 5" xfId="9064"/>
    <cellStyle name="Style 49 4 2 4 5" xfId="9065"/>
    <cellStyle name="Afjusted 3 2 4 5" xfId="9066"/>
    <cellStyle name="Table Head Green 2 2 2 3 5" xfId="9067"/>
    <cellStyle name="Magic 2 2 2 3 5" xfId="9068"/>
    <cellStyle name="dp*SheetSubTitle 2 2 2 3 5" xfId="9069"/>
    <cellStyle name="Date [mmm-yyyy] 2 2 2 3 5" xfId="9070"/>
    <cellStyle name="Afjusted 2 2 2 3 5" xfId="9071"/>
    <cellStyle name="Border Thin 3 2 3 5" xfId="9072"/>
    <cellStyle name="PB Table Standard Row 3 2 3 5" xfId="9073"/>
    <cellStyle name="Date [mm-d-yyyy] 2 2 3 5" xfId="9074"/>
    <cellStyle name="Heading [Palat] 2 2 2 2 5" xfId="9075"/>
    <cellStyle name="dp*NumberLineEPS 2 2 2 2 5" xfId="9076"/>
    <cellStyle name="dp*NumberLine 2 2 2 2 5" xfId="9077"/>
    <cellStyle name="Date [mmm-yyyy] 2 2 2 2 5" xfId="9078"/>
    <cellStyle name="COL HEADINGS 2 2 2 2 5" xfId="9079"/>
    <cellStyle name="Bold/Border 2 2 2 2 5" xfId="9080"/>
    <cellStyle name="Afjusted 2 2 2 2 5" xfId="9081"/>
    <cellStyle name="Style 51 4 5 5" xfId="9082"/>
    <cellStyle name="dp*SubTitle 3 2 2 5" xfId="9083"/>
    <cellStyle name="dp*ThinLineBelow 3 2 2 5" xfId="9084"/>
    <cellStyle name="PB Table Standard Row 3 2 2 5" xfId="9085"/>
    <cellStyle name="Style 44 4 2 2 5" xfId="9086"/>
    <cellStyle name="Style 49 4 2 2 5" xfId="9087"/>
    <cellStyle name="Style 51 4 2 2 5" xfId="9088"/>
    <cellStyle name="Afjusted 3 2 2 5" xfId="9089"/>
    <cellStyle name="Date [mm-d-yyyy] 2 2 2 5" xfId="9090"/>
    <cellStyle name="Afjusted 3 3 2 5" xfId="9091"/>
    <cellStyle name="Style 49 4 3 2 5" xfId="9092"/>
    <cellStyle name="Style 44 4 3 2 5" xfId="9093"/>
    <cellStyle name="P-Green Rule 3 3 2 5" xfId="9094"/>
    <cellStyle name="dp*SubTitle 3 3 2 5" xfId="9095"/>
    <cellStyle name="ac 2 2 3 2 5" xfId="9096"/>
    <cellStyle name="dp*NumberLineEPS 2 2 3 2 5" xfId="9097"/>
    <cellStyle name="Heading [Palat] 2 2 3 2 5" xfId="9098"/>
    <cellStyle name="Magic 2 2 3 2 5" xfId="9099"/>
    <cellStyle name="Outputs 2 2 3 2 5" xfId="9100"/>
    <cellStyle name="Afjusted 2 2 2 8" xfId="9101"/>
    <cellStyle name="PB Table Standard Row 3 2 6" xfId="9102"/>
    <cellStyle name="P-Green Rule 3 2 7" xfId="9103"/>
    <cellStyle name="Style 49 4 2 7" xfId="9104"/>
    <cellStyle name="Date [mm-d-yyyy] 2 2 7" xfId="9105"/>
    <cellStyle name="Bold/Border 2 2 3 8" xfId="9106"/>
    <cellStyle name="dp*NumberLine 2 2 3 8" xfId="9107"/>
    <cellStyle name="dp*NumberLineEPS 2 2 3 8" xfId="9108"/>
    <cellStyle name="dp*SheetSubTitle 2 2 3 8" xfId="9109"/>
    <cellStyle name="Magic 2 2 3 8" xfId="9110"/>
    <cellStyle name="Outputs 2 2 3 8" xfId="9111"/>
    <cellStyle name="Table Head Aligned 2 2 3 8" xfId="9112"/>
    <cellStyle name="Table Head Green 2 2 3 8" xfId="9113"/>
    <cellStyle name="Title [Helv] 2 2 3 8" xfId="9114"/>
    <cellStyle name="Title [Palat] 2 2 3 8" xfId="9115"/>
    <cellStyle name="Border Thin 3 4 4" xfId="9116"/>
    <cellStyle name="dp*SubTitle 3 3 4 5" xfId="9117"/>
    <cellStyle name="dp*SubTitle 3 4 4" xfId="9118"/>
    <cellStyle name="dp*ThinLineBelow 3 4 4" xfId="9119"/>
    <cellStyle name="PB Table Standard Row 3 4 3" xfId="9120"/>
    <cellStyle name="Style 44 4 4 5" xfId="9121"/>
    <cellStyle name="Style 45 4 4 5" xfId="9122"/>
    <cellStyle name="Date [mm-d-yyyy] 3 4 5" xfId="9123"/>
    <cellStyle name="Date [mm-d-yyyy] 3 3 3 5" xfId="9124"/>
    <cellStyle name="P-Green Rule 3 3 3 5" xfId="9125"/>
    <cellStyle name="dp*SheetSubTitle 2 2 3 3 5" xfId="9126"/>
    <cellStyle name="Heading [Palat] 2 2 3 3 5" xfId="9127"/>
    <cellStyle name="Table Head Aligned 2 2 4 5" xfId="9128"/>
    <cellStyle name="Afjusted 3 4 5" xfId="9129"/>
    <cellStyle name="Style 45 4 3 4 5" xfId="9130"/>
    <cellStyle name="Title [Helv] 2 3 5" xfId="9131"/>
    <cellStyle name="Style 45 4 3 3 5" xfId="9132"/>
    <cellStyle name="dp*SubTitle 3 3 3 5" xfId="9133"/>
    <cellStyle name="Style 49 4 3 3 5" xfId="9134"/>
    <cellStyle name="dp*ThinLineBelow 3 3 3 5" xfId="9135"/>
    <cellStyle name="Afjusted 2 2 3 3 5" xfId="9136"/>
    <cellStyle name="Date [mmm-yyyy] 2 2 3 3 5" xfId="9137"/>
    <cellStyle name="Magic 2 3 5" xfId="9138"/>
    <cellStyle name="Heading [Palat] 2 3 5" xfId="9139"/>
    <cellStyle name="Style 51 3 3 5" xfId="9140"/>
    <cellStyle name="Style 45 2 8" xfId="9141"/>
    <cellStyle name="Style 44 2 8" xfId="9142"/>
    <cellStyle name="Style 51 3 8" xfId="9143"/>
    <cellStyle name="P-Green Rule 2 8" xfId="9144"/>
    <cellStyle name="PB Table Standard Row 2 7" xfId="9145"/>
    <cellStyle name="dp*SubTitle 2 6" xfId="9146"/>
    <cellStyle name="Border Thin 2 7" xfId="9147"/>
    <cellStyle name="Style 49 3 2 9" xfId="9148"/>
    <cellStyle name="Style 49 4 3 3 7" xfId="9149"/>
    <cellStyle name="Heading [Palat] 2 2 3 11" xfId="9150"/>
    <cellStyle name="PB Table Standard Row 2 5 9" xfId="9151"/>
    <cellStyle name="dp*SheetSubTitle 2 4 4 2" xfId="9152"/>
    <cellStyle name="Style 49 3 2 8" xfId="9153"/>
    <cellStyle name="Style 44 3 4 4 2" xfId="9154"/>
    <cellStyle name="Style 49 2 4 4 2" xfId="9155"/>
    <cellStyle name="Bold/Border 2 4 4 2" xfId="9156"/>
    <cellStyle name="Heading [Helv] 2 4 4 2" xfId="9157"/>
    <cellStyle name="Style 49 3 4 4 2" xfId="9158"/>
    <cellStyle name="Date [mmm-yyyy] 3 4 2" xfId="9159"/>
    <cellStyle name="PB Table Standard Row 2 4 4 2" xfId="9160"/>
    <cellStyle name="Table Head Aligned 2 2 2 7 2" xfId="9161"/>
    <cellStyle name="Style 44 2 4 4 2" xfId="9162"/>
    <cellStyle name="Table Head Aligned 2 2 2 3 4 2" xfId="9163"/>
    <cellStyle name="ac 2 2 2 4 4 2" xfId="9164"/>
    <cellStyle name="Arial6Bold 12" xfId="9165"/>
    <cellStyle name="dp*SheetSubTitle 2 2 7 2" xfId="9166"/>
    <cellStyle name="COL HEADINGS 2 2 3 3 5" xfId="9167"/>
    <cellStyle name="Date [mmm-yyyy] 2 3 5" xfId="9168"/>
    <cellStyle name="Outputs 2 5 5" xfId="9169"/>
    <cellStyle name="dp*ThinLineBelow 2 5 5" xfId="9170"/>
    <cellStyle name="dp*NumberLineEPS 2 3 5" xfId="9171"/>
    <cellStyle name="Style 45 4 2 2 5" xfId="9172"/>
    <cellStyle name="Afjusted 4 5 5" xfId="9173"/>
    <cellStyle name="COL HEADINGS 2 3 5" xfId="9174"/>
    <cellStyle name="Heading [Helv] 2 2 3 4 5" xfId="9175"/>
    <cellStyle name="Afjusted 3 6 5" xfId="9176"/>
    <cellStyle name="ac 2 7 5" xfId="9177"/>
    <cellStyle name="Afjusted 2 5 5" xfId="9178"/>
    <cellStyle name="Bold/Border 2 7 5" xfId="9179"/>
    <cellStyle name="COL HEADINGS 2 7 5" xfId="9180"/>
    <cellStyle name="Date [mmm-yyyy] 2 6 5" xfId="9181"/>
    <cellStyle name="dp*ThinLineBelow 2 4 5" xfId="9182"/>
    <cellStyle name="Border Thin 2 4 5" xfId="9183"/>
    <cellStyle name="dp*NumberLine 2 6 5" xfId="9184"/>
    <cellStyle name="dp*NumberLineEPS 2 6 5" xfId="9185"/>
    <cellStyle name="dp*SheetSubTitle 2 6 5" xfId="9186"/>
    <cellStyle name="Heading [Helv] 3 5" xfId="9187"/>
    <cellStyle name="ac 2 2 2 2 5" xfId="9188"/>
    <cellStyle name="Afjusted 2 2 3 2 5" xfId="9189"/>
    <cellStyle name="Heading [Helv] 2 7 5" xfId="9190"/>
    <cellStyle name="Heading [Palat] 2 7 5" xfId="9191"/>
    <cellStyle name="Afjusted 2 2 4 5" xfId="9192"/>
    <cellStyle name="Magic 2 6 5" xfId="9193"/>
    <cellStyle name="Style 44 4 3 4 5" xfId="9194"/>
    <cellStyle name="ac 2 4 5" xfId="9195"/>
    <cellStyle name="dp*SheetSubTitle 2 4 5" xfId="9196"/>
    <cellStyle name="Outputs 2 7 5" xfId="9197"/>
    <cellStyle name="Afjusted 3 9" xfId="9198"/>
    <cellStyle name="Table Head Aligned 2 6 5" xfId="9199"/>
    <cellStyle name="Table Head Green 2 7 5" xfId="9200"/>
    <cellStyle name="Title [Helv] 2 6 5" xfId="9201"/>
    <cellStyle name="Title [Palat] 2 7 5" xfId="9202"/>
    <cellStyle name="PB Table Standard Row 3 3 3 5" xfId="9203"/>
    <cellStyle name="Afjusted 4 4 5" xfId="9204"/>
    <cellStyle name="dp*SubTitle 3 5 5" xfId="9205"/>
    <cellStyle name="Table Head Aligned 2 2 3 3 5" xfId="9206"/>
    <cellStyle name="Style 44 2 5 5" xfId="9207"/>
    <cellStyle name="dp*SheetSubTitle 3 5" xfId="9208"/>
    <cellStyle name="Outputs 3 5" xfId="9209"/>
    <cellStyle name="Table Head Green 2 2 2 4 5" xfId="9210"/>
    <cellStyle name="P-Green Rule 3 2 3 5" xfId="9211"/>
    <cellStyle name="dp*ThinLineBelow 3 5 5" xfId="9212"/>
    <cellStyle name="dp*NumberLineEPS 2 3 9" xfId="9213"/>
    <cellStyle name="Magic 2 2 4 5" xfId="9214"/>
    <cellStyle name="Date [mm-d-yyyy] 3 6 5" xfId="9215"/>
    <cellStyle name="Style 51 4 6 5" xfId="9216"/>
    <cellStyle name="Style 49 4 6 5" xfId="9217"/>
    <cellStyle name="Style 45 4 6 5" xfId="9218"/>
    <cellStyle name="Style 44 4 6 5" xfId="9219"/>
    <cellStyle name="P-Green Rule 3 6 5" xfId="9220"/>
    <cellStyle name="PB Table Standard Row 3 6 5" xfId="9221"/>
    <cellStyle name="Border Thin 3 3 4 5" xfId="9222"/>
    <cellStyle name="dp*ThinLineBelow 3 6 5" xfId="9223"/>
    <cellStyle name="dp*SubTitle 3 6 5" xfId="9224"/>
    <cellStyle name="dp*NumberLineEPS 2 4 5" xfId="9225"/>
    <cellStyle name="Border Thin 3 6 5" xfId="9226"/>
    <cellStyle name="dp*SheetSubTitle 2 2 4 5" xfId="9227"/>
    <cellStyle name="Afjusted 4 6 5" xfId="9228"/>
    <cellStyle name="ac 2 2 5 5" xfId="9229"/>
    <cellStyle name="Afjusted 2 2 6 5" xfId="9230"/>
    <cellStyle name="Bold/Border 2 2 5 5" xfId="9231"/>
    <cellStyle name="COL HEADINGS 2 2 5 5" xfId="9232"/>
    <cellStyle name="Date [mmm-yyyy] 2 2 5 5" xfId="9233"/>
    <cellStyle name="dp*SubTitle 2 4 5" xfId="9234"/>
    <cellStyle name="Bold/Border 2 4 5" xfId="9235"/>
    <cellStyle name="dp*NumberLine 2 2 5 5" xfId="9236"/>
    <cellStyle name="dp*NumberLineEPS 2 2 5 5" xfId="9237"/>
    <cellStyle name="dp*SheetSubTitle 2 2 5 5" xfId="9238"/>
    <cellStyle name="Heading [Helv] 2 2 5 5" xfId="9239"/>
    <cellStyle name="Heading [Palat] 2 2 5 5" xfId="9240"/>
    <cellStyle name="Magic 2 2 5 5" xfId="9241"/>
    <cellStyle name="Outputs 2 2 5 5" xfId="9242"/>
    <cellStyle name="Table Head Aligned 2 2 5 5" xfId="9243"/>
    <cellStyle name="Table Head Green 2 2 5 5" xfId="9244"/>
    <cellStyle name="Title [Helv] 2 2 5 5" xfId="9245"/>
    <cellStyle name="Title [Palat] 2 2 5 5" xfId="9246"/>
    <cellStyle name="Heading [Palat] 2 2 4 5" xfId="9247"/>
    <cellStyle name="dp*NumberLine 2 2 4 5" xfId="9248"/>
    <cellStyle name="Date [mmm-yyyy] 2 2 4 5" xfId="9249"/>
    <cellStyle name="COL HEADINGS 2 2 4 5" xfId="9250"/>
    <cellStyle name="Bold/Border 2 2 4 5" xfId="9251"/>
    <cellStyle name="Afjusted 2 2 5 5" xfId="9252"/>
    <cellStyle name="ac 2 2 4 5" xfId="9253"/>
    <cellStyle name="dp*SubTitle 2 2 5" xfId="9254"/>
    <cellStyle name="Bold/Border 2 2 3 4 5" xfId="9255"/>
    <cellStyle name="Style 44 4 5 5" xfId="9256"/>
    <cellStyle name="dp*ThinLineBelow 4 5" xfId="9257"/>
    <cellStyle name="Style 51 5 5" xfId="9258"/>
    <cellStyle name="PB Table Standard Row 4 5" xfId="9259"/>
    <cellStyle name="ac 2 2 3 3 5" xfId="9260"/>
    <cellStyle name="P-Green Rule 3 5 5" xfId="9261"/>
    <cellStyle name="dp*SubTitle 4 5" xfId="9262"/>
    <cellStyle name="Style 44 5 5" xfId="9263"/>
    <cellStyle name="Style 49 5 5" xfId="9264"/>
    <cellStyle name="Style 45 5 5" xfId="9265"/>
    <cellStyle name="P-Green Rule 4 5" xfId="9266"/>
    <cellStyle name="Outputs 2 2 3 4 5" xfId="9267"/>
    <cellStyle name="Table Head Aligned 2 2 3 2 5" xfId="9268"/>
    <cellStyle name="Title [Helv] 2 2 3 2 5" xfId="9269"/>
    <cellStyle name="P-Green Rule 2 3 5" xfId="9270"/>
    <cellStyle name="Heading [Palat] 2 2 3 4 5" xfId="9271"/>
    <cellStyle name="Afjusted 4 2 2 5" xfId="9272"/>
    <cellStyle name="COL HEADINGS 2 5 5" xfId="9273"/>
    <cellStyle name="dp*NumberCurrencyLine 3 2" xfId="9274"/>
    <cellStyle name="Style 49 6 5" xfId="9275"/>
    <cellStyle name="Title [Palat] 2 9 2" xfId="9276"/>
    <cellStyle name="Afjusted 4 3 4 5" xfId="9277"/>
    <cellStyle name="dp*NumberLine 2 2 3 4 5" xfId="9278"/>
    <cellStyle name="dp*SubTitle 2 2 2 5" xfId="9279"/>
    <cellStyle name="Border Thin 2 2 2 5" xfId="9280"/>
    <cellStyle name="Style 44 3 2 5" xfId="9281"/>
    <cellStyle name="Border Thin 2 3 5" xfId="9282"/>
    <cellStyle name="Style 51 4 3 3 5" xfId="9283"/>
    <cellStyle name="Bold/Border 2 2 3 4 2 5" xfId="9284"/>
    <cellStyle name="Magic 2 2 3 4 2 5" xfId="9285"/>
    <cellStyle name="Title [Helv] 2 2 3 4 2 5" xfId="9286"/>
    <cellStyle name="Style 51 2 2 2 5" xfId="9287"/>
    <cellStyle name="Style 45 2 2 2 5" xfId="9288"/>
    <cellStyle name="Style 49 2 2 2 5" xfId="9289"/>
    <cellStyle name="Style 44 2 2 2 5" xfId="9290"/>
    <cellStyle name="Style 51 3 2 2 5" xfId="9291"/>
    <cellStyle name="Style 49 3 2 2 5" xfId="9292"/>
    <cellStyle name="Style 45 3 2 2 5" xfId="9293"/>
    <cellStyle name="Style 44 3 2 2 5" xfId="9294"/>
    <cellStyle name="P-Green Rule 2 2 2 5" xfId="9295"/>
    <cellStyle name="PB Table Standard Row 2 2 2 5" xfId="9296"/>
    <cellStyle name="dp*ThinLineBelow 2 2 2 5" xfId="9297"/>
    <cellStyle name="dp*ThinLineBelow 2 3 2 5" xfId="9298"/>
    <cellStyle name="Style 44 3 3 2 5" xfId="9299"/>
    <cellStyle name="COL HEADINGS 2 2 3 4 2 5" xfId="9300"/>
    <cellStyle name="Style 49 4 3 4 2 5" xfId="9301"/>
    <cellStyle name="Afjusted 3 3 4 2 5" xfId="9302"/>
    <cellStyle name="Date [mm-d-yyyy] 3 3 4 2 5" xfId="9303"/>
    <cellStyle name="Afjusted 4 3 4 2 5" xfId="9304"/>
    <cellStyle name="ac 2 2 3 4 2 5" xfId="9305"/>
    <cellStyle name="Afjusted 2 2 3 4 2 5" xfId="9306"/>
    <cellStyle name="Date [mmm-yyyy] 2 2 3 4 2 5" xfId="9307"/>
    <cellStyle name="dp*NumberLine 2 2 3 4 2 5" xfId="9308"/>
    <cellStyle name="dp*NumberLineEPS 2 2 3 4 2 5" xfId="9309"/>
    <cellStyle name="dp*SheetSubTitle 2 2 3 4 2 5" xfId="9310"/>
    <cellStyle name="Heading [Helv] 2 2 3 4 2 5" xfId="9311"/>
    <cellStyle name="Outputs 2 2 3 4 2 5" xfId="9312"/>
    <cellStyle name="Table Head Aligned 2 2 3 4 2 5" xfId="9313"/>
    <cellStyle name="Title [Palat] 2 2 3 4 2 5" xfId="9314"/>
    <cellStyle name="Afjusted 3 5 2 5" xfId="9315"/>
    <cellStyle name="Style 45 3 3 2 5" xfId="9316"/>
    <cellStyle name="Style 51 3 3 2 5" xfId="9317"/>
    <cellStyle name="Style 44 2 3 2 5" xfId="9318"/>
    <cellStyle name="Style 45 2 3 2 5" xfId="9319"/>
    <cellStyle name="Style 49 2 3 2 5" xfId="9320"/>
    <cellStyle name="Border Thin 3 5 2 5" xfId="9321"/>
    <cellStyle name="ac 2 2 4 2 5" xfId="9322"/>
    <cellStyle name="Afjusted 2 2 5 2 5" xfId="9323"/>
    <cellStyle name="Bold/Border 2 2 4 2 5" xfId="9324"/>
    <cellStyle name="COL HEADINGS 2 2 4 2 5" xfId="9325"/>
    <cellStyle name="Date [mmm-yyyy] 2 2 4 2 5" xfId="9326"/>
    <cellStyle name="dp*NumberLine 2 2 4 2 5" xfId="9327"/>
    <cellStyle name="dp*NumberLineEPS 2 2 4 2 5" xfId="9328"/>
    <cellStyle name="dp*SheetSubTitle 2 2 4 2 5" xfId="9329"/>
    <cellStyle name="Heading [Palat] 2 2 4 2 5" xfId="9330"/>
    <cellStyle name="Outputs 2 2 4 2 5" xfId="9331"/>
    <cellStyle name="Magic 2 2 4 2 5" xfId="9332"/>
    <cellStyle name="Title [Helv] 2 2 4 2 5" xfId="9333"/>
    <cellStyle name="Title [Palat] 2 2 4 2 5" xfId="9334"/>
    <cellStyle name="Title [Palat] 2 2 3 3 2 5" xfId="9335"/>
    <cellStyle name="Title [Helv] 2 2 3 3 2 5" xfId="9336"/>
    <cellStyle name="Table Head Aligned 2 2 3 3 2 5" xfId="9337"/>
    <cellStyle name="Magic 2 2 3 3 2 5" xfId="9338"/>
    <cellStyle name="Heading [Helv] 2 2 3 3 2 5" xfId="9339"/>
    <cellStyle name="dp*NumberLineEPS 2 2 3 3 2 5" xfId="9340"/>
    <cellStyle name="COL HEADINGS 2 2 3 3 2 5" xfId="9341"/>
    <cellStyle name="ac 2 2 3 3 2 5" xfId="9342"/>
    <cellStyle name="Afjusted 4 3 3 2 5" xfId="9343"/>
    <cellStyle name="Border Thin 3 3 3 2 5" xfId="9344"/>
    <cellStyle name="PB Table Standard Row 3 3 3 2 5" xfId="9345"/>
    <cellStyle name="Style 44 4 3 3 2 5" xfId="9346"/>
    <cellStyle name="Style 51 4 3 3 2 5" xfId="9347"/>
    <cellStyle name="Afjusted 3 3 3 2 5" xfId="9348"/>
    <cellStyle name="Style 49 4 5 2 5" xfId="9349"/>
    <cellStyle name="Style 44 4 5 2 5" xfId="9350"/>
    <cellStyle name="P-Green Rule 3 5 2 5" xfId="9351"/>
    <cellStyle name="dp*SubTitle 3 5 2 5" xfId="9352"/>
    <cellStyle name="Afjusted 4 5 2 5" xfId="9353"/>
    <cellStyle name="Afjusted 2 2 3 4 5" xfId="9354"/>
    <cellStyle name="dp*ThinLineBelow 2 2 5" xfId="9355"/>
    <cellStyle name="Afjusted 3 3 3 5" xfId="9356"/>
    <cellStyle name="ac 2 3 2 5" xfId="9357"/>
    <cellStyle name="Bold/Border 2 3 2 5" xfId="9358"/>
    <cellStyle name="COL HEADINGS 2 3 2 5" xfId="9359"/>
    <cellStyle name="Date [mmm-yyyy] 2 3 2 5" xfId="9360"/>
    <cellStyle name="dp*NumberLine 2 3 2 5" xfId="9361"/>
    <cellStyle name="dp*NumberLineEPS 2 3 2 5" xfId="9362"/>
    <cellStyle name="dp*SheetSubTitle 2 3 2 5" xfId="9363"/>
    <cellStyle name="Heading [Helv] 2 3 2 5" xfId="9364"/>
    <cellStyle name="Heading [Palat] 2 3 2 5" xfId="9365"/>
    <cellStyle name="Magic 2 3 2 5" xfId="9366"/>
    <cellStyle name="Outputs 2 3 2 5" xfId="9367"/>
    <cellStyle name="Afjusted 6 5" xfId="9368"/>
    <cellStyle name="Date [mmm-yyyy] 2 2 3 3 2 5" xfId="9369"/>
    <cellStyle name="Afjusted 2 2 3 3 2 5" xfId="9370"/>
    <cellStyle name="dp*ThinLineBelow 3 3 3 2 5" xfId="9371"/>
    <cellStyle name="Style 49 4 3 3 2 5" xfId="9372"/>
    <cellStyle name="Outputs 2 2 3 3 2 5" xfId="9373"/>
    <cellStyle name="dp*NumberLine 2 2 3 3 2 5" xfId="9374"/>
    <cellStyle name="Bold/Border 2 2 3 3 2 5" xfId="9375"/>
    <cellStyle name="dp*SubTitle 3 3 3 2 5" xfId="9376"/>
    <cellStyle name="Style 45 4 3 3 2 5" xfId="9377"/>
    <cellStyle name="Table Head Aligned 2 3 2 5" xfId="9378"/>
    <cellStyle name="Table Head Green 2 3 2 5" xfId="9379"/>
    <cellStyle name="Title [Helv] 2 3 2 5" xfId="9380"/>
    <cellStyle name="Title [Palat] 2 3 2 5" xfId="9381"/>
    <cellStyle name="Border Thin 3 3 3 5" xfId="9382"/>
    <cellStyle name="Style 45 4 3 4 2 5" xfId="9383"/>
    <cellStyle name="Style 51 4 3 4 2 5" xfId="9384"/>
    <cellStyle name="Title [Helv] 2 2 3 3 5" xfId="9385"/>
    <cellStyle name="Afjusted 3 4 2 5" xfId="9386"/>
    <cellStyle name="P-Green Rule 3 3 4 2 5" xfId="9387"/>
    <cellStyle name="Border Thin 2 3 2 5" xfId="9388"/>
    <cellStyle name="Style 49 3 3 2 5" xfId="9389"/>
    <cellStyle name="Style 51 2 3 2 5" xfId="9390"/>
    <cellStyle name="Heading [Helv] 2 2 4 2 5" xfId="9391"/>
    <cellStyle name="Table Head Aligned 2 2 4 2 5" xfId="9392"/>
    <cellStyle name="Table Head Green 2 2 4 2 5" xfId="9393"/>
    <cellStyle name="Table Head Green 2 2 3 3 2 5" xfId="9394"/>
    <cellStyle name="Heading [Palat] 2 2 3 3 2 5" xfId="9395"/>
    <cellStyle name="dp*SheetSubTitle 2 2 3 3 2 5" xfId="9396"/>
    <cellStyle name="P-Green Rule 3 3 3 2 5" xfId="9397"/>
    <cellStyle name="Date [mm-d-yyyy] 3 3 3 2 5" xfId="9398"/>
    <cellStyle name="Outputs 2 2 4 5" xfId="9399"/>
    <cellStyle name="Date [mm-d-yyyy] 3 4 2 5" xfId="9400"/>
    <cellStyle name="Style 51 4 4 2 5" xfId="9401"/>
    <cellStyle name="Style 49 4 4 2 5" xfId="9402"/>
    <cellStyle name="Style 45 4 4 2 5" xfId="9403"/>
    <cellStyle name="Style 44 4 4 2 5" xfId="9404"/>
    <cellStyle name="dp*ThinLineBelow 3 3 4 2 5" xfId="9405"/>
    <cellStyle name="P-Green Rule 3 4 2 5" xfId="9406"/>
    <cellStyle name="SAPBEXHLevel3X 3 5" xfId="9407"/>
    <cellStyle name="dp*ThinLineBelow 3 4 2 5" xfId="9408"/>
    <cellStyle name="dp*SubTitle 3 3 4 2 5" xfId="9409"/>
    <cellStyle name="Style 51 2 2 9" xfId="9410"/>
    <cellStyle name="dp*NumberLineEPS 2 2 4 5" xfId="9411"/>
    <cellStyle name="Border Thin 3 3 4 2 5" xfId="9412"/>
    <cellStyle name="Border Thin 2 2 5" xfId="9413"/>
    <cellStyle name="Afjusted 4 4 2 5" xfId="9414"/>
    <cellStyle name="Afjusted 2 2 4 2 5" xfId="9415"/>
    <cellStyle name="Style 44 4 3 4 2 5" xfId="9416"/>
    <cellStyle name="PB Table Standard Row 3 3 4 2 5" xfId="9417"/>
    <cellStyle name="Title [Palat] 2 2 3 5 5" xfId="9418"/>
    <cellStyle name="Title [Helv] 2 2 3 5 5" xfId="9419"/>
    <cellStyle name="Table Head Green 2 2 3 5 5" xfId="9420"/>
    <cellStyle name="Table Head Aligned 2 2 3 5 5" xfId="9421"/>
    <cellStyle name="Outputs 2 2 3 5 5" xfId="9422"/>
    <cellStyle name="Magic 2 2 3 5 5" xfId="9423"/>
    <cellStyle name="Heading [Palat] 2 2 3 5 5" xfId="9424"/>
    <cellStyle name="Heading [Helv] 2 2 3 5 5" xfId="9425"/>
    <cellStyle name="dp*SheetSubTitle 2 2 3 5 5" xfId="9426"/>
    <cellStyle name="dp*NumberLineEPS 2 2 3 5 5" xfId="9427"/>
    <cellStyle name="dp*NumberLine 2 2 3 5 5" xfId="9428"/>
    <cellStyle name="Date [mmm-yyyy] 2 2 3 5 5" xfId="9429"/>
    <cellStyle name="COL HEADINGS 2 2 3 5 5" xfId="9430"/>
    <cellStyle name="Bold/Border 2 2 3 5 5" xfId="9431"/>
    <cellStyle name="Afjusted 2 2 3 5 5" xfId="9432"/>
    <cellStyle name="ac 2 2 3 5 5" xfId="9433"/>
    <cellStyle name="Afjusted 2 2 5 4 2" xfId="9434"/>
    <cellStyle name="Afjusted 4 3 5 5" xfId="9435"/>
    <cellStyle name="Border Thin 3 3 5 5" xfId="9436"/>
    <cellStyle name="dp*SubTitle 3 3 5 5" xfId="9437"/>
    <cellStyle name="dp*ThinLineBelow 3 3 5 5" xfId="9438"/>
    <cellStyle name="PB Table Standard Row 3 3 5 5" xfId="9439"/>
    <cellStyle name="P-Green Rule 3 3 5 5" xfId="9440"/>
    <cellStyle name="Style 44 4 3 5 5" xfId="9441"/>
    <cellStyle name="Style 45 4 3 5 5" xfId="9442"/>
    <cellStyle name="Style 49 4 3 5 5" xfId="9443"/>
    <cellStyle name="Style 51 4 3 5 5" xfId="9444"/>
    <cellStyle name="Title [Palat] 2 2 3 2 5" xfId="9445"/>
    <cellStyle name="Date [mm-d-yyyy] 3 3 5 5" xfId="9446"/>
    <cellStyle name="Magic 2 5 5" xfId="9447"/>
    <cellStyle name="dp*SubTitle 2 5 5" xfId="9448"/>
    <cellStyle name="Afjusted 3 3 5 5" xfId="9449"/>
    <cellStyle name="ac 5 5" xfId="9450"/>
    <cellStyle name="Border Thin 2 5 5" xfId="9451"/>
    <cellStyle name="Border Thin 3 2 2 5" xfId="9452"/>
    <cellStyle name="Table Head Green 2 2 3 2 5" xfId="9453"/>
    <cellStyle name="Table Head Green 2 2 3 4 5" xfId="9454"/>
    <cellStyle name="dp*SubTitle 3 2 7" xfId="9455"/>
    <cellStyle name="dp*ThinLineBelow 3 2 7" xfId="9456"/>
    <cellStyle name="dp*NumberLine 2 3 5" xfId="9457"/>
    <cellStyle name="Date [mm-d-yyyy] 2 2 4 5" xfId="9458"/>
    <cellStyle name="Afjusted 3 2 5 5" xfId="9459"/>
    <cellStyle name="P-Green Rule 3 3 4 5" xfId="9460"/>
    <cellStyle name="PB Table Standard Row 2 3 4" xfId="9461"/>
    <cellStyle name="Date [mm-d-yyyy] 3 2 5 5" xfId="9462"/>
    <cellStyle name="Style 51 4 2 5 5" xfId="9463"/>
    <cellStyle name="Style 49 4 2 5 5" xfId="9464"/>
    <cellStyle name="Style 45 4 2 5 5" xfId="9465"/>
    <cellStyle name="Style 44 4 2 5 5" xfId="9466"/>
    <cellStyle name="P-Green Rule 3 2 5 5" xfId="9467"/>
    <cellStyle name="dp*ThinLineBelow 3 2 5 5" xfId="9468"/>
    <cellStyle name="dp*SubTitle 3 2 5 5" xfId="9469"/>
    <cellStyle name="Border Thin 3 2 5 5" xfId="9470"/>
    <cellStyle name="Afjusted 4 2 5 5" xfId="9471"/>
    <cellStyle name="ac 2 2 2 5 5" xfId="9472"/>
    <cellStyle name="Afjusted 2 2 2 5 5" xfId="9473"/>
    <cellStyle name="Bold/Border 2 2 2 5 5" xfId="9474"/>
    <cellStyle name="COL HEADINGS 2 2 2 5 5" xfId="9475"/>
    <cellStyle name="Date [mmm-yyyy] 2 2 2 5 5" xfId="9476"/>
    <cellStyle name="dp*NumberLine 2 2 2 5 5" xfId="9477"/>
    <cellStyle name="dp*NumberLineEPS 2 2 2 5 5" xfId="9478"/>
    <cellStyle name="dp*SheetSubTitle 2 2 2 5 5" xfId="9479"/>
    <cellStyle name="Heading [Helv] 2 2 2 5 5" xfId="9480"/>
    <cellStyle name="Heading [Palat] 2 2 2 5 5" xfId="9481"/>
    <cellStyle name="Magic 2 2 2 5 5" xfId="9482"/>
    <cellStyle name="Outputs 2 2 2 5 5" xfId="9483"/>
    <cellStyle name="Table Head Aligned 2 2 2 5 5" xfId="9484"/>
    <cellStyle name="Table Head Green 2 2 2 5 5" xfId="9485"/>
    <cellStyle name="Title [Helv] 2 2 2 5 5" xfId="9486"/>
    <cellStyle name="Title [Palat] 2 2 2 5 5" xfId="9487"/>
    <cellStyle name="Table Head Green 2 2 3 4 2 5" xfId="9488"/>
    <cellStyle name="Heading [Palat] 2 2 3 4 2 5" xfId="9489"/>
    <cellStyle name="PB Table Standard Row 2 3 2 5" xfId="9490"/>
    <cellStyle name="P-Green Rule 2 3 2 5" xfId="9491"/>
    <cellStyle name="Title [Palat] 2 2 3 2 2 5" xfId="9492"/>
    <cellStyle name="Title [Helv] 2 2 3 2 2 5" xfId="9493"/>
    <cellStyle name="Table Head Green 2 2 3 2 2 5" xfId="9494"/>
    <cellStyle name="Table Head Aligned 2 2 3 2 2 5" xfId="9495"/>
    <cellStyle name="Outputs 2 2 3 2 2 5" xfId="9496"/>
    <cellStyle name="Magic 2 2 3 2 2 5" xfId="9497"/>
    <cellStyle name="Heading [Palat] 2 2 3 2 2 5" xfId="9498"/>
    <cellStyle name="Heading [Helv] 2 2 3 2 2 5" xfId="9499"/>
    <cellStyle name="dp*SheetSubTitle 2 2 3 2 2 5" xfId="9500"/>
    <cellStyle name="dp*NumberLineEPS 2 2 3 2 2 5" xfId="9501"/>
    <cellStyle name="dp*NumberLine 2 2 3 2 2 5" xfId="9502"/>
    <cellStyle name="Date [mmm-yyyy] 2 2 3 2 2 5" xfId="9503"/>
    <cellStyle name="COL HEADINGS 2 2 3 2 2 5" xfId="9504"/>
    <cellStyle name="Bold/Border 2 2 3 2 2 5" xfId="9505"/>
    <cellStyle name="Afjusted 2 2 3 2 2 5" xfId="9506"/>
    <cellStyle name="ac 2 2 3 2 2 5" xfId="9507"/>
    <cellStyle name="Afjusted 4 3 2 2 5" xfId="9508"/>
    <cellStyle name="Border Thin 3 3 2 2 5" xfId="9509"/>
    <cellStyle name="dp*SubTitle 3 3 2 2 5" xfId="9510"/>
    <cellStyle name="dp*ThinLineBelow 3 3 2 2 5" xfId="9511"/>
    <cellStyle name="PB Table Standard Row 3 3 2 2 5" xfId="9512"/>
    <cellStyle name="P-Green Rule 3 3 2 2 5" xfId="9513"/>
    <cellStyle name="Style 44 4 3 2 2 5" xfId="9514"/>
    <cellStyle name="Style 45 4 3 2 2 5" xfId="9515"/>
    <cellStyle name="Style 49 4 3 2 2 5" xfId="9516"/>
    <cellStyle name="Style 51 4 3 2 2 5" xfId="9517"/>
    <cellStyle name="Date [mm-d-yyyy] 3 3 2 2 5" xfId="9518"/>
    <cellStyle name="Afjusted 3 3 2 2 5" xfId="9519"/>
    <cellStyle name="Date [mm-d-yyyy] 3 5 2 5" xfId="9520"/>
    <cellStyle name="dp*SubTitle 2 3 2 5" xfId="9521"/>
    <cellStyle name="Date [mm-d-yyyy] 2 2 2 2 5" xfId="9522"/>
    <cellStyle name="Afjusted 3 2 2 2 5" xfId="9523"/>
    <cellStyle name="PB Table Standard Row 3 5 2 5" xfId="9524"/>
    <cellStyle name="Date [mm-d-yyyy] 3 2 2 2 5" xfId="9525"/>
    <cellStyle name="Style 51 4 2 2 2 5" xfId="9526"/>
    <cellStyle name="Style 49 4 2 2 2 5" xfId="9527"/>
    <cellStyle name="Style 45 4 2 2 2 5" xfId="9528"/>
    <cellStyle name="Style 44 4 2 2 2 5" xfId="9529"/>
    <cellStyle name="Style 45 4 5 2 5" xfId="9530"/>
    <cellStyle name="P-Green Rule 3 2 2 2 5" xfId="9531"/>
    <cellStyle name="PB Table Standard Row 3 2 2 2 5" xfId="9532"/>
    <cellStyle name="dp*ThinLineBelow 3 2 2 2 5" xfId="9533"/>
    <cellStyle name="dp*SubTitle 3 2 2 2 5" xfId="9534"/>
    <cellStyle name="Style 51 4 5 2 5" xfId="9535"/>
    <cellStyle name="Border Thin 3 2 2 2 5" xfId="9536"/>
    <cellStyle name="Afjusted 4 2 2 2 5" xfId="9537"/>
    <cellStyle name="ac 2 2 2 2 2 5" xfId="9538"/>
    <cellStyle name="Afjusted 2 2 2 2 2 5" xfId="9539"/>
    <cellStyle name="Bold/Border 2 2 2 2 2 5" xfId="9540"/>
    <cellStyle name="COL HEADINGS 2 2 2 2 2 5" xfId="9541"/>
    <cellStyle name="Date [mmm-yyyy] 2 2 2 2 2 5" xfId="9542"/>
    <cellStyle name="dp*NumberLine 2 2 2 2 2 5" xfId="9543"/>
    <cellStyle name="dp*NumberLineEPS 2 2 2 2 2 5" xfId="9544"/>
    <cellStyle name="dp*SheetSubTitle 2 2 2 2 2 5" xfId="9545"/>
    <cellStyle name="Heading [Helv] 2 2 2 2 2 5" xfId="9546"/>
    <cellStyle name="Heading [Palat] 2 2 2 2 2 5" xfId="9547"/>
    <cellStyle name="Magic 2 2 2 2 2 5" xfId="9548"/>
    <cellStyle name="Outputs 2 2 2 2 2 5" xfId="9549"/>
    <cellStyle name="Table Head Aligned 2 2 2 2 2 5" xfId="9550"/>
    <cellStyle name="Table Head Green 2 2 2 2 2 5" xfId="9551"/>
    <cellStyle name="Title [Helv] 2 2 2 2 2 5" xfId="9552"/>
    <cellStyle name="Title [Palat] 2 2 2 2 2 5" xfId="9553"/>
    <cellStyle name="dp*ThinLineBelow 3 5 2 5" xfId="9554"/>
    <cellStyle name="Date [mm-d-yyyy] 2 2 3 2 5" xfId="9555"/>
    <cellStyle name="Afjusted 3 2 3 2 5" xfId="9556"/>
    <cellStyle name="Date [mm-d-yyyy] 3 2 3 2 5" xfId="9557"/>
    <cellStyle name="Style 51 4 2 3 2 5" xfId="9558"/>
    <cellStyle name="Style 49 4 2 3 2 5" xfId="9559"/>
    <cellStyle name="Style 45 4 2 3 2 5" xfId="9560"/>
    <cellStyle name="Style 44 4 2 3 2 5" xfId="9561"/>
    <cellStyle name="P-Green Rule 3 2 3 2 5" xfId="9562"/>
    <cellStyle name="PB Table Standard Row 3 2 3 2 5" xfId="9563"/>
    <cellStyle name="dp*ThinLineBelow 3 2 3 2 5" xfId="9564"/>
    <cellStyle name="dp*SubTitle 3 2 3 2 5" xfId="9565"/>
    <cellStyle name="Border Thin 3 2 3 2 5" xfId="9566"/>
    <cellStyle name="Afjusted 4 2 3 2 5" xfId="9567"/>
    <cellStyle name="ac 2 2 2 3 2 5" xfId="9568"/>
    <cellStyle name="Afjusted 2 2 2 3 2 5" xfId="9569"/>
    <cellStyle name="Bold/Border 2 2 2 3 2 5" xfId="9570"/>
    <cellStyle name="COL HEADINGS 2 2 2 3 2 5" xfId="9571"/>
    <cellStyle name="Date [mmm-yyyy] 2 2 2 3 2 5" xfId="9572"/>
    <cellStyle name="dp*NumberLine 2 2 2 3 2 5" xfId="9573"/>
    <cellStyle name="dp*NumberLineEPS 2 2 2 3 2 5" xfId="9574"/>
    <cellStyle name="dp*SheetSubTitle 2 2 2 3 2 5" xfId="9575"/>
    <cellStyle name="Heading [Helv] 2 2 2 3 2 5" xfId="9576"/>
    <cellStyle name="Heading [Palat] 2 2 2 3 2 5" xfId="9577"/>
    <cellStyle name="Magic 2 2 2 3 2 5" xfId="9578"/>
    <cellStyle name="Outputs 2 2 2 3 2 5" xfId="9579"/>
    <cellStyle name="Table Head Aligned 2 2 2 3 2 5" xfId="9580"/>
    <cellStyle name="Table Head Green 2 2 2 3 2 5" xfId="9581"/>
    <cellStyle name="Title [Helv] 2 2 2 3 2 5" xfId="9582"/>
    <cellStyle name="Title [Palat] 2 2 2 3 2 5" xfId="9583"/>
    <cellStyle name="Afjusted 3 2 4 2 5" xfId="9584"/>
    <cellStyle name="Date [mm-d-yyyy] 3 2 4 2 5" xfId="9585"/>
    <cellStyle name="Style 51 4 2 4 2 5" xfId="9586"/>
    <cellStyle name="Style 49 4 2 4 2 5" xfId="9587"/>
    <cellStyle name="Style 45 4 2 4 2 5" xfId="9588"/>
    <cellStyle name="Style 44 4 2 4 2 5" xfId="9589"/>
    <cellStyle name="P-Green Rule 3 2 4 2 5" xfId="9590"/>
    <cellStyle name="PB Table Standard Row 3 2 4 2 5" xfId="9591"/>
    <cellStyle name="dp*ThinLineBelow 3 2 4 2 5" xfId="9592"/>
    <cellStyle name="dp*SubTitle 3 2 4 2 5" xfId="9593"/>
    <cellStyle name="Border Thin 3 2 4 2 5" xfId="9594"/>
    <cellStyle name="Afjusted 4 2 4 2 5" xfId="9595"/>
    <cellStyle name="ac 2 2 2 4 2 5" xfId="9596"/>
    <cellStyle name="Afjusted 2 2 2 4 2 5" xfId="9597"/>
    <cellStyle name="Bold/Border 2 2 2 4 2 5" xfId="9598"/>
    <cellStyle name="COL HEADINGS 2 2 2 4 2 5" xfId="9599"/>
    <cellStyle name="Date [mmm-yyyy] 2 2 2 4 2 5" xfId="9600"/>
    <cellStyle name="dp*NumberLine 2 2 2 4 2 5" xfId="9601"/>
    <cellStyle name="dp*NumberLineEPS 2 2 2 4 2 5" xfId="9602"/>
    <cellStyle name="dp*SheetSubTitle 2 2 2 4 2 5" xfId="9603"/>
    <cellStyle name="Heading [Helv] 2 2 2 4 2 5" xfId="9604"/>
    <cellStyle name="Heading [Palat] 2 2 2 4 2 5" xfId="9605"/>
    <cellStyle name="Magic 2 2 2 4 2 5" xfId="9606"/>
    <cellStyle name="Outputs 2 2 2 4 2 5" xfId="9607"/>
    <cellStyle name="Table Head Aligned 2 2 2 4 2 5" xfId="9608"/>
    <cellStyle name="Table Head Green 2 2 2 4 2 5" xfId="9609"/>
    <cellStyle name="Title [Helv] 2 2 2 4 2 5" xfId="9610"/>
    <cellStyle name="Title [Palat] 2 2 2 4 2 5" xfId="9611"/>
    <cellStyle name="Border Thin 4 2 5" xfId="9612"/>
    <cellStyle name="Date [mm-d-yyyy] 4 2 5" xfId="9613"/>
    <cellStyle name="dp*SubTitle 4 2 5" xfId="9614"/>
    <cellStyle name="dp*ThinLineBelow 4 2 5" xfId="9615"/>
    <cellStyle name="PB Table Standard Row 4 2 5" xfId="9616"/>
    <cellStyle name="P-Green Rule 4 2 5" xfId="9617"/>
    <cellStyle name="Style 44 5 2 5" xfId="9618"/>
    <cellStyle name="Style 45 5 2 5" xfId="9619"/>
    <cellStyle name="Style 49 5 2 5" xfId="9620"/>
    <cellStyle name="Style 51 5 2 5" xfId="9621"/>
    <cellStyle name="Style 49 2 3 5" xfId="9622"/>
    <cellStyle name="Outputs 4 5" xfId="9623"/>
    <cellStyle name="Table Head Aligned 2 2 2 4 5" xfId="9624"/>
    <cellStyle name="Title [Palat] 3 2 5" xfId="9625"/>
    <cellStyle name="Title [Helv] 3 2 5" xfId="9626"/>
    <cellStyle name="Table Head Green 3 2 5" xfId="9627"/>
    <cellStyle name="Table Head Aligned 3 2 5" xfId="9628"/>
    <cellStyle name="Currency-- 43" xfId="9629"/>
    <cellStyle name="Outputs 3 2 5" xfId="9630"/>
    <cellStyle name="Magic 3 2 5" xfId="9631"/>
    <cellStyle name="Heading [Palat] 3 2 5" xfId="9632"/>
    <cellStyle name="Heading [Helv] 3 2 5" xfId="9633"/>
    <cellStyle name="Title [Palat] 2 2 2 2 5" xfId="9634"/>
    <cellStyle name="Style 44 4 2 3 5" xfId="9635"/>
    <cellStyle name="dp*SheetSubTitle 3 2 5" xfId="9636"/>
    <cellStyle name="dp*NumberLineEPS 3 2 5" xfId="9637"/>
    <cellStyle name="dp*NumberLine 3 2 5" xfId="9638"/>
    <cellStyle name="COL HEADINGS 3 2 5" xfId="9639"/>
    <cellStyle name="Bold/Border 3 2 5" xfId="9640"/>
    <cellStyle name="Style 51 3 5 5" xfId="9641"/>
    <cellStyle name="Title [Palat] 2 5 5" xfId="9642"/>
    <cellStyle name="Afjusted 5 2 5" xfId="9643"/>
    <cellStyle name="ac 3 2 5" xfId="9644"/>
    <cellStyle name="Date [mmm-yyyy] 3 2 5" xfId="9645"/>
    <cellStyle name="ac 2 4 2 5" xfId="9646"/>
    <cellStyle name="Afjusted 2 3 2 5" xfId="9647"/>
    <cellStyle name="Bold/Border 2 4 2 5" xfId="9648"/>
    <cellStyle name="Border Thin 2 4 2 5" xfId="9649"/>
    <cellStyle name="COL HEADINGS 2 4 2 5" xfId="9650"/>
    <cellStyle name="Date [mmm-yyyy] 2 4 2 5" xfId="9651"/>
    <cellStyle name="dp*NumberLine 2 4 2 5" xfId="9652"/>
    <cellStyle name="dp*NumberLineEPS 2 4 2 5" xfId="9653"/>
    <cellStyle name="dp*SheetSubTitle 2 4 2 5" xfId="9654"/>
    <cellStyle name="dp*SubTitle 2 4 2 5" xfId="9655"/>
    <cellStyle name="dp*ThinLineBelow 2 4 2 5" xfId="9656"/>
    <cellStyle name="Heading [Helv] 2 4 2 5" xfId="9657"/>
    <cellStyle name="Heading [Palat] 2 4 2 5" xfId="9658"/>
    <cellStyle name="Magic 2 4 2 5" xfId="9659"/>
    <cellStyle name="Outputs 2 4 2 5" xfId="9660"/>
    <cellStyle name="PB Table Standard Row 2 4 2 5" xfId="9661"/>
    <cellStyle name="P-Green Rule 2 4 2 5" xfId="9662"/>
    <cellStyle name="Style 44 3 4 2 5" xfId="9663"/>
    <cellStyle name="Style 45 3 4 2 5" xfId="9664"/>
    <cellStyle name="Style 49 3 4 2 5" xfId="9665"/>
    <cellStyle name="Style 51 3 4 2 5" xfId="9666"/>
    <cellStyle name="Style 44 2 4 2 5" xfId="9667"/>
    <cellStyle name="Style 45 2 4 2 5" xfId="9668"/>
    <cellStyle name="Style 49 2 4 2 5" xfId="9669"/>
    <cellStyle name="Style 51 2 4 2 5" xfId="9670"/>
    <cellStyle name="Table Head Aligned 2 4 2 5" xfId="9671"/>
    <cellStyle name="Table Head Green 2 4 2 5" xfId="9672"/>
    <cellStyle name="Title [Helv] 2 4 2 5" xfId="9673"/>
    <cellStyle name="Title [Palat] 2 4 2 5" xfId="9674"/>
    <cellStyle name="Style 45 2 3 5" xfId="9675"/>
    <cellStyle name="Style 44 7 5" xfId="9676"/>
    <cellStyle name="ac 4 2 5" xfId="9677"/>
    <cellStyle name="Title [Helv] 2 5 5" xfId="9678"/>
    <cellStyle name="Style 49 3 5 5" xfId="9679"/>
    <cellStyle name="Heading [Palat] 2 5 5" xfId="9680"/>
    <cellStyle name="dp*SheetSubTitle 2 5 5" xfId="9681"/>
    <cellStyle name="Bold/Border 4 2 5" xfId="9682"/>
    <cellStyle name="Border Thin 5 2 5" xfId="9683"/>
    <cellStyle name="Table Head Green 4 5" xfId="9684"/>
    <cellStyle name="Style 45 6 5" xfId="9685"/>
    <cellStyle name="COL HEADINGS 4 2 5" xfId="9686"/>
    <cellStyle name="Border Thin 5 5" xfId="9687"/>
    <cellStyle name="Date [mm-d-yyyy] 5 2 5" xfId="9688"/>
    <cellStyle name="Table Head Aligned 3 5" xfId="9689"/>
    <cellStyle name="Title [Palat] 3 5" xfId="9690"/>
    <cellStyle name="Heading [Helv] 2 2 2 4 5" xfId="9691"/>
    <cellStyle name="Date [mmm-yyyy] 2 2 2 4 5" xfId="9692"/>
    <cellStyle name="Afjusted 4 2 4 5" xfId="9693"/>
    <cellStyle name="dp*ThinLineBelow 3 2 4 5" xfId="9694"/>
    <cellStyle name="Style 44 4 2 4 5" xfId="9695"/>
    <cellStyle name="Style 51 4 2 4 5" xfId="9696"/>
    <cellStyle name="Title [Palat] 2 2 2 3 5" xfId="9697"/>
    <cellStyle name="Table Head Aligned 2 2 2 3 5" xfId="9698"/>
    <cellStyle name="Heading [Palat] 2 2 2 3 5" xfId="9699"/>
    <cellStyle name="dp*NumberLineEPS 2 2 2 3 5" xfId="9700"/>
    <cellStyle name="COL HEADINGS 2 2 2 3 5" xfId="9701"/>
    <cellStyle name="ac 2 2 2 3 5" xfId="9702"/>
    <cellStyle name="dp*SubTitle 3 2 3 5" xfId="9703"/>
    <cellStyle name="Style 45 4 2 3 5" xfId="9704"/>
    <cellStyle name="Title [Helv] 2 2 2 2 5" xfId="9705"/>
    <cellStyle name="Heading [Helv] 2 2 2 2 5" xfId="9706"/>
    <cellStyle name="P-Green Rule 3 2 2 5" xfId="9707"/>
    <cellStyle name="Date [mm-d-yyyy] 3 2 2 5" xfId="9708"/>
    <cellStyle name="PB Table Standard Row 3 3 2 4" xfId="9709"/>
    <cellStyle name="Border Thin 3 3 2 5" xfId="9710"/>
    <cellStyle name="COL HEADINGS 2 2 3 2 5" xfId="9711"/>
    <cellStyle name="dp*SheetSubTitle 2 2 3 2 5" xfId="9712"/>
    <cellStyle name="Heading [Helv] 4 2 5" xfId="9713"/>
    <cellStyle name="Heading [Palat] 4 2 5" xfId="9714"/>
    <cellStyle name="Style 44 4 2 7" xfId="9715"/>
    <cellStyle name="Style 51 4 2 7" xfId="9716"/>
    <cellStyle name="Afjusted 3 3 8" xfId="9717"/>
    <cellStyle name="ac 2 2 3 8" xfId="9718"/>
    <cellStyle name="COL HEADINGS 2 2 3 8" xfId="9719"/>
    <cellStyle name="Heading [Helv] 2 2 3 8" xfId="9720"/>
    <cellStyle name="P-Green Rule 3 4 4" xfId="9721"/>
    <cellStyle name="Style 49 4 4 5" xfId="9722"/>
    <cellStyle name="Table Head Green 2 2 3 3 5" xfId="9723"/>
    <cellStyle name="Heading [Helv] 2 2 4 5" xfId="9724"/>
    <cellStyle name="Style 51 4 3 4 5" xfId="9725"/>
    <cellStyle name="Table Head Green 2 3 5" xfId="9726"/>
    <cellStyle name="Bold/Border 2 2 3 3 5" xfId="9727"/>
    <cellStyle name="Heading [Helv] 2 3 5" xfId="9728"/>
    <cellStyle name="Style 49 4 3 4 5" xfId="9729"/>
    <cellStyle name="Style 51 2 8" xfId="9730"/>
    <cellStyle name="Style 49 3 9" xfId="9731"/>
    <cellStyle name="dp*LabelItalicsLineAbove 3 2" xfId="9732"/>
    <cellStyle name="Outputs 4 2 5" xfId="9733"/>
    <cellStyle name="PB Table Standard Row 5 2 5" xfId="9734"/>
    <cellStyle name="P-Green Rule 5 2 5" xfId="9735"/>
    <cellStyle name="Style 44 6 2 5" xfId="9736"/>
    <cellStyle name="Style 45 6 2 5" xfId="9737"/>
    <cellStyle name="Style 49 6 2 5" xfId="9738"/>
    <cellStyle name="Style 51 6 2 5" xfId="9739"/>
    <cellStyle name="Table Head Green 4 2 5" xfId="9740"/>
    <cellStyle name="Magic 2 4 4 2" xfId="9741"/>
    <cellStyle name="Border Thin 4 4 2" xfId="9742"/>
    <cellStyle name="Style 49 3 2 5" xfId="9743"/>
    <cellStyle name="dp*NumberLineEPS 2 2 3 3 5" xfId="9744"/>
    <cellStyle name="Afjusted 6 2 5" xfId="9745"/>
    <cellStyle name="ac 2 5 2 5" xfId="9746"/>
    <cellStyle name="Afjusted 2 4 2 5" xfId="9747"/>
    <cellStyle name="Bold/Border 2 5 2 5" xfId="9748"/>
    <cellStyle name="Border Thin 2 5 2 5" xfId="9749"/>
    <cellStyle name="COL HEADINGS 2 5 2 5" xfId="9750"/>
    <cellStyle name="Date [mmm-yyyy] 2 5 2 5" xfId="9751"/>
    <cellStyle name="dp*NumberLine 2 5 2 5" xfId="9752"/>
    <cellStyle name="dp*NumberLineEPS 2 5 2 5" xfId="9753"/>
    <cellStyle name="dp*SheetSubTitle 2 5 2 5" xfId="9754"/>
    <cellStyle name="dp*SubTitle 2 5 2 5" xfId="9755"/>
    <cellStyle name="dp*ThinLineBelow 2 5 2 5" xfId="9756"/>
    <cellStyle name="Heading [Helv] 2 5 2 5" xfId="9757"/>
    <cellStyle name="Heading [Palat] 2 5 2 5" xfId="9758"/>
    <cellStyle name="Magic 2 5 2 5" xfId="9759"/>
    <cellStyle name="Outputs 2 5 2 5" xfId="9760"/>
    <cellStyle name="PB Table Standard Row 2 5 2 5" xfId="9761"/>
    <cellStyle name="P-Green Rule 2 5 2 5" xfId="9762"/>
    <cellStyle name="Style 44 3 5 2 5" xfId="9763"/>
    <cellStyle name="Style 45 3 5 2 5" xfId="9764"/>
    <cellStyle name="Style 49 3 5 2 5" xfId="9765"/>
    <cellStyle name="Style 51 3 5 2 5" xfId="9766"/>
    <cellStyle name="Style 44 2 5 2 5" xfId="9767"/>
    <cellStyle name="Style 45 2 5 2 5" xfId="9768"/>
    <cellStyle name="Style 49 2 5 2 5" xfId="9769"/>
    <cellStyle name="Style 51 2 5 2 5" xfId="9770"/>
    <cellStyle name="Table Head Aligned 2 5 2 5" xfId="9771"/>
    <cellStyle name="Table Head Green 2 5 2 5" xfId="9772"/>
    <cellStyle name="Title [Helv] 2 5 2 5" xfId="9773"/>
    <cellStyle name="Title [Palat] 2 5 2 5" xfId="9774"/>
    <cellStyle name="Date [mmm-yyyy] 2 4 5" xfId="9775"/>
    <cellStyle name="ac 3 5" xfId="9776"/>
    <cellStyle name="dp*NumberLine 2 2 3 2 5" xfId="9777"/>
    <cellStyle name="Style 44 2 3 5" xfId="9778"/>
    <cellStyle name="Style 49 7 5" xfId="9779"/>
    <cellStyle name="Border Thin 6 5" xfId="9780"/>
    <cellStyle name="ac 5 2 5" xfId="9781"/>
    <cellStyle name="Table Head Green 2 5 5" xfId="9782"/>
    <cellStyle name="Style 45 3 5 5" xfId="9783"/>
    <cellStyle name="Heading [Helv] 2 5 5" xfId="9784"/>
    <cellStyle name="dp*NumberLineEPS 2 5 5" xfId="9785"/>
    <cellStyle name="Bold/Border 5 2 5" xfId="9786"/>
    <cellStyle name="Border Thin 6 2 5" xfId="9787"/>
    <cellStyle name="Style 44 6 5" xfId="9788"/>
    <cellStyle name="COL HEADINGS 5 2 5" xfId="9789"/>
    <cellStyle name="Title [Palat] 2 4 5" xfId="9790"/>
    <cellStyle name="Table Head Green 3 5" xfId="9791"/>
    <cellStyle name="Border Thin 4 5" xfId="9792"/>
    <cellStyle name="dp*SheetSubTitle 2 2 2 4 5" xfId="9793"/>
    <cellStyle name="COL HEADINGS 2 2 2 4 5" xfId="9794"/>
    <cellStyle name="Border Thin 3 2 4 5" xfId="9795"/>
    <cellStyle name="PB Table Standard Row 3 2 4 5" xfId="9796"/>
    <cellStyle name="Style 45 4 2 4 5" xfId="9797"/>
    <cellStyle name="Date [mm-d-yyyy] 3 2 4 5" xfId="9798"/>
    <cellStyle name="Title [Helv] 2 2 2 3 5" xfId="9799"/>
    <cellStyle name="Outputs 2 2 2 3 5" xfId="9800"/>
    <cellStyle name="Heading [Helv] 2 2 2 3 5" xfId="9801"/>
    <cellStyle name="dp*NumberLine 2 2 2 3 5" xfId="9802"/>
    <cellStyle name="Bold/Border 2 2 2 3 5" xfId="9803"/>
    <cellStyle name="Afjusted 4 2 3 5" xfId="9804"/>
    <cellStyle name="dp*ThinLineBelow 3 2 3 5" xfId="9805"/>
    <cellStyle name="Style 49 4 2 3 5" xfId="9806"/>
    <cellStyle name="Table Head Green 2 2 2 2 5" xfId="9807"/>
    <cellStyle name="dp*SheetSubTitle 2 2 2 2 5" xfId="9808"/>
    <cellStyle name="Style 45 4 5 5" xfId="9809"/>
    <cellStyle name="PB Table Standard Row 3 5 5" xfId="9810"/>
    <cellStyle name="dp*ThinLineBelow 3 3 2 5" xfId="9811"/>
    <cellStyle name="Afjusted 4 3 2 5" xfId="9812"/>
    <cellStyle name="Date [mmm-yyyy] 2 2 3 2 5" xfId="9813"/>
    <cellStyle name="Heading [Helv] 2 2 3 2 5" xfId="9814"/>
    <cellStyle name="Heading [Helv] 5 2 5" xfId="9815"/>
    <cellStyle name="Heading [Palat] 5 2 5" xfId="9816"/>
    <cellStyle name="Afjusted 4 2 8" xfId="9817"/>
    <cellStyle name="Style 45 4 2 7" xfId="9818"/>
    <cellStyle name="Date [mm-d-yyyy] 3 2 8" xfId="9819"/>
    <cellStyle name="Afjusted 3 2 8" xfId="9820"/>
    <cellStyle name="Date [mmm-yyyy] 2 2 3 8" xfId="9821"/>
    <cellStyle name="Heading [Palat] 2 2 3 8" xfId="9822"/>
    <cellStyle name="dp*ThinLineBelow 3 3 4 5" xfId="9823"/>
    <cellStyle name="Style 51 4 4 5" xfId="9824"/>
    <cellStyle name="Table Head Green 2 2 4 5" xfId="9825"/>
    <cellStyle name="Style 51 2 3 5" xfId="9826"/>
    <cellStyle name="Title [Palat] 2 3 5" xfId="9827"/>
    <cellStyle name="Table Head Aligned 2 3 5" xfId="9828"/>
    <cellStyle name="dp*NumberLine 2 2 3 3 5" xfId="9829"/>
    <cellStyle name="Outputs 2 3 5" xfId="9830"/>
    <cellStyle name="dp*SheetSubTitle 2 3 5" xfId="9831"/>
    <cellStyle name="Style 49 2 9" xfId="9832"/>
    <cellStyle name="Style 45 3 8" xfId="9833"/>
    <cellStyle name="dp*LabelLine 3 3" xfId="9834"/>
    <cellStyle name="dp*ThinLineBelow 2 7" xfId="9835"/>
    <cellStyle name="Outputs 5 2 5" xfId="9836"/>
    <cellStyle name="PB Table Standard Row 6 2 5" xfId="9837"/>
    <cellStyle name="P-Green Rule 6 2 5" xfId="9838"/>
    <cellStyle name="Style 44 7 2 5" xfId="9839"/>
    <cellStyle name="Style 45 7 2 5" xfId="9840"/>
    <cellStyle name="Style 49 7 2 5" xfId="9841"/>
    <cellStyle name="Style 51 7 2 5" xfId="9842"/>
    <cellStyle name="Table Head Green 5 2 5" xfId="9843"/>
    <cellStyle name="Title [Palat] 4 2 5" xfId="9844"/>
    <cellStyle name="Date [mmm-yyyy] 2 4 4 2" xfId="9845"/>
    <cellStyle name="Style 44 3 3 5" xfId="9846"/>
    <cellStyle name="Style 44 2 2 5" xfId="9847"/>
    <cellStyle name="Table Head Aligned 2 2 3 4 5" xfId="9848"/>
    <cellStyle name="Table Head Green 5 5" xfId="9849"/>
    <cellStyle name="ac 2 6 2 5" xfId="9850"/>
    <cellStyle name="Bold/Border 2 6 2 5" xfId="9851"/>
    <cellStyle name="Border Thin 2 6 2 5" xfId="9852"/>
    <cellStyle name="COL HEADINGS 2 6 2 5" xfId="9853"/>
    <cellStyle name="Afjusted 2 3 5" xfId="9854"/>
    <cellStyle name="Bold/Border 2 2 3 2 5" xfId="9855"/>
    <cellStyle name="Heading [Helv] 2 6 2 5" xfId="9856"/>
    <cellStyle name="Heading [Palat] 2 6 2 5" xfId="9857"/>
    <cellStyle name="Outputs 2 6 2 5" xfId="9858"/>
    <cellStyle name="PB Table Standard Row 2 6 2 5" xfId="9859"/>
    <cellStyle name="P-Green Rule 2 6 2 5" xfId="9860"/>
    <cellStyle name="Style 44 3 6 2 5" xfId="9861"/>
    <cellStyle name="Style 45 3 6 2 5" xfId="9862"/>
    <cellStyle name="Style 49 3 6 2 5" xfId="9863"/>
    <cellStyle name="Style 51 3 6 2 5" xfId="9864"/>
    <cellStyle name="Style 44 2 6 2 5" xfId="9865"/>
    <cellStyle name="Style 45 2 6 2 5" xfId="9866"/>
    <cellStyle name="Style 49 2 6 2 5" xfId="9867"/>
    <cellStyle name="Style 51 2 6 2 5" xfId="9868"/>
    <cellStyle name="Table Head Green 2 6 2 5" xfId="9869"/>
    <cellStyle name="Title [Palat] 2 6 2 5" xfId="9870"/>
    <cellStyle name="Bold/Border 2 3 5" xfId="9871"/>
    <cellStyle name="Style 49 3 3 5" xfId="9872"/>
    <cellStyle name="dp*NumberLine 2 5 5" xfId="9873"/>
    <cellStyle name="Style 45 3 3 5" xfId="9874"/>
    <cellStyle name="Title [Palat] 2 2 3 4 5" xfId="9875"/>
    <cellStyle name="ac 2 2 3 4 5" xfId="9876"/>
    <cellStyle name="Date [mm-d-yyyy] 3 3 4 5" xfId="9877"/>
    <cellStyle name="Magic 2 2 3 4 5" xfId="9878"/>
    <cellStyle name="Title [Palat] 2 2 4 5" xfId="9879"/>
    <cellStyle name="Afjusted 4 3 3 5" xfId="9880"/>
    <cellStyle name="PB Table Standard Row 2 2 5" xfId="9881"/>
    <cellStyle name="Style 45 3 2 5" xfId="9882"/>
    <cellStyle name="Style 51 3 2 5" xfId="9883"/>
    <cellStyle name="Title [Helv] 2 2 3 4 5" xfId="9884"/>
    <cellStyle name="dp*SheetSubTitle 2 2 3 4 5" xfId="9885"/>
    <cellStyle name="Style 49 2 2 5" xfId="9886"/>
    <cellStyle name="Style 45 2 2 5" xfId="9887"/>
    <cellStyle name="Date [mmm-yyyy] 2 2 3 4 5" xfId="9888"/>
    <cellStyle name="ac 2 3 5" xfId="9889"/>
    <cellStyle name="Date [mm-d-yyyy] 5 5" xfId="9890"/>
    <cellStyle name="Style 51 2 2 5" xfId="9891"/>
    <cellStyle name="COL HEADINGS 2 2 3 4 5" xfId="9892"/>
    <cellStyle name="Afjusted 3 3 4 5" xfId="9893"/>
    <cellStyle name="dp*ThinLineBelow 2 3 5" xfId="9894"/>
    <cellStyle name="Style 49 4 5 5" xfId="9895"/>
    <cellStyle name="Outputs 2 2 2 4 5" xfId="9896"/>
    <cellStyle name="Percent 2 8" xfId="9897"/>
    <cellStyle name="Title [Palat] 5 2 5" xfId="9898"/>
    <cellStyle name="Title [Helv] 4 2 5" xfId="9899"/>
    <cellStyle name="Table Head Green 6 2 5" xfId="9900"/>
    <cellStyle name="Table Head Aligned 4 2 5" xfId="9901"/>
    <cellStyle name="Style 51 9 2 5" xfId="9902"/>
    <cellStyle name="Bold/Border 2 2 3 2 10" xfId="9903"/>
    <cellStyle name="Style 49 9 2 5" xfId="9904"/>
    <cellStyle name="Style 45 9 2 5" xfId="9905"/>
    <cellStyle name="Style 44 9 2 5" xfId="9906"/>
    <cellStyle name="Style 51 2 5 5" xfId="9907"/>
    <cellStyle name="P-Green Rule 2 5 5" xfId="9908"/>
    <cellStyle name="P-Green Rule 7 2 5" xfId="9909"/>
    <cellStyle name="PB Table Standard Row 7 2 5" xfId="9910"/>
    <cellStyle name="Outputs 6 2 5" xfId="9911"/>
    <cellStyle name="Style 44 3 8" xfId="9912"/>
    <cellStyle name="Magic 4 2 5" xfId="9913"/>
    <cellStyle name="Date [mm-d-yyyy] 3 2 3 5" xfId="9914"/>
    <cellStyle name="Outputs 2 2 2 2 5" xfId="9915"/>
    <cellStyle name="Border Thin 3 2 7" xfId="9916"/>
    <cellStyle name="Heading [Palat] 6 2 5" xfId="9917"/>
    <cellStyle name="Heading [Helv] 6 2 5" xfId="9918"/>
    <cellStyle name="Date [mm-d-yyyy] 3 3 2 5" xfId="9919"/>
    <cellStyle name="dp*SubTitle 2 3 5" xfId="9920"/>
    <cellStyle name="Table Head Aligned 2 2 2 2 5" xfId="9921"/>
    <cellStyle name="Style 51 4 2 3 5" xfId="9922"/>
    <cellStyle name="dp*ThinLineBelow 5 2 5" xfId="9923"/>
    <cellStyle name="dp*SubTitle 5 2 5" xfId="9924"/>
    <cellStyle name="dp*SheetSubTitle 4 2 5" xfId="9925"/>
    <cellStyle name="dp*NumberLineEPS 4 2 5" xfId="9926"/>
    <cellStyle name="dp*NumberLine 4 2 5" xfId="9927"/>
    <cellStyle name="dp*NumberLine 2 4 5" xfId="9928"/>
    <cellStyle name="Date [mmm-yyyy] 4 2 5" xfId="9929"/>
    <cellStyle name="Date [mm-d-yyyy] 7 2 5" xfId="9930"/>
    <cellStyle name="COL HEADINGS 6 2 5" xfId="9931"/>
    <cellStyle name="Border Thin 7 2 5" xfId="9932"/>
    <cellStyle name="Bold/Border 6 2 5" xfId="9933"/>
    <cellStyle name="Style 44 3 5 5" xfId="9934"/>
    <cellStyle name="Table Head Aligned 2 5 5" xfId="9935"/>
    <cellStyle name="Afjusted 7 2 5" xfId="9936"/>
    <cellStyle name="ac 6 2 5" xfId="9937"/>
    <cellStyle name="Style 44 8 2 5" xfId="9938"/>
    <cellStyle name="Style 45 8 2 5" xfId="9939"/>
    <cellStyle name="Style 49 8 2 5" xfId="9940"/>
    <cellStyle name="Style 51 8 2 5" xfId="9941"/>
    <cellStyle name="COL HEADINGS 4 5" xfId="9942"/>
    <cellStyle name="Heading [Helv] 2 2 3 3 5" xfId="9943"/>
    <cellStyle name="P-Green Rule 5 5" xfId="9944"/>
    <cellStyle name="Heading [Palat] 5 5" xfId="9945"/>
    <cellStyle name="Heading [Helv] 4 5" xfId="9946"/>
    <cellStyle name="Style 45 4 3 2 5" xfId="9947"/>
    <cellStyle name="Style 44 4 3 3 5" xfId="9948"/>
    <cellStyle name="Magic 2 2 3 3 5" xfId="9949"/>
    <cellStyle name="Title [Palat] 2 2 3 3 5" xfId="9950"/>
    <cellStyle name="dp*NumberLineEPS 2 2 3 4 5" xfId="9951"/>
    <cellStyle name="P-Green Rule 2 2 5" xfId="9952"/>
    <cellStyle name="Title [Helv] 2 2 4 5" xfId="9953"/>
    <cellStyle name="Title [Palat] 6 2 5" xfId="9954"/>
    <cellStyle name="Title [Helv] 5 2 5" xfId="9955"/>
    <cellStyle name="Table Head Green 7 2 5" xfId="9956"/>
    <cellStyle name="Table Head Aligned 5 2 5" xfId="9957"/>
    <cellStyle name="Outputs 7 2 5" xfId="9958"/>
    <cellStyle name="PB Table Standard Row 3 3 4 5" xfId="9959"/>
    <cellStyle name="Magic 5 2 5" xfId="9960"/>
    <cellStyle name="Heading [Palat] 7 2 5" xfId="9961"/>
    <cellStyle name="Heading [Helv] 7 2 5" xfId="9962"/>
    <cellStyle name="dp*SheetSubTitle 5 2 5" xfId="9963"/>
    <cellStyle name="dp*NumberLineEPS 5 2 5" xfId="9964"/>
    <cellStyle name="dp*NumberLine 5 2 5" xfId="9965"/>
    <cellStyle name="Date [mmm-yyyy] 5 2 5" xfId="9966"/>
    <cellStyle name="COL HEADINGS 7 2 5" xfId="9967"/>
    <cellStyle name="Bold/Border 7 2 5" xfId="9968"/>
    <cellStyle name="Afjusted 8 2 5" xfId="9969"/>
    <cellStyle name="ac 7 2 5" xfId="9970"/>
    <cellStyle name="Magic 2 2 2 4 5" xfId="9971"/>
    <cellStyle name="Title [Palat] 7 2 5" xfId="9972"/>
    <cellStyle name="Title [Helv] 6 2 5" xfId="9973"/>
    <cellStyle name="Table Head Green 8 2 5" xfId="9974"/>
    <cellStyle name="Table Head Aligned 6 2 5" xfId="9975"/>
    <cellStyle name="Outputs 8 2 5" xfId="9976"/>
    <cellStyle name="Magic 6 2 5" xfId="9977"/>
    <cellStyle name="Heading [Palat] 8 2 5" xfId="9978"/>
    <cellStyle name="Heading [Helv] 8 2 5" xfId="9979"/>
    <cellStyle name="Style 51 4 3 2 5" xfId="9980"/>
    <cellStyle name="Date [mm-d-yyyy] 3 5 5" xfId="9981"/>
    <cellStyle name="Magic 2 2 2 2 5" xfId="9982"/>
    <cellStyle name="Afjusted 3 2 3 5" xfId="9983"/>
    <cellStyle name="dp*SheetSubTitle 6 2 5" xfId="9984"/>
    <cellStyle name="dp*NumberLineEPS 6 2 5" xfId="9985"/>
    <cellStyle name="dp*NumberLine 6 2 5" xfId="9986"/>
    <cellStyle name="COL HEADINGS 8 2 5" xfId="9987"/>
    <cellStyle name="Bold/Border 8 2 5" xfId="9988"/>
    <cellStyle name="PB Table Standard Row 2 5 5" xfId="9989"/>
    <cellStyle name="Style 49 2 5 5" xfId="9990"/>
    <cellStyle name="Afjusted 9 2 5" xfId="9991"/>
    <cellStyle name="ac 8 2 5" xfId="9992"/>
    <cellStyle name="Date [mmm-yyyy] 6 2 5" xfId="9993"/>
    <cellStyle name="Title [Palat] 8 2 5" xfId="9994"/>
    <cellStyle name="Title [Helv] 7 2 5" xfId="9995"/>
    <cellStyle name="Table Head Green 9 2 5" xfId="9996"/>
    <cellStyle name="Table Head Aligned 7 2 5" xfId="9997"/>
    <cellStyle name="Outputs 9 2 5" xfId="9998"/>
    <cellStyle name="Magic 7 2 5" xfId="9999"/>
    <cellStyle name="Heading [Palat] 9 2 5" xfId="10000"/>
    <cellStyle name="Heading [Helv] 9 2 5" xfId="10001"/>
    <cellStyle name="dp*SheetSubTitle 7 2 5" xfId="10002"/>
    <cellStyle name="dp*NumberLineEPS 7 2 5" xfId="10003"/>
    <cellStyle name="dp*NumberLine 7 2 5" xfId="10004"/>
    <cellStyle name="Date [mmm-yyyy] 7 2 5" xfId="10005"/>
    <cellStyle name="COL HEADINGS 9 2 5" xfId="10006"/>
    <cellStyle name="Bold/Border 9 2 5" xfId="10007"/>
    <cellStyle name="Afjusted 10 2 5" xfId="10008"/>
    <cellStyle name="ac 9 2 5" xfId="10009"/>
    <cellStyle name="Title [Palat] 4 5" xfId="10010"/>
    <cellStyle name="ac 2 6 5" xfId="10011"/>
    <cellStyle name="Bold/Border 2 6 5" xfId="10012"/>
    <cellStyle name="Border Thin 2 6 5" xfId="10013"/>
    <cellStyle name="COL HEADINGS 2 6 5" xfId="10014"/>
    <cellStyle name="Heading [Helv] 2 6 5" xfId="10015"/>
    <cellStyle name="Heading [Palat] 2 6 5" xfId="10016"/>
    <cellStyle name="dp*LabelLine 3 2 2" xfId="10017"/>
    <cellStyle name="Outputs 2 6 5" xfId="10018"/>
    <cellStyle name="PB Table Standard Row 2 6 5" xfId="10019"/>
    <cellStyle name="P-Green Rule 2 6 5" xfId="10020"/>
    <cellStyle name="Style 44 3 6 5" xfId="10021"/>
    <cellStyle name="Style 45 3 6 5" xfId="10022"/>
    <cellStyle name="Style 49 3 6 5" xfId="10023"/>
    <cellStyle name="Style 51 3 6 5" xfId="10024"/>
    <cellStyle name="Style 44 2 6 5" xfId="10025"/>
    <cellStyle name="Style 45 2 6 5" xfId="10026"/>
    <cellStyle name="Style 49 2 6 5" xfId="10027"/>
    <cellStyle name="Style 51 2 6 5" xfId="10028"/>
    <cellStyle name="Table Head Green 2 6 5" xfId="10029"/>
    <cellStyle name="Title [Palat] 2 6 5" xfId="10030"/>
    <cellStyle name="Title [Palat] 5 5" xfId="10031"/>
    <cellStyle name="Title [Helv] 4 5" xfId="10032"/>
    <cellStyle name="Table Head Green 6 5" xfId="10033"/>
    <cellStyle name="Table Head Aligned 4 5" xfId="10034"/>
    <cellStyle name="Outputs 6 5" xfId="10035"/>
    <cellStyle name="Magic 4 5" xfId="10036"/>
    <cellStyle name="Heading [Palat] 6 5" xfId="10037"/>
    <cellStyle name="Heading [Helv] 6 5" xfId="10038"/>
    <cellStyle name="dp*SheetSubTitle 4 5" xfId="10039"/>
    <cellStyle name="dp*NumberLineEPS 4 5" xfId="10040"/>
    <cellStyle name="dp*NumberLine 4 5" xfId="10041"/>
    <cellStyle name="Date [mmm-yyyy] 4 5" xfId="10042"/>
    <cellStyle name="COL HEADINGS 6 5" xfId="10043"/>
    <cellStyle name="Bold/Border 6 5" xfId="10044"/>
    <cellStyle name="Afjusted 7 5" xfId="10045"/>
    <cellStyle name="ac 6 5" xfId="10046"/>
    <cellStyle name="Style 44 8 5" xfId="10047"/>
    <cellStyle name="Style 45 8 5" xfId="10048"/>
    <cellStyle name="Style 49 8 5" xfId="10049"/>
    <cellStyle name="Style 51 8 5" xfId="10050"/>
    <cellStyle name="Afjusted 3 6 4" xfId="10051"/>
    <cellStyle name="ac 2 7 4" xfId="10052"/>
    <cellStyle name="Afjusted 2 5 4" xfId="10053"/>
    <cellStyle name="Bold/Border 2 7 4" xfId="10054"/>
    <cellStyle name="COL HEADINGS 2 7 4" xfId="10055"/>
    <cellStyle name="Date [mmm-yyyy] 2 6 4" xfId="10056"/>
    <cellStyle name="dp*NumberLine 2 6 4" xfId="10057"/>
    <cellStyle name="dp*NumberLineEPS 2 6 4" xfId="10058"/>
    <cellStyle name="dp*SheetSubTitle 2 6 4" xfId="10059"/>
    <cellStyle name="Heading [Helv] 2 7 4" xfId="10060"/>
    <cellStyle name="Heading [Palat] 2 7 4" xfId="10061"/>
    <cellStyle name="Magic 2 6 4" xfId="10062"/>
    <cellStyle name="Outputs 2 7 4" xfId="10063"/>
    <cellStyle name="Table Head Aligned 2 6 4" xfId="10064"/>
    <cellStyle name="Table Head Green 2 7 4" xfId="10065"/>
    <cellStyle name="Title [Helv] 2 6 4" xfId="10066"/>
    <cellStyle name="Title [Palat] 2 7 4" xfId="10067"/>
    <cellStyle name="Date [mm-d-yyyy] 3 6 4" xfId="10068"/>
    <cellStyle name="Style 51 4 6 4" xfId="10069"/>
    <cellStyle name="Style 49 4 6 4" xfId="10070"/>
    <cellStyle name="Style 45 4 6 4" xfId="10071"/>
    <cellStyle name="Style 44 4 6 4" xfId="10072"/>
    <cellStyle name="P-Green Rule 3 6 4" xfId="10073"/>
    <cellStyle name="PB Table Standard Row 3 6 4" xfId="10074"/>
    <cellStyle name="dp*ThinLineBelow 3 6 4" xfId="10075"/>
    <cellStyle name="dp*SubTitle 3 6 4" xfId="10076"/>
    <cellStyle name="Border Thin 3 6 4" xfId="10077"/>
    <cellStyle name="Afjusted 4 6 4" xfId="10078"/>
    <cellStyle name="ac 2 2 5 4" xfId="10079"/>
    <cellStyle name="Afjusted 2 2 6 4" xfId="10080"/>
    <cellStyle name="Bold/Border 2 2 5 4" xfId="10081"/>
    <cellStyle name="COL HEADINGS 2 2 5 4" xfId="10082"/>
    <cellStyle name="Date [mmm-yyyy] 2 2 5 4" xfId="10083"/>
    <cellStyle name="dp*NumberLine 2 2 5 4" xfId="10084"/>
    <cellStyle name="dp*NumberLineEPS 2 2 5 4" xfId="10085"/>
    <cellStyle name="dp*SheetSubTitle 2 2 5 4" xfId="10086"/>
    <cellStyle name="Heading [Helv] 2 2 5 4" xfId="10087"/>
    <cellStyle name="Heading [Palat] 2 2 5 4" xfId="10088"/>
    <cellStyle name="Magic 2 2 5 4" xfId="10089"/>
    <cellStyle name="Outputs 2 2 5 4" xfId="10090"/>
    <cellStyle name="Table Head Aligned 2 2 5 4" xfId="10091"/>
    <cellStyle name="Table Head Green 2 2 5 4" xfId="10092"/>
    <cellStyle name="Title [Helv] 2 2 5 4" xfId="10093"/>
    <cellStyle name="Title [Palat] 2 2 5 4" xfId="10094"/>
    <cellStyle name="dp*SubTitle 2 2 2 4" xfId="10095"/>
    <cellStyle name="Border Thin 2 2 2 4" xfId="10096"/>
    <cellStyle name="Bold/Border 2 2 3 4 2 4" xfId="10097"/>
    <cellStyle name="Magic 2 2 3 4 2 4" xfId="10098"/>
    <cellStyle name="Title [Helv] 2 2 3 4 2 4" xfId="10099"/>
    <cellStyle name="Style 51 2 2 2 4" xfId="10100"/>
    <cellStyle name="Style 45 2 2 2 4" xfId="10101"/>
    <cellStyle name="Style 49 2 2 2 4" xfId="10102"/>
    <cellStyle name="Style 44 2 2 2 4" xfId="10103"/>
    <cellStyle name="Style 51 3 2 2 4" xfId="10104"/>
    <cellStyle name="Style 49 3 2 2 4" xfId="10105"/>
    <cellStyle name="Style 45 3 2 2 4" xfId="10106"/>
    <cellStyle name="Style 44 3 2 2 4" xfId="10107"/>
    <cellStyle name="P-Green Rule 2 2 2 4" xfId="10108"/>
    <cellStyle name="PB Table Standard Row 2 2 2 4" xfId="10109"/>
    <cellStyle name="dp*ThinLineBelow 2 2 2 4" xfId="10110"/>
    <cellStyle name="dp*ThinLineBelow 2 3 2 4" xfId="10111"/>
    <cellStyle name="Style 44 3 3 2 4" xfId="10112"/>
    <cellStyle name="COL HEADINGS 2 2 3 4 2 4" xfId="10113"/>
    <cellStyle name="Style 49 4 3 4 2 4" xfId="10114"/>
    <cellStyle name="Afjusted 3 3 4 2 4" xfId="10115"/>
    <cellStyle name="Date [mm-d-yyyy] 3 3 4 2 4" xfId="10116"/>
    <cellStyle name="Afjusted 4 3 4 2 4" xfId="10117"/>
    <cellStyle name="ac 2 2 3 4 2 4" xfId="10118"/>
    <cellStyle name="Afjusted 2 2 3 4 2 4" xfId="10119"/>
    <cellStyle name="Date [mmm-yyyy] 2 2 3 4 2 4" xfId="10120"/>
    <cellStyle name="dp*NumberLine 2 2 3 4 2 4" xfId="10121"/>
    <cellStyle name="dp*NumberLineEPS 2 2 3 4 2 4" xfId="10122"/>
    <cellStyle name="dp*SheetSubTitle 2 2 3 4 2 4" xfId="10123"/>
    <cellStyle name="Heading [Helv] 2 2 3 4 2 4" xfId="10124"/>
    <cellStyle name="Outputs 2 2 3 4 2 4" xfId="10125"/>
    <cellStyle name="Table Head Aligned 2 2 3 4 2 4" xfId="10126"/>
    <cellStyle name="Title [Palat] 2 2 3 4 2 4" xfId="10127"/>
    <cellStyle name="Afjusted 3 5 2 4" xfId="10128"/>
    <cellStyle name="Style 45 3 3 2 4" xfId="10129"/>
    <cellStyle name="Style 51 3 3 2 4" xfId="10130"/>
    <cellStyle name="Style 44 2 3 2 4" xfId="10131"/>
    <cellStyle name="Style 45 2 3 2 4" xfId="10132"/>
    <cellStyle name="Style 49 2 3 2 4" xfId="10133"/>
    <cellStyle name="Border Thin 3 5 2 4" xfId="10134"/>
    <cellStyle name="ac 2 2 4 2 4" xfId="10135"/>
    <cellStyle name="Afjusted 2 2 5 2 4" xfId="10136"/>
    <cellStyle name="Bold/Border 2 2 4 2 4" xfId="10137"/>
    <cellStyle name="COL HEADINGS 2 2 4 2 4" xfId="10138"/>
    <cellStyle name="Date [mmm-yyyy] 2 2 4 2 4" xfId="10139"/>
    <cellStyle name="dp*NumberLine 2 2 4 2 4" xfId="10140"/>
    <cellStyle name="dp*NumberLineEPS 2 2 4 2 4" xfId="10141"/>
    <cellStyle name="dp*SheetSubTitle 2 2 4 2 4" xfId="10142"/>
    <cellStyle name="Heading [Palat] 2 2 4 2 4" xfId="10143"/>
    <cellStyle name="Outputs 2 2 4 2 4" xfId="10144"/>
    <cellStyle name="Magic 2 2 4 2 4" xfId="10145"/>
    <cellStyle name="Title [Helv] 2 2 4 2 4" xfId="10146"/>
    <cellStyle name="Title [Palat] 2 2 4 2 4" xfId="10147"/>
    <cellStyle name="Title [Palat] 2 2 3 3 2 4" xfId="10148"/>
    <cellStyle name="Title [Helv] 2 2 3 3 2 4" xfId="10149"/>
    <cellStyle name="Table Head Aligned 2 2 3 3 2 4" xfId="10150"/>
    <cellStyle name="Magic 2 2 3 3 2 4" xfId="10151"/>
    <cellStyle name="Heading [Helv] 2 2 3 3 2 4" xfId="10152"/>
    <cellStyle name="dp*NumberLineEPS 2 2 3 3 2 4" xfId="10153"/>
    <cellStyle name="COL HEADINGS 2 2 3 3 2 4" xfId="10154"/>
    <cellStyle name="ac 2 2 3 3 2 4" xfId="10155"/>
    <cellStyle name="Afjusted 4 3 3 2 4" xfId="10156"/>
    <cellStyle name="Border Thin 3 3 3 2 4" xfId="10157"/>
    <cellStyle name="PB Table Standard Row 3 3 3 2 4" xfId="10158"/>
    <cellStyle name="Style 44 4 3 3 2 4" xfId="10159"/>
    <cellStyle name="Style 51 4 3 3 2 4" xfId="10160"/>
    <cellStyle name="Afjusted 3 3 3 2 4" xfId="10161"/>
    <cellStyle name="Style 49 4 5 2 4" xfId="10162"/>
    <cellStyle name="Style 44 4 5 2 4" xfId="10163"/>
    <cellStyle name="P-Green Rule 3 5 2 4" xfId="10164"/>
    <cellStyle name="dp*SubTitle 3 5 2 4" xfId="10165"/>
    <cellStyle name="Afjusted 4 5 2 4" xfId="10166"/>
    <cellStyle name="ac 2 3 2 4" xfId="10167"/>
    <cellStyle name="Bold/Border 2 3 2 4" xfId="10168"/>
    <cellStyle name="COL HEADINGS 2 3 2 4" xfId="10169"/>
    <cellStyle name="Date [mmm-yyyy] 2 3 2 4" xfId="10170"/>
    <cellStyle name="dp*NumberLine 2 3 2 4" xfId="10171"/>
    <cellStyle name="dp*NumberLineEPS 2 3 2 4" xfId="10172"/>
    <cellStyle name="dp*SheetSubTitle 2 3 2 4" xfId="10173"/>
    <cellStyle name="Heading [Helv] 2 3 2 4" xfId="10174"/>
    <cellStyle name="Heading [Palat] 2 3 2 4" xfId="10175"/>
    <cellStyle name="Magic 2 3 2 4" xfId="10176"/>
    <cellStyle name="Outputs 2 3 2 4" xfId="10177"/>
    <cellStyle name="Date [mmm-yyyy] 2 2 3 3 2 4" xfId="10178"/>
    <cellStyle name="Afjusted 2 2 3 3 2 4" xfId="10179"/>
    <cellStyle name="dp*ThinLineBelow 3 3 3 2 4" xfId="10180"/>
    <cellStyle name="Style 49 4 3 3 2 4" xfId="10181"/>
    <cellStyle name="Outputs 2 2 3 3 2 4" xfId="10182"/>
    <cellStyle name="dp*NumberLine 2 2 3 3 2 4" xfId="10183"/>
    <cellStyle name="Bold/Border 2 2 3 3 2 4" xfId="10184"/>
    <cellStyle name="dp*SubTitle 3 3 3 2 4" xfId="10185"/>
    <cellStyle name="Style 45 4 3 3 2 4" xfId="10186"/>
    <cellStyle name="Table Head Aligned 2 3 2 4" xfId="10187"/>
    <cellStyle name="Table Head Green 2 3 2 4" xfId="10188"/>
    <cellStyle name="Title [Helv] 2 3 2 4" xfId="10189"/>
    <cellStyle name="Title [Palat] 2 3 2 4" xfId="10190"/>
    <cellStyle name="Style 45 4 3 4 2 4" xfId="10191"/>
    <cellStyle name="Style 51 4 3 4 2 4" xfId="10192"/>
    <cellStyle name="Afjusted 3 4 2 4" xfId="10193"/>
    <cellStyle name="P-Green Rule 3 3 4 2 4" xfId="10194"/>
    <cellStyle name="Border Thin 2 3 2 4" xfId="10195"/>
    <cellStyle name="Style 49 3 3 2 4" xfId="10196"/>
    <cellStyle name="Style 51 2 3 2 4" xfId="10197"/>
    <cellStyle name="Heading [Helv] 2 2 4 2 4" xfId="10198"/>
    <cellStyle name="Table Head Aligned 2 2 4 2 4" xfId="10199"/>
    <cellStyle name="Table Head Green 2 2 4 2 4" xfId="10200"/>
    <cellStyle name="Table Head Green 2 2 3 3 2 4" xfId="10201"/>
    <cellStyle name="Heading [Palat] 2 2 3 3 2 4" xfId="10202"/>
    <cellStyle name="dp*SheetSubTitle 2 2 3 3 2 4" xfId="10203"/>
    <cellStyle name="P-Green Rule 3 3 3 2 4" xfId="10204"/>
    <cellStyle name="Date [mm-d-yyyy] 3 3 3 2 4" xfId="10205"/>
    <cellStyle name="Date [mm-d-yyyy] 3 4 2 4" xfId="10206"/>
    <cellStyle name="Style 51 4 4 2 4" xfId="10207"/>
    <cellStyle name="Style 49 4 4 2 4" xfId="10208"/>
    <cellStyle name="Style 45 4 4 2 4" xfId="10209"/>
    <cellStyle name="Style 44 4 4 2 4" xfId="10210"/>
    <cellStyle name="dp*ThinLineBelow 3 3 4 2 4" xfId="10211"/>
    <cellStyle name="P-Green Rule 3 4 2 4" xfId="10212"/>
    <cellStyle name="PB Table Standard Row 3 4 2 3" xfId="10213"/>
    <cellStyle name="dp*ThinLineBelow 3 4 2 4" xfId="10214"/>
    <cellStyle name="dp*SubTitle 3 4 2 4" xfId="10215"/>
    <cellStyle name="dp*SubTitle 3 3 4 2 4" xfId="10216"/>
    <cellStyle name="Border Thin 3 4 2 4" xfId="10217"/>
    <cellStyle name="Border Thin 3 3 4 2 4" xfId="10218"/>
    <cellStyle name="Afjusted 4 4 2 4" xfId="10219"/>
    <cellStyle name="Afjusted 2 2 4 2 4" xfId="10220"/>
    <cellStyle name="Style 44 4 3 4 2 4" xfId="10221"/>
    <cellStyle name="PB Table Standard Row 3 3 4 2 4" xfId="10222"/>
    <cellStyle name="Title [Palat] 2 2 3 5 4" xfId="10223"/>
    <cellStyle name="Title [Helv] 2 2 3 5 4" xfId="10224"/>
    <cellStyle name="Table Head Green 2 2 3 5 4" xfId="10225"/>
    <cellStyle name="Table Head Aligned 2 2 3 5 4" xfId="10226"/>
    <cellStyle name="Outputs 2 2 3 5 4" xfId="10227"/>
    <cellStyle name="Magic 2 2 3 5 4" xfId="10228"/>
    <cellStyle name="Heading [Palat] 2 2 3 5 4" xfId="10229"/>
    <cellStyle name="Heading [Helv] 2 2 3 5 4" xfId="10230"/>
    <cellStyle name="dp*SheetSubTitle 2 2 3 5 4" xfId="10231"/>
    <cellStyle name="dp*NumberLineEPS 2 2 3 5 4" xfId="10232"/>
    <cellStyle name="dp*NumberLine 2 2 3 5 4" xfId="10233"/>
    <cellStyle name="Date [mmm-yyyy] 2 2 3 5 4" xfId="10234"/>
    <cellStyle name="COL HEADINGS 2 2 3 5 4" xfId="10235"/>
    <cellStyle name="Bold/Border 2 2 3 5 4" xfId="10236"/>
    <cellStyle name="Afjusted 2 2 3 5 4" xfId="10237"/>
    <cellStyle name="ac 2 2 3 5 4" xfId="10238"/>
    <cellStyle name="Afjusted 4 3 5 4" xfId="10239"/>
    <cellStyle name="Border Thin 3 3 5 4" xfId="10240"/>
    <cellStyle name="dp*SubTitle 3 3 5 4" xfId="10241"/>
    <cellStyle name="dp*ThinLineBelow 3 3 5 4" xfId="10242"/>
    <cellStyle name="PB Table Standard Row 3 3 5 4" xfId="10243"/>
    <cellStyle name="P-Green Rule 3 3 5 4" xfId="10244"/>
    <cellStyle name="Style 44 4 3 5 4" xfId="10245"/>
    <cellStyle name="Style 45 4 3 5 4" xfId="10246"/>
    <cellStyle name="Style 49 4 3 5 4" xfId="10247"/>
    <cellStyle name="Style 51 4 3 5 4" xfId="10248"/>
    <cellStyle name="Date [mm-d-yyyy] 3 3 5 4" xfId="10249"/>
    <cellStyle name="Afjusted 3 3 5 4" xfId="10250"/>
    <cellStyle name="Date [mm-d-yyyy] 2 2 4 4" xfId="10251"/>
    <cellStyle name="Afjusted 3 2 5 4" xfId="10252"/>
    <cellStyle name="Date [mm-d-yyyy] 3 2 5 4" xfId="10253"/>
    <cellStyle name="Style 51 4 2 5 4" xfId="10254"/>
    <cellStyle name="Style 49 4 2 5 4" xfId="10255"/>
    <cellStyle name="Style 45 4 2 5 4" xfId="10256"/>
    <cellStyle name="Style 44 4 2 5 4" xfId="10257"/>
    <cellStyle name="P-Green Rule 3 2 5 4" xfId="10258"/>
    <cellStyle name="PB Table Standard Row 3 2 5 3" xfId="10259"/>
    <cellStyle name="dp*ThinLineBelow 3 2 5 4" xfId="10260"/>
    <cellStyle name="dp*SubTitle 3 2 5 4" xfId="10261"/>
    <cellStyle name="Border Thin 3 2 5 4" xfId="10262"/>
    <cellStyle name="Afjusted 4 2 5 4" xfId="10263"/>
    <cellStyle name="ac 2 2 2 5 4" xfId="10264"/>
    <cellStyle name="Afjusted 2 2 2 5 4" xfId="10265"/>
    <cellStyle name="Bold/Border 2 2 2 5 4" xfId="10266"/>
    <cellStyle name="COL HEADINGS 2 2 2 5 4" xfId="10267"/>
    <cellStyle name="Date [mmm-yyyy] 2 2 2 5 4" xfId="10268"/>
    <cellStyle name="dp*NumberLine 2 2 2 5 4" xfId="10269"/>
    <cellStyle name="dp*NumberLineEPS 2 2 2 5 4" xfId="10270"/>
    <cellStyle name="dp*SheetSubTitle 2 2 2 5 4" xfId="10271"/>
    <cellStyle name="Heading [Helv] 2 2 2 5 4" xfId="10272"/>
    <cellStyle name="Heading [Palat] 2 2 2 5 4" xfId="10273"/>
    <cellStyle name="Magic 2 2 2 5 4" xfId="10274"/>
    <cellStyle name="Outputs 2 2 2 5 4" xfId="10275"/>
    <cellStyle name="Table Head Aligned 2 2 2 5 4" xfId="10276"/>
    <cellStyle name="Table Head Green 2 2 2 5 4" xfId="10277"/>
    <cellStyle name="Title [Helv] 2 2 2 5 4" xfId="10278"/>
    <cellStyle name="Title [Palat] 2 2 2 5 4" xfId="10279"/>
    <cellStyle name="Table Head Green 2 2 3 4 2 4" xfId="10280"/>
    <cellStyle name="Heading [Palat] 2 2 3 4 2 4" xfId="10281"/>
    <cellStyle name="PB Table Standard Row 2 3 2 4" xfId="10282"/>
    <cellStyle name="P-Green Rule 2 3 2 4" xfId="10283"/>
    <cellStyle name="Title [Palat] 2 2 3 2 2 4" xfId="10284"/>
    <cellStyle name="Title [Helv] 2 2 3 2 2 4" xfId="10285"/>
    <cellStyle name="Table Head Green 2 2 3 2 2 4" xfId="10286"/>
    <cellStyle name="Table Head Aligned 2 2 3 2 2 4" xfId="10287"/>
    <cellStyle name="Outputs 2 2 3 2 2 4" xfId="10288"/>
    <cellStyle name="Magic 2 2 3 2 2 4" xfId="10289"/>
    <cellStyle name="Heading [Palat] 2 2 3 2 2 4" xfId="10290"/>
    <cellStyle name="Heading [Helv] 2 2 3 2 2 4" xfId="10291"/>
    <cellStyle name="dp*SheetSubTitle 2 2 3 2 2 4" xfId="10292"/>
    <cellStyle name="dp*NumberLineEPS 2 2 3 2 2 4" xfId="10293"/>
    <cellStyle name="dp*NumberLine 2 2 3 2 2 4" xfId="10294"/>
    <cellStyle name="Date [mmm-yyyy] 2 2 3 2 2 4" xfId="10295"/>
    <cellStyle name="COL HEADINGS 2 2 3 2 2 4" xfId="10296"/>
    <cellStyle name="Bold/Border 2 2 3 2 2 4" xfId="10297"/>
    <cellStyle name="Afjusted 2 2 3 2 2 4" xfId="10298"/>
    <cellStyle name="ac 2 2 3 2 2 4" xfId="10299"/>
    <cellStyle name="Afjusted 4 3 2 2 4" xfId="10300"/>
    <cellStyle name="Border Thin 3 3 2 2 4" xfId="10301"/>
    <cellStyle name="dp*SubTitle 3 3 2 2 4" xfId="10302"/>
    <cellStyle name="dp*ThinLineBelow 3 3 2 2 4" xfId="10303"/>
    <cellStyle name="PB Table Standard Row 3 3 2 2 4" xfId="10304"/>
    <cellStyle name="P-Green Rule 3 3 2 2 4" xfId="10305"/>
    <cellStyle name="Style 44 4 3 2 2 4" xfId="10306"/>
    <cellStyle name="Style 45 4 3 2 2 4" xfId="10307"/>
    <cellStyle name="Style 49 4 3 2 2 4" xfId="10308"/>
    <cellStyle name="Style 51 4 3 2 2 4" xfId="10309"/>
    <cellStyle name="Date [mm-d-yyyy] 3 3 2 2 4" xfId="10310"/>
    <cellStyle name="Afjusted 3 3 2 2 4" xfId="10311"/>
    <cellStyle name="Date [mm-d-yyyy] 3 5 2 4" xfId="10312"/>
    <cellStyle name="dp*SubTitle 2 3 2 4" xfId="10313"/>
    <cellStyle name="Date [mm-d-yyyy] 2 2 2 2 4" xfId="10314"/>
    <cellStyle name="Afjusted 3 2 2 2 4" xfId="10315"/>
    <cellStyle name="PB Table Standard Row 3 5 2 4" xfId="10316"/>
    <cellStyle name="Date [mm-d-yyyy] 3 2 2 2 4" xfId="10317"/>
    <cellStyle name="Style 51 4 2 2 2 4" xfId="10318"/>
    <cellStyle name="Style 49 4 2 2 2 4" xfId="10319"/>
    <cellStyle name="Style 45 4 2 2 2 4" xfId="10320"/>
    <cellStyle name="Style 44 4 2 2 2 4" xfId="10321"/>
    <cellStyle name="Style 45 4 5 2 4" xfId="10322"/>
    <cellStyle name="P-Green Rule 3 2 2 2 4" xfId="10323"/>
    <cellStyle name="PB Table Standard Row 3 2 2 2 4" xfId="10324"/>
    <cellStyle name="dp*ThinLineBelow 3 2 2 2 4" xfId="10325"/>
    <cellStyle name="dp*SubTitle 3 2 2 2 4" xfId="10326"/>
    <cellStyle name="Style 51 4 5 2 4" xfId="10327"/>
    <cellStyle name="Border Thin 3 2 2 2 4" xfId="10328"/>
    <cellStyle name="Afjusted 4 2 2 2 4" xfId="10329"/>
    <cellStyle name="ac 2 2 2 2 2 4" xfId="10330"/>
    <cellStyle name="Afjusted 2 2 2 2 2 4" xfId="10331"/>
    <cellStyle name="Bold/Border 2 2 2 2 2 4" xfId="10332"/>
    <cellStyle name="COL HEADINGS 2 2 2 2 2 4" xfId="10333"/>
    <cellStyle name="Date [mmm-yyyy] 2 2 2 2 2 4" xfId="10334"/>
    <cellStyle name="dp*NumberLine 2 2 2 2 2 4" xfId="10335"/>
    <cellStyle name="dp*NumberLineEPS 2 2 2 2 2 4" xfId="10336"/>
    <cellStyle name="dp*SheetSubTitle 2 2 2 2 2 4" xfId="10337"/>
    <cellStyle name="Heading [Helv] 2 2 2 2 2 4" xfId="10338"/>
    <cellStyle name="Heading [Palat] 2 2 2 2 2 4" xfId="10339"/>
    <cellStyle name="Magic 2 2 2 2 2 4" xfId="10340"/>
    <cellStyle name="Outputs 2 2 2 2 2 4" xfId="10341"/>
    <cellStyle name="Table Head Aligned 2 2 2 2 2 4" xfId="10342"/>
    <cellStyle name="Table Head Green 2 2 2 2 2 4" xfId="10343"/>
    <cellStyle name="Title [Helv] 2 2 2 2 2 4" xfId="10344"/>
    <cellStyle name="Title [Palat] 2 2 2 2 2 4" xfId="10345"/>
    <cellStyle name="dp*ThinLineBelow 3 5 2 4" xfId="10346"/>
    <cellStyle name="Date [mm-d-yyyy] 2 2 3 2 4" xfId="10347"/>
    <cellStyle name="Afjusted 3 2 3 2 4" xfId="10348"/>
    <cellStyle name="Date [mm-d-yyyy] 3 2 3 2 4" xfId="10349"/>
    <cellStyle name="Style 51 4 2 3 2 4" xfId="10350"/>
    <cellStyle name="Style 49 4 2 3 2 4" xfId="10351"/>
    <cellStyle name="Style 45 4 2 3 2 4" xfId="10352"/>
    <cellStyle name="Style 44 4 2 3 2 4" xfId="10353"/>
    <cellStyle name="P-Green Rule 3 2 3 2 4" xfId="10354"/>
    <cellStyle name="PB Table Standard Row 3 2 3 2 4" xfId="10355"/>
    <cellStyle name="dp*ThinLineBelow 3 2 3 2 4" xfId="10356"/>
    <cellStyle name="dp*SubTitle 3 2 3 2 4" xfId="10357"/>
    <cellStyle name="Border Thin 3 2 3 2 4" xfId="10358"/>
    <cellStyle name="Afjusted 4 2 3 2 4" xfId="10359"/>
    <cellStyle name="ac 2 2 2 3 2 4" xfId="10360"/>
    <cellStyle name="Afjusted 2 2 2 3 2 4" xfId="10361"/>
    <cellStyle name="Bold/Border 2 2 2 3 2 4" xfId="10362"/>
    <cellStyle name="COL HEADINGS 2 2 2 3 2 4" xfId="10363"/>
    <cellStyle name="Date [mmm-yyyy] 2 2 2 3 2 4" xfId="10364"/>
    <cellStyle name="dp*NumberLine 2 2 2 3 2 4" xfId="10365"/>
    <cellStyle name="dp*NumberLineEPS 2 2 2 3 2 4" xfId="10366"/>
    <cellStyle name="dp*SheetSubTitle 2 2 2 3 2 4" xfId="10367"/>
    <cellStyle name="Heading [Helv] 2 2 2 3 2 4" xfId="10368"/>
    <cellStyle name="Heading [Palat] 2 2 2 3 2 4" xfId="10369"/>
    <cellStyle name="Magic 2 2 2 3 2 4" xfId="10370"/>
    <cellStyle name="Outputs 2 2 2 3 2 4" xfId="10371"/>
    <cellStyle name="Table Head Aligned 2 2 2 3 2 4" xfId="10372"/>
    <cellStyle name="Table Head Green 2 2 2 3 2 4" xfId="10373"/>
    <cellStyle name="Title [Helv] 2 2 2 3 2 4" xfId="10374"/>
    <cellStyle name="Title [Palat] 2 2 2 3 2 4" xfId="10375"/>
    <cellStyle name="Afjusted 3 2 4 2 4" xfId="10376"/>
    <cellStyle name="Date [mm-d-yyyy] 3 2 4 2 4" xfId="10377"/>
    <cellStyle name="Style 51 4 2 4 2 4" xfId="10378"/>
    <cellStyle name="Style 49 4 2 4 2 4" xfId="10379"/>
    <cellStyle name="Style 45 4 2 4 2 4" xfId="10380"/>
    <cellStyle name="Style 44 4 2 4 2 4" xfId="10381"/>
    <cellStyle name="P-Green Rule 3 2 4 2 4" xfId="10382"/>
    <cellStyle name="PB Table Standard Row 3 2 4 2 4" xfId="10383"/>
    <cellStyle name="dp*ThinLineBelow 3 2 4 2 4" xfId="10384"/>
    <cellStyle name="dp*SubTitle 3 2 4 2 4" xfId="10385"/>
    <cellStyle name="Border Thin 3 2 4 2 4" xfId="10386"/>
    <cellStyle name="Afjusted 4 2 4 2 4" xfId="10387"/>
    <cellStyle name="ac 2 2 2 4 2 4" xfId="10388"/>
    <cellStyle name="Afjusted 2 2 2 4 2 4" xfId="10389"/>
    <cellStyle name="Bold/Border 2 2 2 4 2 4" xfId="10390"/>
    <cellStyle name="COL HEADINGS 2 2 2 4 2 4" xfId="10391"/>
    <cellStyle name="Date [mmm-yyyy] 2 2 2 4 2 4" xfId="10392"/>
    <cellStyle name="dp*NumberLine 2 2 2 4 2 4" xfId="10393"/>
    <cellStyle name="dp*NumberLineEPS 2 2 2 4 2 4" xfId="10394"/>
    <cellStyle name="dp*SheetSubTitle 2 2 2 4 2 4" xfId="10395"/>
    <cellStyle name="Heading [Helv] 2 2 2 4 2 4" xfId="10396"/>
    <cellStyle name="Heading [Palat] 2 2 2 4 2 4" xfId="10397"/>
    <cellStyle name="Magic 2 2 2 4 2 4" xfId="10398"/>
    <cellStyle name="Outputs 2 2 2 4 2 4" xfId="10399"/>
    <cellStyle name="Table Head Aligned 2 2 2 4 2 4" xfId="10400"/>
    <cellStyle name="Table Head Green 2 2 2 4 2 4" xfId="10401"/>
    <cellStyle name="Title [Helv] 2 2 2 4 2 4" xfId="10402"/>
    <cellStyle name="Title [Palat] 2 2 2 4 2 4" xfId="10403"/>
    <cellStyle name="Border Thin 4 2 4" xfId="10404"/>
    <cellStyle name="Date [mm-d-yyyy] 4 2 4" xfId="10405"/>
    <cellStyle name="dp*SubTitle 4 2 4" xfId="10406"/>
    <cellStyle name="dp*ThinLineBelow 4 2 4" xfId="10407"/>
    <cellStyle name="PB Table Standard Row 4 2 4" xfId="10408"/>
    <cellStyle name="P-Green Rule 4 2 4" xfId="10409"/>
    <cellStyle name="Style 44 5 2 4" xfId="10410"/>
    <cellStyle name="Style 45 5 2 4" xfId="10411"/>
    <cellStyle name="Style 49 5 2 4" xfId="10412"/>
    <cellStyle name="Style 51 5 2 4" xfId="10413"/>
    <cellStyle name="Title [Palat] 3 2 4" xfId="10414"/>
    <cellStyle name="Title [Helv] 3 2 4" xfId="10415"/>
    <cellStyle name="Table Head Green 3 2 4" xfId="10416"/>
    <cellStyle name="Table Head Aligned 3 2 4" xfId="10417"/>
    <cellStyle name="Outputs 3 2 4" xfId="10418"/>
    <cellStyle name="Magic 3 2 4" xfId="10419"/>
    <cellStyle name="Heading [Palat] 3 2 4" xfId="10420"/>
    <cellStyle name="Heading [Helv] 3 2 4" xfId="10421"/>
    <cellStyle name="dp*SheetSubTitle 3 2 4" xfId="10422"/>
    <cellStyle name="dp*NumberLineEPS 3 2 4" xfId="10423"/>
    <cellStyle name="dp*NumberLine 3 2 4" xfId="10424"/>
    <cellStyle name="COL HEADINGS 3 2 4" xfId="10425"/>
    <cellStyle name="Bold/Border 3 2 4" xfId="10426"/>
    <cellStyle name="Afjusted 5 2 4" xfId="10427"/>
    <cellStyle name="ac 3 2 4" xfId="10428"/>
    <cellStyle name="Date [mmm-yyyy] 3 2 4" xfId="10429"/>
    <cellStyle name="ac 2 4 2 4" xfId="10430"/>
    <cellStyle name="Afjusted 2 3 2 4" xfId="10431"/>
    <cellStyle name="Bold/Border 2 4 2 4" xfId="10432"/>
    <cellStyle name="Border Thin 2 4 2 4" xfId="10433"/>
    <cellStyle name="COL HEADINGS 2 4 2 4" xfId="10434"/>
    <cellStyle name="Date [mmm-yyyy] 2 4 2 4" xfId="10435"/>
    <cellStyle name="dp*NumberLine 2 4 2 4" xfId="10436"/>
    <cellStyle name="dp*NumberLineEPS 2 4 2 4" xfId="10437"/>
    <cellStyle name="dp*SheetSubTitle 2 4 2 4" xfId="10438"/>
    <cellStyle name="dp*SubTitle 2 4 2 4" xfId="10439"/>
    <cellStyle name="dp*ThinLineBelow 2 4 2 4" xfId="10440"/>
    <cellStyle name="Heading [Helv] 2 4 2 4" xfId="10441"/>
    <cellStyle name="Heading [Palat] 2 4 2 4" xfId="10442"/>
    <cellStyle name="Magic 2 4 2 4" xfId="10443"/>
    <cellStyle name="Outputs 2 4 2 4" xfId="10444"/>
    <cellStyle name="PB Table Standard Row 2 4 2 4" xfId="10445"/>
    <cellStyle name="P-Green Rule 2 4 2 4" xfId="10446"/>
    <cellStyle name="Style 44 3 4 2 4" xfId="10447"/>
    <cellStyle name="Style 45 3 4 2 4" xfId="10448"/>
    <cellStyle name="Style 49 3 4 2 4" xfId="10449"/>
    <cellStyle name="Style 51 3 4 2 4" xfId="10450"/>
    <cellStyle name="Style 44 2 4 2 4" xfId="10451"/>
    <cellStyle name="Style 45 2 4 2 4" xfId="10452"/>
    <cellStyle name="Style 49 2 4 2 4" xfId="10453"/>
    <cellStyle name="Style 51 2 4 2 4" xfId="10454"/>
    <cellStyle name="Table Head Aligned 2 4 2 4" xfId="10455"/>
    <cellStyle name="Table Head Green 2 4 2 4" xfId="10456"/>
    <cellStyle name="Title [Helv] 2 4 2 4" xfId="10457"/>
    <cellStyle name="Title [Palat] 2 4 2 4" xfId="10458"/>
    <cellStyle name="ac 4 2 4" xfId="10459"/>
    <cellStyle name="Bold/Border 4 2 4" xfId="10460"/>
    <cellStyle name="Border Thin 5 2 4" xfId="10461"/>
    <cellStyle name="COL HEADINGS 4 2 4" xfId="10462"/>
    <cellStyle name="Date [mm-d-yyyy] 5 2 4" xfId="10463"/>
    <cellStyle name="Heading [Helv] 4 2 4" xfId="10464"/>
    <cellStyle name="Heading [Palat] 4 2 4" xfId="10465"/>
    <cellStyle name="Outputs 4 2 4" xfId="10466"/>
    <cellStyle name="PB Table Standard Row 5 2 4" xfId="10467"/>
    <cellStyle name="P-Green Rule 5 2 4" xfId="10468"/>
    <cellStyle name="Style 44 6 2 4" xfId="10469"/>
    <cellStyle name="Style 45 6 2 4" xfId="10470"/>
    <cellStyle name="Style 49 6 2 4" xfId="10471"/>
    <cellStyle name="Style 51 6 2 4" xfId="10472"/>
    <cellStyle name="Table Head Green 4 2 4" xfId="10473"/>
    <cellStyle name="Afjusted 6 2 4" xfId="10474"/>
    <cellStyle name="ac 2 5 2 4" xfId="10475"/>
    <cellStyle name="Afjusted 2 4 2 4" xfId="10476"/>
    <cellStyle name="Bold/Border 2 5 2 4" xfId="10477"/>
    <cellStyle name="Border Thin 2 5 2 4" xfId="10478"/>
    <cellStyle name="COL HEADINGS 2 5 2 4" xfId="10479"/>
    <cellStyle name="Date [mmm-yyyy] 2 5 2 4" xfId="10480"/>
    <cellStyle name="dp*NumberLine 2 5 2 4" xfId="10481"/>
    <cellStyle name="dp*NumberLineEPS 2 5 2 4" xfId="10482"/>
    <cellStyle name="dp*SheetSubTitle 2 5 2 4" xfId="10483"/>
    <cellStyle name="dp*SubTitle 2 5 2 4" xfId="10484"/>
    <cellStyle name="dp*ThinLineBelow 2 5 2 4" xfId="10485"/>
    <cellStyle name="Heading [Helv] 2 5 2 4" xfId="10486"/>
    <cellStyle name="Heading [Palat] 2 5 2 4" xfId="10487"/>
    <cellStyle name="Magic 2 5 2 4" xfId="10488"/>
    <cellStyle name="Outputs 2 5 2 4" xfId="10489"/>
    <cellStyle name="PB Table Standard Row 2 5 2 4" xfId="10490"/>
    <cellStyle name="P-Green Rule 2 5 2 4" xfId="10491"/>
    <cellStyle name="Style 44 3 5 2 4" xfId="10492"/>
    <cellStyle name="Style 45 3 5 2 4" xfId="10493"/>
    <cellStyle name="Style 49 3 5 2 4" xfId="10494"/>
    <cellStyle name="Style 51 3 5 2 4" xfId="10495"/>
    <cellStyle name="Style 44 2 5 2 4" xfId="10496"/>
    <cellStyle name="Style 45 2 5 2 4" xfId="10497"/>
    <cellStyle name="Style 49 2 5 2 4" xfId="10498"/>
    <cellStyle name="Style 51 2 5 2 4" xfId="10499"/>
    <cellStyle name="Table Head Aligned 2 5 2 4" xfId="10500"/>
    <cellStyle name="Table Head Green 2 5 2 4" xfId="10501"/>
    <cellStyle name="Title [Helv] 2 5 2 4" xfId="10502"/>
    <cellStyle name="Title [Palat] 2 5 2 4" xfId="10503"/>
    <cellStyle name="ac 5 2 4" xfId="10504"/>
    <cellStyle name="Bold/Border 5 2 4" xfId="10505"/>
    <cellStyle name="Border Thin 6 2 4" xfId="10506"/>
    <cellStyle name="COL HEADINGS 5 2 4" xfId="10507"/>
    <cellStyle name="Heading [Helv] 5 2 4" xfId="10508"/>
    <cellStyle name="Heading [Palat] 5 2 4" xfId="10509"/>
    <cellStyle name="Outputs 5 2 4" xfId="10510"/>
    <cellStyle name="PB Table Standard Row 6 2 4" xfId="10511"/>
    <cellStyle name="P-Green Rule 6 2 4" xfId="10512"/>
    <cellStyle name="Style 44 7 2 4" xfId="10513"/>
    <cellStyle name="Style 45 7 2 4" xfId="10514"/>
    <cellStyle name="Style 49 7 2 4" xfId="10515"/>
    <cellStyle name="Style 51 7 2 4" xfId="10516"/>
    <cellStyle name="Table Head Green 5 2 4" xfId="10517"/>
    <cellStyle name="Title [Palat] 4 2 4" xfId="10518"/>
    <cellStyle name="ac 2 6 2 4" xfId="10519"/>
    <cellStyle name="Bold/Border 2 6 2 4" xfId="10520"/>
    <cellStyle name="Border Thin 2 6 2 4" xfId="10521"/>
    <cellStyle name="COL HEADINGS 2 6 2 4" xfId="10522"/>
    <cellStyle name="Heading [Helv] 2 6 2 4" xfId="10523"/>
    <cellStyle name="Heading [Palat] 2 6 2 4" xfId="10524"/>
    <cellStyle name="Outputs 2 6 2 4" xfId="10525"/>
    <cellStyle name="PB Table Standard Row 2 6 2 4" xfId="10526"/>
    <cellStyle name="P-Green Rule 2 6 2 4" xfId="10527"/>
    <cellStyle name="Style 44 3 6 2 4" xfId="10528"/>
    <cellStyle name="Style 45 3 6 2 4" xfId="10529"/>
    <cellStyle name="Style 49 3 6 2 4" xfId="10530"/>
    <cellStyle name="Style 51 3 6 2 4" xfId="10531"/>
    <cellStyle name="Style 44 2 6 2 4" xfId="10532"/>
    <cellStyle name="Style 45 2 6 2 4" xfId="10533"/>
    <cellStyle name="Style 49 2 6 2 4" xfId="10534"/>
    <cellStyle name="Style 51 2 6 2 4" xfId="10535"/>
    <cellStyle name="Table Head Green 2 6 2 4" xfId="10536"/>
    <cellStyle name="Title [Palat] 2 6 2 4" xfId="10537"/>
    <cellStyle name="Title [Palat] 5 2 4" xfId="10538"/>
    <cellStyle name="Title [Helv] 4 2 4" xfId="10539"/>
    <cellStyle name="Table Head Green 6 2 4" xfId="10540"/>
    <cellStyle name="Table Head Aligned 4 2 4" xfId="10541"/>
    <cellStyle name="Style 51 9 2 4" xfId="10542"/>
    <cellStyle name="Style 49 9 2 4" xfId="10543"/>
    <cellStyle name="Style 45 9 2 4" xfId="10544"/>
    <cellStyle name="Style 44 9 2 4" xfId="10545"/>
    <cellStyle name="P-Green Rule 7 2 4" xfId="10546"/>
    <cellStyle name="PB Table Standard Row 7 2 4" xfId="10547"/>
    <cellStyle name="Outputs 6 2 4" xfId="10548"/>
    <cellStyle name="Magic 4 2 4" xfId="10549"/>
    <cellStyle name="Heading [Palat] 6 2 4" xfId="10550"/>
    <cellStyle name="Heading [Helv] 6 2 4" xfId="10551"/>
    <cellStyle name="dp*ThinLineBelow 5 2 4" xfId="10552"/>
    <cellStyle name="dp*SubTitle 5 2 4" xfId="10553"/>
    <cellStyle name="dp*SheetSubTitle 4 2 4" xfId="10554"/>
    <cellStyle name="dp*NumberLineEPS 4 2 4" xfId="10555"/>
    <cellStyle name="dp*NumberLine 4 2 4" xfId="10556"/>
    <cellStyle name="Date [mmm-yyyy] 4 2 4" xfId="10557"/>
    <cellStyle name="Date [mm-d-yyyy] 7 2 4" xfId="10558"/>
    <cellStyle name="COL HEADINGS 6 2 4" xfId="10559"/>
    <cellStyle name="Border Thin 7 2 4" xfId="10560"/>
    <cellStyle name="Bold/Border 6 2 4" xfId="10561"/>
    <cellStyle name="Afjusted 7 2 4" xfId="10562"/>
    <cellStyle name="ac 6 2 4" xfId="10563"/>
    <cellStyle name="Style 44 8 2 4" xfId="10564"/>
    <cellStyle name="Style 45 8 2 4" xfId="10565"/>
    <cellStyle name="Style 49 8 2 4" xfId="10566"/>
    <cellStyle name="Style 51 8 2 4" xfId="10567"/>
    <cellStyle name="Title [Palat] 6 2 4" xfId="10568"/>
    <cellStyle name="Title [Helv] 5 2 4" xfId="10569"/>
    <cellStyle name="Table Head Green 7 2 4" xfId="10570"/>
    <cellStyle name="Table Head Aligned 5 2 4" xfId="10571"/>
    <cellStyle name="Outputs 7 2 4" xfId="10572"/>
    <cellStyle name="Magic 5 2 4" xfId="10573"/>
    <cellStyle name="Heading [Palat] 7 2 4" xfId="10574"/>
    <cellStyle name="Heading [Helv] 7 2 4" xfId="10575"/>
    <cellStyle name="dp*SheetSubTitle 5 2 4" xfId="10576"/>
    <cellStyle name="dp*NumberLineEPS 5 2 4" xfId="10577"/>
    <cellStyle name="dp*NumberLine 5 2 4" xfId="10578"/>
    <cellStyle name="Date [mmm-yyyy] 5 2 4" xfId="10579"/>
    <cellStyle name="COL HEADINGS 7 2 4" xfId="10580"/>
    <cellStyle name="Bold/Border 7 2 4" xfId="10581"/>
    <cellStyle name="Afjusted 8 2 4" xfId="10582"/>
    <cellStyle name="ac 7 2 4" xfId="10583"/>
    <cellStyle name="Title [Palat] 7 2 4" xfId="10584"/>
    <cellStyle name="Title [Helv] 6 2 4" xfId="10585"/>
    <cellStyle name="Table Head Green 8 2 4" xfId="10586"/>
    <cellStyle name="Table Head Aligned 6 2 4" xfId="10587"/>
    <cellStyle name="Outputs 8 2 4" xfId="10588"/>
    <cellStyle name="Magic 6 2 4" xfId="10589"/>
    <cellStyle name="Heading [Palat] 8 2 4" xfId="10590"/>
    <cellStyle name="Heading [Helv] 8 2 4" xfId="10591"/>
    <cellStyle name="dp*SheetSubTitle 6 2 4" xfId="10592"/>
    <cellStyle name="dp*NumberLineEPS 6 2 4" xfId="10593"/>
    <cellStyle name="dp*NumberLine 6 2 4" xfId="10594"/>
    <cellStyle name="COL HEADINGS 8 2 4" xfId="10595"/>
    <cellStyle name="Bold/Border 8 2 4" xfId="10596"/>
    <cellStyle name="Afjusted 9 2 4" xfId="10597"/>
    <cellStyle name="ac 8 2 4" xfId="10598"/>
    <cellStyle name="Date [mmm-yyyy] 6 2 4" xfId="10599"/>
    <cellStyle name="Title [Palat] 8 2 4" xfId="10600"/>
    <cellStyle name="Title [Helv] 7 2 4" xfId="10601"/>
    <cellStyle name="Table Head Green 9 2 4" xfId="10602"/>
    <cellStyle name="Table Head Aligned 7 2 4" xfId="10603"/>
    <cellStyle name="Outputs 9 2 4" xfId="10604"/>
    <cellStyle name="Magic 7 2 4" xfId="10605"/>
    <cellStyle name="Heading [Palat] 9 2 4" xfId="10606"/>
    <cellStyle name="Heading [Helv] 9 2 4" xfId="10607"/>
    <cellStyle name="dp*SheetSubTitle 7 2 4" xfId="10608"/>
    <cellStyle name="dp*NumberLineEPS 7 2 4" xfId="10609"/>
    <cellStyle name="dp*NumberLine 7 2 4" xfId="10610"/>
    <cellStyle name="Date [mmm-yyyy] 7 2 4" xfId="10611"/>
    <cellStyle name="COL HEADINGS 9 2 4" xfId="10612"/>
    <cellStyle name="Bold/Border 9 2 4" xfId="10613"/>
    <cellStyle name="Afjusted 10 2 4" xfId="10614"/>
    <cellStyle name="ac 9 2 4" xfId="10615"/>
    <cellStyle name="Afjusted 3 8 2" xfId="10616"/>
    <cellStyle name="Bold/Border 2 2 2 2 4 2" xfId="10617"/>
    <cellStyle name="Outputs 2 9 2" xfId="10618"/>
    <cellStyle name="Table Head Green 2 2 3 2 4 2" xfId="10619"/>
    <cellStyle name="Date [mmm-yyyy] 2 2 2 3 9" xfId="10620"/>
    <cellStyle name="Title [Helv] 2 2 2 9" xfId="10621"/>
    <cellStyle name="PB Table Standard Row 5 4 2" xfId="10622"/>
    <cellStyle name="Outputs 4 4 2" xfId="10623"/>
    <cellStyle name="Heading [Palat] 4 4 2" xfId="10624"/>
    <cellStyle name="Heading [Helv] 4 4 2" xfId="10625"/>
    <cellStyle name="COL HEADINGS 4 4 2" xfId="10626"/>
    <cellStyle name="Border Thin 5 4 2" xfId="10627"/>
    <cellStyle name="Title [Helv] 2 4 4 2" xfId="10628"/>
    <cellStyle name="Style 51 2 4 4 2" xfId="10629"/>
    <cellStyle name="dp*SheetSubTitle 2 2 3 4 7" xfId="10630"/>
    <cellStyle name="ac 3 4 2" xfId="10631"/>
    <cellStyle name="Afjusted 5 4 2" xfId="10632"/>
    <cellStyle name="COL HEADINGS 3 4 2" xfId="10633"/>
    <cellStyle name="Date [mmm-yyyy] 4 7" xfId="10634"/>
    <cellStyle name="Date [mm-d-yyyy] 3 3 11" xfId="10635"/>
    <cellStyle name="Table Head Green 3 4 2" xfId="10636"/>
    <cellStyle name="SymbolBlue 5 4" xfId="10637"/>
    <cellStyle name="SAPBEXHLevel0X 11" xfId="10638"/>
    <cellStyle name="Date [mmm-yyyy] 2 11" xfId="10639"/>
    <cellStyle name="Style 51 5 4 2" xfId="10640"/>
    <cellStyle name="Style 49 5 4 2" xfId="10641"/>
    <cellStyle name="Style 45 5 4 2" xfId="10642"/>
    <cellStyle name="Style 44 5 4 2" xfId="10643"/>
    <cellStyle name="dp*ThinLineBelow 4 4 2" xfId="10644"/>
    <cellStyle name="Title [Helv] 2 2 2 4 4 2" xfId="10645"/>
    <cellStyle name="Outputs 2 2 2 4 4 2" xfId="10646"/>
    <cellStyle name="Magic 2 2 2 4 4 2" xfId="10647"/>
    <cellStyle name="dp*NumberLine 2 2 2 4 4 2" xfId="10648"/>
    <cellStyle name="Bold/Border 2 2 2 4 4 2" xfId="10649"/>
    <cellStyle name="Afjusted 2 2 2 4 4 2" xfId="10650"/>
    <cellStyle name="Border Thin 3 2 4 4 2" xfId="10651"/>
    <cellStyle name="dp*SubTitle 3 2 4 4 2" xfId="10652"/>
    <cellStyle name="Style 45 4 2 4 4 2" xfId="10653"/>
    <cellStyle name="Style 49 4 2 4 4 2" xfId="10654"/>
    <cellStyle name="Style 51 4 2 4 4 2" xfId="10655"/>
    <cellStyle name="Title [Palat] 2 2 2 3 4 2" xfId="10656"/>
    <cellStyle name="Title [Helv] 2 2 2 3 4 2" xfId="10657"/>
    <cellStyle name="Table Head Green 2 2 2 3 4 2" xfId="10658"/>
    <cellStyle name="Outputs 2 2 2 3 4 2" xfId="10659"/>
    <cellStyle name="Heading [Helv] 2 2 2 3 4 2" xfId="10660"/>
    <cellStyle name="dp*NumberLine 2 2 2 3 4 2" xfId="10661"/>
    <cellStyle name="Bold/Border 2 2 2 3 4 2" xfId="10662"/>
    <cellStyle name="Afjusted 4 2 3 4 2" xfId="10663"/>
    <cellStyle name="dp*ThinLineBelow 3 2 3 4 2" xfId="10664"/>
    <cellStyle name="Style 44 4 2 3 4 2" xfId="10665"/>
    <cellStyle name="Style 51 4 2 3 4 2" xfId="10666"/>
    <cellStyle name="Date [mm-d-yyyy] 2 2 3 4 2" xfId="10667"/>
    <cellStyle name="dp*ThinLineBelow 3 5 4 2" xfId="10668"/>
    <cellStyle name="Table Head Green 2 2 2 2 4 2" xfId="10669"/>
    <cellStyle name="Table Head Aligned 2 2 2 2 4 2" xfId="10670"/>
    <cellStyle name="Outputs 2 2 2 2 4 2" xfId="10671"/>
    <cellStyle name="Magic 2 2 2 2 4 2" xfId="10672"/>
    <cellStyle name="dp*ThinLineBelow 3 2 2 4 2" xfId="10673"/>
    <cellStyle name="dp*SubTitle 3 3 2 4 2" xfId="10674"/>
    <cellStyle name="Afjusted 2 2 3 2 4 2" xfId="10675"/>
    <cellStyle name="dp*NumberLineEPS 2 2 2 7 2" xfId="10676"/>
    <cellStyle name="dp*NumberLine 2 2 2 7 2" xfId="10677"/>
    <cellStyle name="Date [mmm-yyyy] 2 2 2 7 2" xfId="10678"/>
    <cellStyle name="COL HEADINGS 2 2 2 7 2" xfId="10679"/>
    <cellStyle name="ac 2 2 2 7 2" xfId="10680"/>
    <cellStyle name="Afjusted 4 2 7 2" xfId="10681"/>
    <cellStyle name="dp*NumberLine 2 2 10" xfId="10682"/>
    <cellStyle name="Date [mm-d-yyyy] 3 2 7 2" xfId="10683"/>
    <cellStyle name="Afjusted 3 3 7 2" xfId="10684"/>
    <cellStyle name="Style 49 4 3 7 2" xfId="10685"/>
    <cellStyle name="P-Green Rule 3 3 7 2" xfId="10686"/>
    <cellStyle name="dp*SubTitle 3 3 7 2" xfId="10687"/>
    <cellStyle name="Border Thin 3 3 7 2" xfId="10688"/>
    <cellStyle name="Style 49 8 7" xfId="10689"/>
    <cellStyle name="Afjusted 2 2 3 7 2" xfId="10690"/>
    <cellStyle name="Date [mmm-yyyy] 2 2 3 7 2" xfId="10691"/>
    <cellStyle name="dp*NumberLine 2 2 3 7 2" xfId="10692"/>
    <cellStyle name="dp*NumberLineEPS 2 2 3 7 2" xfId="10693"/>
    <cellStyle name="dp*SheetSubTitle 2 2 3 7 2" xfId="10694"/>
    <cellStyle name="Heading [Helv] 2 2 3 7 2" xfId="10695"/>
    <cellStyle name="Heading [Palat] 2 2 3 7 2" xfId="10696"/>
    <cellStyle name="Magic 2 2 3 7 2" xfId="10697"/>
    <cellStyle name="Outputs 2 2 3 7 2" xfId="10698"/>
    <cellStyle name="Table Head Aligned 2 2 3 7 2" xfId="10699"/>
    <cellStyle name="Table Head Green 2 2 3 7 2" xfId="10700"/>
    <cellStyle name="PB Table Standard Row 3 3 4 4 2" xfId="10701"/>
    <cellStyle name="Style 52 2 4" xfId="10702"/>
    <cellStyle name="Style 44 4 3 4 4 2" xfId="10703"/>
    <cellStyle name="Afjusted 4 4 4 2" xfId="10704"/>
    <cellStyle name="dp*SubTitle 3 3 4 4 2" xfId="10705"/>
    <cellStyle name="dp*ThinLineBelow 3 3 4 4 2" xfId="10706"/>
    <cellStyle name="Style 44 4 4 4 2" xfId="10707"/>
    <cellStyle name="Style 51 4 4 4 2" xfId="10708"/>
    <cellStyle name="Date [mm-d-yyyy] 3 4 4 2" xfId="10709"/>
    <cellStyle name="Date [mm-d-yyyy] 3 3 3 4 2" xfId="10710"/>
    <cellStyle name="P-Green Rule 3 3 3 4 2" xfId="10711"/>
    <cellStyle name="dp*SheetSubTitle 2 2 3 3 4 2" xfId="10712"/>
    <cellStyle name="Heading [Palat] 2 2 3 3 4 2" xfId="10713"/>
    <cellStyle name="Table Head Green 2 2 3 3 4 2" xfId="10714"/>
    <cellStyle name="Table Head Green 2 2 4 4 2" xfId="10715"/>
    <cellStyle name="Table Head Aligned 2 2 4 4 2" xfId="10716"/>
    <cellStyle name="Heading [Helv] 2 2 4 4 2" xfId="10717"/>
    <cellStyle name="Style 51 2 3 4 2" xfId="10718"/>
    <cellStyle name="Style 49 3 3 4 2" xfId="10719"/>
    <cellStyle name="Border Thin 2 3 4 2" xfId="10720"/>
    <cellStyle name="P-Green Rule 3 3 4 4 2" xfId="10721"/>
    <cellStyle name="Afjusted 3 4 4 2" xfId="10722"/>
    <cellStyle name="Style 51 4 3 4 4 2" xfId="10723"/>
    <cellStyle name="Table Head Aligned 2 3 4 2" xfId="10724"/>
    <cellStyle name="Outputs 2 3 4 2" xfId="10725"/>
    <cellStyle name="Magic 2 3 4 2" xfId="10726"/>
    <cellStyle name="Heading [Palat] 2 3 4 2" xfId="10727"/>
    <cellStyle name="Heading [Helv] 2 3 4 2" xfId="10728"/>
    <cellStyle name="dp*SheetSubTitle 2 3 4 2" xfId="10729"/>
    <cellStyle name="dp*NumberLineEPS 2 3 4 2" xfId="10730"/>
    <cellStyle name="dp*SubTitle 3 5 4 2" xfId="10731"/>
    <cellStyle name="P-Green Rule 3 5 4 2" xfId="10732"/>
    <cellStyle name="UNLOCKED 23 4" xfId="10733"/>
    <cellStyle name="Style 44 4 5 4 2" xfId="10734"/>
    <cellStyle name="Style 49 4 5 4 2" xfId="10735"/>
    <cellStyle name="Afjusted 3 3 3 4 2" xfId="10736"/>
    <cellStyle name="Style 51 4 3 3 4 2" xfId="10737"/>
    <cellStyle name="Style 44 4 3 3 4 2" xfId="10738"/>
    <cellStyle name="Afjusted 4 3 3 4 2" xfId="10739"/>
    <cellStyle name="dp*NumberLineEPS 2 2 3 3 4 2" xfId="10740"/>
    <cellStyle name="Table Head Aligned 2 2 3 3 4 2" xfId="10741"/>
    <cellStyle name="Title [Helv] 2 2 3 3 4 2" xfId="10742"/>
    <cellStyle name="Title [Palat] 2 2 3 3 4 2" xfId="10743"/>
    <cellStyle name="Magic 2 2 4 4 2" xfId="10744"/>
    <cellStyle name="dp*SheetSubTitle 2 2 4 4 2" xfId="10745"/>
    <cellStyle name="dp*NumberLineEPS 2 2 4 4 2" xfId="10746"/>
    <cellStyle name="dp*NumberLine 2 2 4 4 2" xfId="10747"/>
    <cellStyle name="Date [mmm-yyyy] 2 2 4 4 2" xfId="10748"/>
    <cellStyle name="COL HEADINGS 2 2 4 4 2" xfId="10749"/>
    <cellStyle name="Bold/Border 2 2 4 4 2" xfId="10750"/>
    <cellStyle name="Outputs 2 2 3 4 4 2" xfId="10751"/>
    <cellStyle name="Heading [Helv] 2 2 3 4 4 2" xfId="10752"/>
    <cellStyle name="dp*NumberLine 2 2 3 4 4 2" xfId="10753"/>
    <cellStyle name="Date [mmm-yyyy] 2 2 3 4 4 2" xfId="10754"/>
    <cellStyle name="Afjusted 2 2 3 4 4 2" xfId="10755"/>
    <cellStyle name="Date [mm-d-yyyy] 3 3 4 4 2" xfId="10756"/>
    <cellStyle name="Style 49 4 3 4 4 2" xfId="10757"/>
    <cellStyle name="dp*ThinLineBelow 2 3 4 2" xfId="10758"/>
    <cellStyle name="PB Table Standard Row 2 2 4 2" xfId="10759"/>
    <cellStyle name="Style 45 3 2 4 2" xfId="10760"/>
    <cellStyle name="Style 44 2 2 4 2" xfId="10761"/>
    <cellStyle name="Style 51 2 2 4 2" xfId="10762"/>
    <cellStyle name="Afjusted 6 7" xfId="10763"/>
    <cellStyle name="Border Thin 2 2 4 2" xfId="10764"/>
    <cellStyle name="dp*SubTitle 2 2 4 2" xfId="10765"/>
    <cellStyle name="Outputs 2 2 2 9" xfId="10766"/>
    <cellStyle name="Title [Palat] 2 2 7 2" xfId="10767"/>
    <cellStyle name="Outputs 2 2 7 2" xfId="10768"/>
    <cellStyle name="Magic 2 2 7 2" xfId="10769"/>
    <cellStyle name="dp*NumberLineEPS 2 2 7 2" xfId="10770"/>
    <cellStyle name="Date [mmm-yyyy] 2 2 7 2" xfId="10771"/>
    <cellStyle name="Title [Helv] 4 9" xfId="10772"/>
    <cellStyle name="dp*SheetSubTitle 2 2 3 3 10" xfId="10773"/>
    <cellStyle name="UNLOCKED 22 4" xfId="10774"/>
    <cellStyle name="Date [mm-d-yyyy] 3 3 9" xfId="10775"/>
    <cellStyle name="Style 50 6 4" xfId="10776"/>
    <cellStyle name="Border Thin 3 2 3 9" xfId="10777"/>
    <cellStyle name="Heading [Helv] 2 2 2 9" xfId="10778"/>
    <cellStyle name="Title [Helv] 2 8 2" xfId="10779"/>
    <cellStyle name="Table Head Green 2 9 2" xfId="10780"/>
    <cellStyle name="Table Head Aligned 2 8 2" xfId="10781"/>
    <cellStyle name="WingdingsRed 4 5" xfId="10782"/>
    <cellStyle name="Style 45 2 5 9" xfId="10783"/>
    <cellStyle name="Outputs 4 9" xfId="10784"/>
    <cellStyle name="dp*ThinLineBelow 2 4 10" xfId="10785"/>
    <cellStyle name="Afjusted 2 2 3 10" xfId="10786"/>
    <cellStyle name="Style 45 4 4 9" xfId="10787"/>
    <cellStyle name="Style 45 3 9" xfId="10788"/>
    <cellStyle name="Heading [Palat] 2 11" xfId="10789"/>
    <cellStyle name="SAPBEXstdItemX 3 4" xfId="10790"/>
    <cellStyle name="COL HEADINGS 3 10" xfId="10791"/>
    <cellStyle name="Title [Palat] 2 3 9" xfId="10792"/>
    <cellStyle name="Millions 4 4" xfId="10793"/>
    <cellStyle name="ac 2 2 3 11" xfId="10794"/>
    <cellStyle name="Title [Palat] 2 2 2 3 10" xfId="10795"/>
    <cellStyle name="Outputs 2 2 3 3 5 4" xfId="10796"/>
    <cellStyle name="Outputs 2 5 10" xfId="10797"/>
    <cellStyle name="ac 4 10" xfId="10798"/>
    <cellStyle name="dp*NumberLineEPS 2 2 10" xfId="10799"/>
    <cellStyle name="Draw lines around data in range 2 4" xfId="10800"/>
    <cellStyle name="SAPBEXHLevel1X 2 4" xfId="10801"/>
    <cellStyle name="Style 24 3 5" xfId="10802"/>
    <cellStyle name="Border Thin 3 2 2 8" xfId="10803"/>
    <cellStyle name="Style 51 4 2 4 9" xfId="10804"/>
    <cellStyle name="Style 26 3 4" xfId="10805"/>
    <cellStyle name="COL HEADINGS 2 4 9" xfId="10806"/>
    <cellStyle name="Afjusted 3 3 4 10" xfId="10807"/>
    <cellStyle name="Table Head Green 2 2 4 9" xfId="10808"/>
    <cellStyle name="Millions 7 5" xfId="10809"/>
    <cellStyle name="COL HEADINGS 2 9 2" xfId="10810"/>
    <cellStyle name="Table Head Aligned 2 2 3 2 4 2" xfId="10811"/>
    <cellStyle name="Magic 3 4 2" xfId="10812"/>
    <cellStyle name="Style 49 3 8 2" xfId="10813"/>
    <cellStyle name="Table Head Aligned 3 4 2" xfId="10814"/>
    <cellStyle name="Heading [Palat] 2 2 2 2 4 2" xfId="10815"/>
    <cellStyle name="dp*SubTitle 2 3 4 2" xfId="10816"/>
    <cellStyle name="Date [mm-d-yyyy] 2 2 6 2" xfId="10817"/>
    <cellStyle name="Title [Helv] 2 2 2 7 2" xfId="10818"/>
    <cellStyle name="Date [mm-d-yyyy] 2 4 2" xfId="10819"/>
    <cellStyle name="dp*NumberLine 2 8 2" xfId="10820"/>
    <cellStyle name="Afjusted 3 7 2" xfId="10821"/>
    <cellStyle name="Date [mmm-yyyy] 2 2 3 4 7" xfId="10822"/>
    <cellStyle name="ac 2 8 2" xfId="10823"/>
    <cellStyle name="Afjusted 2 6 2" xfId="10824"/>
    <cellStyle name="Bold/Border 2 8 2" xfId="10825"/>
    <cellStyle name="COL HEADINGS 2 8 2" xfId="10826"/>
    <cellStyle name="Border Thin 3 3 2 4 2" xfId="10827"/>
    <cellStyle name="Date [mmm-yyyy] 2 7 2" xfId="10828"/>
    <cellStyle name="Style 45 4 3 3 4 2" xfId="10829"/>
    <cellStyle name="dp*NumberLine 2 3 4 2" xfId="10830"/>
    <cellStyle name="dp*NumberLine 2 7 2" xfId="10831"/>
    <cellStyle name="dp*NumberLineEPS 2 7 2" xfId="10832"/>
    <cellStyle name="dp*SheetSubTitle 2 7 2" xfId="10833"/>
    <cellStyle name="Afjusted 4 5 4 2" xfId="10834"/>
    <cellStyle name="dp*ThinLineBelow 2 6 2" xfId="10835"/>
    <cellStyle name="Style 44 4 2 2 9" xfId="10836"/>
    <cellStyle name="Heading [Helv] 2 8 2" xfId="10837"/>
    <cellStyle name="Heading [Palat] 2 8 2" xfId="10838"/>
    <cellStyle name="COL HEADINGS 4 7" xfId="10839"/>
    <cellStyle name="Magic 2 7 2" xfId="10840"/>
    <cellStyle name="COL HEADINGS 2 3 4 2" xfId="10841"/>
    <cellStyle name="dp*NumberLine 2 2 3 3 4 2" xfId="10842"/>
    <cellStyle name="Outputs 2 8 2" xfId="10843"/>
    <cellStyle name="P-Green Rule 2 7 2" xfId="10844"/>
    <cellStyle name="Style 44 3 7 2" xfId="10845"/>
    <cellStyle name="Style 45 3 7 2" xfId="10846"/>
    <cellStyle name="Style 49 3 7 2" xfId="10847"/>
    <cellStyle name="Style 51 3 7 2" xfId="10848"/>
    <cellStyle name="Style 44 2 7 2" xfId="10849"/>
    <cellStyle name="Style 45 2 7 2" xfId="10850"/>
    <cellStyle name="Style 49 2 7 2" xfId="10851"/>
    <cellStyle name="Style 51 2 7 2" xfId="10852"/>
    <cellStyle name="Table Head Aligned 2 7 2" xfId="10853"/>
    <cellStyle name="Table Head Green 2 8 2" xfId="10854"/>
    <cellStyle name="Title [Helv] 2 7 2" xfId="10855"/>
    <cellStyle name="Title [Palat] 2 8 2" xfId="10856"/>
    <cellStyle name="Magic 2 8 2" xfId="10857"/>
    <cellStyle name="Date [mmm-yyyy] 2 8 2" xfId="10858"/>
    <cellStyle name="Magic 2 2 2 7 2" xfId="10859"/>
    <cellStyle name="Title [Palat] 2 2 3 2 4 2" xfId="10860"/>
    <cellStyle name="ac 2 9 2" xfId="10861"/>
    <cellStyle name="Heading [Palat] 2 2 2 7 2" xfId="10862"/>
    <cellStyle name="SAPBEXHLevel2 10" xfId="10863"/>
    <cellStyle name="ac 6 7" xfId="10864"/>
    <cellStyle name="Output 2 7" xfId="10865"/>
    <cellStyle name="ItemTypeClass 3 4" xfId="10866"/>
    <cellStyle name="Draw shadow and lines within range 2 5" xfId="10867"/>
    <cellStyle name="Style 45 3 4 9" xfId="10868"/>
    <cellStyle name="Bold/Border 5 7" xfId="10869"/>
    <cellStyle name="dp*ThinLineBelow 2 5 7" xfId="10870"/>
    <cellStyle name="SAPBEXaggData 9" xfId="10871"/>
    <cellStyle name="Style 51 4 8" xfId="10872"/>
    <cellStyle name="Heading [Helv] 3 9" xfId="10873"/>
    <cellStyle name="Outputs 2 2 9" xfId="10874"/>
    <cellStyle name="Date [mmm-yyyy] 2 2 9" xfId="10875"/>
    <cellStyle name="Title [Palat] 2 2 3 3 9" xfId="10876"/>
    <cellStyle name="P-Green Rule 3 7" xfId="10877"/>
    <cellStyle name="PB Table Standard Row 5 9" xfId="10878"/>
    <cellStyle name="Date [mm-d-yyyy] 2 8" xfId="10879"/>
    <cellStyle name="Style 35 3 4" xfId="10880"/>
    <cellStyle name="COL HEADINGS 2 11" xfId="10881"/>
    <cellStyle name="Heading [Helv] 2 2 3 4 9" xfId="10882"/>
    <cellStyle name="UNLOCKED 3 4" xfId="10883"/>
    <cellStyle name="dp*SheetSubTitle 2 3 9" xfId="10884"/>
    <cellStyle name="Heading [Palat] 2 5 10" xfId="10885"/>
    <cellStyle name="Arial8Bold 11" xfId="10886"/>
    <cellStyle name="UNLOCKED 5 5" xfId="10887"/>
    <cellStyle name="Style 48 2 5" xfId="10888"/>
    <cellStyle name="SAPBEXstdItem 9" xfId="10889"/>
    <cellStyle name="WingdingsBlack 11" xfId="10890"/>
    <cellStyle name="Millions 5 4" xfId="10891"/>
    <cellStyle name="SAPBEXaggItem 2 4" xfId="10892"/>
    <cellStyle name="WingdingsBlack 2 4" xfId="10893"/>
    <cellStyle name="Date [mmm-yyyy] 2 2 2 3 10" xfId="10894"/>
    <cellStyle name="Style 51 4 2 9" xfId="10895"/>
    <cellStyle name="dp*NumberLineEPS 2 2 3 2 9" xfId="10896"/>
    <cellStyle name="dp*NumberLine 2 2 2 2 9" xfId="10897"/>
    <cellStyle name="FieldName 3 4" xfId="10898"/>
    <cellStyle name="Border 3 4" xfId="10899"/>
    <cellStyle name="Style 51 3 4 9" xfId="10900"/>
    <cellStyle name="Style 51 2 3 10" xfId="10901"/>
    <cellStyle name="Style 44 3 6 9" xfId="10902"/>
    <cellStyle name="UNLOCKED 28 4" xfId="10903"/>
    <cellStyle name="SAPBEXaggData 2 5" xfId="10904"/>
    <cellStyle name="SAPBEXHLevel2 4 4" xfId="10905"/>
    <cellStyle name="dp*SheetSubTitle 2 2 2 7 2" xfId="10906"/>
    <cellStyle name="ac 2 2 3 7 2" xfId="10907"/>
    <cellStyle name="Style 49 2 5 10" xfId="10908"/>
    <cellStyle name="dp*SheetSubTitle 2 2 2 2 9" xfId="10909"/>
    <cellStyle name="dp*SubTitle 3 7 2" xfId="10910"/>
    <cellStyle name="Bold/Border 2 3 4 2" xfId="10911"/>
    <cellStyle name="Style 49 4 3 3 4 2" xfId="10912"/>
    <cellStyle name="Title [Palat] 2 3 4 2" xfId="10913"/>
    <cellStyle name="Border Thin 3 7 2" xfId="10914"/>
    <cellStyle name="UNLOCKED 26 4" xfId="10915"/>
    <cellStyle name="dp*SheetSubTitle 2 2 2 2 4 2" xfId="10916"/>
    <cellStyle name="dp*NumberLineEPS 2 2 2 2 4 2" xfId="10917"/>
    <cellStyle name="Style 44 4 3 11" xfId="10918"/>
    <cellStyle name="Afjusted 4 7 2" xfId="10919"/>
    <cellStyle name="Bold/Border 4 4 2" xfId="10920"/>
    <cellStyle name="ac 2 2 6 2" xfId="10921"/>
    <cellStyle name="Afjusted 2 2 7 2" xfId="10922"/>
    <cellStyle name="Bold/Border 2 2 6 2" xfId="10923"/>
    <cellStyle name="COL HEADINGS 2 2 6 2" xfId="10924"/>
    <cellStyle name="Date [mmm-yyyy] 2 2 6 2" xfId="10925"/>
    <cellStyle name="Style 45 4 3 4 4 2" xfId="10926"/>
    <cellStyle name="dp*SubTitle 3 3 3 4 2" xfId="10927"/>
    <cellStyle name="Date [mmm-yyyy] 2 3 4 2" xfId="10928"/>
    <cellStyle name="dp*NumberLine 2 2 6 2" xfId="10929"/>
    <cellStyle name="dp*NumberLineEPS 2 2 6 2" xfId="10930"/>
    <cellStyle name="dp*SheetSubTitle 2 2 6 2" xfId="10931"/>
    <cellStyle name="Heading [Helv] 2 2 6 2" xfId="10932"/>
    <cellStyle name="Heading [Palat] 2 2 6 2" xfId="10933"/>
    <cellStyle name="Magic 2 2 6 2" xfId="10934"/>
    <cellStyle name="Outputs 2 2 6 2" xfId="10935"/>
    <cellStyle name="Table Head Aligned 2 2 6 2" xfId="10936"/>
    <cellStyle name="Table Head Green 2 2 6 2" xfId="10937"/>
    <cellStyle name="Title [Helv] 2 2 6 2" xfId="10938"/>
    <cellStyle name="Title [Palat] 2 2 6 2" xfId="10939"/>
    <cellStyle name="Date [mmm-yyyy] 2 2 2 2 4 2" xfId="10940"/>
    <cellStyle name="COL HEADINGS 2 2 2 2 4 2" xfId="10941"/>
    <cellStyle name="dp*NumberLine 2 2 2 2 4 2" xfId="10942"/>
    <cellStyle name="Date [mm-d-yyyy] 2 5 2" xfId="10943"/>
    <cellStyle name="PB Table Standard Row 3 2 2 4 2" xfId="10944"/>
    <cellStyle name="Afjusted 2 2 2 2 4 2" xfId="10945"/>
    <cellStyle name="Millions 3 5" xfId="10946"/>
    <cellStyle name="dp*SubTitle 3 3 3 10" xfId="10947"/>
    <cellStyle name="ac 2 2 2 2 4 2" xfId="10948"/>
    <cellStyle name="dp*ThinLineBelow 2 4 9" xfId="10949"/>
    <cellStyle name="Afjusted 4 2 2 4 2" xfId="10950"/>
    <cellStyle name="Style 45 3 3 4 2" xfId="10951"/>
    <cellStyle name="Style 49 2 3 4 2" xfId="10952"/>
    <cellStyle name="Style 51 3 3 4 2" xfId="10953"/>
    <cellStyle name="Border Thin 3 5 4 2" xfId="10954"/>
    <cellStyle name="Afjusted 3 5 4 2" xfId="10955"/>
    <cellStyle name="P-Green Rule 3 3 3 9" xfId="10956"/>
    <cellStyle name="Style 45 2 3 4 2" xfId="10957"/>
    <cellStyle name="Title [Palat] 5 9" xfId="10958"/>
    <cellStyle name="Style 44 2 3 4 2" xfId="10959"/>
    <cellStyle name="Style 45 4 2 2 4 2" xfId="10960"/>
    <cellStyle name="Outputs 2 4 5 2" xfId="10961"/>
    <cellStyle name="dp*SubTitle 2 2 3 2" xfId="10962"/>
    <cellStyle name="Border Thin 2 2 3 2" xfId="10963"/>
    <cellStyle name="P-Green Rule 2 3 4 2" xfId="10964"/>
    <cellStyle name="Date [mm-d-yyyy] 2 2 2 4 2" xfId="10965"/>
    <cellStyle name="dp*ThinLineBelow 2 4 4 2" xfId="10966"/>
    <cellStyle name="dp*NumberLineEPS 2 4 4 2" xfId="10967"/>
    <cellStyle name="COL HEADINGS 2 4 4 2" xfId="10968"/>
    <cellStyle name="Afjusted 2 3 4 2" xfId="10969"/>
    <cellStyle name="SAPBEXHLevel3X 4 4" xfId="10970"/>
    <cellStyle name="dp*Number%ItalicsLineAbove 2 5" xfId="10971"/>
    <cellStyle name="Arial8Bold 3 5" xfId="10972"/>
    <cellStyle name="Bold/Border 2 2 3 4 3 2" xfId="10973"/>
    <cellStyle name="Magic 2 2 3 4 3 2" xfId="10974"/>
    <cellStyle name="Title [Helv] 2 2 3 4 3 2" xfId="10975"/>
    <cellStyle name="Style 51 2 2 3 2" xfId="10976"/>
    <cellStyle name="Style 45 2 2 3 2" xfId="10977"/>
    <cellStyle name="Style 49 2 2 3 2" xfId="10978"/>
    <cellStyle name="Style 44 2 2 3 2" xfId="10979"/>
    <cellStyle name="Style 51 3 2 3 2" xfId="10980"/>
    <cellStyle name="Style 49 3 2 3 2" xfId="10981"/>
    <cellStyle name="Style 45 3 2 3 2" xfId="10982"/>
    <cellStyle name="Style 44 3 2 3 2" xfId="10983"/>
    <cellStyle name="P-Green Rule 2 2 3 2" xfId="10984"/>
    <cellStyle name="PB Table Standard Row 2 2 3 2" xfId="10985"/>
    <cellStyle name="dp*ThinLineBelow 2 2 3 2" xfId="10986"/>
    <cellStyle name="dp*ThinLineBelow 2 3 3 2" xfId="10987"/>
    <cellStyle name="Style 44 3 3 3 2" xfId="10988"/>
    <cellStyle name="COL HEADINGS 2 2 3 4 3 2" xfId="10989"/>
    <cellStyle name="Style 49 4 3 4 3 2" xfId="10990"/>
    <cellStyle name="Date [mm-d-yyyy] 3 2 2 4 2" xfId="10991"/>
    <cellStyle name="Afjusted 3 3 4 3 2" xfId="10992"/>
    <cellStyle name="Date [mm-d-yyyy] 3 3 4 3 2" xfId="10993"/>
    <cellStyle name="Afjusted 4 3 4 3 2" xfId="10994"/>
    <cellStyle name="ac 2 2 3 4 3 2" xfId="10995"/>
    <cellStyle name="Afjusted 2 2 3 4 3 2" xfId="10996"/>
    <cellStyle name="Date [mmm-yyyy] 2 2 3 4 3 2" xfId="10997"/>
    <cellStyle name="dp*NumberLine 2 2 3 4 3 2" xfId="10998"/>
    <cellStyle name="dp*NumberLineEPS 2 2 3 4 3 2" xfId="10999"/>
    <cellStyle name="dp*SheetSubTitle 2 2 3 4 3 2" xfId="11000"/>
    <cellStyle name="Heading [Helv] 2 2 3 4 3 2" xfId="11001"/>
    <cellStyle name="Outputs 2 2 3 4 3 2" xfId="11002"/>
    <cellStyle name="Table Head Aligned 2 2 3 4 3 2" xfId="11003"/>
    <cellStyle name="Title [Palat] 2 2 3 4 3 2" xfId="11004"/>
    <cellStyle name="Heading [Palat] 2 12" xfId="11005"/>
    <cellStyle name="WingdingsWhite 3 5" xfId="11006"/>
    <cellStyle name="Afjusted 3 5 3 2" xfId="11007"/>
    <cellStyle name="Style 45 3 3 3 2" xfId="11008"/>
    <cellStyle name="Style 51 3 3 3 2" xfId="11009"/>
    <cellStyle name="Style 44 2 3 3 2" xfId="11010"/>
    <cellStyle name="Style 45 2 3 3 2" xfId="11011"/>
    <cellStyle name="Style 49 2 3 3 2" xfId="11012"/>
    <cellStyle name="Border Thin 3 5 3 2" xfId="11013"/>
    <cellStyle name="ac 2 2 4 3 2" xfId="11014"/>
    <cellStyle name="Afjusted 2 2 5 3 2" xfId="11015"/>
    <cellStyle name="Bold/Border 2 2 4 3 2" xfId="11016"/>
    <cellStyle name="COL HEADINGS 2 2 4 3 2" xfId="11017"/>
    <cellStyle name="Date [mmm-yyyy] 2 2 4 3 2" xfId="11018"/>
    <cellStyle name="dp*NumberLine 2 2 4 3 2" xfId="11019"/>
    <cellStyle name="dp*NumberLineEPS 2 2 4 3 2" xfId="11020"/>
    <cellStyle name="dp*SheetSubTitle 2 2 4 3 2" xfId="11021"/>
    <cellStyle name="Heading [Palat] 2 2 4 3 2" xfId="11022"/>
    <cellStyle name="Outputs 2 2 4 3 2" xfId="11023"/>
    <cellStyle name="Magic 2 2 4 3 2" xfId="11024"/>
    <cellStyle name="Title [Helv] 2 2 4 3 2" xfId="11025"/>
    <cellStyle name="Title [Palat] 2 2 4 3 2" xfId="11026"/>
    <cellStyle name="Title [Palat] 2 2 3 3 3 2" xfId="11027"/>
    <cellStyle name="Title [Helv] 2 2 3 3 3 2" xfId="11028"/>
    <cellStyle name="Table Head Aligned 2 2 3 3 3 2" xfId="11029"/>
    <cellStyle name="Magic 2 2 3 3 3 2" xfId="11030"/>
    <cellStyle name="Heading [Helv] 2 2 3 3 3 2" xfId="11031"/>
    <cellStyle name="dp*NumberLineEPS 2 2 3 3 3 2" xfId="11032"/>
    <cellStyle name="COL HEADINGS 2 2 3 3 3 2" xfId="11033"/>
    <cellStyle name="ac 2 2 3 3 3 2" xfId="11034"/>
    <cellStyle name="Afjusted 4 3 3 3 2" xfId="11035"/>
    <cellStyle name="Border Thin 3 3 3 3 2" xfId="11036"/>
    <cellStyle name="PB Table Standard Row 3 3 3 3 2" xfId="11037"/>
    <cellStyle name="Style 44 4 3 3 3 2" xfId="11038"/>
    <cellStyle name="Style 51 4 3 3 3 2" xfId="11039"/>
    <cellStyle name="Afjusted 3 3 3 3 2" xfId="11040"/>
    <cellStyle name="Style 49 4 5 3 2" xfId="11041"/>
    <cellStyle name="Style 44 4 5 3 2" xfId="11042"/>
    <cellStyle name="P-Green Rule 3 5 3 2" xfId="11043"/>
    <cellStyle name="dp*SubTitle 3 5 3 2" xfId="11044"/>
    <cellStyle name="Afjusted 4 5 3 2" xfId="11045"/>
    <cellStyle name="P-Green Rule 2 4 5 2" xfId="11046"/>
    <cellStyle name="dp*SheetSubTitle 2 8 2" xfId="11047"/>
    <cellStyle name="ac 2 3 3 2" xfId="11048"/>
    <cellStyle name="Bold/Border 2 3 3 2" xfId="11049"/>
    <cellStyle name="COL HEADINGS 2 3 3 2" xfId="11050"/>
    <cellStyle name="Date [mmm-yyyy] 2 3 3 2" xfId="11051"/>
    <cellStyle name="dp*NumberLine 2 3 3 2" xfId="11052"/>
    <cellStyle name="dp*NumberLineEPS 2 3 3 2" xfId="11053"/>
    <cellStyle name="dp*SheetSubTitle 2 3 3 2" xfId="11054"/>
    <cellStyle name="Heading [Helv] 2 3 3 2" xfId="11055"/>
    <cellStyle name="Heading [Palat] 2 3 3 2" xfId="11056"/>
    <cellStyle name="Magic 2 3 3 2" xfId="11057"/>
    <cellStyle name="Outputs 2 3 3 2" xfId="11058"/>
    <cellStyle name="Date [mmm-yyyy] 2 2 3 3 3 2" xfId="11059"/>
    <cellStyle name="Afjusted 2 2 3 3 3 2" xfId="11060"/>
    <cellStyle name="dp*ThinLineBelow 3 3 3 3 2" xfId="11061"/>
    <cellStyle name="Style 49 4 3 3 3 2" xfId="11062"/>
    <cellStyle name="Outputs 2 2 3 3 3 2" xfId="11063"/>
    <cellStyle name="dp*NumberLine 2 2 3 3 3 2" xfId="11064"/>
    <cellStyle name="Bold/Border 2 2 3 3 3 2" xfId="11065"/>
    <cellStyle name="dp*SubTitle 3 3 3 3 2" xfId="11066"/>
    <cellStyle name="Style 45 4 3 3 3 2" xfId="11067"/>
    <cellStyle name="Table Head Aligned 2 3 3 2" xfId="11068"/>
    <cellStyle name="Table Head Green 2 3 3 2" xfId="11069"/>
    <cellStyle name="Title [Helv] 2 3 3 2" xfId="11070"/>
    <cellStyle name="Title [Palat] 2 3 3 2" xfId="11071"/>
    <cellStyle name="Style 45 4 3 4 3 2" xfId="11072"/>
    <cellStyle name="Style 51 4 3 4 3 2" xfId="11073"/>
    <cellStyle name="Afjusted 3 4 3 2" xfId="11074"/>
    <cellStyle name="P-Green Rule 3 3 4 3 2" xfId="11075"/>
    <cellStyle name="Border Thin 2 3 3 2" xfId="11076"/>
    <cellStyle name="Style 49 3 3 3 2" xfId="11077"/>
    <cellStyle name="Style 51 2 3 3 2" xfId="11078"/>
    <cellStyle name="Heading [Helv] 2 2 4 3 2" xfId="11079"/>
    <cellStyle name="Table Head Aligned 2 2 4 3 2" xfId="11080"/>
    <cellStyle name="Table Head Green 2 2 4 3 2" xfId="11081"/>
    <cellStyle name="Table Head Green 2 2 3 3 3 2" xfId="11082"/>
    <cellStyle name="Heading [Palat] 2 2 3 3 3 2" xfId="11083"/>
    <cellStyle name="dp*SheetSubTitle 2 2 3 3 3 2" xfId="11084"/>
    <cellStyle name="P-Green Rule 3 3 3 3 2" xfId="11085"/>
    <cellStyle name="Date [mm-d-yyyy] 3 3 3 3 2" xfId="11086"/>
    <cellStyle name="Date [mm-d-yyyy] 3 4 3 2" xfId="11087"/>
    <cellStyle name="SAPBEXstdData 9" xfId="11088"/>
    <cellStyle name="Style 51 4 4 3 2" xfId="11089"/>
    <cellStyle name="Style 49 4 4 3 2" xfId="11090"/>
    <cellStyle name="Style 45 4 4 3 2" xfId="11091"/>
    <cellStyle name="Style 44 4 4 3 2" xfId="11092"/>
    <cellStyle name="dp*ThinLineBelow 3 3 4 3 2" xfId="11093"/>
    <cellStyle name="P-Green Rule 3 4 3 2" xfId="11094"/>
    <cellStyle name="dp*ThinLineBelow 3 4 3 2" xfId="11095"/>
    <cellStyle name="dp*SubTitle 3 4 3 2" xfId="11096"/>
    <cellStyle name="dp*SubTitle 3 3 4 3 2" xfId="11097"/>
    <cellStyle name="Border Thin 3 4 3 2" xfId="11098"/>
    <cellStyle name="Title [Palat] 2 2 3 12" xfId="11099"/>
    <cellStyle name="Border Thin 3 3 4 3 2" xfId="11100"/>
    <cellStyle name="Afjusted 4 4 3 2" xfId="11101"/>
    <cellStyle name="Afjusted 2 2 4 3 2" xfId="11102"/>
    <cellStyle name="Style 44 4 3 4 3 2" xfId="11103"/>
    <cellStyle name="PB Table Standard Row 3 3 4 3 2" xfId="11104"/>
    <cellStyle name="Title [Palat] 2 2 3 6 2" xfId="11105"/>
    <cellStyle name="Title [Helv] 2 2 3 6 2" xfId="11106"/>
    <cellStyle name="Table Head Green 2 2 3 6 2" xfId="11107"/>
    <cellStyle name="Table Head Aligned 2 2 3 6 2" xfId="11108"/>
    <cellStyle name="Outputs 2 2 3 6 2" xfId="11109"/>
    <cellStyle name="Magic 2 2 3 6 2" xfId="11110"/>
    <cellStyle name="Heading [Palat] 2 2 3 6 2" xfId="11111"/>
    <cellStyle name="Heading [Helv] 2 2 3 6 2" xfId="11112"/>
    <cellStyle name="dp*SheetSubTitle 2 2 3 6 2" xfId="11113"/>
    <cellStyle name="dp*NumberLineEPS 2 2 3 6 2" xfId="11114"/>
    <cellStyle name="dp*NumberLine 2 2 3 6 2" xfId="11115"/>
    <cellStyle name="Date [mmm-yyyy] 2 2 3 6 2" xfId="11116"/>
    <cellStyle name="COL HEADINGS 2 2 3 6 2" xfId="11117"/>
    <cellStyle name="Bold/Border 2 2 3 6 2" xfId="11118"/>
    <cellStyle name="Afjusted 2 2 3 6 2" xfId="11119"/>
    <cellStyle name="ac 2 2 3 6 2" xfId="11120"/>
    <cellStyle name="Afjusted 4 3 6 2" xfId="11121"/>
    <cellStyle name="Border Thin 3 3 6 2" xfId="11122"/>
    <cellStyle name="dp*SubTitle 3 3 6 2" xfId="11123"/>
    <cellStyle name="dp*ThinLineBelow 3 3 6 2" xfId="11124"/>
    <cellStyle name="PB Table Standard Row 3 3 6 2" xfId="11125"/>
    <cellStyle name="P-Green Rule 3 3 6 2" xfId="11126"/>
    <cellStyle name="Style 44 4 3 6 2" xfId="11127"/>
    <cellStyle name="Style 45 4 3 6 2" xfId="11128"/>
    <cellStyle name="Style 49 4 3 6 2" xfId="11129"/>
    <cellStyle name="Style 51 4 3 6 2" xfId="11130"/>
    <cellStyle name="Date [mm-d-yyyy] 3 3 6 2" xfId="11131"/>
    <cellStyle name="Title [Palat] 2 4 4 2" xfId="11132"/>
    <cellStyle name="Style 51 3 4 4 2" xfId="11133"/>
    <cellStyle name="Afjusted 3 3 6 2" xfId="11134"/>
    <cellStyle name="Border Thin 2 4 4 2" xfId="11135"/>
    <cellStyle name="SAPBEXHLevel0X 3 5" xfId="11136"/>
    <cellStyle name="Afjusted 4 2 4 4 2" xfId="11137"/>
    <cellStyle name="ac 2 2 4 4 2" xfId="11138"/>
    <cellStyle name="PB Table Standard Row 2 2 8" xfId="11139"/>
    <cellStyle name="Date [mm-d-yyyy] 3 5 4 2" xfId="11140"/>
    <cellStyle name="Millions 2 5" xfId="11141"/>
    <cellStyle name="Afjusted 3 3 2 4 2" xfId="11142"/>
    <cellStyle name="PB Table Standard Row 3 3 2 3 2" xfId="11143"/>
    <cellStyle name="P-Green Rule 3 3 2 4 2" xfId="11144"/>
    <cellStyle name="Date [mm-d-yyyy] 3 3 2 4 2" xfId="11145"/>
    <cellStyle name="dp*ThinLineBelow 3 2 3 10" xfId="11146"/>
    <cellStyle name="ac 2 4 4 2" xfId="11147"/>
    <cellStyle name="Date [mm-d-yyyy] 2 2 5 2" xfId="11148"/>
    <cellStyle name="Afjusted 3 2 6 2" xfId="11149"/>
    <cellStyle name="dp*SubTitle 3 2 2 4 2" xfId="11150"/>
    <cellStyle name="Style 45 2 4 4 2" xfId="11151"/>
    <cellStyle name="P-Green Rule 2 4 4 2" xfId="11152"/>
    <cellStyle name="Style 51 4 5 4 2" xfId="11153"/>
    <cellStyle name="Date [mm-d-yyyy] 3 2 6 2" xfId="11154"/>
    <cellStyle name="Style 51 4 2 6 2" xfId="11155"/>
    <cellStyle name="Style 49 4 2 6 2" xfId="11156"/>
    <cellStyle name="Style 45 4 2 6 2" xfId="11157"/>
    <cellStyle name="Style 44 4 2 6 2" xfId="11158"/>
    <cellStyle name="Heading [Palat] 2 4 4 2" xfId="11159"/>
    <cellStyle name="P-Green Rule 3 2 6 2" xfId="11160"/>
    <cellStyle name="dp*ThinLineBelow 3 2 6 2" xfId="11161"/>
    <cellStyle name="dp*SubTitle 3 2 6 2" xfId="11162"/>
    <cellStyle name="dp*SubTitle 2 4 4 2" xfId="11163"/>
    <cellStyle name="Border Thin 3 2 6 2" xfId="11164"/>
    <cellStyle name="dp*NumberLine 2 4 4 2" xfId="11165"/>
    <cellStyle name="Afjusted 4 2 6 2" xfId="11166"/>
    <cellStyle name="ac 2 2 2 6 2" xfId="11167"/>
    <cellStyle name="Afjusted 2 2 2 6 2" xfId="11168"/>
    <cellStyle name="Bold/Border 2 2 2 6 2" xfId="11169"/>
    <cellStyle name="COL HEADINGS 2 2 2 6 2" xfId="11170"/>
    <cellStyle name="Date [mmm-yyyy] 2 2 2 6 2" xfId="11171"/>
    <cellStyle name="dp*NumberLine 2 2 2 6 2" xfId="11172"/>
    <cellStyle name="dp*NumberLineEPS 2 2 2 6 2" xfId="11173"/>
    <cellStyle name="dp*SheetSubTitle 2 2 2 6 2" xfId="11174"/>
    <cellStyle name="Heading [Helv] 2 2 2 6 2" xfId="11175"/>
    <cellStyle name="Heading [Palat] 2 2 2 6 2" xfId="11176"/>
    <cellStyle name="Magic 2 2 2 6 2" xfId="11177"/>
    <cellStyle name="Outputs 2 2 2 6 2" xfId="11178"/>
    <cellStyle name="Table Head Aligned 2 2 2 6 2" xfId="11179"/>
    <cellStyle name="Table Head Green 2 2 2 6 2" xfId="11180"/>
    <cellStyle name="Title [Helv] 2 2 2 6 2" xfId="11181"/>
    <cellStyle name="Title [Palat] 2 2 2 6 2" xfId="11182"/>
    <cellStyle name="Style 45 3 4 4 2" xfId="11183"/>
    <cellStyle name="SAPBEXaggItemX 4 4" xfId="11184"/>
    <cellStyle name="Outputs 2 12" xfId="11185"/>
    <cellStyle name="Border Thin 3 2 2 4 2" xfId="11186"/>
    <cellStyle name="Outputs 2 4 4 2" xfId="11187"/>
    <cellStyle name="Style 51 4 3 2 4 2" xfId="11188"/>
    <cellStyle name="Style 45 4 3 2 4 2" xfId="11189"/>
    <cellStyle name="Style 49 4 3 2 4 2" xfId="11190"/>
    <cellStyle name="Style 44 4 3 2 4 2" xfId="11191"/>
    <cellStyle name="dp*ThinLineBelow 3 3 2 4 2" xfId="11192"/>
    <cellStyle name="Table Head Green 2 2 3 4 3 2" xfId="11193"/>
    <cellStyle name="Heading [Palat] 2 2 3 4 3 2" xfId="11194"/>
    <cellStyle name="P-Green Rule 2 3 3 2" xfId="11195"/>
    <cellStyle name="Title [Palat] 2 2 3 2 3 2" xfId="11196"/>
    <cellStyle name="Title [Helv] 2 2 3 2 3 2" xfId="11197"/>
    <cellStyle name="Table Head Green 2 2 3 2 3 2" xfId="11198"/>
    <cellStyle name="Table Head Aligned 2 2 3 2 3 2" xfId="11199"/>
    <cellStyle name="Outputs 2 2 3 2 3 2" xfId="11200"/>
    <cellStyle name="Magic 2 2 3 2 3 2" xfId="11201"/>
    <cellStyle name="Heading [Palat] 2 2 3 2 3 2" xfId="11202"/>
    <cellStyle name="Heading [Helv] 2 2 3 2 3 2" xfId="11203"/>
    <cellStyle name="dp*SheetSubTitle 2 2 3 2 3 2" xfId="11204"/>
    <cellStyle name="dp*NumberLineEPS 2 2 3 2 3 2" xfId="11205"/>
    <cellStyle name="dp*NumberLine 2 2 3 2 3 2" xfId="11206"/>
    <cellStyle name="Date [mmm-yyyy] 2 2 3 2 3 2" xfId="11207"/>
    <cellStyle name="COL HEADINGS 2 2 3 2 3 2" xfId="11208"/>
    <cellStyle name="Bold/Border 2 2 3 2 3 2" xfId="11209"/>
    <cellStyle name="Afjusted 2 2 3 2 3 2" xfId="11210"/>
    <cellStyle name="ac 2 2 3 2 3 2" xfId="11211"/>
    <cellStyle name="Afjusted 4 3 2 3 2" xfId="11212"/>
    <cellStyle name="Border Thin 3 3 2 3 2" xfId="11213"/>
    <cellStyle name="dp*SubTitle 3 3 2 3 2" xfId="11214"/>
    <cellStyle name="dp*ThinLineBelow 3 3 2 3 2" xfId="11215"/>
    <cellStyle name="P-Green Rule 3 3 2 3 2" xfId="11216"/>
    <cellStyle name="Style 44 4 3 2 3 2" xfId="11217"/>
    <cellStyle name="Style 45 4 3 2 3 2" xfId="11218"/>
    <cellStyle name="Style 49 4 3 2 3 2" xfId="11219"/>
    <cellStyle name="Style 51 4 3 2 3 2" xfId="11220"/>
    <cellStyle name="Date [mm-d-yyyy] 3 3 2 3 2" xfId="11221"/>
    <cellStyle name="Afjusted 3 3 2 3 2" xfId="11222"/>
    <cellStyle name="Date [mm-d-yyyy] 3 5 3 2" xfId="11223"/>
    <cellStyle name="dp*SubTitle 2 3 3 2" xfId="11224"/>
    <cellStyle name="Date [mm-d-yyyy] 2 2 2 3 2" xfId="11225"/>
    <cellStyle name="Afjusted 3 2 2 3 2" xfId="11226"/>
    <cellStyle name="PB Table Standard Row 3 5 3 2" xfId="11227"/>
    <cellStyle name="Date [mm-d-yyyy] 3 2 2 3 2" xfId="11228"/>
    <cellStyle name="Style 51 4 2 2 3 2" xfId="11229"/>
    <cellStyle name="Style 49 4 2 2 3 2" xfId="11230"/>
    <cellStyle name="Style 45 4 2 2 3 2" xfId="11231"/>
    <cellStyle name="Style 44 4 2 2 3 2" xfId="11232"/>
    <cellStyle name="Style 45 4 5 3 2" xfId="11233"/>
    <cellStyle name="P-Green Rule 3 2 2 3 2" xfId="11234"/>
    <cellStyle name="PB Table Standard Row 3 2 2 3 2" xfId="11235"/>
    <cellStyle name="dp*ThinLineBelow 3 2 2 3 2" xfId="11236"/>
    <cellStyle name="dp*SubTitle 3 2 2 3 2" xfId="11237"/>
    <cellStyle name="Style 51 4 5 3 2" xfId="11238"/>
    <cellStyle name="Border Thin 3 2 2 3 2" xfId="11239"/>
    <cellStyle name="Afjusted 4 2 2 3 2" xfId="11240"/>
    <cellStyle name="ac 2 2 2 2 3 2" xfId="11241"/>
    <cellStyle name="Afjusted 2 2 2 2 3 2" xfId="11242"/>
    <cellStyle name="Bold/Border 2 2 2 2 3 2" xfId="11243"/>
    <cellStyle name="COL HEADINGS 2 2 2 2 3 2" xfId="11244"/>
    <cellStyle name="Date [mmm-yyyy] 2 2 2 2 3 2" xfId="11245"/>
    <cellStyle name="dp*NumberLine 2 2 2 2 3 2" xfId="11246"/>
    <cellStyle name="dp*NumberLineEPS 2 2 2 2 3 2" xfId="11247"/>
    <cellStyle name="dp*SheetSubTitle 2 2 2 2 3 2" xfId="11248"/>
    <cellStyle name="Heading [Helv] 2 2 2 2 3 2" xfId="11249"/>
    <cellStyle name="Heading [Palat] 2 2 2 2 3 2" xfId="11250"/>
    <cellStyle name="Magic 2 2 2 2 3 2" xfId="11251"/>
    <cellStyle name="Outputs 2 2 2 2 3 2" xfId="11252"/>
    <cellStyle name="Table Head Aligned 2 2 2 2 3 2" xfId="11253"/>
    <cellStyle name="Table Head Green 2 2 2 2 3 2" xfId="11254"/>
    <cellStyle name="Title [Helv] 2 2 2 2 3 2" xfId="11255"/>
    <cellStyle name="Title [Palat] 2 2 2 2 3 2" xfId="11256"/>
    <cellStyle name="dp*ThinLineBelow 3 5 3 2" xfId="11257"/>
    <cellStyle name="Date [mm-d-yyyy] 2 2 3 3 2" xfId="11258"/>
    <cellStyle name="Afjusted 3 2 3 3 2" xfId="11259"/>
    <cellStyle name="Date [mm-d-yyyy] 3 2 3 3 2" xfId="11260"/>
    <cellStyle name="Style 51 4 2 3 3 2" xfId="11261"/>
    <cellStyle name="Style 49 4 2 3 3 2" xfId="11262"/>
    <cellStyle name="Style 45 4 2 3 3 2" xfId="11263"/>
    <cellStyle name="Style 44 4 2 3 3 2" xfId="11264"/>
    <cellStyle name="P-Green Rule 3 2 3 3 2" xfId="11265"/>
    <cellStyle name="PB Table Standard Row 3 2 3 3 2" xfId="11266"/>
    <cellStyle name="dp*ThinLineBelow 3 2 3 3 2" xfId="11267"/>
    <cellStyle name="dp*SubTitle 3 2 3 3 2" xfId="11268"/>
    <cellStyle name="Border Thin 3 2 3 3 2" xfId="11269"/>
    <cellStyle name="Afjusted 4 2 3 3 2" xfId="11270"/>
    <cellStyle name="ac 2 2 2 3 3 2" xfId="11271"/>
    <cellStyle name="Afjusted 2 2 2 3 3 2" xfId="11272"/>
    <cellStyle name="Bold/Border 2 2 2 3 3 2" xfId="11273"/>
    <cellStyle name="COL HEADINGS 2 2 2 3 3 2" xfId="11274"/>
    <cellStyle name="Date [mmm-yyyy] 2 2 2 3 3 2" xfId="11275"/>
    <cellStyle name="dp*NumberLine 2 2 2 3 3 2" xfId="11276"/>
    <cellStyle name="dp*NumberLineEPS 2 2 2 3 3 2" xfId="11277"/>
    <cellStyle name="dp*SheetSubTitle 2 2 2 3 3 2" xfId="11278"/>
    <cellStyle name="Heading [Helv] 2 2 2 3 3 2" xfId="11279"/>
    <cellStyle name="Heading [Palat] 2 2 2 3 3 2" xfId="11280"/>
    <cellStyle name="Magic 2 2 2 3 3 2" xfId="11281"/>
    <cellStyle name="Outputs 2 2 2 3 3 2" xfId="11282"/>
    <cellStyle name="Table Head Aligned 2 2 2 3 3 2" xfId="11283"/>
    <cellStyle name="Table Head Green 2 2 2 3 3 2" xfId="11284"/>
    <cellStyle name="Title [Helv] 2 2 2 3 3 2" xfId="11285"/>
    <cellStyle name="Title [Palat] 2 2 2 3 3 2" xfId="11286"/>
    <cellStyle name="Afjusted 3 2 4 3 2" xfId="11287"/>
    <cellStyle name="Date [mm-d-yyyy] 3 2 4 3 2" xfId="11288"/>
    <cellStyle name="Style 51 4 2 4 3 2" xfId="11289"/>
    <cellStyle name="Style 49 4 2 4 3 2" xfId="11290"/>
    <cellStyle name="Style 45 4 2 4 3 2" xfId="11291"/>
    <cellStyle name="Style 44 4 2 4 3 2" xfId="11292"/>
    <cellStyle name="P-Green Rule 3 2 4 3 2" xfId="11293"/>
    <cellStyle name="PB Table Standard Row 3 2 4 3 2" xfId="11294"/>
    <cellStyle name="dp*ThinLineBelow 3 2 4 3 2" xfId="11295"/>
    <cellStyle name="dp*SubTitle 3 2 4 3 2" xfId="11296"/>
    <cellStyle name="Border Thin 3 2 4 3 2" xfId="11297"/>
    <cellStyle name="Afjusted 4 2 4 3 2" xfId="11298"/>
    <cellStyle name="ac 2 2 2 4 3 2" xfId="11299"/>
    <cellStyle name="Afjusted 2 2 2 4 3 2" xfId="11300"/>
    <cellStyle name="Bold/Border 2 2 2 4 3 2" xfId="11301"/>
    <cellStyle name="COL HEADINGS 2 2 2 4 3 2" xfId="11302"/>
    <cellStyle name="Date [mmm-yyyy] 2 2 2 4 3 2" xfId="11303"/>
    <cellStyle name="dp*NumberLine 2 2 2 4 3 2" xfId="11304"/>
    <cellStyle name="dp*NumberLineEPS 2 2 2 4 3 2" xfId="11305"/>
    <cellStyle name="dp*SheetSubTitle 2 2 2 4 3 2" xfId="11306"/>
    <cellStyle name="Heading [Helv] 2 2 2 4 3 2" xfId="11307"/>
    <cellStyle name="Heading [Palat] 2 2 2 4 3 2" xfId="11308"/>
    <cellStyle name="Magic 2 2 2 4 3 2" xfId="11309"/>
    <cellStyle name="Outputs 2 2 2 4 3 2" xfId="11310"/>
    <cellStyle name="Table Head Aligned 2 2 2 4 3 2" xfId="11311"/>
    <cellStyle name="Table Head Green 2 2 2 4 3 2" xfId="11312"/>
    <cellStyle name="Title [Helv] 2 2 2 4 3 2" xfId="11313"/>
    <cellStyle name="Title [Palat] 2 2 2 4 3 2" xfId="11314"/>
    <cellStyle name="Bold/Border 2 2 3 2 4 2" xfId="11315"/>
    <cellStyle name="Border Thin 4 3 2" xfId="11316"/>
    <cellStyle name="Date [mm-d-yyyy] 4 3 2" xfId="11317"/>
    <cellStyle name="dp*SubTitle 4 3 2" xfId="11318"/>
    <cellStyle name="dp*ThinLineBelow 4 3 2" xfId="11319"/>
    <cellStyle name="PB Table Standard Row 4 3 2" xfId="11320"/>
    <cellStyle name="P-Green Rule 4 3 2" xfId="11321"/>
    <cellStyle name="Style 44 5 3 2" xfId="11322"/>
    <cellStyle name="Style 45 5 3 2" xfId="11323"/>
    <cellStyle name="Style 49 5 3 2" xfId="11324"/>
    <cellStyle name="Style 51 5 3 2" xfId="11325"/>
    <cellStyle name="COL HEADINGS 2 2 3 2 4 2" xfId="11326"/>
    <cellStyle name="ac 2 2 3 2 4 2" xfId="11327"/>
    <cellStyle name="Date [mmm-yyyy] 2 2 3 2 4 2" xfId="11328"/>
    <cellStyle name="SAPBEXresItemX 11" xfId="11329"/>
    <cellStyle name="Table Head Green 6 9" xfId="11330"/>
    <cellStyle name="Title [Palat] 3 3 2" xfId="11331"/>
    <cellStyle name="Title [Helv] 3 3 2" xfId="11332"/>
    <cellStyle name="Table Head Green 3 3 2" xfId="11333"/>
    <cellStyle name="Table Head Aligned 3 3 2" xfId="11334"/>
    <cellStyle name="dp*ThinLineBelow 3 3 3 10" xfId="11335"/>
    <cellStyle name="UNLOCKED 16 5" xfId="11336"/>
    <cellStyle name="Afjusted 5 9" xfId="11337"/>
    <cellStyle name="WingdingsRed 3 4" xfId="11338"/>
    <cellStyle name="Outputs 2 2 2 2 9" xfId="11339"/>
    <cellStyle name="Date [mmm-yyyy] 2 2 3 2 9" xfId="11340"/>
    <cellStyle name="Input 2 2 4" xfId="11341"/>
    <cellStyle name="Heading [Palat] 4 10" xfId="11342"/>
    <cellStyle name="Heading [Helv] 2 2 2 4 10" xfId="11343"/>
    <cellStyle name="SAPBEXexcBad7 2 4" xfId="11344"/>
    <cellStyle name="WingdingsWhite 11" xfId="11345"/>
    <cellStyle name="Afjusted 3 3 2 10" xfId="11346"/>
    <cellStyle name="Outputs 3 3 2" xfId="11347"/>
    <cellStyle name="Style 48 4 5" xfId="11348"/>
    <cellStyle name="Magic 3 3 2" xfId="11349"/>
    <cellStyle name="Bold/Border 3 10" xfId="11350"/>
    <cellStyle name="Heading [Palat] 3 3 2" xfId="11351"/>
    <cellStyle name="Heading [Helv] 3 3 2" xfId="11352"/>
    <cellStyle name="Date [mmm-yyyy] 2 2 3 11" xfId="11353"/>
    <cellStyle name="dp*SheetSubTitle 2 5 7" xfId="11354"/>
    <cellStyle name="dp*SheetSubTitle 3 3 2" xfId="11355"/>
    <cellStyle name="dp*NumberLineEPS 3 3 2" xfId="11356"/>
    <cellStyle name="dp*NumberLine 3 3 2" xfId="11357"/>
    <cellStyle name="COL HEADINGS 3 3 2" xfId="11358"/>
    <cellStyle name="Bold/Border 3 3 2" xfId="11359"/>
    <cellStyle name="Outputs 2 2 3 3 10" xfId="11360"/>
    <cellStyle name="Afjusted 5 3 2" xfId="11361"/>
    <cellStyle name="ac 3 3 2" xfId="11362"/>
    <cellStyle name="dp*NumberLine 2 2 3 2 4 2" xfId="11363"/>
    <cellStyle name="Date [mmm-yyyy] 3 3 2" xfId="11364"/>
    <cellStyle name="dp*NumberLineEPS 2 2 3 2 4 2" xfId="11365"/>
    <cellStyle name="Heading [Palat] 2 9 2" xfId="11366"/>
    <cellStyle name="dp*SheetSubTitle 2 2 3 2 4 2" xfId="11367"/>
    <cellStyle name="ac 2 6 9" xfId="11368"/>
    <cellStyle name="Table Head Aligned 2 2 7 2" xfId="11369"/>
    <cellStyle name="Heading [Helv] 2 6 9" xfId="11370"/>
    <cellStyle name="ac 2 4 3 2" xfId="11371"/>
    <cellStyle name="Afjusted 2 3 3 2" xfId="11372"/>
    <cellStyle name="Bold/Border 2 4 3 2" xfId="11373"/>
    <cellStyle name="Border Thin 2 4 3 2" xfId="11374"/>
    <cellStyle name="COL HEADINGS 2 4 3 2" xfId="11375"/>
    <cellStyle name="Date [mmm-yyyy] 2 4 3 2" xfId="11376"/>
    <cellStyle name="dp*NumberLine 2 4 3 2" xfId="11377"/>
    <cellStyle name="dp*NumberLineEPS 2 4 3 2" xfId="11378"/>
    <cellStyle name="dp*SheetSubTitle 2 4 3 2" xfId="11379"/>
    <cellStyle name="dp*SubTitle 2 4 3 2" xfId="11380"/>
    <cellStyle name="dp*ThinLineBelow 2 4 3 2" xfId="11381"/>
    <cellStyle name="Heading [Helv] 2 4 3 2" xfId="11382"/>
    <cellStyle name="Heading [Palat] 2 4 3 2" xfId="11383"/>
    <cellStyle name="Magic 2 4 3 2" xfId="11384"/>
    <cellStyle name="Outputs 2 4 3 2" xfId="11385"/>
    <cellStyle name="PB Table Standard Row 2 4 3 2" xfId="11386"/>
    <cellStyle name="P-Green Rule 2 4 3 2" xfId="11387"/>
    <cellStyle name="Style 44 3 4 3 2" xfId="11388"/>
    <cellStyle name="Style 45 3 4 3 2" xfId="11389"/>
    <cellStyle name="Style 49 3 4 3 2" xfId="11390"/>
    <cellStyle name="Style 51 3 4 3 2" xfId="11391"/>
    <cellStyle name="Style 44 2 4 3 2" xfId="11392"/>
    <cellStyle name="Style 45 2 4 3 2" xfId="11393"/>
    <cellStyle name="Style 49 2 4 3 2" xfId="11394"/>
    <cellStyle name="Style 51 2 4 3 2" xfId="11395"/>
    <cellStyle name="Table Head Aligned 2 4 3 2" xfId="11396"/>
    <cellStyle name="Table Head Green 2 4 3 2" xfId="11397"/>
    <cellStyle name="Title [Helv] 2 4 3 2" xfId="11398"/>
    <cellStyle name="Title [Palat] 2 4 3 2" xfId="11399"/>
    <cellStyle name="Heading [Helv] 2 2 3 2 4 2" xfId="11400"/>
    <cellStyle name="Style 45 2 6 9" xfId="11401"/>
    <cellStyle name="Heading [Palat] 2 2 3 2 4 2" xfId="11402"/>
    <cellStyle name="Table Head Green 2 2 2 9" xfId="11403"/>
    <cellStyle name="Table Head Green 2 4 4 2" xfId="11404"/>
    <cellStyle name="ac 4 3 2" xfId="11405"/>
    <cellStyle name="dp*SheetSubTitle 3 4 2" xfId="11406"/>
    <cellStyle name="dp*NumberLine 3 4 2" xfId="11407"/>
    <cellStyle name="Heading [Palat] 6 7" xfId="11408"/>
    <cellStyle name="Outputs 3 4 2" xfId="11409"/>
    <cellStyle name="Title [Helv] 3 4 2" xfId="11410"/>
    <cellStyle name="Bold/Border 4 3 2" xfId="11411"/>
    <cellStyle name="Table Head Green 2 3 9" xfId="11412"/>
    <cellStyle name="Border Thin 5 3 2" xfId="11413"/>
    <cellStyle name="P-Green Rule 4 4 2" xfId="11414"/>
    <cellStyle name="dp*SubTitle 4 4 2" xfId="11415"/>
    <cellStyle name="Table Head Green 2 2 2 4 4 2" xfId="11416"/>
    <cellStyle name="Heading [Palat] 2 2 2 4 4 2" xfId="11417"/>
    <cellStyle name="Date [mmm-yyyy] 2 2 2 4 4 2" xfId="11418"/>
    <cellStyle name="P-Green Rule 3 2 4 4 2" xfId="11419"/>
    <cellStyle name="dp*ThinLineBelow 3 2 4 4 2" xfId="11420"/>
    <cellStyle name="COL HEADINGS 4 3 2" xfId="11421"/>
    <cellStyle name="Date [mm-d-yyyy] 3 2 4 4 2" xfId="11422"/>
    <cellStyle name="Magic 2 2 2 3 4 2" xfId="11423"/>
    <cellStyle name="dp*SheetSubTitle 2 2 2 3 4 2" xfId="11424"/>
    <cellStyle name="Date [mmm-yyyy] 2 2 2 3 4 2" xfId="11425"/>
    <cellStyle name="Afjusted 2 2 2 3 4 2" xfId="11426"/>
    <cellStyle name="Border Thin 3 2 3 4 2" xfId="11427"/>
    <cellStyle name="PB Table Standard Row 3 2 3 4 2" xfId="11428"/>
    <cellStyle name="Style 45 4 2 3 4 2" xfId="11429"/>
    <cellStyle name="Date [mm-d-yyyy] 3 2 3 4 2" xfId="11430"/>
    <cellStyle name="Title [Palat] 2 2 2 2 4 2" xfId="11431"/>
    <cellStyle name="Bold/Border 2 2 2 7 2" xfId="11432"/>
    <cellStyle name="Style 45 4 3 7 2" xfId="11433"/>
    <cellStyle name="PB Table Standard Row 3 3 7 2" xfId="11434"/>
    <cellStyle name="Date [mm-d-yyyy] 5 3 2" xfId="11435"/>
    <cellStyle name="Bold/Border 2 2 3 7 2" xfId="11436"/>
    <cellStyle name="Title [Helv] 2 2 3 7 2" xfId="11437"/>
    <cellStyle name="ac 2 2 3 2 10" xfId="11438"/>
    <cellStyle name="Style 45 4 4 4 2" xfId="11439"/>
    <cellStyle name="dp*ThinLineBelow 3 3 3 4 2" xfId="11440"/>
    <cellStyle name="PB Table Standard Row 3 2 4 10" xfId="11441"/>
    <cellStyle name="PB Table Standard Row 3 3 3 4 2" xfId="11442"/>
    <cellStyle name="ac 2 2 3 3 4 2" xfId="11443"/>
    <cellStyle name="Heading [Helv] 2 2 3 3 4 2" xfId="11444"/>
    <cellStyle name="Title [Palat] 2 2 4 4 2" xfId="11445"/>
    <cellStyle name="Outputs 2 2 4 4 2" xfId="11446"/>
    <cellStyle name="Title [Palat] 2 2 3 4 4 2" xfId="11447"/>
    <cellStyle name="dp*SheetSubTitle 2 2 3 4 4 2" xfId="11448"/>
    <cellStyle name="ac 2 2 3 4 4 2" xfId="11449"/>
    <cellStyle name="Afjusted 3 3 4 4 2" xfId="11450"/>
    <cellStyle name="COL HEADINGS 2 2 3 4 4 2" xfId="11451"/>
    <cellStyle name="P-Green Rule 2 2 4 2" xfId="11452"/>
    <cellStyle name="Style 49 3 2 4 2" xfId="11453"/>
    <cellStyle name="Style 49 2 2 4 2" xfId="11454"/>
    <cellStyle name="Title [Helv] 2 2 3 4 4 2" xfId="11455"/>
    <cellStyle name="Bold/Border 2 2 3 4 4 2" xfId="11456"/>
    <cellStyle name="dp*NumberLine 2 5 7" xfId="11457"/>
    <cellStyle name="Heading [Helv] 4 3 2" xfId="11458"/>
    <cellStyle name="Heading [Palat] 4 3 2" xfId="11459"/>
    <cellStyle name="Title [Helv] 2 2 7 2" xfId="11460"/>
    <cellStyle name="Heading [Palat] 2 2 7 2" xfId="11461"/>
    <cellStyle name="COL HEADINGS 2 2 7 2" xfId="11462"/>
    <cellStyle name="ac 2 2 7 2" xfId="11463"/>
    <cellStyle name="Style 51 2 4 7" xfId="11464"/>
    <cellStyle name="Bold/Border 2 2 3 4 9" xfId="11465"/>
    <cellStyle name="COL HEADINGS 3 9" xfId="11466"/>
    <cellStyle name="Outputs 4 3 2" xfId="11467"/>
    <cellStyle name="PB Table Standard Row 5 3 2" xfId="11468"/>
    <cellStyle name="P-Green Rule 5 3 2" xfId="11469"/>
    <cellStyle name="SAPBEXaggItemX 11" xfId="11470"/>
    <cellStyle name="PB Table Standard Row 2 4 4 4" xfId="11471"/>
    <cellStyle name="Table Head Aligned 2 10" xfId="11472"/>
    <cellStyle name="SAPBEXaggItemX 3 5" xfId="11473"/>
    <cellStyle name="Bold/Border 2 11" xfId="11474"/>
    <cellStyle name="Table Head Green 3 9" xfId="11475"/>
    <cellStyle name="Bold/Border 2 2 10" xfId="11476"/>
    <cellStyle name="Style 49 4 8" xfId="11477"/>
    <cellStyle name="ac 2 2 2 11" xfId="11478"/>
    <cellStyle name="Table Head Green 2 2 2 2 9" xfId="11479"/>
    <cellStyle name="Style 44 6 3 2" xfId="11480"/>
    <cellStyle name="Style 45 6 3 2" xfId="11481"/>
    <cellStyle name="Title [Helv] 3 9" xfId="11482"/>
    <cellStyle name="Style 49 6 3 2" xfId="11483"/>
    <cellStyle name="Style 51 6 3 2" xfId="11484"/>
    <cellStyle name="Heading [Palat] 2 3 10" xfId="11485"/>
    <cellStyle name="Table Head Green 4 3 2" xfId="11486"/>
    <cellStyle name="SAPBEXexcCritical5 2 5" xfId="11487"/>
    <cellStyle name="SymbolBlue 6 4" xfId="11488"/>
    <cellStyle name="SAPBEXresItemX 4 4" xfId="11489"/>
    <cellStyle name="Heading [Helv] 2 9 2" xfId="11490"/>
    <cellStyle name="Afjusted 6 3 2" xfId="11491"/>
    <cellStyle name="ac 2 5 3 2" xfId="11492"/>
    <cellStyle name="Afjusted 2 4 3 2" xfId="11493"/>
    <cellStyle name="Bold/Border 2 5 3 2" xfId="11494"/>
    <cellStyle name="Border Thin 2 5 3 2" xfId="11495"/>
    <cellStyle name="COL HEADINGS 2 5 3 2" xfId="11496"/>
    <cellStyle name="Date [mmm-yyyy] 2 5 3 2" xfId="11497"/>
    <cellStyle name="dp*NumberLine 2 5 3 2" xfId="11498"/>
    <cellStyle name="dp*NumberLineEPS 2 5 3 2" xfId="11499"/>
    <cellStyle name="dp*SheetSubTitle 2 5 3 2" xfId="11500"/>
    <cellStyle name="dp*SubTitle 2 5 3 2" xfId="11501"/>
    <cellStyle name="dp*ThinLineBelow 2 5 3 2" xfId="11502"/>
    <cellStyle name="Heading [Helv] 2 5 3 2" xfId="11503"/>
    <cellStyle name="Heading [Palat] 2 5 3 2" xfId="11504"/>
    <cellStyle name="Magic 2 5 3 2" xfId="11505"/>
    <cellStyle name="Outputs 2 5 3 2" xfId="11506"/>
    <cellStyle name="PB Table Standard Row 2 5 3 2" xfId="11507"/>
    <cellStyle name="P-Green Rule 2 5 3 2" xfId="11508"/>
    <cellStyle name="Style 44 3 5 3 2" xfId="11509"/>
    <cellStyle name="Style 45 3 5 3 2" xfId="11510"/>
    <cellStyle name="Style 49 3 5 3 2" xfId="11511"/>
    <cellStyle name="Style 51 3 5 3 2" xfId="11512"/>
    <cellStyle name="Style 44 2 5 3 2" xfId="11513"/>
    <cellStyle name="Style 45 2 5 3 2" xfId="11514"/>
    <cellStyle name="Style 49 2 5 3 2" xfId="11515"/>
    <cellStyle name="Style 51 2 5 3 2" xfId="11516"/>
    <cellStyle name="Table Head Aligned 2 5 3 2" xfId="11517"/>
    <cellStyle name="Table Head Green 2 5 3 2" xfId="11518"/>
    <cellStyle name="Title [Helv] 2 5 3 2" xfId="11519"/>
    <cellStyle name="Title [Palat] 2 5 3 2" xfId="11520"/>
    <cellStyle name="Magic 2 2 3 2 4 2" xfId="11521"/>
    <cellStyle name="Table Head Green 2 3 4 2" xfId="11522"/>
    <cellStyle name="Outputs 2 2 3 2 4 2" xfId="11523"/>
    <cellStyle name="Heading [Palat] 2 2 3 4 4 2" xfId="11524"/>
    <cellStyle name="P-Green Rule 5 4 2" xfId="11525"/>
    <cellStyle name="Date [mm-d-yyyy] 5 4 2" xfId="11526"/>
    <cellStyle name="ac 4 4 2" xfId="11527"/>
    <cellStyle name="Table Head Aligned 2 4 4 2" xfId="11528"/>
    <cellStyle name="ac 5 3 2" xfId="11529"/>
    <cellStyle name="Bold/Border 3 4 2" xfId="11530"/>
    <cellStyle name="dp*NumberLineEPS 3 4 2" xfId="11531"/>
    <cellStyle name="Bold/Border 6 7" xfId="11532"/>
    <cellStyle name="dp*NumberLineEPS 4 7" xfId="11533"/>
    <cellStyle name="Magic 3 9" xfId="11534"/>
    <cellStyle name="Heading [Helv] 3 4 2" xfId="11535"/>
    <cellStyle name="Title [Palat] 3 4 2" xfId="11536"/>
    <cellStyle name="Bold/Border 5 3 2" xfId="11537"/>
    <cellStyle name="Border Thin 6 3 2" xfId="11538"/>
    <cellStyle name="PB Table Standard Row 4 4 2" xfId="11539"/>
    <cellStyle name="Date [mm-d-yyyy] 4 4 2" xfId="11540"/>
    <cellStyle name="Title [Palat] 2 2 2 4 4 2" xfId="11541"/>
    <cellStyle name="Table Head Aligned 2 2 2 4 4 2" xfId="11542"/>
    <cellStyle name="Heading [Helv] 2 2 2 4 4 2" xfId="11543"/>
    <cellStyle name="COL HEADINGS 2 2 2 4 4 2" xfId="11544"/>
    <cellStyle name="Style 44 4 2 4 4 2" xfId="11545"/>
    <cellStyle name="PB Table Standard Row 3 2 4 4 2" xfId="11546"/>
    <cellStyle name="COL HEADINGS 5 3 2" xfId="11547"/>
    <cellStyle name="Afjusted 3 2 4 4 2" xfId="11548"/>
    <cellStyle name="Heading [Palat] 2 2 2 3 4 2" xfId="11549"/>
    <cellStyle name="dp*NumberLineEPS 2 2 2 3 4 2" xfId="11550"/>
    <cellStyle name="COL HEADINGS 2 2 2 3 4 2" xfId="11551"/>
    <cellStyle name="ac 2 2 2 3 4 2" xfId="11552"/>
    <cellStyle name="dp*SubTitle 3 2 3 4 2" xfId="11553"/>
    <cellStyle name="P-Green Rule 3 2 3 4 2" xfId="11554"/>
    <cellStyle name="Style 49 4 2 3 4 2" xfId="11555"/>
    <cellStyle name="Afjusted 3 2 3 4 2" xfId="11556"/>
    <cellStyle name="Title [Helv] 2 2 2 2 4 2" xfId="11557"/>
    <cellStyle name="Afjusted 2 2 2 7 2" xfId="11558"/>
    <cellStyle name="Date [mm-d-yyyy] 3 3 7 2" xfId="11559"/>
    <cellStyle name="Style 51 4 3 7 2" xfId="11560"/>
    <cellStyle name="Style 44 4 3 7 2" xfId="11561"/>
    <cellStyle name="dp*ThinLineBelow 3 3 7 2" xfId="11562"/>
    <cellStyle name="Afjusted 4 3 7 2" xfId="11563"/>
    <cellStyle name="Date [mm-d-yyyy] 6 2 2" xfId="11564"/>
    <cellStyle name="COL HEADINGS 2 2 3 7 2" xfId="11565"/>
    <cellStyle name="Title [Palat] 2 2 3 7 2" xfId="11566"/>
    <cellStyle name="Millions 6 4" xfId="11567"/>
    <cellStyle name="Afjusted 2 2 4 4 2" xfId="11568"/>
    <cellStyle name="Border Thin 3 3 4 4 2" xfId="11569"/>
    <cellStyle name="Style 49 4 4 4 2" xfId="11570"/>
    <cellStyle name="Title [Palat] 2 3 10" xfId="11571"/>
    <cellStyle name="Afjusted 2 2 3 3 4 2" xfId="11572"/>
    <cellStyle name="Style 49 4 2 11" xfId="11573"/>
    <cellStyle name="Style 37 5 4" xfId="11574"/>
    <cellStyle name="Border Thin 3 3 3 4 2" xfId="11575"/>
    <cellStyle name="COL HEADINGS 2 2 3 3 4 2" xfId="11576"/>
    <cellStyle name="Magic 2 2 3 3 4 2" xfId="11577"/>
    <cellStyle name="Title [Helv] 2 2 4 4 2" xfId="11578"/>
    <cellStyle name="Heading [Palat] 2 2 4 4 2" xfId="11579"/>
    <cellStyle name="Table Head Aligned 2 2 3 4 4 2" xfId="11580"/>
    <cellStyle name="dp*NumberLineEPS 2 2 3 4 4 2" xfId="11581"/>
    <cellStyle name="Afjusted 4 3 4 4 2" xfId="11582"/>
    <cellStyle name="Style 44 3 3 4 2" xfId="11583"/>
    <cellStyle name="dp*ThinLineBelow 2 2 4 2" xfId="11584"/>
    <cellStyle name="Style 44 3 2 4 2" xfId="11585"/>
    <cellStyle name="Style 51 3 2 4 2" xfId="11586"/>
    <cellStyle name="Style 45 2 2 4 2" xfId="11587"/>
    <cellStyle name="Magic 2 2 3 4 4 2" xfId="11588"/>
    <cellStyle name="COL HEADINGS 2 5 7" xfId="11589"/>
    <cellStyle name="DateYearEstimate 4 5" xfId="11590"/>
    <cellStyle name="Heading [Helv] 5 3 2" xfId="11591"/>
    <cellStyle name="Heading [Palat] 5 3 2" xfId="11592"/>
    <cellStyle name="Table Head Green 2 2 7 2" xfId="11593"/>
    <cellStyle name="Heading [Helv] 2 2 7 2" xfId="11594"/>
    <cellStyle name="Bold/Border 2 2 7 2" xfId="11595"/>
    <cellStyle name="Outputs 2 3 9" xfId="11596"/>
    <cellStyle name="SAPBEXHLevel3 3 4" xfId="11597"/>
    <cellStyle name="Arial6Bold 3 4" xfId="11598"/>
    <cellStyle name="Style 49 2 8 2" xfId="11599"/>
    <cellStyle name="Table Head Aligned 2 2 3 2 7" xfId="11600"/>
    <cellStyle name="Outputs 5 3 2" xfId="11601"/>
    <cellStyle name="PB Table Standard Row 6 3 2" xfId="11602"/>
    <cellStyle name="P-Green Rule 6 3 2" xfId="11603"/>
    <cellStyle name="dp*ThinLineBelow 3 2 4 10" xfId="11604"/>
    <cellStyle name="Style 49 2 10" xfId="11605"/>
    <cellStyle name="Outputs 2 11" xfId="11606"/>
    <cellStyle name="dp*SheetSubTitle 2 10" xfId="11607"/>
    <cellStyle name="ac 2 11" xfId="11608"/>
    <cellStyle name="Table Head Aligned 2 2 4 9" xfId="11609"/>
    <cellStyle name="dp*NumberLineEPS 2 2 3 11" xfId="11610"/>
    <cellStyle name="Arial6Bold 10" xfId="11611"/>
    <cellStyle name="Border Thin 3 4 6" xfId="11612"/>
    <cellStyle name="Date [mmm-yyyy] 2 2 2 11" xfId="11613"/>
    <cellStyle name="Date [mm-d-yyyy] 3 3 2 9" xfId="11614"/>
    <cellStyle name="Afjusted 4 2 3 9" xfId="11615"/>
    <cellStyle name="Style 44 7 3 2" xfId="11616"/>
    <cellStyle name="Style 45 7 3 2" xfId="11617"/>
    <cellStyle name="Style 52 3 4" xfId="11618"/>
    <cellStyle name="Style 49 7 3 2" xfId="11619"/>
    <cellStyle name="UNLOCKED 17 4" xfId="11620"/>
    <cellStyle name="Style 51 7 3 2" xfId="11621"/>
    <cellStyle name="COL HEADINGS 2 3 10" xfId="11622"/>
    <cellStyle name="Table Head Green 5 3 2" xfId="11623"/>
    <cellStyle name="Draw shadow and lines within range 12" xfId="11624"/>
    <cellStyle name="Title [Palat] 4 3 2" xfId="11625"/>
    <cellStyle name="Style 52 6 4" xfId="11626"/>
    <cellStyle name="SAPBEXexcBad7 9" xfId="11627"/>
    <cellStyle name="Style 51 8 7" xfId="11628"/>
    <cellStyle name="Style 49 2 3 9" xfId="11629"/>
    <cellStyle name="Style 44 6 7" xfId="11630"/>
    <cellStyle name="ac 2 6 3 2" xfId="11631"/>
    <cellStyle name="Bold/Border 2 6 3 2" xfId="11632"/>
    <cellStyle name="Border Thin 2 6 3 2" xfId="11633"/>
    <cellStyle name="COL HEADINGS 2 6 3 2" xfId="11634"/>
    <cellStyle name="Date [mm-d-yyyy] 2 3 2 2" xfId="11635"/>
    <cellStyle name="Bold/Border 2 2 3 3 4 2" xfId="11636"/>
    <cellStyle name="Table Head Aligned 2 2 2 3 10" xfId="11637"/>
    <cellStyle name="Heading [Helv] 2 6 3 2" xfId="11638"/>
    <cellStyle name="Heading [Palat] 2 6 3 2" xfId="11639"/>
    <cellStyle name="Outputs 2 2 3 3 4 2" xfId="11640"/>
    <cellStyle name="Outputs 2 6 3 2" xfId="11641"/>
    <cellStyle name="PB Table Standard Row 2 6 3 2" xfId="11642"/>
    <cellStyle name="P-Green Rule 2 6 3 2" xfId="11643"/>
    <cellStyle name="Style 44 3 6 3 2" xfId="11644"/>
    <cellStyle name="Style 45 3 6 3 2" xfId="11645"/>
    <cellStyle name="Style 49 3 6 3 2" xfId="11646"/>
    <cellStyle name="Style 51 3 6 3 2" xfId="11647"/>
    <cellStyle name="Style 44 2 6 3 2" xfId="11648"/>
    <cellStyle name="Style 45 2 6 3 2" xfId="11649"/>
    <cellStyle name="Style 49 2 6 3 2" xfId="11650"/>
    <cellStyle name="Style 51 2 6 3 2" xfId="11651"/>
    <cellStyle name="Table Head Green 2 6 3 2" xfId="11652"/>
    <cellStyle name="Title [Palat] 2 6 3 2" xfId="11653"/>
    <cellStyle name="Table Head Green 2 2 3 4 4 2" xfId="11654"/>
    <cellStyle name="Table Head Green 2 2 2 7 2" xfId="11655"/>
    <cellStyle name="Title [Helv] 2 11" xfId="11656"/>
    <cellStyle name="Outputs 2 2 2 7 2" xfId="11657"/>
    <cellStyle name="PB Table Standard Row 2 4 5 2" xfId="11658"/>
    <cellStyle name="Magic 6 6" xfId="11659"/>
    <cellStyle name="Outputs 7 6" xfId="11660"/>
    <cellStyle name="Title [Helv] 2 2 3 2 4 2" xfId="11661"/>
    <cellStyle name="Magic 2 2 2 2 9" xfId="11662"/>
    <cellStyle name="dp*NumberLine 5 6" xfId="11663"/>
    <cellStyle name="Heading [Palat] 7 6" xfId="11664"/>
    <cellStyle name="Heading [Helv] 7 6" xfId="11665"/>
    <cellStyle name="ac 2 2 3 12" xfId="11666"/>
    <cellStyle name="PB Table Standard Row 3 5 4 2" xfId="11667"/>
    <cellStyle name="P-Green Rule 3 2 2 4 2" xfId="11668"/>
    <cellStyle name="COL HEADINGS 2 2 3 12" xfId="11669"/>
    <cellStyle name="Style 49 4 2 2 4 2" xfId="11670"/>
    <cellStyle name="UNLOCKED 9 5" xfId="11671"/>
    <cellStyle name="dp*NumberLineEPS 2 8 2" xfId="11672"/>
    <cellStyle name="Heading [Helv] 2 2 2 7 2" xfId="11673"/>
    <cellStyle name="Heading [Palat] 2 2 2 12" xfId="11674"/>
    <cellStyle name="Style 48 6 4" xfId="11675"/>
    <cellStyle name="Title [Palat] 5 3 2" xfId="11676"/>
    <cellStyle name="Title [Helv] 4 3 2" xfId="11677"/>
    <cellStyle name="Table Head Green 6 3 2" xfId="11678"/>
    <cellStyle name="Table Head Aligned 4 3 2" xfId="11679"/>
    <cellStyle name="Format a row of totals 4 4" xfId="11680"/>
    <cellStyle name="Arial8Italic 4 4" xfId="11681"/>
    <cellStyle name="UNLOCKED 18 4" xfId="11682"/>
    <cellStyle name="Style 48 3 4" xfId="11683"/>
    <cellStyle name="dp*NumberLine 2 2 2 3 9" xfId="11684"/>
    <cellStyle name="Afjusted 3 2 2 9" xfId="11685"/>
    <cellStyle name="Magic 2 2 2 11" xfId="11686"/>
    <cellStyle name="Style 51 3 2 8" xfId="11687"/>
    <cellStyle name="SAPBEXexcGood1 2 4" xfId="11688"/>
    <cellStyle name="Style 27 10" xfId="11689"/>
    <cellStyle name="SAPBEXresData 9" xfId="11690"/>
    <cellStyle name="SSFixed2 9" xfId="11691"/>
    <cellStyle name="SAPBEXresItem 2 5" xfId="11692"/>
    <cellStyle name="UNLOCKED 8 5" xfId="11693"/>
    <cellStyle name="P-Green Rule 5 10" xfId="11694"/>
    <cellStyle name="dp*ThinLineBelow 2 5 10" xfId="11695"/>
    <cellStyle name="Style 52 12" xfId="11696"/>
    <cellStyle name="Border Thin 3 5 8" xfId="11697"/>
    <cellStyle name="Date [mmm-yyyy] 2 2 3 2 10" xfId="11698"/>
    <cellStyle name="P-Green Rule 2 2 9" xfId="11699"/>
    <cellStyle name="dp*NumberLine 2 10" xfId="11700"/>
    <cellStyle name="Outputs 2 2 2 3 10" xfId="11701"/>
    <cellStyle name="Style 45 2 9" xfId="11702"/>
    <cellStyle name="FieldName 2 5" xfId="11703"/>
    <cellStyle name="Border 10" xfId="11704"/>
    <cellStyle name="DateYearWholeEstimate 3 4" xfId="11705"/>
    <cellStyle name="SAPBEXresData 8" xfId="11706"/>
    <cellStyle name="Bold/Border 2 2 3 3 10" xfId="11707"/>
    <cellStyle name="Arial6Bold 4 4" xfId="11708"/>
    <cellStyle name="SAPBEXexcCritical5 9" xfId="11709"/>
    <cellStyle name="Bold/Border 2 2 9" xfId="11710"/>
    <cellStyle name="Heading [Palat] 2 2 9" xfId="11711"/>
    <cellStyle name="COL HEADINGS 6 7" xfId="11712"/>
    <cellStyle name="dp*ThinLineBelow 5 6" xfId="11713"/>
    <cellStyle name="dp*ThinLineAbove 3 4" xfId="11714"/>
    <cellStyle name="Outputs 6 3 2" xfId="11715"/>
    <cellStyle name="Format text as bold, black on yellow 5 4" xfId="11716"/>
    <cellStyle name="Table Head Aligned 3 10" xfId="11717"/>
    <cellStyle name="Magic 4 3 2" xfId="11718"/>
    <cellStyle name="ac 2 5 7" xfId="11719"/>
    <cellStyle name="dp*NumberLine 2 2 7 2" xfId="11720"/>
    <cellStyle name="Heading [Palat] 6 3 2" xfId="11721"/>
    <cellStyle name="Heading [Helv] 6 3 2" xfId="11722"/>
    <cellStyle name="Title [Palat] 2 2 3 4 9" xfId="11723"/>
    <cellStyle name="Bold/Border 2 5 7" xfId="11724"/>
    <cellStyle name="Date [mmm-yyyy] 2 2 2 2 10" xfId="11725"/>
    <cellStyle name="Style 51 7 9" xfId="11726"/>
    <cellStyle name="Date [mm-d-yyyy] 3 3 3 10" xfId="11727"/>
    <cellStyle name="dp*ThinLineBelow 5 3 2" xfId="11728"/>
    <cellStyle name="dp*SubTitle 5 3 2" xfId="11729"/>
    <cellStyle name="dp*SheetSubTitle 4 3 2" xfId="11730"/>
    <cellStyle name="dp*NumberLineEPS 4 3 2" xfId="11731"/>
    <cellStyle name="dp*NumberLine 4 3 2" xfId="11732"/>
    <cellStyle name="ac 2 3 4 2" xfId="11733"/>
    <cellStyle name="Style 45 6 9" xfId="11734"/>
    <cellStyle name="Date [mmm-yyyy] 2 2 3 3 4 2" xfId="11735"/>
    <cellStyle name="Title [Helv] 2 3 4 2" xfId="11736"/>
    <cellStyle name="Calculation 2 6" xfId="11737"/>
    <cellStyle name="SAPBEXHLevel0X 2 4" xfId="11738"/>
    <cellStyle name="Date [mmm-yyyy] 4 3 2" xfId="11739"/>
    <cellStyle name="Date [mm-d-yyyy] 7 3 2" xfId="11740"/>
    <cellStyle name="COL HEADINGS 6 3 2" xfId="11741"/>
    <cellStyle name="dp*SheetSubTitle 2 2 2 4 4 2" xfId="11742"/>
    <cellStyle name="Border Thin 7 3 2" xfId="11743"/>
    <cellStyle name="Bold/Border 6 3 2" xfId="11744"/>
    <cellStyle name="Style 51 4 3 2 9" xfId="11745"/>
    <cellStyle name="dp*SubTitle 5 5" xfId="11746"/>
    <cellStyle name="Border Thin 7 5" xfId="11747"/>
    <cellStyle name="Afjusted 7 3 2" xfId="11748"/>
    <cellStyle name="ac 6 3 2" xfId="11749"/>
    <cellStyle name="dp*SheetSubTitle 2 2 9" xfId="11750"/>
    <cellStyle name="ac 2 2 9" xfId="11751"/>
    <cellStyle name="Style 44 2 5 9" xfId="11752"/>
    <cellStyle name="dp*ThinLineBelow 3 7" xfId="11753"/>
    <cellStyle name="COL HEADINGS 2 2 2 12" xfId="11754"/>
    <cellStyle name="COL HEADINGS 2 2 4 10" xfId="11755"/>
    <cellStyle name="Style 22 2 5" xfId="11756"/>
    <cellStyle name="Currency-- 48" xfId="11757"/>
    <cellStyle name="Style 51 4 3 4 10" xfId="11758"/>
    <cellStyle name="Millions 3 4" xfId="11759"/>
    <cellStyle name="Style 51 4 3 10" xfId="11760"/>
    <cellStyle name="dp*SheetSubTitle 2 2 3 4 10" xfId="11761"/>
    <cellStyle name="FieldName 3 5" xfId="11762"/>
    <cellStyle name="dp*SheetSubTitle 2 5 10" xfId="11763"/>
    <cellStyle name="Style 44 8 3 2" xfId="11764"/>
    <cellStyle name="Style 45 8 3 2" xfId="11765"/>
    <cellStyle name="Style 49 8 3 2" xfId="11766"/>
    <cellStyle name="Style 51 8 3 2" xfId="11767"/>
    <cellStyle name="Border Thin 3 8" xfId="11768"/>
    <cellStyle name="SAPBEXHLevel2 2 5" xfId="11769"/>
    <cellStyle name="SAPBEXHLevel0 11" xfId="11770"/>
    <cellStyle name="Table Head Aligned 2 2 2 7 4 2" xfId="11771"/>
    <cellStyle name="Arial8Bold 2 4" xfId="11772"/>
    <cellStyle name="SAPBEXexcGood3 2 4" xfId="11773"/>
    <cellStyle name="dp*SheetSubTitle 2 2 3 3 9" xfId="11774"/>
    <cellStyle name="Style 35 3 5" xfId="11775"/>
    <cellStyle name="Total 2 6" xfId="11776"/>
    <cellStyle name="Style 44 4 2 2 8" xfId="11777"/>
    <cellStyle name="Heading [Palat] 2 2 2 3 9" xfId="11778"/>
    <cellStyle name="Style 28 3 4" xfId="11779"/>
    <cellStyle name="Border Thin 3 5 5 4" xfId="11780"/>
    <cellStyle name="Bold/Border 2 9 2" xfId="11781"/>
    <cellStyle name="Afjusted 3 2 2 4 2" xfId="11782"/>
    <cellStyle name="Style 44 4 2 2 4 2" xfId="11783"/>
    <cellStyle name="Heading [Helv] 2 2 2 2 4 2" xfId="11784"/>
    <cellStyle name="Style 45 4 5 4 2" xfId="11785"/>
    <cellStyle name="Afjusted 4 3 2 4 2" xfId="11786"/>
    <cellStyle name="PB Table Standard Row 2 3 3 2" xfId="11787"/>
    <cellStyle name="SymbolBlue 11" xfId="11788"/>
    <cellStyle name="Style 51 4 2 2 4 2" xfId="11789"/>
    <cellStyle name="Style 21 3 5" xfId="11790"/>
    <cellStyle name="SAPBEXstdDataEmph 2 4" xfId="11791"/>
    <cellStyle name="Afjusted 3 5 5 4" xfId="11792"/>
    <cellStyle name="Title [Palat] 6 3 2" xfId="11793"/>
    <cellStyle name="Title [Helv] 5 3 2" xfId="11794"/>
    <cellStyle name="Table Head Green 7 3 2" xfId="11795"/>
    <cellStyle name="Table Head Aligned 5 3 2" xfId="11796"/>
    <cellStyle name="Outputs 7 3 2" xfId="11797"/>
    <cellStyle name="Magic 5 3 2" xfId="11798"/>
    <cellStyle name="Heading [Palat] 7 3 2" xfId="11799"/>
    <cellStyle name="Heading [Helv] 7 3 2" xfId="11800"/>
    <cellStyle name="dp*SheetSubTitle 5 3 2" xfId="11801"/>
    <cellStyle name="dp*NumberLineEPS 5 3 2" xfId="11802"/>
    <cellStyle name="dp*NumberLine 5 3 2" xfId="11803"/>
    <cellStyle name="Date [mmm-yyyy] 5 3 2" xfId="11804"/>
    <cellStyle name="COL HEADINGS 7 3 2" xfId="11805"/>
    <cellStyle name="Bold/Border 7 3 2" xfId="11806"/>
    <cellStyle name="Afjusted 8 3 2" xfId="11807"/>
    <cellStyle name="ac 7 3 2" xfId="11808"/>
    <cellStyle name="SAPBEXHLevel0 4 4" xfId="11809"/>
    <cellStyle name="Title [Palat] 7 3 2" xfId="11810"/>
    <cellStyle name="Title [Helv] 6 3 2" xfId="11811"/>
    <cellStyle name="Table Head Green 8 3 2" xfId="11812"/>
    <cellStyle name="Table Head Aligned 6 3 2" xfId="11813"/>
    <cellStyle name="Bold/Border 2 2 4 10" xfId="11814"/>
    <cellStyle name="Bold/Border 4 10" xfId="11815"/>
    <cellStyle name="Afjusted 2 3 9" xfId="11816"/>
    <cellStyle name="Style 27 3 4" xfId="11817"/>
    <cellStyle name="Title [Palat] 2 2 2 3 9" xfId="11818"/>
    <cellStyle name="Style 51 4 5 8" xfId="11819"/>
    <cellStyle name="Style 26 3 5" xfId="11820"/>
    <cellStyle name="SAPBEXHLevel0 2 4" xfId="11821"/>
    <cellStyle name="Style 50 12" xfId="11822"/>
    <cellStyle name="DateYearWholeEstimate 2 4" xfId="11823"/>
    <cellStyle name="SAPBEXexcGood1 9" xfId="11824"/>
    <cellStyle name="Arial8Bold 4 5" xfId="11825"/>
    <cellStyle name="UNLOCKED 22 5" xfId="11826"/>
    <cellStyle name="Title [Palat] 2 2 2 4 10" xfId="11827"/>
    <cellStyle name="dp*SubTitle 2 4 10" xfId="11828"/>
    <cellStyle name="Header2 2 5" xfId="11829"/>
    <cellStyle name="Afjusted 4 3 2 10" xfId="11830"/>
    <cellStyle name="Date [mmm-yyyy] 2 10" xfId="11831"/>
    <cellStyle name="Style 49 3 10" xfId="11832"/>
    <cellStyle name="PB Table Standard Row 3 3 4 9" xfId="11833"/>
    <cellStyle name="Date [mm-d-yyyy] 3 3 2 10" xfId="11834"/>
    <cellStyle name="dp*ThinLineBelow 2 2 9" xfId="11835"/>
    <cellStyle name="dp*NumberLine 2 2 9" xfId="11836"/>
    <cellStyle name="Outputs 8 3 2" xfId="11837"/>
    <cellStyle name="COL HEADINGS 2 2 2 2 10" xfId="11838"/>
    <cellStyle name="Magic 6 3 2" xfId="11839"/>
    <cellStyle name="Heading [Palat] 8 3 2" xfId="11840"/>
    <cellStyle name="Heading [Helv] 8 3 2" xfId="11841"/>
    <cellStyle name="dp*SheetSubTitle 6 3 2" xfId="11842"/>
    <cellStyle name="dp*NumberLineEPS 6 3 2" xfId="11843"/>
    <cellStyle name="dp*NumberLine 6 3 2" xfId="11844"/>
    <cellStyle name="COL HEADINGS 2 2 2 4 10" xfId="11845"/>
    <cellStyle name="Style 43 2 4" xfId="11846"/>
    <cellStyle name="COL HEADINGS 8 3 2" xfId="11847"/>
    <cellStyle name="dp*NumberLineEPS 2 2 2 4 4 2" xfId="11848"/>
    <cellStyle name="Bold/Border 8 3 2" xfId="11849"/>
    <cellStyle name="Magic 4 7" xfId="11850"/>
    <cellStyle name="Date [mm-d-yyyy] 7 6" xfId="11851"/>
    <cellStyle name="Style 27 9" xfId="11852"/>
    <cellStyle name="Afjusted 9 3 2" xfId="11853"/>
    <cellStyle name="ac 8 3 2" xfId="11854"/>
    <cellStyle name="Afjusted 3 13" xfId="11855"/>
    <cellStyle name="Date [mmm-yyyy] 6 3 2" xfId="11856"/>
    <cellStyle name="Title [Palat] 8 3 2" xfId="11857"/>
    <cellStyle name="Title [Helv] 7 3 2" xfId="11858"/>
    <cellStyle name="Table Head Green 9 3 2" xfId="11859"/>
    <cellStyle name="Table Head Aligned 7 3 2" xfId="11860"/>
    <cellStyle name="Outputs 9 3 2" xfId="11861"/>
    <cellStyle name="Magic 7 3 2" xfId="11862"/>
    <cellStyle name="Heading [Palat] 9 3 2" xfId="11863"/>
    <cellStyle name="Heading [Helv] 9 3 2" xfId="11864"/>
    <cellStyle name="dp*SheetSubTitle 7 3 2" xfId="11865"/>
    <cellStyle name="dp*NumberLineEPS 7 3 2" xfId="11866"/>
    <cellStyle name="dp*NumberLine 7 3 2" xfId="11867"/>
    <cellStyle name="Date [mmm-yyyy] 7 3 2" xfId="11868"/>
    <cellStyle name="COL HEADINGS 9 3 2" xfId="11869"/>
    <cellStyle name="Bold/Border 9 3 2" xfId="11870"/>
    <cellStyle name="Afjusted 10 3 2" xfId="11871"/>
    <cellStyle name="ac 9 3 2" xfId="11872"/>
    <cellStyle name="Title [Palat] 2 2 2 7 2" xfId="11873"/>
    <cellStyle name="Heading [Palat] 3 4 2" xfId="11874"/>
    <cellStyle name="Afjusted 3 2 7 2" xfId="11875"/>
    <cellStyle name="dp*NumberLine 2 2 3 4 7" xfId="11876"/>
    <cellStyle name="Afjusted 3 6 2 2" xfId="11877"/>
    <cellStyle name="ac 2 7 2 2" xfId="11878"/>
    <cellStyle name="Afjusted 2 5 2 2" xfId="11879"/>
    <cellStyle name="Bold/Border 2 7 2 2" xfId="11880"/>
    <cellStyle name="COL HEADINGS 2 7 2 2" xfId="11881"/>
    <cellStyle name="Date [mmm-yyyy] 2 6 2 2" xfId="11882"/>
    <cellStyle name="dp*NumberLine 2 6 2 2" xfId="11883"/>
    <cellStyle name="dp*NumberLineEPS 2 6 2 2" xfId="11884"/>
    <cellStyle name="dp*SheetSubTitle 2 6 2 2" xfId="11885"/>
    <cellStyle name="Heading [Helv] 2 7 2 2" xfId="11886"/>
    <cellStyle name="Heading [Palat] 2 7 2 2" xfId="11887"/>
    <cellStyle name="Magic 2 6 2 2" xfId="11888"/>
    <cellStyle name="Outputs 2 7 2 2" xfId="11889"/>
    <cellStyle name="Table Head Aligned 2 6 2 2" xfId="11890"/>
    <cellStyle name="Table Head Green 2 7 2 2" xfId="11891"/>
    <cellStyle name="Title [Helv] 2 6 2 2" xfId="11892"/>
    <cellStyle name="Title [Palat] 2 7 2 2" xfId="11893"/>
    <cellStyle name="Date [mm-d-yyyy] 3 6 2 2" xfId="11894"/>
    <cellStyle name="Style 51 4 6 2 2" xfId="11895"/>
    <cellStyle name="Style 49 4 6 2 2" xfId="11896"/>
    <cellStyle name="Style 45 4 6 2 2" xfId="11897"/>
    <cellStyle name="Style 44 4 6 2 2" xfId="11898"/>
    <cellStyle name="P-Green Rule 3 6 2 2" xfId="11899"/>
    <cellStyle name="PB Table Standard Row 3 6 2 2" xfId="11900"/>
    <cellStyle name="dp*ThinLineBelow 3 6 2 2" xfId="11901"/>
    <cellStyle name="dp*SubTitle 3 6 2 2" xfId="11902"/>
    <cellStyle name="Border Thin 3 6 2 2" xfId="11903"/>
    <cellStyle name="Afjusted 4 6 2 2" xfId="11904"/>
    <cellStyle name="ac 2 2 5 2 2" xfId="11905"/>
    <cellStyle name="Afjusted 2 2 6 2 2" xfId="11906"/>
    <cellStyle name="Bold/Border 2 2 5 2 2" xfId="11907"/>
    <cellStyle name="COL HEADINGS 2 2 5 2 2" xfId="11908"/>
    <cellStyle name="Date [mmm-yyyy] 2 2 5 2 2" xfId="11909"/>
    <cellStyle name="dp*NumberLine 2 2 5 2 2" xfId="11910"/>
    <cellStyle name="dp*NumberLineEPS 2 2 5 2 2" xfId="11911"/>
    <cellStyle name="dp*SheetSubTitle 2 2 5 2 2" xfId="11912"/>
    <cellStyle name="Heading [Helv] 2 2 5 2 2" xfId="11913"/>
    <cellStyle name="Heading [Palat] 2 2 5 2 2" xfId="11914"/>
    <cellStyle name="Magic 2 2 5 2 2" xfId="11915"/>
    <cellStyle name="Outputs 2 2 5 2 2" xfId="11916"/>
    <cellStyle name="Table Head Aligned 2 2 5 2 2" xfId="11917"/>
    <cellStyle name="Table Head Green 2 2 5 2 2" xfId="11918"/>
    <cellStyle name="Title [Helv] 2 2 5 2 2" xfId="11919"/>
    <cellStyle name="Title [Palat] 2 2 5 2 2" xfId="11920"/>
    <cellStyle name="dp*SubTitle 2 2 2 2 2" xfId="11921"/>
    <cellStyle name="Border Thin 2 2 2 2 2" xfId="11922"/>
    <cellStyle name="Bold/Border 2 2 3 4 2 2 2" xfId="11923"/>
    <cellStyle name="Magic 2 2 3 4 2 2 2" xfId="11924"/>
    <cellStyle name="Title [Helv] 2 2 3 4 2 2 2" xfId="11925"/>
    <cellStyle name="Style 51 2 2 2 2 2" xfId="11926"/>
    <cellStyle name="Style 45 2 2 2 2 2" xfId="11927"/>
    <cellStyle name="Style 49 2 2 2 2 2" xfId="11928"/>
    <cellStyle name="Style 44 2 2 2 2 2" xfId="11929"/>
    <cellStyle name="Style 51 3 2 2 2 2" xfId="11930"/>
    <cellStyle name="Style 49 3 2 2 2 2" xfId="11931"/>
    <cellStyle name="Style 45 3 2 2 2 2" xfId="11932"/>
    <cellStyle name="Style 44 3 2 2 2 2" xfId="11933"/>
    <cellStyle name="P-Green Rule 2 2 2 2 2" xfId="11934"/>
    <cellStyle name="PB Table Standard Row 2 2 2 2 2" xfId="11935"/>
    <cellStyle name="dp*ThinLineBelow 2 2 2 2 2" xfId="11936"/>
    <cellStyle name="dp*ThinLineBelow 2 3 2 2 2" xfId="11937"/>
    <cellStyle name="Style 44 3 3 2 2 2" xfId="11938"/>
    <cellStyle name="COL HEADINGS 2 2 3 4 2 2 2" xfId="11939"/>
    <cellStyle name="Style 49 4 3 4 2 2 2" xfId="11940"/>
    <cellStyle name="Afjusted 3 3 4 2 2 2" xfId="11941"/>
    <cellStyle name="Date [mm-d-yyyy] 3 3 4 2 2 2" xfId="11942"/>
    <cellStyle name="Afjusted 4 3 4 2 2 2" xfId="11943"/>
    <cellStyle name="ac 2 2 3 4 2 2 2" xfId="11944"/>
    <cellStyle name="Afjusted 2 2 3 4 2 2 2" xfId="11945"/>
    <cellStyle name="Date [mmm-yyyy] 2 2 3 4 2 2 2" xfId="11946"/>
    <cellStyle name="dp*NumberLine 2 2 3 4 2 2 2" xfId="11947"/>
    <cellStyle name="dp*NumberLineEPS 2 2 3 4 2 2 2" xfId="11948"/>
    <cellStyle name="dp*SheetSubTitle 2 2 3 4 2 2 2" xfId="11949"/>
    <cellStyle name="Heading [Helv] 2 2 3 4 2 2 2" xfId="11950"/>
    <cellStyle name="Outputs 2 2 3 4 2 2 2" xfId="11951"/>
    <cellStyle name="Table Head Aligned 2 2 3 4 2 2 2" xfId="11952"/>
    <cellStyle name="Title [Palat] 2 2 3 4 2 2 2" xfId="11953"/>
    <cellStyle name="Afjusted 3 5 2 2 2" xfId="11954"/>
    <cellStyle name="Style 45 3 3 2 2 2" xfId="11955"/>
    <cellStyle name="Style 51 3 3 2 2 2" xfId="11956"/>
    <cellStyle name="Style 44 2 3 2 2 2" xfId="11957"/>
    <cellStyle name="Style 45 2 3 2 2 2" xfId="11958"/>
    <cellStyle name="Style 49 2 3 2 2 2" xfId="11959"/>
    <cellStyle name="Border Thin 3 5 2 2 2" xfId="11960"/>
    <cellStyle name="ac 2 2 4 2 2 2" xfId="11961"/>
    <cellStyle name="Afjusted 2 2 5 2 2 2" xfId="11962"/>
    <cellStyle name="Bold/Border 2 2 4 2 2 2" xfId="11963"/>
    <cellStyle name="COL HEADINGS 2 2 4 2 2 2" xfId="11964"/>
    <cellStyle name="Date [mmm-yyyy] 2 2 4 2 2 2" xfId="11965"/>
    <cellStyle name="dp*NumberLine 2 2 4 2 2 2" xfId="11966"/>
    <cellStyle name="dp*NumberLineEPS 2 2 4 2 2 2" xfId="11967"/>
    <cellStyle name="dp*SheetSubTitle 2 2 4 2 2 2" xfId="11968"/>
    <cellStyle name="Heading [Palat] 2 2 4 2 2 2" xfId="11969"/>
    <cellStyle name="Outputs 2 2 4 2 2 2" xfId="11970"/>
    <cellStyle name="Magic 2 2 4 2 2 2" xfId="11971"/>
    <cellStyle name="Title [Helv] 2 2 4 2 2 2" xfId="11972"/>
    <cellStyle name="Title [Palat] 2 2 4 2 2 2" xfId="11973"/>
    <cellStyle name="Title [Palat] 2 2 3 3 2 2 2" xfId="11974"/>
    <cellStyle name="Title [Helv] 2 2 3 3 2 2 2" xfId="11975"/>
    <cellStyle name="Table Head Aligned 2 2 3 3 2 2 2" xfId="11976"/>
    <cellStyle name="Magic 2 2 3 3 2 2 2" xfId="11977"/>
    <cellStyle name="Heading [Helv] 2 2 3 3 2 2 2" xfId="11978"/>
    <cellStyle name="dp*NumberLineEPS 2 2 3 3 2 2 2" xfId="11979"/>
    <cellStyle name="COL HEADINGS 2 2 3 3 2 2 2" xfId="11980"/>
    <cellStyle name="ac 2 2 3 3 2 2 2" xfId="11981"/>
    <cellStyle name="Afjusted 4 3 3 2 2 2" xfId="11982"/>
    <cellStyle name="Border Thin 3 3 3 2 2 2" xfId="11983"/>
    <cellStyle name="PB Table Standard Row 3 3 3 2 2 2" xfId="11984"/>
    <cellStyle name="Style 44 4 3 3 2 2 2" xfId="11985"/>
    <cellStyle name="Style 51 4 3 3 2 2 2" xfId="11986"/>
    <cellStyle name="Afjusted 3 3 3 2 2 2" xfId="11987"/>
    <cellStyle name="Style 49 4 5 2 2 2" xfId="11988"/>
    <cellStyle name="Style 44 4 5 2 2 2" xfId="11989"/>
    <cellStyle name="P-Green Rule 3 5 2 2 2" xfId="11990"/>
    <cellStyle name="dp*SubTitle 3 5 2 2 2" xfId="11991"/>
    <cellStyle name="Afjusted 4 5 2 2 2" xfId="11992"/>
    <cellStyle name="ac 2 3 2 2 2" xfId="11993"/>
    <cellStyle name="Bold/Border 2 3 2 2 2" xfId="11994"/>
    <cellStyle name="COL HEADINGS 2 3 2 2 2" xfId="11995"/>
    <cellStyle name="Date [mmm-yyyy] 2 3 2 2 2" xfId="11996"/>
    <cellStyle name="dp*NumberLine 2 3 2 2 2" xfId="11997"/>
    <cellStyle name="dp*NumberLineEPS 2 3 2 2 2" xfId="11998"/>
    <cellStyle name="dp*SheetSubTitle 2 3 2 2 2" xfId="11999"/>
    <cellStyle name="Heading [Helv] 2 3 2 2 2" xfId="12000"/>
    <cellStyle name="Heading [Palat] 2 3 2 2 2" xfId="12001"/>
    <cellStyle name="Magic 2 3 2 2 2" xfId="12002"/>
    <cellStyle name="Outputs 2 3 2 2 2" xfId="12003"/>
    <cellStyle name="Date [mmm-yyyy] 2 2 3 3 2 2 2" xfId="12004"/>
    <cellStyle name="Afjusted 2 2 3 3 2 2 2" xfId="12005"/>
    <cellStyle name="dp*ThinLineBelow 3 3 3 2 2 2" xfId="12006"/>
    <cellStyle name="Style 49 4 3 3 2 2 2" xfId="12007"/>
    <cellStyle name="Outputs 2 2 3 3 2 2 2" xfId="12008"/>
    <cellStyle name="dp*NumberLine 2 2 3 3 2 2 2" xfId="12009"/>
    <cellStyle name="Bold/Border 2 2 3 3 2 2 2" xfId="12010"/>
    <cellStyle name="dp*SubTitle 3 3 3 2 2 2" xfId="12011"/>
    <cellStyle name="Style 45 4 3 3 2 2 2" xfId="12012"/>
    <cellStyle name="Table Head Aligned 2 3 2 2 2" xfId="12013"/>
    <cellStyle name="Table Head Green 2 3 2 2 2" xfId="12014"/>
    <cellStyle name="Title [Helv] 2 3 2 2 2" xfId="12015"/>
    <cellStyle name="Title [Palat] 2 3 2 2 2" xfId="12016"/>
    <cellStyle name="Style 45 4 3 4 2 2 2" xfId="12017"/>
    <cellStyle name="Style 51 4 3 4 2 2 2" xfId="12018"/>
    <cellStyle name="Afjusted 3 4 2 2 2" xfId="12019"/>
    <cellStyle name="P-Green Rule 3 3 4 2 2 2" xfId="12020"/>
    <cellStyle name="Border Thin 2 3 2 2 2" xfId="12021"/>
    <cellStyle name="Style 49 3 3 2 2 2" xfId="12022"/>
    <cellStyle name="Style 51 2 3 2 2 2" xfId="12023"/>
    <cellStyle name="Heading [Helv] 2 2 4 2 2 2" xfId="12024"/>
    <cellStyle name="Table Head Aligned 2 2 4 2 2 2" xfId="12025"/>
    <cellStyle name="Table Head Green 2 2 4 2 2 2" xfId="12026"/>
    <cellStyle name="Table Head Green 2 2 3 3 2 2 2" xfId="12027"/>
    <cellStyle name="Heading [Palat] 2 2 3 3 2 2 2" xfId="12028"/>
    <cellStyle name="dp*SheetSubTitle 2 2 3 3 2 2 2" xfId="12029"/>
    <cellStyle name="P-Green Rule 3 3 3 2 2 2" xfId="12030"/>
    <cellStyle name="Date [mm-d-yyyy] 3 3 3 2 2 2" xfId="12031"/>
    <cellStyle name="Date [mm-d-yyyy] 3 4 2 2 2" xfId="12032"/>
    <cellStyle name="Style 51 4 4 2 2 2" xfId="12033"/>
    <cellStyle name="Style 49 4 4 2 2 2" xfId="12034"/>
    <cellStyle name="Style 45 4 4 2 2 2" xfId="12035"/>
    <cellStyle name="Style 44 4 4 2 2 2" xfId="12036"/>
    <cellStyle name="dp*ThinLineBelow 3 3 4 2 2 2" xfId="12037"/>
    <cellStyle name="P-Green Rule 3 4 2 2 2" xfId="12038"/>
    <cellStyle name="dp*ThinLineBelow 3 4 2 2 2" xfId="12039"/>
    <cellStyle name="dp*SubTitle 3 4 2 2 2" xfId="12040"/>
    <cellStyle name="dp*SubTitle 3 3 4 2 2 2" xfId="12041"/>
    <cellStyle name="Border Thin 3 4 2 2 2" xfId="12042"/>
    <cellStyle name="Border Thin 3 3 4 2 2 2" xfId="12043"/>
    <cellStyle name="Afjusted 4 4 2 2 2" xfId="12044"/>
    <cellStyle name="Afjusted 2 2 4 2 2 2" xfId="12045"/>
    <cellStyle name="Style 44 4 3 4 2 2 2" xfId="12046"/>
    <cellStyle name="PB Table Standard Row 3 3 4 2 2 2" xfId="12047"/>
    <cellStyle name="Title [Palat] 2 2 3 5 2 2" xfId="12048"/>
    <cellStyle name="Title [Helv] 2 2 3 5 2 2" xfId="12049"/>
    <cellStyle name="Table Head Green 2 2 3 5 2 2" xfId="12050"/>
    <cellStyle name="Table Head Aligned 2 2 3 5 2 2" xfId="12051"/>
    <cellStyle name="Outputs 2 2 3 5 2 2" xfId="12052"/>
    <cellStyle name="Magic 2 2 3 5 2 2" xfId="12053"/>
    <cellStyle name="Heading [Palat] 2 2 3 5 2 2" xfId="12054"/>
    <cellStyle name="Heading [Helv] 2 2 3 5 2 2" xfId="12055"/>
    <cellStyle name="dp*SheetSubTitle 2 2 3 5 2 2" xfId="12056"/>
    <cellStyle name="dp*NumberLineEPS 2 2 3 5 2 2" xfId="12057"/>
    <cellStyle name="dp*NumberLine 2 2 3 5 2 2" xfId="12058"/>
    <cellStyle name="Date [mmm-yyyy] 2 2 3 5 2 2" xfId="12059"/>
    <cellStyle name="COL HEADINGS 2 2 3 5 2 2" xfId="12060"/>
    <cellStyle name="Bold/Border 2 2 3 5 2 2" xfId="12061"/>
    <cellStyle name="Afjusted 2 2 3 5 2 2" xfId="12062"/>
    <cellStyle name="ac 2 2 3 5 2 2" xfId="12063"/>
    <cellStyle name="Afjusted 4 3 5 2 2" xfId="12064"/>
    <cellStyle name="Border Thin 3 3 5 2 2" xfId="12065"/>
    <cellStyle name="dp*SubTitle 3 3 5 2 2" xfId="12066"/>
    <cellStyle name="dp*ThinLineBelow 3 3 5 2 2" xfId="12067"/>
    <cellStyle name="PB Table Standard Row 3 3 5 2 2" xfId="12068"/>
    <cellStyle name="P-Green Rule 3 3 5 2 2" xfId="12069"/>
    <cellStyle name="Style 44 4 3 5 2 2" xfId="12070"/>
    <cellStyle name="Style 45 4 3 5 2 2" xfId="12071"/>
    <cellStyle name="Style 49 4 3 5 2 2" xfId="12072"/>
    <cellStyle name="Style 51 4 3 5 2 2" xfId="12073"/>
    <cellStyle name="Date [mm-d-yyyy] 3 3 5 2 2" xfId="12074"/>
    <cellStyle name="Afjusted 3 3 5 2 2" xfId="12075"/>
    <cellStyle name="Date [mm-d-yyyy] 2 2 4 2 2" xfId="12076"/>
    <cellStyle name="Afjusted 3 2 5 2 2" xfId="12077"/>
    <cellStyle name="Date [mm-d-yyyy] 3 2 5 2 2" xfId="12078"/>
    <cellStyle name="Style 51 4 2 5 2 2" xfId="12079"/>
    <cellStyle name="Style 49 4 2 5 2 2" xfId="12080"/>
    <cellStyle name="Style 45 4 2 5 2 2" xfId="12081"/>
    <cellStyle name="Style 44 4 2 5 2 2" xfId="12082"/>
    <cellStyle name="P-Green Rule 3 2 5 2 2" xfId="12083"/>
    <cellStyle name="dp*ThinLineBelow 3 2 5 2 2" xfId="12084"/>
    <cellStyle name="dp*SubTitle 3 2 5 2 2" xfId="12085"/>
    <cellStyle name="Border Thin 3 2 5 2 2" xfId="12086"/>
    <cellStyle name="Afjusted 4 2 5 2 2" xfId="12087"/>
    <cellStyle name="ac 2 2 2 5 2 2" xfId="12088"/>
    <cellStyle name="Afjusted 2 2 2 5 2 2" xfId="12089"/>
    <cellStyle name="Bold/Border 2 2 2 5 2 2" xfId="12090"/>
    <cellStyle name="COL HEADINGS 2 2 2 5 2 2" xfId="12091"/>
    <cellStyle name="Date [mmm-yyyy] 2 2 2 5 2 2" xfId="12092"/>
    <cellStyle name="dp*NumberLine 2 2 2 5 2 2" xfId="12093"/>
    <cellStyle name="dp*NumberLineEPS 2 2 2 5 2 2" xfId="12094"/>
    <cellStyle name="dp*SheetSubTitle 2 2 2 5 2 2" xfId="12095"/>
    <cellStyle name="Heading [Helv] 2 2 2 5 2 2" xfId="12096"/>
    <cellStyle name="Heading [Palat] 2 2 2 5 2 2" xfId="12097"/>
    <cellStyle name="Magic 2 2 2 5 2 2" xfId="12098"/>
    <cellStyle name="Outputs 2 2 2 5 2 2" xfId="12099"/>
    <cellStyle name="Table Head Aligned 2 2 2 5 2 2" xfId="12100"/>
    <cellStyle name="Table Head Green 2 2 2 5 2 2" xfId="12101"/>
    <cellStyle name="Title [Helv] 2 2 2 5 2 2" xfId="12102"/>
    <cellStyle name="Title [Palat] 2 2 2 5 2 2" xfId="12103"/>
    <cellStyle name="Table Head Green 2 2 3 4 2 2 2" xfId="12104"/>
    <cellStyle name="Heading [Palat] 2 2 3 4 2 2 2" xfId="12105"/>
    <cellStyle name="PB Table Standard Row 2 3 2 2 2" xfId="12106"/>
    <cellStyle name="P-Green Rule 2 3 2 2 2" xfId="12107"/>
    <cellStyle name="Title [Palat] 2 2 3 2 2 2 2" xfId="12108"/>
    <cellStyle name="Title [Helv] 2 2 3 2 2 2 2" xfId="12109"/>
    <cellStyle name="Table Head Green 2 2 3 2 2 2 2" xfId="12110"/>
    <cellStyle name="Table Head Aligned 2 2 3 2 2 2 2" xfId="12111"/>
    <cellStyle name="Outputs 2 2 3 2 2 2 2" xfId="12112"/>
    <cellStyle name="Magic 2 2 3 2 2 2 2" xfId="12113"/>
    <cellStyle name="Heading [Palat] 2 2 3 2 2 2 2" xfId="12114"/>
    <cellStyle name="Heading [Helv] 2 2 3 2 2 2 2" xfId="12115"/>
    <cellStyle name="dp*SheetSubTitle 2 2 3 2 2 2 2" xfId="12116"/>
    <cellStyle name="dp*NumberLineEPS 2 2 3 2 2 2 2" xfId="12117"/>
    <cellStyle name="dp*NumberLine 2 2 3 2 2 2 2" xfId="12118"/>
    <cellStyle name="Date [mmm-yyyy] 2 2 3 2 2 2 2" xfId="12119"/>
    <cellStyle name="COL HEADINGS 2 2 3 2 2 2 2" xfId="12120"/>
    <cellStyle name="Bold/Border 2 2 3 2 2 2 2" xfId="12121"/>
    <cellStyle name="Afjusted 2 2 3 2 2 2 2" xfId="12122"/>
    <cellStyle name="ac 2 2 3 2 2 2 2" xfId="12123"/>
    <cellStyle name="Afjusted 4 3 2 2 2 2" xfId="12124"/>
    <cellStyle name="Border Thin 3 3 2 2 2 2" xfId="12125"/>
    <cellStyle name="dp*SubTitle 3 3 2 2 2 2" xfId="12126"/>
    <cellStyle name="dp*ThinLineBelow 3 3 2 2 2 2" xfId="12127"/>
    <cellStyle name="PB Table Standard Row 3 3 2 2 2 2" xfId="12128"/>
    <cellStyle name="P-Green Rule 3 3 2 2 2 2" xfId="12129"/>
    <cellStyle name="Style 44 4 3 2 2 2 2" xfId="12130"/>
    <cellStyle name="Style 45 4 3 2 2 2 2" xfId="12131"/>
    <cellStyle name="Style 49 4 3 2 2 2 2" xfId="12132"/>
    <cellStyle name="Style 51 4 3 2 2 2 2" xfId="12133"/>
    <cellStyle name="Date [mm-d-yyyy] 3 3 2 2 2 2" xfId="12134"/>
    <cellStyle name="Afjusted 3 3 2 2 2 2" xfId="12135"/>
    <cellStyle name="Date [mm-d-yyyy] 3 5 2 2 2" xfId="12136"/>
    <cellStyle name="dp*SubTitle 2 3 2 2 2" xfId="12137"/>
    <cellStyle name="Date [mm-d-yyyy] 2 2 2 2 2 2" xfId="12138"/>
    <cellStyle name="Afjusted 3 2 2 2 2 2" xfId="12139"/>
    <cellStyle name="PB Table Standard Row 3 5 2 2 2" xfId="12140"/>
    <cellStyle name="Date [mm-d-yyyy] 3 2 2 2 2 2" xfId="12141"/>
    <cellStyle name="Style 51 4 2 2 2 2 2" xfId="12142"/>
    <cellStyle name="Style 49 4 2 2 2 2 2" xfId="12143"/>
    <cellStyle name="Style 45 4 2 2 2 2 2" xfId="12144"/>
    <cellStyle name="Style 44 4 2 2 2 2 2" xfId="12145"/>
    <cellStyle name="Style 45 4 5 2 2 2" xfId="12146"/>
    <cellStyle name="P-Green Rule 3 2 2 2 2 2" xfId="12147"/>
    <cellStyle name="PB Table Standard Row 3 2 2 2 2 2" xfId="12148"/>
    <cellStyle name="dp*ThinLineBelow 3 2 2 2 2 2" xfId="12149"/>
    <cellStyle name="dp*SubTitle 3 2 2 2 2 2" xfId="12150"/>
    <cellStyle name="Style 51 4 5 2 2 2" xfId="12151"/>
    <cellStyle name="Border Thin 3 2 2 2 2 2" xfId="12152"/>
    <cellStyle name="Afjusted 4 2 2 2 2 2" xfId="12153"/>
    <cellStyle name="ac 2 2 2 2 2 2 2" xfId="12154"/>
    <cellStyle name="Afjusted 2 2 2 2 2 2 2" xfId="12155"/>
    <cellStyle name="Bold/Border 2 2 2 2 2 2 2" xfId="12156"/>
    <cellStyle name="COL HEADINGS 2 2 2 2 2 2 2" xfId="12157"/>
    <cellStyle name="Date [mmm-yyyy] 2 2 2 2 2 2 2" xfId="12158"/>
    <cellStyle name="dp*NumberLine 2 2 2 2 2 2 2" xfId="12159"/>
    <cellStyle name="dp*NumberLineEPS 2 2 2 2 2 2 2" xfId="12160"/>
    <cellStyle name="dp*SheetSubTitle 2 2 2 2 2 2 2" xfId="12161"/>
    <cellStyle name="Heading [Helv] 2 2 2 2 2 2 2" xfId="12162"/>
    <cellStyle name="Heading [Palat] 2 2 2 2 2 2 2" xfId="12163"/>
    <cellStyle name="Magic 2 2 2 2 2 2 2" xfId="12164"/>
    <cellStyle name="Outputs 2 2 2 2 2 2 2" xfId="12165"/>
    <cellStyle name="Table Head Aligned 2 2 2 2 2 2 2" xfId="12166"/>
    <cellStyle name="Table Head Green 2 2 2 2 2 2 2" xfId="12167"/>
    <cellStyle name="Title [Helv] 2 2 2 2 2 2 2" xfId="12168"/>
    <cellStyle name="Title [Palat] 2 2 2 2 2 2 2" xfId="12169"/>
    <cellStyle name="dp*ThinLineBelow 3 5 2 2 2" xfId="12170"/>
    <cellStyle name="Date [mm-d-yyyy] 2 2 3 2 2 2" xfId="12171"/>
    <cellStyle name="Afjusted 3 2 3 2 2 2" xfId="12172"/>
    <cellStyle name="Date [mm-d-yyyy] 3 2 3 2 2 2" xfId="12173"/>
    <cellStyle name="Style 51 4 2 3 2 2 2" xfId="12174"/>
    <cellStyle name="Style 49 4 2 3 2 2 2" xfId="12175"/>
    <cellStyle name="Style 45 4 2 3 2 2 2" xfId="12176"/>
    <cellStyle name="Style 44 4 2 3 2 2 2" xfId="12177"/>
    <cellStyle name="P-Green Rule 3 2 3 2 2 2" xfId="12178"/>
    <cellStyle name="PB Table Standard Row 3 2 3 2 2 2" xfId="12179"/>
    <cellStyle name="dp*ThinLineBelow 3 2 3 2 2 2" xfId="12180"/>
    <cellStyle name="dp*SubTitle 3 2 3 2 2 2" xfId="12181"/>
    <cellStyle name="Border Thin 3 2 3 2 2 2" xfId="12182"/>
    <cellStyle name="Afjusted 4 2 3 2 2 2" xfId="12183"/>
    <cellStyle name="ac 2 2 2 3 2 2 2" xfId="12184"/>
    <cellStyle name="Afjusted 2 2 2 3 2 2 2" xfId="12185"/>
    <cellStyle name="Bold/Border 2 2 2 3 2 2 2" xfId="12186"/>
    <cellStyle name="COL HEADINGS 2 2 2 3 2 2 2" xfId="12187"/>
    <cellStyle name="Date [mmm-yyyy] 2 2 2 3 2 2 2" xfId="12188"/>
    <cellStyle name="dp*NumberLine 2 2 2 3 2 2 2" xfId="12189"/>
    <cellStyle name="dp*NumberLineEPS 2 2 2 3 2 2 2" xfId="12190"/>
    <cellStyle name="dp*SheetSubTitle 2 2 2 3 2 2 2" xfId="12191"/>
    <cellStyle name="Heading [Helv] 2 2 2 3 2 2 2" xfId="12192"/>
    <cellStyle name="Heading [Palat] 2 2 2 3 2 2 2" xfId="12193"/>
    <cellStyle name="Magic 2 2 2 3 2 2 2" xfId="12194"/>
    <cellStyle name="Outputs 2 2 2 3 2 2 2" xfId="12195"/>
    <cellStyle name="Table Head Aligned 2 2 2 3 2 2 2" xfId="12196"/>
    <cellStyle name="Table Head Green 2 2 2 3 2 2 2" xfId="12197"/>
    <cellStyle name="Title [Helv] 2 2 2 3 2 2 2" xfId="12198"/>
    <cellStyle name="Title [Palat] 2 2 2 3 2 2 2" xfId="12199"/>
    <cellStyle name="Afjusted 3 2 4 2 2 2" xfId="12200"/>
    <cellStyle name="Date [mm-d-yyyy] 3 2 4 2 2 2" xfId="12201"/>
    <cellStyle name="Style 51 4 2 4 2 2 2" xfId="12202"/>
    <cellStyle name="Style 49 4 2 4 2 2 2" xfId="12203"/>
    <cellStyle name="Style 45 4 2 4 2 2 2" xfId="12204"/>
    <cellStyle name="Style 44 4 2 4 2 2 2" xfId="12205"/>
    <cellStyle name="P-Green Rule 3 2 4 2 2 2" xfId="12206"/>
    <cellStyle name="PB Table Standard Row 3 2 4 2 2 2" xfId="12207"/>
    <cellStyle name="dp*ThinLineBelow 3 2 4 2 2 2" xfId="12208"/>
    <cellStyle name="dp*SubTitle 3 2 4 2 2 2" xfId="12209"/>
    <cellStyle name="Border Thin 3 2 4 2 2 2" xfId="12210"/>
    <cellStyle name="Afjusted 4 2 4 2 2 2" xfId="12211"/>
    <cellStyle name="ac 2 2 2 4 2 2 2" xfId="12212"/>
    <cellStyle name="Afjusted 2 2 2 4 2 2 2" xfId="12213"/>
    <cellStyle name="Bold/Border 2 2 2 4 2 2 2" xfId="12214"/>
    <cellStyle name="COL HEADINGS 2 2 2 4 2 2 2" xfId="12215"/>
    <cellStyle name="Date [mmm-yyyy] 2 2 2 4 2 2 2" xfId="12216"/>
    <cellStyle name="dp*NumberLine 2 2 2 4 2 2 2" xfId="12217"/>
    <cellStyle name="dp*NumberLineEPS 2 2 2 4 2 2 2" xfId="12218"/>
    <cellStyle name="dp*SheetSubTitle 2 2 2 4 2 2 2" xfId="12219"/>
    <cellStyle name="Heading [Helv] 2 2 2 4 2 2 2" xfId="12220"/>
    <cellStyle name="Heading [Palat] 2 2 2 4 2 2 2" xfId="12221"/>
    <cellStyle name="Magic 2 2 2 4 2 2 2" xfId="12222"/>
    <cellStyle name="Outputs 2 2 2 4 2 2 2" xfId="12223"/>
    <cellStyle name="Table Head Aligned 2 2 2 4 2 2 2" xfId="12224"/>
    <cellStyle name="Table Head Green 2 2 2 4 2 2 2" xfId="12225"/>
    <cellStyle name="Title [Helv] 2 2 2 4 2 2 2" xfId="12226"/>
    <cellStyle name="Title [Palat] 2 2 2 4 2 2 2" xfId="12227"/>
    <cellStyle name="Border Thin 4 2 2 2" xfId="12228"/>
    <cellStyle name="Date [mm-d-yyyy] 4 2 2 2" xfId="12229"/>
    <cellStyle name="dp*SubTitle 4 2 2 2" xfId="12230"/>
    <cellStyle name="dp*ThinLineBelow 4 2 2 2" xfId="12231"/>
    <cellStyle name="PB Table Standard Row 4 2 2 2" xfId="12232"/>
    <cellStyle name="P-Green Rule 4 2 2 2" xfId="12233"/>
    <cellStyle name="Style 44 5 2 2 2" xfId="12234"/>
    <cellStyle name="Style 45 5 2 2 2" xfId="12235"/>
    <cellStyle name="Style 49 5 2 2 2" xfId="12236"/>
    <cellStyle name="Style 51 5 2 2 2" xfId="12237"/>
    <cellStyle name="Title [Palat] 3 2 2 2" xfId="12238"/>
    <cellStyle name="Title [Helv] 3 2 2 2" xfId="12239"/>
    <cellStyle name="Table Head Green 3 2 2 2" xfId="12240"/>
    <cellStyle name="Table Head Aligned 3 2 2 2" xfId="12241"/>
    <cellStyle name="Outputs 3 2 2 2" xfId="12242"/>
    <cellStyle name="Magic 3 2 2 2" xfId="12243"/>
    <cellStyle name="Heading [Palat] 3 2 2 2" xfId="12244"/>
    <cellStyle name="Heading [Helv] 3 2 2 2" xfId="12245"/>
    <cellStyle name="dp*SheetSubTitle 3 2 2 2" xfId="12246"/>
    <cellStyle name="dp*NumberLineEPS 3 2 2 2" xfId="12247"/>
    <cellStyle name="dp*NumberLine 3 2 2 2" xfId="12248"/>
    <cellStyle name="COL HEADINGS 3 2 2 2" xfId="12249"/>
    <cellStyle name="Bold/Border 3 2 2 2" xfId="12250"/>
    <cellStyle name="Afjusted 5 2 2 2" xfId="12251"/>
    <cellStyle name="ac 3 2 2 2" xfId="12252"/>
    <cellStyle name="Date [mmm-yyyy] 3 2 2 2" xfId="12253"/>
    <cellStyle name="ac 2 4 2 2 2" xfId="12254"/>
    <cellStyle name="Afjusted 2 3 2 2 2" xfId="12255"/>
    <cellStyle name="Bold/Border 2 4 2 2 2" xfId="12256"/>
    <cellStyle name="Border Thin 2 4 2 2 2" xfId="12257"/>
    <cellStyle name="COL HEADINGS 2 4 2 2 2" xfId="12258"/>
    <cellStyle name="Date [mmm-yyyy] 2 4 2 2 2" xfId="12259"/>
    <cellStyle name="dp*NumberLine 2 4 2 2 2" xfId="12260"/>
    <cellStyle name="dp*NumberLineEPS 2 4 2 2 2" xfId="12261"/>
    <cellStyle name="dp*SheetSubTitle 2 4 2 2 2" xfId="12262"/>
    <cellStyle name="dp*SubTitle 2 4 2 2 2" xfId="12263"/>
    <cellStyle name="dp*ThinLineBelow 2 4 2 2 2" xfId="12264"/>
    <cellStyle name="Heading [Helv] 2 4 2 2 2" xfId="12265"/>
    <cellStyle name="Heading [Palat] 2 4 2 2 2" xfId="12266"/>
    <cellStyle name="Magic 2 4 2 2 2" xfId="12267"/>
    <cellStyle name="Outputs 2 4 2 2 2" xfId="12268"/>
    <cellStyle name="PB Table Standard Row 2 4 2 2 2" xfId="12269"/>
    <cellStyle name="P-Green Rule 2 4 2 2 2" xfId="12270"/>
    <cellStyle name="Style 44 3 4 2 2 2" xfId="12271"/>
    <cellStyle name="Style 45 3 4 2 2 2" xfId="12272"/>
    <cellStyle name="Style 49 3 4 2 2 2" xfId="12273"/>
    <cellStyle name="Style 51 3 4 2 2 2" xfId="12274"/>
    <cellStyle name="Style 44 2 4 2 2 2" xfId="12275"/>
    <cellStyle name="Style 45 2 4 2 2 2" xfId="12276"/>
    <cellStyle name="Style 49 2 4 2 2 2" xfId="12277"/>
    <cellStyle name="Style 51 2 4 2 2 2" xfId="12278"/>
    <cellStyle name="Table Head Aligned 2 4 2 2 2" xfId="12279"/>
    <cellStyle name="Table Head Green 2 4 2 2 2" xfId="12280"/>
    <cellStyle name="Title [Helv] 2 4 2 2 2" xfId="12281"/>
    <cellStyle name="Title [Palat] 2 4 2 2 2" xfId="12282"/>
    <cellStyle name="ac 4 2 2 2" xfId="12283"/>
    <cellStyle name="Bold/Border 4 2 2 2" xfId="12284"/>
    <cellStyle name="Border Thin 5 2 2 2" xfId="12285"/>
    <cellStyle name="COL HEADINGS 4 2 2 2" xfId="12286"/>
    <cellStyle name="Date [mm-d-yyyy] 5 2 2 2" xfId="12287"/>
    <cellStyle name="Heading [Helv] 4 2 2 2" xfId="12288"/>
    <cellStyle name="Heading [Palat] 4 2 2 2" xfId="12289"/>
    <cellStyle name="Outputs 4 2 2 2" xfId="12290"/>
    <cellStyle name="PB Table Standard Row 5 2 2 2" xfId="12291"/>
    <cellStyle name="P-Green Rule 5 2 2 2" xfId="12292"/>
    <cellStyle name="Style 44 6 2 2 2" xfId="12293"/>
    <cellStyle name="Style 45 6 2 2 2" xfId="12294"/>
    <cellStyle name="Style 49 6 2 2 2" xfId="12295"/>
    <cellStyle name="Style 51 6 2 2 2" xfId="12296"/>
    <cellStyle name="Table Head Green 4 2 2 2" xfId="12297"/>
    <cellStyle name="Afjusted 6 2 2 2" xfId="12298"/>
    <cellStyle name="ac 2 5 2 2 2" xfId="12299"/>
    <cellStyle name="Afjusted 2 4 2 2 2" xfId="12300"/>
    <cellStyle name="Bold/Border 2 5 2 2 2" xfId="12301"/>
    <cellStyle name="Border Thin 2 5 2 2 2" xfId="12302"/>
    <cellStyle name="COL HEADINGS 2 5 2 2 2" xfId="12303"/>
    <cellStyle name="Date [mmm-yyyy] 2 5 2 2 2" xfId="12304"/>
    <cellStyle name="dp*NumberLine 2 5 2 2 2" xfId="12305"/>
    <cellStyle name="dp*NumberLineEPS 2 5 2 2 2" xfId="12306"/>
    <cellStyle name="dp*SheetSubTitle 2 5 2 2 2" xfId="12307"/>
    <cellStyle name="dp*SubTitle 2 5 2 2 2" xfId="12308"/>
    <cellStyle name="dp*ThinLineBelow 2 5 2 2 2" xfId="12309"/>
    <cellStyle name="Heading [Helv] 2 5 2 2 2" xfId="12310"/>
    <cellStyle name="Heading [Palat] 2 5 2 2 2" xfId="12311"/>
    <cellStyle name="Magic 2 5 2 2 2" xfId="12312"/>
    <cellStyle name="Outputs 2 5 2 2 2" xfId="12313"/>
    <cellStyle name="PB Table Standard Row 2 5 2 2 2" xfId="12314"/>
    <cellStyle name="P-Green Rule 2 5 2 2 2" xfId="12315"/>
    <cellStyle name="Style 44 3 5 2 2 2" xfId="12316"/>
    <cellStyle name="Style 45 3 5 2 2 2" xfId="12317"/>
    <cellStyle name="Style 49 3 5 2 2 2" xfId="12318"/>
    <cellStyle name="Style 51 3 5 2 2 2" xfId="12319"/>
    <cellStyle name="Style 44 2 5 2 2 2" xfId="12320"/>
    <cellStyle name="Style 45 2 5 2 2 2" xfId="12321"/>
    <cellStyle name="Style 49 2 5 2 2 2" xfId="12322"/>
    <cellStyle name="Style 51 2 5 2 2 2" xfId="12323"/>
    <cellStyle name="Table Head Aligned 2 5 2 2 2" xfId="12324"/>
    <cellStyle name="Table Head Green 2 5 2 2 2" xfId="12325"/>
    <cellStyle name="Title [Helv] 2 5 2 2 2" xfId="12326"/>
    <cellStyle name="Title [Palat] 2 5 2 2 2" xfId="12327"/>
    <cellStyle name="ac 5 2 2 2" xfId="12328"/>
    <cellStyle name="Bold/Border 5 2 2 2" xfId="12329"/>
    <cellStyle name="Border Thin 6 2 2 2" xfId="12330"/>
    <cellStyle name="COL HEADINGS 5 2 2 2" xfId="12331"/>
    <cellStyle name="Heading [Helv] 5 2 2 2" xfId="12332"/>
    <cellStyle name="Heading [Palat] 5 2 2 2" xfId="12333"/>
    <cellStyle name="Outputs 5 2 2 2" xfId="12334"/>
    <cellStyle name="PB Table Standard Row 6 2 2 2" xfId="12335"/>
    <cellStyle name="P-Green Rule 6 2 2 2" xfId="12336"/>
    <cellStyle name="Style 44 7 2 2 2" xfId="12337"/>
    <cellStyle name="Style 45 7 2 2 2" xfId="12338"/>
    <cellStyle name="Style 49 7 2 2 2" xfId="12339"/>
    <cellStyle name="Style 51 7 2 2 2" xfId="12340"/>
    <cellStyle name="Table Head Green 5 2 2 2" xfId="12341"/>
    <cellStyle name="Title [Palat] 4 2 2 2" xfId="12342"/>
    <cellStyle name="ac 2 6 2 2 2" xfId="12343"/>
    <cellStyle name="Bold/Border 2 6 2 2 2" xfId="12344"/>
    <cellStyle name="Border Thin 2 6 2 2 2" xfId="12345"/>
    <cellStyle name="COL HEADINGS 2 6 2 2 2" xfId="12346"/>
    <cellStyle name="Heading [Helv] 2 6 2 2 2" xfId="12347"/>
    <cellStyle name="Heading [Palat] 2 6 2 2 2" xfId="12348"/>
    <cellStyle name="Outputs 2 6 2 2 2" xfId="12349"/>
    <cellStyle name="PB Table Standard Row 2 6 2 2 2" xfId="12350"/>
    <cellStyle name="P-Green Rule 2 6 2 2 2" xfId="12351"/>
    <cellStyle name="Style 44 3 6 2 2 2" xfId="12352"/>
    <cellStyle name="Style 45 3 6 2 2 2" xfId="12353"/>
    <cellStyle name="Style 49 3 6 2 2 2" xfId="12354"/>
    <cellStyle name="Style 51 3 6 2 2 2" xfId="12355"/>
    <cellStyle name="Style 44 2 6 2 2 2" xfId="12356"/>
    <cellStyle name="Style 45 2 6 2 2 2" xfId="12357"/>
    <cellStyle name="Style 49 2 6 2 2 2" xfId="12358"/>
    <cellStyle name="Style 51 2 6 2 2 2" xfId="12359"/>
    <cellStyle name="Table Head Green 2 6 2 2 2" xfId="12360"/>
    <cellStyle name="Title [Palat] 2 6 2 2 2" xfId="12361"/>
    <cellStyle name="Title [Palat] 5 2 2 2" xfId="12362"/>
    <cellStyle name="Title [Helv] 4 2 2 2" xfId="12363"/>
    <cellStyle name="Table Head Green 6 2 2 2" xfId="12364"/>
    <cellStyle name="Table Head Aligned 4 2 2 2" xfId="12365"/>
    <cellStyle name="Style 51 9 2 2 2" xfId="12366"/>
    <cellStyle name="Style 49 9 2 2 2" xfId="12367"/>
    <cellStyle name="Style 45 9 2 2 2" xfId="12368"/>
    <cellStyle name="Style 44 9 2 2 2" xfId="12369"/>
    <cellStyle name="P-Green Rule 7 2 2 2" xfId="12370"/>
    <cellStyle name="PB Table Standard Row 7 2 2 2" xfId="12371"/>
    <cellStyle name="Outputs 6 2 2 2" xfId="12372"/>
    <cellStyle name="Magic 4 2 2 2" xfId="12373"/>
    <cellStyle name="Heading [Palat] 6 2 2 2" xfId="12374"/>
    <cellStyle name="Heading [Helv] 6 2 2 2" xfId="12375"/>
    <cellStyle name="dp*ThinLineBelow 5 2 2 2" xfId="12376"/>
    <cellStyle name="dp*SubTitle 5 2 2 2" xfId="12377"/>
    <cellStyle name="dp*SheetSubTitle 4 2 2 2" xfId="12378"/>
    <cellStyle name="dp*NumberLineEPS 4 2 2 2" xfId="12379"/>
    <cellStyle name="dp*NumberLine 4 2 2 2" xfId="12380"/>
    <cellStyle name="Date [mmm-yyyy] 4 2 2 2" xfId="12381"/>
    <cellStyle name="Date [mm-d-yyyy] 7 2 2 2" xfId="12382"/>
    <cellStyle name="COL HEADINGS 6 2 2 2" xfId="12383"/>
    <cellStyle name="Border Thin 7 2 2 2" xfId="12384"/>
    <cellStyle name="Bold/Border 6 2 2 2" xfId="12385"/>
    <cellStyle name="Afjusted 7 2 2 2" xfId="12386"/>
    <cellStyle name="ac 6 2 2 2" xfId="12387"/>
    <cellStyle name="Style 44 8 2 2 2" xfId="12388"/>
    <cellStyle name="Style 45 8 2 2 2" xfId="12389"/>
    <cellStyle name="Style 49 8 2 2 2" xfId="12390"/>
    <cellStyle name="Style 51 8 2 2 2" xfId="12391"/>
    <cellStyle name="Title [Palat] 6 2 2 2" xfId="12392"/>
    <cellStyle name="Title [Helv] 5 2 2 2" xfId="12393"/>
    <cellStyle name="Table Head Green 7 2 2 2" xfId="12394"/>
    <cellStyle name="Table Head Aligned 5 2 2 2" xfId="12395"/>
    <cellStyle name="Outputs 7 2 2 2" xfId="12396"/>
    <cellStyle name="Magic 5 2 2 2" xfId="12397"/>
    <cellStyle name="Heading [Palat] 7 2 2 2" xfId="12398"/>
    <cellStyle name="Heading [Helv] 7 2 2 2" xfId="12399"/>
    <cellStyle name="dp*SheetSubTitle 5 2 2 2" xfId="12400"/>
    <cellStyle name="dp*NumberLineEPS 5 2 2 2" xfId="12401"/>
    <cellStyle name="dp*NumberLine 5 2 2 2" xfId="12402"/>
    <cellStyle name="Date [mmm-yyyy] 5 2 2 2" xfId="12403"/>
    <cellStyle name="COL HEADINGS 7 2 2 2" xfId="12404"/>
    <cellStyle name="Bold/Border 7 2 2 2" xfId="12405"/>
    <cellStyle name="Afjusted 8 2 2 2" xfId="12406"/>
    <cellStyle name="ac 7 2 2 2" xfId="12407"/>
    <cellStyle name="Title [Palat] 7 2 2 2" xfId="12408"/>
    <cellStyle name="Title [Helv] 6 2 2 2" xfId="12409"/>
    <cellStyle name="Table Head Green 8 2 2 2" xfId="12410"/>
    <cellStyle name="Table Head Aligned 6 2 2 2" xfId="12411"/>
    <cellStyle name="Outputs 8 2 2 2" xfId="12412"/>
    <cellStyle name="Magic 6 2 2 2" xfId="12413"/>
    <cellStyle name="Heading [Palat] 8 2 2 2" xfId="12414"/>
    <cellStyle name="Heading [Helv] 8 2 2 2" xfId="12415"/>
    <cellStyle name="dp*SheetSubTitle 6 2 2 2" xfId="12416"/>
    <cellStyle name="dp*NumberLineEPS 6 2 2 2" xfId="12417"/>
    <cellStyle name="dp*NumberLine 6 2 2 2" xfId="12418"/>
    <cellStyle name="COL HEADINGS 8 2 2 2" xfId="12419"/>
    <cellStyle name="Bold/Border 8 2 2 2" xfId="12420"/>
    <cellStyle name="Afjusted 9 2 2 2" xfId="12421"/>
    <cellStyle name="ac 8 2 2 2" xfId="12422"/>
    <cellStyle name="Date [mmm-yyyy] 6 2 2 2" xfId="12423"/>
    <cellStyle name="Title [Palat] 8 2 2 2" xfId="12424"/>
    <cellStyle name="Title [Helv] 7 2 2 2" xfId="12425"/>
    <cellStyle name="Table Head Green 9 2 2 2" xfId="12426"/>
    <cellStyle name="Table Head Aligned 7 2 2 2" xfId="12427"/>
    <cellStyle name="Outputs 9 2 2 2" xfId="12428"/>
    <cellStyle name="Magic 7 2 2 2" xfId="12429"/>
    <cellStyle name="Heading [Palat] 9 2 2 2" xfId="12430"/>
    <cellStyle name="Heading [Helv] 9 2 2 2" xfId="12431"/>
    <cellStyle name="dp*SheetSubTitle 7 2 2 2" xfId="12432"/>
    <cellStyle name="dp*NumberLineEPS 7 2 2 2" xfId="12433"/>
    <cellStyle name="dp*NumberLine 7 2 2 2" xfId="12434"/>
    <cellStyle name="Date [mmm-yyyy] 7 2 2 2" xfId="12435"/>
    <cellStyle name="COL HEADINGS 9 2 2 2" xfId="12436"/>
    <cellStyle name="Bold/Border 9 2 2 2" xfId="12437"/>
    <cellStyle name="Afjusted 10 2 2 2" xfId="12438"/>
    <cellStyle name="ac 9 2 2 2" xfId="12439"/>
    <cellStyle name="Table Head Green 2 2 3 2 7" xfId="12440"/>
    <cellStyle name="Style 44 6 4 2" xfId="12441"/>
    <cellStyle name="Style 45 6 4 2" xfId="12442"/>
    <cellStyle name="Style 49 6 4 2" xfId="12443"/>
    <cellStyle name="Style 51 6 4 2" xfId="12444"/>
    <cellStyle name="Table Head Green 4 4 2" xfId="12445"/>
    <cellStyle name="Style 49 4 2 3 9" xfId="12446"/>
    <cellStyle name="Style 25 10" xfId="12447"/>
    <cellStyle name="Style 53 2 5" xfId="12448"/>
    <cellStyle name="Afjusted 4 3 3 10" xfId="12449"/>
    <cellStyle name="Date [mmm-yyyy] 2 5 9" xfId="12450"/>
    <cellStyle name="Heading [Palat] 4 9" xfId="12451"/>
    <cellStyle name="Afjusted 8 6" xfId="12452"/>
    <cellStyle name="Magic 2 4 5 2" xfId="12453"/>
    <cellStyle name="Afjusted 6 4 2" xfId="12454"/>
    <cellStyle name="dp*ThinLineBelow 2 2 8" xfId="12455"/>
    <cellStyle name="ac 2 5 4 2" xfId="12456"/>
    <cellStyle name="Afjusted 2 4 4 2" xfId="12457"/>
    <cellStyle name="Bold/Border 2 5 4 2" xfId="12458"/>
    <cellStyle name="Border Thin 2 5 4 2" xfId="12459"/>
    <cellStyle name="COL HEADINGS 2 5 4 2" xfId="12460"/>
    <cellStyle name="Date [mmm-yyyy] 2 5 4 2" xfId="12461"/>
    <cellStyle name="dp*NumberLine 2 5 4 2" xfId="12462"/>
    <cellStyle name="dp*NumberLineEPS 2 5 4 2" xfId="12463"/>
    <cellStyle name="dp*SheetSubTitle 2 5 4 2" xfId="12464"/>
    <cellStyle name="dp*SubTitle 2 5 4 2" xfId="12465"/>
    <cellStyle name="dp*ThinLineBelow 2 5 4 2" xfId="12466"/>
    <cellStyle name="Heading [Helv] 2 5 4 2" xfId="12467"/>
    <cellStyle name="Heading [Palat] 2 5 4 2" xfId="12468"/>
    <cellStyle name="Magic 2 5 4 2" xfId="12469"/>
    <cellStyle name="Outputs 2 5 4 2" xfId="12470"/>
    <cellStyle name="PB Table Standard Row 2 5 4 2" xfId="12471"/>
    <cellStyle name="P-Green Rule 2 5 4 2" xfId="12472"/>
    <cellStyle name="Style 44 3 5 4 2" xfId="12473"/>
    <cellStyle name="Style 45 3 5 4 2" xfId="12474"/>
    <cellStyle name="Style 49 3 5 4 2" xfId="12475"/>
    <cellStyle name="Style 51 3 5 4 2" xfId="12476"/>
    <cellStyle name="Style 44 2 5 4 2" xfId="12477"/>
    <cellStyle name="Style 45 2 5 4 2" xfId="12478"/>
    <cellStyle name="Style 49 2 5 4 2" xfId="12479"/>
    <cellStyle name="Style 51 2 5 4 2" xfId="12480"/>
    <cellStyle name="Table Head Aligned 2 5 4 2" xfId="12481"/>
    <cellStyle name="Table Head Green 2 5 4 2" xfId="12482"/>
    <cellStyle name="Title [Helv] 2 5 4 2" xfId="12483"/>
    <cellStyle name="Title [Palat] 2 5 4 2" xfId="12484"/>
    <cellStyle name="Style 49 4 3 10" xfId="12485"/>
    <cellStyle name="COL HEADINGS 2 2 3 4 9" xfId="12486"/>
    <cellStyle name="Date [mm-d-yyyy] 3 3 4 7" xfId="12487"/>
    <cellStyle name="ac 5 4 2" xfId="12488"/>
    <cellStyle name="Bold/Border 5 4 2" xfId="12489"/>
    <cellStyle name="Border Thin 6 4 2" xfId="12490"/>
    <cellStyle name="COL HEADINGS 5 4 2" xfId="12491"/>
    <cellStyle name="Date [mm-d-yyyy] 6 3 2" xfId="12492"/>
    <cellStyle name="Heading [Helv] 5 4 2" xfId="12493"/>
    <cellStyle name="Heading [Palat] 5 4 2" xfId="12494"/>
    <cellStyle name="Outputs 5 4 2" xfId="12495"/>
    <cellStyle name="PB Table Standard Row 6 4 2" xfId="12496"/>
    <cellStyle name="P-Green Rule 6 4 2" xfId="12497"/>
    <cellStyle name="Afjusted 4 2 2 7" xfId="12498"/>
    <cellStyle name="Outputs 2 2 2 3 9" xfId="12499"/>
    <cellStyle name="Style 44 7 4 2" xfId="12500"/>
    <cellStyle name="Style 45 7 4 2" xfId="12501"/>
    <cellStyle name="Style 49 7 4 2" xfId="12502"/>
    <cellStyle name="Style 51 7 4 2" xfId="12503"/>
    <cellStyle name="Table Head Green 5 4 2" xfId="12504"/>
    <cellStyle name="Title [Palat] 4 4 2" xfId="12505"/>
    <cellStyle name="SAPBEXHLevel2X 3 5" xfId="12506"/>
    <cellStyle name="Global 2 5" xfId="12507"/>
    <cellStyle name="Style 45 2 2 9" xfId="12508"/>
    <cellStyle name="Outputs 2 2 4 10" xfId="12509"/>
    <cellStyle name="Border 3 5" xfId="12510"/>
    <cellStyle name="Date [mmm-yyyy] 5 6" xfId="12511"/>
    <cellStyle name="Bold/Border 7 6" xfId="12512"/>
    <cellStyle name="COL HEADINGS 9 6" xfId="12513"/>
    <cellStyle name="ac 2 6 4 2" xfId="12514"/>
    <cellStyle name="Bold/Border 2 6 4 2" xfId="12515"/>
    <cellStyle name="Border Thin 2 6 4 2" xfId="12516"/>
    <cellStyle name="COL HEADINGS 2 6 4 2" xfId="12517"/>
    <cellStyle name="Date [mm-d-yyyy] 2 3 3 2" xfId="12518"/>
    <cellStyle name="Heading [Helv] 2 6 4 2" xfId="12519"/>
    <cellStyle name="Heading [Palat] 2 6 4 2" xfId="12520"/>
    <cellStyle name="Outputs 2 6 4 2" xfId="12521"/>
    <cellStyle name="PB Table Standard Row 2 6 4 2" xfId="12522"/>
    <cellStyle name="P-Green Rule 2 6 4 2" xfId="12523"/>
    <cellStyle name="Style 44 3 6 4 2" xfId="12524"/>
    <cellStyle name="Style 45 3 6 4 2" xfId="12525"/>
    <cellStyle name="Style 49 3 6 4 2" xfId="12526"/>
    <cellStyle name="Style 51 3 6 4 2" xfId="12527"/>
    <cellStyle name="Style 44 2 6 4 2" xfId="12528"/>
    <cellStyle name="Style 45 2 6 4 2" xfId="12529"/>
    <cellStyle name="Style 49 2 6 4 2" xfId="12530"/>
    <cellStyle name="Style 51 2 6 4 2" xfId="12531"/>
    <cellStyle name="Table Head Green 2 6 4 2" xfId="12532"/>
    <cellStyle name="Title [Palat] 2 6 4 2" xfId="12533"/>
    <cellStyle name="Title [Palat] 5 4 2" xfId="12534"/>
    <cellStyle name="Title [Helv] 4 4 2" xfId="12535"/>
    <cellStyle name="Table Head Green 6 4 2" xfId="12536"/>
    <cellStyle name="Table Head Aligned 4 4 2" xfId="12537"/>
    <cellStyle name="Style 51 9 3 2" xfId="12538"/>
    <cellStyle name="Style 49 9 3 2" xfId="12539"/>
    <cellStyle name="Style 45 9 3 2" xfId="12540"/>
    <cellStyle name="Style 44 9 3 2" xfId="12541"/>
    <cellStyle name="P-Green Rule 7 3 2" xfId="12542"/>
    <cellStyle name="PB Table Standard Row 7 3 2" xfId="12543"/>
    <cellStyle name="Outputs 6 4 2" xfId="12544"/>
    <cellStyle name="Magic 4 4 2" xfId="12545"/>
    <cellStyle name="Table Head Aligned 2 2 2 9" xfId="12546"/>
    <cellStyle name="Heading [Palat] 6 4 2" xfId="12547"/>
    <cellStyle name="Heading [Helv] 6 4 2" xfId="12548"/>
    <cellStyle name="dp*ThinLineBelow 5 4 2" xfId="12549"/>
    <cellStyle name="dp*SubTitle 5 4 2" xfId="12550"/>
    <cellStyle name="dp*SheetSubTitle 4 4 2" xfId="12551"/>
    <cellStyle name="dp*NumberLineEPS 4 4 2" xfId="12552"/>
    <cellStyle name="dp*NumberLine 4 4 2" xfId="12553"/>
    <cellStyle name="Date [mmm-yyyy] 4 4 2" xfId="12554"/>
    <cellStyle name="Date [mm-d-yyyy] 7 4 2" xfId="12555"/>
    <cellStyle name="Afjusted 4 3 4 7" xfId="12556"/>
    <cellStyle name="COL HEADINGS 6 4 2" xfId="12557"/>
    <cellStyle name="Border Thin 7 4 2" xfId="12558"/>
    <cellStyle name="Bold/Border 6 4 2" xfId="12559"/>
    <cellStyle name="Afjusted 7 4 2" xfId="12560"/>
    <cellStyle name="ac 6 4 2" xfId="12561"/>
    <cellStyle name="Title [Helv] 2 2 2 3 9" xfId="12562"/>
    <cellStyle name="Style 44 8 4 2" xfId="12563"/>
    <cellStyle name="Style 45 8 4 2" xfId="12564"/>
    <cellStyle name="Style 49 8 4 2" xfId="12565"/>
    <cellStyle name="Style 51 8 4 2" xfId="12566"/>
    <cellStyle name="Format text as bold, black on yellow 12" xfId="12567"/>
    <cellStyle name="Bold/Border 2 5 9" xfId="12568"/>
    <cellStyle name="Title [Helv] 5 6" xfId="12569"/>
    <cellStyle name="Outputs 2 2 3 2 7" xfId="12570"/>
    <cellStyle name="Title [Palat] 6 4 2" xfId="12571"/>
    <cellStyle name="Title [Helv] 5 4 2" xfId="12572"/>
    <cellStyle name="Table Head Green 7 4 2" xfId="12573"/>
    <cellStyle name="Table Head Aligned 5 4 2" xfId="12574"/>
    <cellStyle name="Outputs 7 4 2" xfId="12575"/>
    <cellStyle name="Magic 5 4 2" xfId="12576"/>
    <cellStyle name="Heading [Palat] 7 4 2" xfId="12577"/>
    <cellStyle name="Heading [Helv] 7 4 2" xfId="12578"/>
    <cellStyle name="dp*SheetSubTitle 5 4 2" xfId="12579"/>
    <cellStyle name="dp*NumberLineEPS 5 4 2" xfId="12580"/>
    <cellStyle name="dp*NumberLine 5 4 2" xfId="12581"/>
    <cellStyle name="Date [mmm-yyyy] 5 4 2" xfId="12582"/>
    <cellStyle name="COL HEADINGS 7 4 2" xfId="12583"/>
    <cellStyle name="Bold/Border 7 4 2" xfId="12584"/>
    <cellStyle name="Afjusted 8 4 2" xfId="12585"/>
    <cellStyle name="ac 7 4 2" xfId="12586"/>
    <cellStyle name="Title [Palat] 2 2 2 9" xfId="12587"/>
    <cellStyle name="SAPBEXexcBad9 2 4" xfId="12588"/>
    <cellStyle name="Title [Palat] 6 6" xfId="12589"/>
    <cellStyle name="Title [Palat] 7 4 2" xfId="12590"/>
    <cellStyle name="Title [Helv] 6 4 2" xfId="12591"/>
    <cellStyle name="Table Head Green 8 4 2" xfId="12592"/>
    <cellStyle name="Table Head Aligned 6 4 2" xfId="12593"/>
    <cellStyle name="dp*NumberLine 2 2 3 4 9" xfId="12594"/>
    <cellStyle name="dp*SheetSubTitle 2 2 2 3 9" xfId="12595"/>
    <cellStyle name="dp*NumberLineEPS 2 2 3 4 7" xfId="12596"/>
    <cellStyle name="Outputs 8 4 2" xfId="12597"/>
    <cellStyle name="Magic 6 4 2" xfId="12598"/>
    <cellStyle name="Heading [Palat] 8 4 2" xfId="12599"/>
    <cellStyle name="Heading [Helv] 8 4 2" xfId="12600"/>
    <cellStyle name="dp*SheetSubTitle 6 4 2" xfId="12601"/>
    <cellStyle name="dp*NumberLineEPS 6 4 2" xfId="12602"/>
    <cellStyle name="dp*NumberLine 6 4 2" xfId="12603"/>
    <cellStyle name="COL HEADINGS 8 4 2" xfId="12604"/>
    <cellStyle name="Bold/Border 8 4 2" xfId="12605"/>
    <cellStyle name="Afjusted 9 4 2" xfId="12606"/>
    <cellStyle name="ac 8 4 2" xfId="12607"/>
    <cellStyle name="Outputs 2 2 2 2 7" xfId="12608"/>
    <cellStyle name="Date [mmm-yyyy] 6 4 2" xfId="12609"/>
    <cellStyle name="Title [Helv] 2 2 2 4 7" xfId="12610"/>
    <cellStyle name="Title [Palat] 8 4 2" xfId="12611"/>
    <cellStyle name="Title [Helv] 7 4 2" xfId="12612"/>
    <cellStyle name="Table Head Green 9 4 2" xfId="12613"/>
    <cellStyle name="Table Head Aligned 7 4 2" xfId="12614"/>
    <cellStyle name="Outputs 9 4 2" xfId="12615"/>
    <cellStyle name="Magic 7 4 2" xfId="12616"/>
    <cellStyle name="Heading [Palat] 9 4 2" xfId="12617"/>
    <cellStyle name="Heading [Helv] 9 4 2" xfId="12618"/>
    <cellStyle name="dp*SheetSubTitle 7 4 2" xfId="12619"/>
    <cellStyle name="dp*NumberLineEPS 7 4 2" xfId="12620"/>
    <cellStyle name="dp*NumberLine 7 4 2" xfId="12621"/>
    <cellStyle name="Date [mmm-yyyy] 7 4 2" xfId="12622"/>
    <cellStyle name="COL HEADINGS 9 4 2" xfId="12623"/>
    <cellStyle name="Bold/Border 9 4 2" xfId="12624"/>
    <cellStyle name="Afjusted 10 4 2" xfId="12625"/>
    <cellStyle name="ac 9 4 2" xfId="12626"/>
    <cellStyle name="Style 44 4 2 4 7" xfId="12627"/>
    <cellStyle name="Afjusted 3 6 3 2" xfId="12628"/>
    <cellStyle name="ac 2 7 3 2" xfId="12629"/>
    <cellStyle name="Afjusted 2 5 3 2" xfId="12630"/>
    <cellStyle name="Bold/Border 2 7 3 2" xfId="12631"/>
    <cellStyle name="COL HEADINGS 2 7 3 2" xfId="12632"/>
    <cellStyle name="Date [mmm-yyyy] 2 6 3 2" xfId="12633"/>
    <cellStyle name="dp*NumberLine 2 6 3 2" xfId="12634"/>
    <cellStyle name="dp*NumberLineEPS 2 6 3 2" xfId="12635"/>
    <cellStyle name="dp*SheetSubTitle 2 6 3 2" xfId="12636"/>
    <cellStyle name="Heading [Helv] 2 7 3 2" xfId="12637"/>
    <cellStyle name="Heading [Palat] 2 7 3 2" xfId="12638"/>
    <cellStyle name="Magic 2 6 3 2" xfId="12639"/>
    <cellStyle name="Outputs 2 7 3 2" xfId="12640"/>
    <cellStyle name="Table Head Aligned 2 6 3 2" xfId="12641"/>
    <cellStyle name="Table Head Green 2 7 3 2" xfId="12642"/>
    <cellStyle name="Title [Helv] 2 6 3 2" xfId="12643"/>
    <cellStyle name="Title [Palat] 2 7 3 2" xfId="12644"/>
    <cellStyle name="Date [mm-d-yyyy] 3 6 3 2" xfId="12645"/>
    <cellStyle name="Style 51 4 6 3 2" xfId="12646"/>
    <cellStyle name="Style 49 4 6 3 2" xfId="12647"/>
    <cellStyle name="Style 45 4 6 3 2" xfId="12648"/>
    <cellStyle name="Style 44 4 6 3 2" xfId="12649"/>
    <cellStyle name="P-Green Rule 3 6 3 2" xfId="12650"/>
    <cellStyle name="PB Table Standard Row 3 6 3 2" xfId="12651"/>
    <cellStyle name="dp*ThinLineBelow 3 6 3 2" xfId="12652"/>
    <cellStyle name="dp*SubTitle 3 6 3 2" xfId="12653"/>
    <cellStyle name="Border Thin 3 6 3 2" xfId="12654"/>
    <cellStyle name="Afjusted 4 6 3 2" xfId="12655"/>
    <cellStyle name="ac 2 2 5 3 2" xfId="12656"/>
    <cellStyle name="Afjusted 2 2 6 3 2" xfId="12657"/>
    <cellStyle name="Bold/Border 2 2 5 3 2" xfId="12658"/>
    <cellStyle name="COL HEADINGS 2 2 5 3 2" xfId="12659"/>
    <cellStyle name="Date [mmm-yyyy] 2 2 5 3 2" xfId="12660"/>
    <cellStyle name="dp*NumberLine 2 2 5 3 2" xfId="12661"/>
    <cellStyle name="dp*NumberLineEPS 2 2 5 3 2" xfId="12662"/>
    <cellStyle name="dp*SheetSubTitle 2 2 5 3 2" xfId="12663"/>
    <cellStyle name="Heading [Helv] 2 2 5 3 2" xfId="12664"/>
    <cellStyle name="Heading [Palat] 2 2 5 3 2" xfId="12665"/>
    <cellStyle name="Magic 2 2 5 3 2" xfId="12666"/>
    <cellStyle name="Outputs 2 2 5 3 2" xfId="12667"/>
    <cellStyle name="Table Head Aligned 2 2 5 3 2" xfId="12668"/>
    <cellStyle name="Table Head Green 2 2 5 3 2" xfId="12669"/>
    <cellStyle name="Title [Helv] 2 2 5 3 2" xfId="12670"/>
    <cellStyle name="Title [Palat] 2 2 5 3 2" xfId="12671"/>
    <cellStyle name="dp*SubTitle 2 2 2 3 2" xfId="12672"/>
    <cellStyle name="Border Thin 2 2 2 3 2" xfId="12673"/>
    <cellStyle name="Bold/Border 2 2 3 4 2 3 2" xfId="12674"/>
    <cellStyle name="Magic 2 2 3 4 2 3 2" xfId="12675"/>
    <cellStyle name="Title [Helv] 2 2 3 4 2 3 2" xfId="12676"/>
    <cellStyle name="Style 51 2 2 2 3 2" xfId="12677"/>
    <cellStyle name="Style 45 2 2 2 3 2" xfId="12678"/>
    <cellStyle name="Style 49 2 2 2 3 2" xfId="12679"/>
    <cellStyle name="Style 44 2 2 2 3 2" xfId="12680"/>
    <cellStyle name="Style 51 3 2 2 3 2" xfId="12681"/>
    <cellStyle name="Style 49 3 2 2 3 2" xfId="12682"/>
    <cellStyle name="Style 45 3 2 2 3 2" xfId="12683"/>
    <cellStyle name="Style 44 3 2 2 3 2" xfId="12684"/>
    <cellStyle name="P-Green Rule 2 2 2 3 2" xfId="12685"/>
    <cellStyle name="PB Table Standard Row 2 2 2 3 2" xfId="12686"/>
    <cellStyle name="dp*ThinLineBelow 2 2 2 3 2" xfId="12687"/>
    <cellStyle name="dp*ThinLineBelow 2 3 2 3 2" xfId="12688"/>
    <cellStyle name="Style 44 3 3 2 3 2" xfId="12689"/>
    <cellStyle name="COL HEADINGS 2 2 3 4 2 3 2" xfId="12690"/>
    <cellStyle name="Style 49 4 3 4 2 3 2" xfId="12691"/>
    <cellStyle name="Afjusted 3 3 4 2 3 2" xfId="12692"/>
    <cellStyle name="Date [mm-d-yyyy] 3 3 4 2 3 2" xfId="12693"/>
    <cellStyle name="Afjusted 4 3 4 2 3 2" xfId="12694"/>
    <cellStyle name="ac 2 2 3 4 2 3 2" xfId="12695"/>
    <cellStyle name="Afjusted 2 2 3 4 2 3 2" xfId="12696"/>
    <cellStyle name="Date [mmm-yyyy] 2 2 3 4 2 3 2" xfId="12697"/>
    <cellStyle name="dp*NumberLine 2 2 3 4 2 3 2" xfId="12698"/>
    <cellStyle name="dp*NumberLineEPS 2 2 3 4 2 3 2" xfId="12699"/>
    <cellStyle name="dp*SheetSubTitle 2 2 3 4 2 3 2" xfId="12700"/>
    <cellStyle name="Heading [Helv] 2 2 3 4 2 3 2" xfId="12701"/>
    <cellStyle name="Outputs 2 2 3 4 2 3 2" xfId="12702"/>
    <cellStyle name="Table Head Aligned 2 2 3 4 2 3 2" xfId="12703"/>
    <cellStyle name="Title [Palat] 2 2 3 4 2 3 2" xfId="12704"/>
    <cellStyle name="Afjusted 3 5 2 3 2" xfId="12705"/>
    <cellStyle name="Style 45 3 3 2 3 2" xfId="12706"/>
    <cellStyle name="Style 51 3 3 2 3 2" xfId="12707"/>
    <cellStyle name="Style 44 2 3 2 3 2" xfId="12708"/>
    <cellStyle name="Style 45 2 3 2 3 2" xfId="12709"/>
    <cellStyle name="Style 49 2 3 2 3 2" xfId="12710"/>
    <cellStyle name="Border Thin 3 5 2 3 2" xfId="12711"/>
    <cellStyle name="ac 2 2 4 2 3 2" xfId="12712"/>
    <cellStyle name="Afjusted 2 2 5 2 3 2" xfId="12713"/>
    <cellStyle name="Bold/Border 2 2 4 2 3 2" xfId="12714"/>
    <cellStyle name="COL HEADINGS 2 2 4 2 3 2" xfId="12715"/>
    <cellStyle name="Date [mmm-yyyy] 2 2 4 2 3 2" xfId="12716"/>
    <cellStyle name="dp*NumberLine 2 2 4 2 3 2" xfId="12717"/>
    <cellStyle name="dp*NumberLineEPS 2 2 4 2 3 2" xfId="12718"/>
    <cellStyle name="dp*SheetSubTitle 2 2 4 2 3 2" xfId="12719"/>
    <cellStyle name="Heading [Palat] 2 2 4 2 3 2" xfId="12720"/>
    <cellStyle name="Outputs 2 2 4 2 3 2" xfId="12721"/>
    <cellStyle name="Magic 2 2 4 2 3 2" xfId="12722"/>
    <cellStyle name="Title [Helv] 2 2 4 2 3 2" xfId="12723"/>
    <cellStyle name="Title [Palat] 2 2 4 2 3 2" xfId="12724"/>
    <cellStyle name="Title [Palat] 2 2 3 3 2 3 2" xfId="12725"/>
    <cellStyle name="Title [Helv] 2 2 3 3 2 3 2" xfId="12726"/>
    <cellStyle name="Table Head Aligned 2 2 3 3 2 3 2" xfId="12727"/>
    <cellStyle name="Magic 2 2 3 3 2 3 2" xfId="12728"/>
    <cellStyle name="Heading [Helv] 2 2 3 3 2 3 2" xfId="12729"/>
    <cellStyle name="dp*NumberLineEPS 2 2 3 3 2 3 2" xfId="12730"/>
    <cellStyle name="COL HEADINGS 2 2 3 3 2 3 2" xfId="12731"/>
    <cellStyle name="ac 2 2 3 3 2 3 2" xfId="12732"/>
    <cellStyle name="Afjusted 4 3 3 2 3 2" xfId="12733"/>
    <cellStyle name="Border Thin 3 3 3 2 3 2" xfId="12734"/>
    <cellStyle name="PB Table Standard Row 3 3 3 2 3 2" xfId="12735"/>
    <cellStyle name="Style 44 4 3 3 2 3 2" xfId="12736"/>
    <cellStyle name="Style 51 4 3 3 2 3 2" xfId="12737"/>
    <cellStyle name="Afjusted 3 3 3 2 3 2" xfId="12738"/>
    <cellStyle name="Style 49 4 5 2 3 2" xfId="12739"/>
    <cellStyle name="Style 44 4 5 2 3 2" xfId="12740"/>
    <cellStyle name="P-Green Rule 3 5 2 3 2" xfId="12741"/>
    <cellStyle name="dp*SubTitle 3 5 2 3 2" xfId="12742"/>
    <cellStyle name="Afjusted 4 5 2 3 2" xfId="12743"/>
    <cellStyle name="ac 2 3 2 3 2" xfId="12744"/>
    <cellStyle name="Bold/Border 2 3 2 3 2" xfId="12745"/>
    <cellStyle name="COL HEADINGS 2 3 2 3 2" xfId="12746"/>
    <cellStyle name="Date [mmm-yyyy] 2 3 2 3 2" xfId="12747"/>
    <cellStyle name="dp*NumberLine 2 3 2 3 2" xfId="12748"/>
    <cellStyle name="dp*NumberLineEPS 2 3 2 3 2" xfId="12749"/>
    <cellStyle name="dp*SheetSubTitle 2 3 2 3 2" xfId="12750"/>
    <cellStyle name="Heading [Helv] 2 3 2 3 2" xfId="12751"/>
    <cellStyle name="Heading [Palat] 2 3 2 3 2" xfId="12752"/>
    <cellStyle name="Magic 2 3 2 3 2" xfId="12753"/>
    <cellStyle name="Outputs 2 3 2 3 2" xfId="12754"/>
    <cellStyle name="Date [mmm-yyyy] 2 2 3 3 2 3 2" xfId="12755"/>
    <cellStyle name="Afjusted 2 2 3 3 2 3 2" xfId="12756"/>
    <cellStyle name="dp*ThinLineBelow 3 3 3 2 3 2" xfId="12757"/>
    <cellStyle name="Style 49 4 3 3 2 3 2" xfId="12758"/>
    <cellStyle name="Outputs 2 2 3 3 2 3 2" xfId="12759"/>
    <cellStyle name="dp*NumberLine 2 2 3 3 2 3 2" xfId="12760"/>
    <cellStyle name="Bold/Border 2 2 3 3 2 3 2" xfId="12761"/>
    <cellStyle name="dp*SubTitle 3 3 3 2 3 2" xfId="12762"/>
    <cellStyle name="Style 45 4 3 3 2 3 2" xfId="12763"/>
    <cellStyle name="Table Head Aligned 2 3 2 3 2" xfId="12764"/>
    <cellStyle name="Table Head Green 2 3 2 3 2" xfId="12765"/>
    <cellStyle name="Title [Helv] 2 3 2 3 2" xfId="12766"/>
    <cellStyle name="Title [Palat] 2 3 2 3 2" xfId="12767"/>
    <cellStyle name="Style 45 4 3 4 2 3 2" xfId="12768"/>
    <cellStyle name="Style 51 4 3 4 2 3 2" xfId="12769"/>
    <cellStyle name="Afjusted 3 4 2 3 2" xfId="12770"/>
    <cellStyle name="P-Green Rule 3 3 4 2 3 2" xfId="12771"/>
    <cellStyle name="Border Thin 2 3 2 3 2" xfId="12772"/>
    <cellStyle name="Style 49 3 3 2 3 2" xfId="12773"/>
    <cellStyle name="Style 51 2 3 2 3 2" xfId="12774"/>
    <cellStyle name="Heading [Helv] 2 2 4 2 3 2" xfId="12775"/>
    <cellStyle name="Table Head Aligned 2 2 4 2 3 2" xfId="12776"/>
    <cellStyle name="Table Head Green 2 2 4 2 3 2" xfId="12777"/>
    <cellStyle name="Table Head Green 2 2 3 3 2 3 2" xfId="12778"/>
    <cellStyle name="Heading [Palat] 2 2 3 3 2 3 2" xfId="12779"/>
    <cellStyle name="dp*SheetSubTitle 2 2 3 3 2 3 2" xfId="12780"/>
    <cellStyle name="P-Green Rule 3 3 3 2 3 2" xfId="12781"/>
    <cellStyle name="Date [mm-d-yyyy] 3 3 3 2 3 2" xfId="12782"/>
    <cellStyle name="Date [mm-d-yyyy] 3 4 2 3 2" xfId="12783"/>
    <cellStyle name="Style 51 4 4 2 3 2" xfId="12784"/>
    <cellStyle name="Style 49 4 4 2 3 2" xfId="12785"/>
    <cellStyle name="Style 45 4 4 2 3 2" xfId="12786"/>
    <cellStyle name="Style 44 4 4 2 3 2" xfId="12787"/>
    <cellStyle name="dp*ThinLineBelow 3 3 4 2 3 2" xfId="12788"/>
    <cellStyle name="P-Green Rule 3 4 2 3 2" xfId="12789"/>
    <cellStyle name="PB Table Standard Row 3 4 2 2 2" xfId="12790"/>
    <cellStyle name="dp*ThinLineBelow 3 4 2 3 2" xfId="12791"/>
    <cellStyle name="dp*SubTitle 3 4 2 3 2" xfId="12792"/>
    <cellStyle name="dp*SubTitle 3 3 4 2 3 2" xfId="12793"/>
    <cellStyle name="Border Thin 3 4 2 3 2" xfId="12794"/>
    <cellStyle name="Border Thin 3 3 4 2 3 2" xfId="12795"/>
    <cellStyle name="Afjusted 4 4 2 3 2" xfId="12796"/>
    <cellStyle name="Afjusted 2 2 4 2 3 2" xfId="12797"/>
    <cellStyle name="Style 44 4 3 4 2 3 2" xfId="12798"/>
    <cellStyle name="PB Table Standard Row 3 3 4 2 3 2" xfId="12799"/>
    <cellStyle name="Title [Palat] 2 2 3 5 3 2" xfId="12800"/>
    <cellStyle name="Title [Helv] 2 2 3 5 3 2" xfId="12801"/>
    <cellStyle name="Table Head Green 2 2 3 5 3 2" xfId="12802"/>
    <cellStyle name="Table Head Aligned 2 2 3 5 3 2" xfId="12803"/>
    <cellStyle name="Outputs 2 2 3 5 3 2" xfId="12804"/>
    <cellStyle name="Magic 2 2 3 5 3 2" xfId="12805"/>
    <cellStyle name="Heading [Palat] 2 2 3 5 3 2" xfId="12806"/>
    <cellStyle name="Heading [Helv] 2 2 3 5 3 2" xfId="12807"/>
    <cellStyle name="dp*SheetSubTitle 2 2 3 5 3 2" xfId="12808"/>
    <cellStyle name="dp*NumberLineEPS 2 2 3 5 3 2" xfId="12809"/>
    <cellStyle name="dp*NumberLine 2 2 3 5 3 2" xfId="12810"/>
    <cellStyle name="Date [mmm-yyyy] 2 2 3 5 3 2" xfId="12811"/>
    <cellStyle name="COL HEADINGS 2 2 3 5 3 2" xfId="12812"/>
    <cellStyle name="Bold/Border 2 2 3 5 3 2" xfId="12813"/>
    <cellStyle name="Afjusted 2 2 3 5 3 2" xfId="12814"/>
    <cellStyle name="ac 2 2 3 5 3 2" xfId="12815"/>
    <cellStyle name="Afjusted 4 3 5 3 2" xfId="12816"/>
    <cellStyle name="Border Thin 3 3 5 3 2" xfId="12817"/>
    <cellStyle name="dp*SubTitle 3 3 5 3 2" xfId="12818"/>
    <cellStyle name="dp*ThinLineBelow 3 3 5 3 2" xfId="12819"/>
    <cellStyle name="PB Table Standard Row 3 3 5 3 2" xfId="12820"/>
    <cellStyle name="P-Green Rule 3 3 5 3 2" xfId="12821"/>
    <cellStyle name="Style 44 4 3 5 3 2" xfId="12822"/>
    <cellStyle name="Style 45 4 3 5 3 2" xfId="12823"/>
    <cellStyle name="Style 49 4 3 5 3 2" xfId="12824"/>
    <cellStyle name="Style 51 4 3 5 3 2" xfId="12825"/>
    <cellStyle name="Date [mm-d-yyyy] 3 3 5 3 2" xfId="12826"/>
    <cellStyle name="Afjusted 3 3 5 3 2" xfId="12827"/>
    <cellStyle name="Date [mm-d-yyyy] 2 2 4 3 2" xfId="12828"/>
    <cellStyle name="Afjusted 3 2 5 3 2" xfId="12829"/>
    <cellStyle name="Date [mm-d-yyyy] 3 2 5 3 2" xfId="12830"/>
    <cellStyle name="Style 51 4 2 5 3 2" xfId="12831"/>
    <cellStyle name="Style 49 4 2 5 3 2" xfId="12832"/>
    <cellStyle name="Style 45 4 2 5 3 2" xfId="12833"/>
    <cellStyle name="Style 44 4 2 5 3 2" xfId="12834"/>
    <cellStyle name="P-Green Rule 3 2 5 3 2" xfId="12835"/>
    <cellStyle name="PB Table Standard Row 3 2 5 2 2" xfId="12836"/>
    <cellStyle name="dp*ThinLineBelow 3 2 5 3 2" xfId="12837"/>
    <cellStyle name="dp*SubTitle 3 2 5 3 2" xfId="12838"/>
    <cellStyle name="Border Thin 3 2 5 3 2" xfId="12839"/>
    <cellStyle name="Afjusted 4 2 5 3 2" xfId="12840"/>
    <cellStyle name="ac 2 2 2 5 3 2" xfId="12841"/>
    <cellStyle name="Afjusted 2 2 2 5 3 2" xfId="12842"/>
    <cellStyle name="Bold/Border 2 2 2 5 3 2" xfId="12843"/>
    <cellStyle name="COL HEADINGS 2 2 2 5 3 2" xfId="12844"/>
    <cellStyle name="Date [mmm-yyyy] 2 2 2 5 3 2" xfId="12845"/>
    <cellStyle name="dp*NumberLine 2 2 2 5 3 2" xfId="12846"/>
    <cellStyle name="dp*NumberLineEPS 2 2 2 5 3 2" xfId="12847"/>
    <cellStyle name="dp*SheetSubTitle 2 2 2 5 3 2" xfId="12848"/>
    <cellStyle name="Heading [Helv] 2 2 2 5 3 2" xfId="12849"/>
    <cellStyle name="Heading [Palat] 2 2 2 5 3 2" xfId="12850"/>
    <cellStyle name="Magic 2 2 2 5 3 2" xfId="12851"/>
    <cellStyle name="Outputs 2 2 2 5 3 2" xfId="12852"/>
    <cellStyle name="Table Head Aligned 2 2 2 5 3 2" xfId="12853"/>
    <cellStyle name="Table Head Green 2 2 2 5 3 2" xfId="12854"/>
    <cellStyle name="Title [Helv] 2 2 2 5 3 2" xfId="12855"/>
    <cellStyle name="Title [Palat] 2 2 2 5 3 2" xfId="12856"/>
    <cellStyle name="Table Head Green 2 2 3 4 2 3 2" xfId="12857"/>
    <cellStyle name="Heading [Palat] 2 2 3 4 2 3 2" xfId="12858"/>
    <cellStyle name="PB Table Standard Row 2 3 2 3 2" xfId="12859"/>
    <cellStyle name="P-Green Rule 2 3 2 3 2" xfId="12860"/>
    <cellStyle name="Title [Palat] 2 2 3 2 2 3 2" xfId="12861"/>
    <cellStyle name="Title [Helv] 2 2 3 2 2 3 2" xfId="12862"/>
    <cellStyle name="Table Head Green 2 2 3 2 2 3 2" xfId="12863"/>
    <cellStyle name="Table Head Aligned 2 2 3 2 2 3 2" xfId="12864"/>
    <cellStyle name="Outputs 2 2 3 2 2 3 2" xfId="12865"/>
    <cellStyle name="Magic 2 2 3 2 2 3 2" xfId="12866"/>
    <cellStyle name="Heading [Palat] 2 2 3 2 2 3 2" xfId="12867"/>
    <cellStyle name="Heading [Helv] 2 2 3 2 2 3 2" xfId="12868"/>
    <cellStyle name="dp*SheetSubTitle 2 2 3 2 2 3 2" xfId="12869"/>
    <cellStyle name="dp*NumberLineEPS 2 2 3 2 2 3 2" xfId="12870"/>
    <cellStyle name="dp*NumberLine 2 2 3 2 2 3 2" xfId="12871"/>
    <cellStyle name="Date [mmm-yyyy] 2 2 3 2 2 3 2" xfId="12872"/>
    <cellStyle name="COL HEADINGS 2 2 3 2 2 3 2" xfId="12873"/>
    <cellStyle name="Bold/Border 2 2 3 2 2 3 2" xfId="12874"/>
    <cellStyle name="Afjusted 2 2 3 2 2 3 2" xfId="12875"/>
    <cellStyle name="ac 2 2 3 2 2 3 2" xfId="12876"/>
    <cellStyle name="Afjusted 4 3 2 2 3 2" xfId="12877"/>
    <cellStyle name="Border Thin 3 3 2 2 3 2" xfId="12878"/>
    <cellStyle name="dp*SubTitle 3 3 2 2 3 2" xfId="12879"/>
    <cellStyle name="dp*ThinLineBelow 3 3 2 2 3 2" xfId="12880"/>
    <cellStyle name="PB Table Standard Row 3 3 2 2 3 2" xfId="12881"/>
    <cellStyle name="P-Green Rule 3 3 2 2 3 2" xfId="12882"/>
    <cellStyle name="Style 44 4 3 2 2 3 2" xfId="12883"/>
    <cellStyle name="Style 45 4 3 2 2 3 2" xfId="12884"/>
    <cellStyle name="Style 49 4 3 2 2 3 2" xfId="12885"/>
    <cellStyle name="Style 51 4 3 2 2 3 2" xfId="12886"/>
    <cellStyle name="Date [mm-d-yyyy] 3 3 2 2 3 2" xfId="12887"/>
    <cellStyle name="Afjusted 3 3 2 2 3 2" xfId="12888"/>
    <cellStyle name="Date [mm-d-yyyy] 3 5 2 3 2" xfId="12889"/>
    <cellStyle name="dp*SubTitle 2 3 2 3 2" xfId="12890"/>
    <cellStyle name="Date [mm-d-yyyy] 2 2 2 2 3 2" xfId="12891"/>
    <cellStyle name="Afjusted 3 2 2 2 3 2" xfId="12892"/>
    <cellStyle name="PB Table Standard Row 3 5 2 3 2" xfId="12893"/>
    <cellStyle name="Date [mm-d-yyyy] 3 2 2 2 3 2" xfId="12894"/>
    <cellStyle name="Style 51 4 2 2 2 3 2" xfId="12895"/>
    <cellStyle name="Style 49 4 2 2 2 3 2" xfId="12896"/>
    <cellStyle name="Style 45 4 2 2 2 3 2" xfId="12897"/>
    <cellStyle name="Style 44 4 2 2 2 3 2" xfId="12898"/>
    <cellStyle name="Style 45 4 5 2 3 2" xfId="12899"/>
    <cellStyle name="P-Green Rule 3 2 2 2 3 2" xfId="12900"/>
    <cellStyle name="PB Table Standard Row 3 2 2 2 3 2" xfId="12901"/>
    <cellStyle name="dp*ThinLineBelow 3 2 2 2 3 2" xfId="12902"/>
    <cellStyle name="dp*SubTitle 3 2 2 2 3 2" xfId="12903"/>
    <cellStyle name="Style 51 4 5 2 3 2" xfId="12904"/>
    <cellStyle name="Border Thin 3 2 2 2 3 2" xfId="12905"/>
    <cellStyle name="Afjusted 4 2 2 2 3 2" xfId="12906"/>
    <cellStyle name="ac 2 2 2 2 2 3 2" xfId="12907"/>
    <cellStyle name="Afjusted 2 2 2 2 2 3 2" xfId="12908"/>
    <cellStyle name="Bold/Border 2 2 2 2 2 3 2" xfId="12909"/>
    <cellStyle name="COL HEADINGS 2 2 2 2 2 3 2" xfId="12910"/>
    <cellStyle name="Date [mmm-yyyy] 2 2 2 2 2 3 2" xfId="12911"/>
    <cellStyle name="dp*NumberLine 2 2 2 2 2 3 2" xfId="12912"/>
    <cellStyle name="dp*NumberLineEPS 2 2 2 2 2 3 2" xfId="12913"/>
    <cellStyle name="dp*SheetSubTitle 2 2 2 2 2 3 2" xfId="12914"/>
    <cellStyle name="Heading [Helv] 2 2 2 2 2 3 2" xfId="12915"/>
    <cellStyle name="Heading [Palat] 2 2 2 2 2 3 2" xfId="12916"/>
    <cellStyle name="Magic 2 2 2 2 2 3 2" xfId="12917"/>
    <cellStyle name="Outputs 2 2 2 2 2 3 2" xfId="12918"/>
    <cellStyle name="Table Head Aligned 2 2 2 2 2 3 2" xfId="12919"/>
    <cellStyle name="Table Head Green 2 2 2 2 2 3 2" xfId="12920"/>
    <cellStyle name="Title [Helv] 2 2 2 2 2 3 2" xfId="12921"/>
    <cellStyle name="Title [Palat] 2 2 2 2 2 3 2" xfId="12922"/>
    <cellStyle name="dp*ThinLineBelow 3 5 2 3 2" xfId="12923"/>
    <cellStyle name="Date [mm-d-yyyy] 2 2 3 2 3 2" xfId="12924"/>
    <cellStyle name="Afjusted 3 2 3 2 3 2" xfId="12925"/>
    <cellStyle name="Date [mm-d-yyyy] 3 2 3 2 3 2" xfId="12926"/>
    <cellStyle name="Style 51 4 2 3 2 3 2" xfId="12927"/>
    <cellStyle name="Style 49 4 2 3 2 3 2" xfId="12928"/>
    <cellStyle name="Style 45 4 2 3 2 3 2" xfId="12929"/>
    <cellStyle name="Style 44 4 2 3 2 3 2" xfId="12930"/>
    <cellStyle name="P-Green Rule 3 2 3 2 3 2" xfId="12931"/>
    <cellStyle name="PB Table Standard Row 3 2 3 2 3 2" xfId="12932"/>
    <cellStyle name="dp*ThinLineBelow 3 2 3 2 3 2" xfId="12933"/>
    <cellStyle name="dp*SubTitle 3 2 3 2 3 2" xfId="12934"/>
    <cellStyle name="Border Thin 3 2 3 2 3 2" xfId="12935"/>
    <cellStyle name="Afjusted 4 2 3 2 3 2" xfId="12936"/>
    <cellStyle name="ac 2 2 2 3 2 3 2" xfId="12937"/>
    <cellStyle name="Afjusted 2 2 2 3 2 3 2" xfId="12938"/>
    <cellStyle name="Bold/Border 2 2 2 3 2 3 2" xfId="12939"/>
    <cellStyle name="COL HEADINGS 2 2 2 3 2 3 2" xfId="12940"/>
    <cellStyle name="Date [mmm-yyyy] 2 2 2 3 2 3 2" xfId="12941"/>
    <cellStyle name="dp*NumberLine 2 2 2 3 2 3 2" xfId="12942"/>
    <cellStyle name="dp*NumberLineEPS 2 2 2 3 2 3 2" xfId="12943"/>
    <cellStyle name="dp*SheetSubTitle 2 2 2 3 2 3 2" xfId="12944"/>
    <cellStyle name="Heading [Helv] 2 2 2 3 2 3 2" xfId="12945"/>
    <cellStyle name="Heading [Palat] 2 2 2 3 2 3 2" xfId="12946"/>
    <cellStyle name="Magic 2 2 2 3 2 3 2" xfId="12947"/>
    <cellStyle name="Outputs 2 2 2 3 2 3 2" xfId="12948"/>
    <cellStyle name="Table Head Aligned 2 2 2 3 2 3 2" xfId="12949"/>
    <cellStyle name="Table Head Green 2 2 2 3 2 3 2" xfId="12950"/>
    <cellStyle name="Title [Helv] 2 2 2 3 2 3 2" xfId="12951"/>
    <cellStyle name="Title [Palat] 2 2 2 3 2 3 2" xfId="12952"/>
    <cellStyle name="Afjusted 3 2 4 2 3 2" xfId="12953"/>
    <cellStyle name="Date [mm-d-yyyy] 3 2 4 2 3 2" xfId="12954"/>
    <cellStyle name="Style 51 4 2 4 2 3 2" xfId="12955"/>
    <cellStyle name="Style 49 4 2 4 2 3 2" xfId="12956"/>
    <cellStyle name="Style 45 4 2 4 2 3 2" xfId="12957"/>
    <cellStyle name="Style 44 4 2 4 2 3 2" xfId="12958"/>
    <cellStyle name="P-Green Rule 3 2 4 2 3 2" xfId="12959"/>
    <cellStyle name="PB Table Standard Row 3 2 4 2 3 2" xfId="12960"/>
    <cellStyle name="dp*ThinLineBelow 3 2 4 2 3 2" xfId="12961"/>
    <cellStyle name="dp*SubTitle 3 2 4 2 3 2" xfId="12962"/>
    <cellStyle name="Border Thin 3 2 4 2 3 2" xfId="12963"/>
    <cellStyle name="Afjusted 4 2 4 2 3 2" xfId="12964"/>
    <cellStyle name="ac 2 2 2 4 2 3 2" xfId="12965"/>
    <cellStyle name="Afjusted 2 2 2 4 2 3 2" xfId="12966"/>
    <cellStyle name="Bold/Border 2 2 2 4 2 3 2" xfId="12967"/>
    <cellStyle name="COL HEADINGS 2 2 2 4 2 3 2" xfId="12968"/>
    <cellStyle name="Date [mmm-yyyy] 2 2 2 4 2 3 2" xfId="12969"/>
    <cellStyle name="dp*NumberLine 2 2 2 4 2 3 2" xfId="12970"/>
    <cellStyle name="dp*NumberLineEPS 2 2 2 4 2 3 2" xfId="12971"/>
    <cellStyle name="dp*SheetSubTitle 2 2 2 4 2 3 2" xfId="12972"/>
    <cellStyle name="Heading [Helv] 2 2 2 4 2 3 2" xfId="12973"/>
    <cellStyle name="Heading [Palat] 2 2 2 4 2 3 2" xfId="12974"/>
    <cellStyle name="Magic 2 2 2 4 2 3 2" xfId="12975"/>
    <cellStyle name="Outputs 2 2 2 4 2 3 2" xfId="12976"/>
    <cellStyle name="Table Head Aligned 2 2 2 4 2 3 2" xfId="12977"/>
    <cellStyle name="Table Head Green 2 2 2 4 2 3 2" xfId="12978"/>
    <cellStyle name="Title [Helv] 2 2 2 4 2 3 2" xfId="12979"/>
    <cellStyle name="Title [Palat] 2 2 2 4 2 3 2" xfId="12980"/>
    <cellStyle name="Border Thin 4 2 3 2" xfId="12981"/>
    <cellStyle name="Date [mm-d-yyyy] 4 2 3 2" xfId="12982"/>
    <cellStyle name="dp*SubTitle 4 2 3 2" xfId="12983"/>
    <cellStyle name="dp*ThinLineBelow 4 2 3 2" xfId="12984"/>
    <cellStyle name="PB Table Standard Row 4 2 3 2" xfId="12985"/>
    <cellStyle name="P-Green Rule 4 2 3 2" xfId="12986"/>
    <cellStyle name="Style 44 5 2 3 2" xfId="12987"/>
    <cellStyle name="Style 45 5 2 3 2" xfId="12988"/>
    <cellStyle name="Style 49 5 2 3 2" xfId="12989"/>
    <cellStyle name="Style 51 5 2 3 2" xfId="12990"/>
    <cellStyle name="Title [Palat] 3 2 3 2" xfId="12991"/>
    <cellStyle name="Title [Helv] 3 2 3 2" xfId="12992"/>
    <cellStyle name="Table Head Green 3 2 3 2" xfId="12993"/>
    <cellStyle name="Table Head Aligned 3 2 3 2" xfId="12994"/>
    <cellStyle name="Outputs 3 2 3 2" xfId="12995"/>
    <cellStyle name="Magic 3 2 3 2" xfId="12996"/>
    <cellStyle name="Heading [Palat] 3 2 3 2" xfId="12997"/>
    <cellStyle name="Heading [Helv] 3 2 3 2" xfId="12998"/>
    <cellStyle name="dp*SheetSubTitle 3 2 3 2" xfId="12999"/>
    <cellStyle name="dp*NumberLineEPS 3 2 3 2" xfId="13000"/>
    <cellStyle name="dp*NumberLine 3 2 3 2" xfId="13001"/>
    <cellStyle name="COL HEADINGS 3 2 3 2" xfId="13002"/>
    <cellStyle name="Bold/Border 3 2 3 2" xfId="13003"/>
    <cellStyle name="Afjusted 5 2 3 2" xfId="13004"/>
    <cellStyle name="ac 3 2 3 2" xfId="13005"/>
    <cellStyle name="Date [mmm-yyyy] 3 2 3 2" xfId="13006"/>
    <cellStyle name="ac 2 4 2 3 2" xfId="13007"/>
    <cellStyle name="Afjusted 2 3 2 3 2" xfId="13008"/>
    <cellStyle name="Bold/Border 2 4 2 3 2" xfId="13009"/>
    <cellStyle name="Border Thin 2 4 2 3 2" xfId="13010"/>
    <cellStyle name="COL HEADINGS 2 4 2 3 2" xfId="13011"/>
    <cellStyle name="Date [mmm-yyyy] 2 4 2 3 2" xfId="13012"/>
    <cellStyle name="dp*NumberLine 2 4 2 3 2" xfId="13013"/>
    <cellStyle name="dp*NumberLineEPS 2 4 2 3 2" xfId="13014"/>
    <cellStyle name="dp*SheetSubTitle 2 4 2 3 2" xfId="13015"/>
    <cellStyle name="dp*SubTitle 2 4 2 3 2" xfId="13016"/>
    <cellStyle name="dp*ThinLineBelow 2 4 2 3 2" xfId="13017"/>
    <cellStyle name="Heading [Helv] 2 4 2 3 2" xfId="13018"/>
    <cellStyle name="Heading [Palat] 2 4 2 3 2" xfId="13019"/>
    <cellStyle name="Magic 2 4 2 3 2" xfId="13020"/>
    <cellStyle name="Outputs 2 4 2 3 2" xfId="13021"/>
    <cellStyle name="PB Table Standard Row 2 4 2 3 2" xfId="13022"/>
    <cellStyle name="P-Green Rule 2 4 2 3 2" xfId="13023"/>
    <cellStyle name="Style 44 3 4 2 3 2" xfId="13024"/>
    <cellStyle name="Style 45 3 4 2 3 2" xfId="13025"/>
    <cellStyle name="Style 49 3 4 2 3 2" xfId="13026"/>
    <cellStyle name="Style 51 3 4 2 3 2" xfId="13027"/>
    <cellStyle name="Style 44 2 4 2 3 2" xfId="13028"/>
    <cellStyle name="Style 45 2 4 2 3 2" xfId="13029"/>
    <cellStyle name="Style 49 2 4 2 3 2" xfId="13030"/>
    <cellStyle name="Style 51 2 4 2 3 2" xfId="13031"/>
    <cellStyle name="Table Head Aligned 2 4 2 3 2" xfId="13032"/>
    <cellStyle name="Table Head Green 2 4 2 3 2" xfId="13033"/>
    <cellStyle name="Title [Helv] 2 4 2 3 2" xfId="13034"/>
    <cellStyle name="Title [Palat] 2 4 2 3 2" xfId="13035"/>
    <cellStyle name="ac 4 2 3 2" xfId="13036"/>
    <cellStyle name="Bold/Border 4 2 3 2" xfId="13037"/>
    <cellStyle name="Border Thin 5 2 3 2" xfId="13038"/>
    <cellStyle name="COL HEADINGS 4 2 3 2" xfId="13039"/>
    <cellStyle name="Date [mm-d-yyyy] 5 2 3 2" xfId="13040"/>
    <cellStyle name="Heading [Helv] 4 2 3 2" xfId="13041"/>
    <cellStyle name="Heading [Palat] 4 2 3 2" xfId="13042"/>
    <cellStyle name="Outputs 4 2 3 2" xfId="13043"/>
    <cellStyle name="PB Table Standard Row 5 2 3 2" xfId="13044"/>
    <cellStyle name="P-Green Rule 5 2 3 2" xfId="13045"/>
    <cellStyle name="Style 44 6 2 3 2" xfId="13046"/>
    <cellStyle name="Style 45 6 2 3 2" xfId="13047"/>
    <cellStyle name="Style 49 6 2 3 2" xfId="13048"/>
    <cellStyle name="Style 51 6 2 3 2" xfId="13049"/>
    <cellStyle name="Table Head Green 4 2 3 2" xfId="13050"/>
    <cellStyle name="Afjusted 6 2 3 2" xfId="13051"/>
    <cellStyle name="ac 2 5 2 3 2" xfId="13052"/>
    <cellStyle name="Afjusted 2 4 2 3 2" xfId="13053"/>
    <cellStyle name="Bold/Border 2 5 2 3 2" xfId="13054"/>
    <cellStyle name="Border Thin 2 5 2 3 2" xfId="13055"/>
    <cellStyle name="COL HEADINGS 2 5 2 3 2" xfId="13056"/>
    <cellStyle name="Date [mmm-yyyy] 2 5 2 3 2" xfId="13057"/>
    <cellStyle name="dp*NumberLine 2 5 2 3 2" xfId="13058"/>
    <cellStyle name="dp*NumberLineEPS 2 5 2 3 2" xfId="13059"/>
    <cellStyle name="dp*SheetSubTitle 2 5 2 3 2" xfId="13060"/>
    <cellStyle name="dp*SubTitle 2 5 2 3 2" xfId="13061"/>
    <cellStyle name="dp*ThinLineBelow 2 5 2 3 2" xfId="13062"/>
    <cellStyle name="Heading [Helv] 2 5 2 3 2" xfId="13063"/>
    <cellStyle name="Heading [Palat] 2 5 2 3 2" xfId="13064"/>
    <cellStyle name="Magic 2 5 2 3 2" xfId="13065"/>
    <cellStyle name="Outputs 2 5 2 3 2" xfId="13066"/>
    <cellStyle name="PB Table Standard Row 2 5 2 3 2" xfId="13067"/>
    <cellStyle name="P-Green Rule 2 5 2 3 2" xfId="13068"/>
    <cellStyle name="Style 44 3 5 2 3 2" xfId="13069"/>
    <cellStyle name="Style 45 3 5 2 3 2" xfId="13070"/>
    <cellStyle name="Style 49 3 5 2 3 2" xfId="13071"/>
    <cellStyle name="Style 51 3 5 2 3 2" xfId="13072"/>
    <cellStyle name="Style 44 2 5 2 3 2" xfId="13073"/>
    <cellStyle name="Style 45 2 5 2 3 2" xfId="13074"/>
    <cellStyle name="Style 49 2 5 2 3 2" xfId="13075"/>
    <cellStyle name="Style 51 2 5 2 3 2" xfId="13076"/>
    <cellStyle name="Table Head Aligned 2 5 2 3 2" xfId="13077"/>
    <cellStyle name="Table Head Green 2 5 2 3 2" xfId="13078"/>
    <cellStyle name="Title [Helv] 2 5 2 3 2" xfId="13079"/>
    <cellStyle name="Title [Palat] 2 5 2 3 2" xfId="13080"/>
    <cellStyle name="ac 5 2 3 2" xfId="13081"/>
    <cellStyle name="Bold/Border 5 2 3 2" xfId="13082"/>
    <cellStyle name="Border Thin 6 2 3 2" xfId="13083"/>
    <cellStyle name="COL HEADINGS 5 2 3 2" xfId="13084"/>
    <cellStyle name="Heading [Helv] 5 2 3 2" xfId="13085"/>
    <cellStyle name="Heading [Palat] 5 2 3 2" xfId="13086"/>
    <cellStyle name="Outputs 5 2 3 2" xfId="13087"/>
    <cellStyle name="PB Table Standard Row 6 2 3 2" xfId="13088"/>
    <cellStyle name="P-Green Rule 6 2 3 2" xfId="13089"/>
    <cellStyle name="Style 44 7 2 3 2" xfId="13090"/>
    <cellStyle name="Style 45 7 2 3 2" xfId="13091"/>
    <cellStyle name="Style 49 7 2 3 2" xfId="13092"/>
    <cellStyle name="Style 51 7 2 3 2" xfId="13093"/>
    <cellStyle name="Table Head Green 5 2 3 2" xfId="13094"/>
    <cellStyle name="Title [Palat] 4 2 3 2" xfId="13095"/>
    <cellStyle name="ac 2 6 2 3 2" xfId="13096"/>
    <cellStyle name="Bold/Border 2 6 2 3 2" xfId="13097"/>
    <cellStyle name="Border Thin 2 6 2 3 2" xfId="13098"/>
    <cellStyle name="COL HEADINGS 2 6 2 3 2" xfId="13099"/>
    <cellStyle name="Heading [Helv] 2 6 2 3 2" xfId="13100"/>
    <cellStyle name="Heading [Palat] 2 6 2 3 2" xfId="13101"/>
    <cellStyle name="Outputs 2 6 2 3 2" xfId="13102"/>
    <cellStyle name="PB Table Standard Row 2 6 2 3 2" xfId="13103"/>
    <cellStyle name="P-Green Rule 2 6 2 3 2" xfId="13104"/>
    <cellStyle name="Style 44 3 6 2 3 2" xfId="13105"/>
    <cellStyle name="Style 45 3 6 2 3 2" xfId="13106"/>
    <cellStyle name="Style 49 3 6 2 3 2" xfId="13107"/>
    <cellStyle name="Style 51 3 6 2 3 2" xfId="13108"/>
    <cellStyle name="Style 44 2 6 2 3 2" xfId="13109"/>
    <cellStyle name="Style 45 2 6 2 3 2" xfId="13110"/>
    <cellStyle name="Style 49 2 6 2 3 2" xfId="13111"/>
    <cellStyle name="Style 51 2 6 2 3 2" xfId="13112"/>
    <cellStyle name="Table Head Green 2 6 2 3 2" xfId="13113"/>
    <cellStyle name="Title [Palat] 2 6 2 3 2" xfId="13114"/>
    <cellStyle name="Title [Palat] 5 2 3 2" xfId="13115"/>
    <cellStyle name="Title [Helv] 4 2 3 2" xfId="13116"/>
    <cellStyle name="Table Head Green 6 2 3 2" xfId="13117"/>
    <cellStyle name="Table Head Aligned 4 2 3 2" xfId="13118"/>
    <cellStyle name="Style 51 9 2 3 2" xfId="13119"/>
    <cellStyle name="Style 49 9 2 3 2" xfId="13120"/>
    <cellStyle name="Style 45 9 2 3 2" xfId="13121"/>
    <cellStyle name="Style 44 9 2 3 2" xfId="13122"/>
    <cellStyle name="P-Green Rule 7 2 3 2" xfId="13123"/>
    <cellStyle name="PB Table Standard Row 7 2 3 2" xfId="13124"/>
    <cellStyle name="Outputs 6 2 3 2" xfId="13125"/>
    <cellStyle name="Magic 4 2 3 2" xfId="13126"/>
    <cellStyle name="Heading [Palat] 6 2 3 2" xfId="13127"/>
    <cellStyle name="Heading [Helv] 6 2 3 2" xfId="13128"/>
    <cellStyle name="dp*ThinLineBelow 5 2 3 2" xfId="13129"/>
    <cellStyle name="dp*SubTitle 5 2 3 2" xfId="13130"/>
    <cellStyle name="dp*SheetSubTitle 4 2 3 2" xfId="13131"/>
    <cellStyle name="dp*NumberLineEPS 4 2 3 2" xfId="13132"/>
    <cellStyle name="dp*NumberLine 4 2 3 2" xfId="13133"/>
    <cellStyle name="Date [mmm-yyyy] 4 2 3 2" xfId="13134"/>
    <cellStyle name="Date [mm-d-yyyy] 7 2 3 2" xfId="13135"/>
    <cellStyle name="COL HEADINGS 6 2 3 2" xfId="13136"/>
    <cellStyle name="Border Thin 7 2 3 2" xfId="13137"/>
    <cellStyle name="Bold/Border 6 2 3 2" xfId="13138"/>
    <cellStyle name="Afjusted 7 2 3 2" xfId="13139"/>
    <cellStyle name="ac 6 2 3 2" xfId="13140"/>
    <cellStyle name="Style 44 8 2 3 2" xfId="13141"/>
    <cellStyle name="Style 45 8 2 3 2" xfId="13142"/>
    <cellStyle name="Style 49 8 2 3 2" xfId="13143"/>
    <cellStyle name="Style 51 8 2 3 2" xfId="13144"/>
    <cellStyle name="Title [Palat] 6 2 3 2" xfId="13145"/>
    <cellStyle name="Title [Helv] 5 2 3 2" xfId="13146"/>
    <cellStyle name="Table Head Green 7 2 3 2" xfId="13147"/>
    <cellStyle name="Table Head Aligned 5 2 3 2" xfId="13148"/>
    <cellStyle name="Outputs 7 2 3 2" xfId="13149"/>
    <cellStyle name="Magic 5 2 3 2" xfId="13150"/>
    <cellStyle name="Heading [Palat] 7 2 3 2" xfId="13151"/>
    <cellStyle name="Heading [Helv] 7 2 3 2" xfId="13152"/>
    <cellStyle name="dp*SheetSubTitle 5 2 3 2" xfId="13153"/>
    <cellStyle name="dp*NumberLineEPS 5 2 3 2" xfId="13154"/>
    <cellStyle name="dp*NumberLine 5 2 3 2" xfId="13155"/>
    <cellStyle name="Date [mmm-yyyy] 5 2 3 2" xfId="13156"/>
    <cellStyle name="COL HEADINGS 7 2 3 2" xfId="13157"/>
    <cellStyle name="Bold/Border 7 2 3 2" xfId="13158"/>
    <cellStyle name="Afjusted 8 2 3 2" xfId="13159"/>
    <cellStyle name="ac 7 2 3 2" xfId="13160"/>
    <cellStyle name="Title [Palat] 7 2 3 2" xfId="13161"/>
    <cellStyle name="Title [Helv] 6 2 3 2" xfId="13162"/>
    <cellStyle name="Table Head Green 8 2 3 2" xfId="13163"/>
    <cellStyle name="Table Head Aligned 6 2 3 2" xfId="13164"/>
    <cellStyle name="Outputs 8 2 3 2" xfId="13165"/>
    <cellStyle name="Magic 6 2 3 2" xfId="13166"/>
    <cellStyle name="Heading [Palat] 8 2 3 2" xfId="13167"/>
    <cellStyle name="Heading [Helv] 8 2 3 2" xfId="13168"/>
    <cellStyle name="dp*SheetSubTitle 6 2 3 2" xfId="13169"/>
    <cellStyle name="dp*NumberLineEPS 6 2 3 2" xfId="13170"/>
    <cellStyle name="dp*NumberLine 6 2 3 2" xfId="13171"/>
    <cellStyle name="COL HEADINGS 8 2 3 2" xfId="13172"/>
    <cellStyle name="Bold/Border 8 2 3 2" xfId="13173"/>
    <cellStyle name="Afjusted 9 2 3 2" xfId="13174"/>
    <cellStyle name="ac 8 2 3 2" xfId="13175"/>
    <cellStyle name="Date [mmm-yyyy] 6 2 3 2" xfId="13176"/>
    <cellStyle name="Title [Palat] 8 2 3 2" xfId="13177"/>
    <cellStyle name="Title [Helv] 7 2 3 2" xfId="13178"/>
    <cellStyle name="Table Head Green 9 2 3 2" xfId="13179"/>
    <cellStyle name="Table Head Aligned 7 2 3 2" xfId="13180"/>
    <cellStyle name="Outputs 9 2 3 2" xfId="13181"/>
    <cellStyle name="Magic 7 2 3 2" xfId="13182"/>
    <cellStyle name="Heading [Palat] 9 2 3 2" xfId="13183"/>
    <cellStyle name="Heading [Helv] 9 2 3 2" xfId="13184"/>
    <cellStyle name="dp*SheetSubTitle 7 2 3 2" xfId="13185"/>
    <cellStyle name="dp*NumberLineEPS 7 2 3 2" xfId="13186"/>
    <cellStyle name="dp*NumberLine 7 2 3 2" xfId="13187"/>
    <cellStyle name="Date [mmm-yyyy] 7 2 3 2" xfId="13188"/>
    <cellStyle name="COL HEADINGS 9 2 3 2" xfId="13189"/>
    <cellStyle name="Bold/Border 9 2 3 2" xfId="13190"/>
    <cellStyle name="Afjusted 10 2 3 2" xfId="13191"/>
    <cellStyle name="ac 9 2 3 2" xfId="13192"/>
    <cellStyle name="Style 49 4 3 3 5 2" xfId="13193"/>
    <cellStyle name="dp*ThinLineBelow 3 3 3 5 2" xfId="13194"/>
    <cellStyle name="Afjusted 2 2 3 3 5 2" xfId="13195"/>
    <cellStyle name="Date [mmm-yyyy] 2 2 3 3 5 2" xfId="13196"/>
    <cellStyle name="Magic 2 3 5 2" xfId="13197"/>
    <cellStyle name="Heading [Palat] 2 3 5 2" xfId="13198"/>
    <cellStyle name="Style 45 4 3 10" xfId="13199"/>
    <cellStyle name="Style 51 3 3 5 2" xfId="13200"/>
    <cellStyle name="Style 45 2 8 2" xfId="13201"/>
    <cellStyle name="Style 44 2 8 2" xfId="13202"/>
    <cellStyle name="Style 51 3 8 2" xfId="13203"/>
    <cellStyle name="P-Green Rule 2 8 2" xfId="13204"/>
    <cellStyle name="PB Table Standard Row 2 7 2" xfId="13205"/>
    <cellStyle name="dp*SubTitle 2 6 2" xfId="13206"/>
    <cellStyle name="Border Thin 2 7 2" xfId="13207"/>
    <cellStyle name="Input 2 2 5" xfId="13208"/>
    <cellStyle name="Arial8Italic 12" xfId="13209"/>
    <cellStyle name="dp*SheetSubTitle 2 4 4 3" xfId="13210"/>
    <cellStyle name="SSDfltPct 2 4" xfId="13211"/>
    <cellStyle name="Style 44 3 4 4 3" xfId="13212"/>
    <cellStyle name="Date [mmm-yyyy] 2 5 10" xfId="13213"/>
    <cellStyle name="Style 49 2 4 4 3" xfId="13214"/>
    <cellStyle name="Bold/Border 2 4 4 3" xfId="13215"/>
    <cellStyle name="Heading [Helv] 2 4 4 3" xfId="13216"/>
    <cellStyle name="Style 49 3 4 4 3" xfId="13217"/>
    <cellStyle name="Date [mmm-yyyy] 3 4 3" xfId="13218"/>
    <cellStyle name="PB Table Standard Row 2 4 4 3" xfId="13219"/>
    <cellStyle name="Table Head Aligned 2 2 2 7 3" xfId="13220"/>
    <cellStyle name="Style 44 2 4 4 3" xfId="13221"/>
    <cellStyle name="Table Head Aligned 2 2 2 3 4 3" xfId="13222"/>
    <cellStyle name="ac 2 2 2 4 4 3" xfId="13223"/>
    <cellStyle name="dp*SheetSubTitle 2 2 7 3" xfId="13224"/>
    <cellStyle name="COL HEADINGS 2 2 3 3 5 2" xfId="13225"/>
    <cellStyle name="Date [mmm-yyyy] 2 3 5 2" xfId="13226"/>
    <cellStyle name="Outputs 2 5 5 2" xfId="13227"/>
    <cellStyle name="dp*ThinLineBelow 2 5 5 2" xfId="13228"/>
    <cellStyle name="dp*NumberLineEPS 2 3 5 2" xfId="13229"/>
    <cellStyle name="Style 45 4 2 2 5 2" xfId="13230"/>
    <cellStyle name="Afjusted 4 5 5 2" xfId="13231"/>
    <cellStyle name="COL HEADINGS 2 3 5 2" xfId="13232"/>
    <cellStyle name="Heading [Helv] 2 2 3 4 5 2" xfId="13233"/>
    <cellStyle name="Afjusted 3 6 6" xfId="13234"/>
    <cellStyle name="ac 2 7 6" xfId="13235"/>
    <cellStyle name="Afjusted 2 5 6" xfId="13236"/>
    <cellStyle name="Bold/Border 2 7 6" xfId="13237"/>
    <cellStyle name="COL HEADINGS 2 7 6" xfId="13238"/>
    <cellStyle name="Date [mmm-yyyy] 2 6 6" xfId="13239"/>
    <cellStyle name="dp*ThinLineBelow 2 4 5 2" xfId="13240"/>
    <cellStyle name="Border Thin 2 4 5 2" xfId="13241"/>
    <cellStyle name="dp*NumberLine 2 6 6" xfId="13242"/>
    <cellStyle name="dp*NumberLineEPS 2 6 6" xfId="13243"/>
    <cellStyle name="dp*SheetSubTitle 2 6 6" xfId="13244"/>
    <cellStyle name="Heading [Helv] 3 5 2" xfId="13245"/>
    <cellStyle name="ac 2 2 2 2 5 2" xfId="13246"/>
    <cellStyle name="Afjusted 2 2 3 2 5 2" xfId="13247"/>
    <cellStyle name="Heading [Helv] 2 7 6" xfId="13248"/>
    <cellStyle name="Heading [Palat] 2 7 6" xfId="13249"/>
    <cellStyle name="Afjusted 2 2 4 5 2" xfId="13250"/>
    <cellStyle name="Magic 2 6 6" xfId="13251"/>
    <cellStyle name="Style 44 4 3 4 5 2" xfId="13252"/>
    <cellStyle name="ac 2 4 5 2" xfId="13253"/>
    <cellStyle name="dp*SheetSubTitle 2 4 5 2" xfId="13254"/>
    <cellStyle name="Outputs 2 7 6" xfId="13255"/>
    <cellStyle name="Afjusted 3 9 2" xfId="13256"/>
    <cellStyle name="Table Head Aligned 2 6 6" xfId="13257"/>
    <cellStyle name="Table Head Green 2 7 6" xfId="13258"/>
    <cellStyle name="Title [Helv] 2 6 6" xfId="13259"/>
    <cellStyle name="Title [Palat] 2 7 6" xfId="13260"/>
    <cellStyle name="PB Table Standard Row 3 3 3 5 2" xfId="13261"/>
    <cellStyle name="Afjusted 4 4 5 2" xfId="13262"/>
    <cellStyle name="dp*SubTitle 3 5 5 2" xfId="13263"/>
    <cellStyle name="Table Head Aligned 2 2 3 3 5 2" xfId="13264"/>
    <cellStyle name="Style 44 2 5 5 2" xfId="13265"/>
    <cellStyle name="dp*SheetSubTitle 3 5 2" xfId="13266"/>
    <cellStyle name="Outputs 3 5 2" xfId="13267"/>
    <cellStyle name="Table Head Green 2 2 2 4 5 2" xfId="13268"/>
    <cellStyle name="P-Green Rule 3 2 3 5 2" xfId="13269"/>
    <cellStyle name="dp*ThinLineBelow 3 5 5 2" xfId="13270"/>
    <cellStyle name="Magic 2 2 4 5 2" xfId="13271"/>
    <cellStyle name="Date [mm-d-yyyy] 3 6 6" xfId="13272"/>
    <cellStyle name="Style 51 4 6 6" xfId="13273"/>
    <cellStyle name="Style 49 4 6 6" xfId="13274"/>
    <cellStyle name="Style 45 4 6 6" xfId="13275"/>
    <cellStyle name="Style 44 4 6 6" xfId="13276"/>
    <cellStyle name="P-Green Rule 3 6 6" xfId="13277"/>
    <cellStyle name="PB Table Standard Row 3 6 6" xfId="13278"/>
    <cellStyle name="Border Thin 3 3 4 5 2" xfId="13279"/>
    <cellStyle name="dp*ThinLineBelow 3 6 6" xfId="13280"/>
    <cellStyle name="dp*SubTitle 3 6 6" xfId="13281"/>
    <cellStyle name="dp*NumberLineEPS 2 4 5 2" xfId="13282"/>
    <cellStyle name="Border Thin 3 6 6" xfId="13283"/>
    <cellStyle name="dp*SheetSubTitle 2 2 4 5 2" xfId="13284"/>
    <cellStyle name="Afjusted 4 6 6" xfId="13285"/>
    <cellStyle name="ac 2 2 5 6" xfId="13286"/>
    <cellStyle name="Afjusted 2 2 6 6" xfId="13287"/>
    <cellStyle name="Bold/Border 2 2 5 6" xfId="13288"/>
    <cellStyle name="COL HEADINGS 2 2 5 6" xfId="13289"/>
    <cellStyle name="Date [mmm-yyyy] 2 2 5 6" xfId="13290"/>
    <cellStyle name="dp*SubTitle 2 4 5 2" xfId="13291"/>
    <cellStyle name="Bold/Border 2 4 5 2" xfId="13292"/>
    <cellStyle name="dp*NumberLine 2 2 5 6" xfId="13293"/>
    <cellStyle name="dp*NumberLineEPS 2 2 5 6" xfId="13294"/>
    <cellStyle name="dp*SheetSubTitle 2 2 5 6" xfId="13295"/>
    <cellStyle name="Heading [Helv] 2 2 5 6" xfId="13296"/>
    <cellStyle name="Heading [Palat] 2 2 5 6" xfId="13297"/>
    <cellStyle name="Magic 2 2 5 6" xfId="13298"/>
    <cellStyle name="Outputs 2 2 5 6" xfId="13299"/>
    <cellStyle name="Table Head Aligned 2 2 5 6" xfId="13300"/>
    <cellStyle name="Table Head Green 2 2 5 6" xfId="13301"/>
    <cellStyle name="Title [Helv] 2 2 5 6" xfId="13302"/>
    <cellStyle name="Title [Palat] 2 2 5 6" xfId="13303"/>
    <cellStyle name="Heading [Palat] 2 2 4 5 2" xfId="13304"/>
    <cellStyle name="dp*NumberLine 2 2 4 5 2" xfId="13305"/>
    <cellStyle name="Date [mmm-yyyy] 2 2 4 5 2" xfId="13306"/>
    <cellStyle name="COL HEADINGS 2 2 4 5 2" xfId="13307"/>
    <cellStyle name="Bold/Border 2 2 4 5 2" xfId="13308"/>
    <cellStyle name="Afjusted 2 2 5 5 2" xfId="13309"/>
    <cellStyle name="ac 2 2 4 5 2" xfId="13310"/>
    <cellStyle name="dp*SubTitle 2 2 5 2" xfId="13311"/>
    <cellStyle name="Bold/Border 2 2 3 4 5 2" xfId="13312"/>
    <cellStyle name="Style 44 4 5 5 2" xfId="13313"/>
    <cellStyle name="dp*ThinLineBelow 4 5 2" xfId="13314"/>
    <cellStyle name="Style 51 5 5 2" xfId="13315"/>
    <cellStyle name="PB Table Standard Row 4 5 2" xfId="13316"/>
    <cellStyle name="ac 2 2 3 3 5 2" xfId="13317"/>
    <cellStyle name="P-Green Rule 3 5 5 2" xfId="13318"/>
    <cellStyle name="dp*SubTitle 4 5 2" xfId="13319"/>
    <cellStyle name="Style 44 5 5 2" xfId="13320"/>
    <cellStyle name="Style 49 5 5 2" xfId="13321"/>
    <cellStyle name="Style 45 5 5 2" xfId="13322"/>
    <cellStyle name="P-Green Rule 4 5 2" xfId="13323"/>
    <cellStyle name="Outputs 2 2 3 4 5 2" xfId="13324"/>
    <cellStyle name="Table Head Aligned 2 2 3 2 5 2" xfId="13325"/>
    <cellStyle name="Title [Helv] 2 2 3 2 5 2" xfId="13326"/>
    <cellStyle name="P-Green Rule 2 3 5 2" xfId="13327"/>
    <cellStyle name="Heading [Palat] 2 2 3 4 5 2" xfId="13328"/>
    <cellStyle name="Afjusted 4 2 2 5 2" xfId="13329"/>
    <cellStyle name="COL HEADINGS 2 5 5 2" xfId="13330"/>
    <cellStyle name="Style 49 6 5 2" xfId="13331"/>
    <cellStyle name="Title [Palat] 2 9 3" xfId="13332"/>
    <cellStyle name="Afjusted 4 3 4 5 2" xfId="13333"/>
    <cellStyle name="dp*NumberLine 2 2 3 4 5 2" xfId="13334"/>
    <cellStyle name="dp*SubTitle 2 2 2 6" xfId="13335"/>
    <cellStyle name="Border Thin 2 2 2 6" xfId="13336"/>
    <cellStyle name="Style 44 3 2 5 2" xfId="13337"/>
    <cellStyle name="Border Thin 2 3 5 2" xfId="13338"/>
    <cellStyle name="Style 51 4 3 3 5 2" xfId="13339"/>
    <cellStyle name="Bold/Border 2 2 3 4 2 6" xfId="13340"/>
    <cellStyle name="Magic 2 2 3 4 2 6" xfId="13341"/>
    <cellStyle name="Title [Helv] 2 2 3 4 2 6" xfId="13342"/>
    <cellStyle name="Style 51 2 2 2 6" xfId="13343"/>
    <cellStyle name="Style 45 2 2 2 6" xfId="13344"/>
    <cellStyle name="Style 49 2 2 2 6" xfId="13345"/>
    <cellStyle name="Style 44 2 2 2 6" xfId="13346"/>
    <cellStyle name="Style 51 3 2 2 6" xfId="13347"/>
    <cellStyle name="Style 49 3 2 2 6" xfId="13348"/>
    <cellStyle name="Style 45 3 2 2 6" xfId="13349"/>
    <cellStyle name="Style 44 3 2 2 6" xfId="13350"/>
    <cellStyle name="P-Green Rule 2 2 2 6" xfId="13351"/>
    <cellStyle name="PB Table Standard Row 2 2 2 6" xfId="13352"/>
    <cellStyle name="dp*ThinLineBelow 2 2 2 6" xfId="13353"/>
    <cellStyle name="dp*ThinLineBelow 2 3 2 6" xfId="13354"/>
    <cellStyle name="Style 44 3 3 2 6" xfId="13355"/>
    <cellStyle name="COL HEADINGS 2 2 3 4 2 6" xfId="13356"/>
    <cellStyle name="Style 49 4 3 4 2 6" xfId="13357"/>
    <cellStyle name="Afjusted 3 3 4 2 6" xfId="13358"/>
    <cellStyle name="Date [mm-d-yyyy] 3 3 4 2 6" xfId="13359"/>
    <cellStyle name="Afjusted 4 3 4 2 6" xfId="13360"/>
    <cellStyle name="ac 2 2 3 4 2 6" xfId="13361"/>
    <cellStyle name="Afjusted 2 2 3 4 2 6" xfId="13362"/>
    <cellStyle name="Date [mmm-yyyy] 2 2 3 4 2 6" xfId="13363"/>
    <cellStyle name="dp*NumberLine 2 2 3 4 2 6" xfId="13364"/>
    <cellStyle name="dp*NumberLineEPS 2 2 3 4 2 6" xfId="13365"/>
    <cellStyle name="dp*SheetSubTitle 2 2 3 4 2 6" xfId="13366"/>
    <cellStyle name="Heading [Helv] 2 2 3 4 2 6" xfId="13367"/>
    <cellStyle name="Outputs 2 2 3 4 2 6" xfId="13368"/>
    <cellStyle name="Table Head Aligned 2 2 3 4 2 6" xfId="13369"/>
    <cellStyle name="Title [Palat] 2 2 3 4 2 6" xfId="13370"/>
    <cellStyle name="Afjusted 3 5 2 6" xfId="13371"/>
    <cellStyle name="Style 45 3 3 2 6" xfId="13372"/>
    <cellStyle name="Style 51 3 3 2 6" xfId="13373"/>
    <cellStyle name="Style 44 2 3 2 6" xfId="13374"/>
    <cellStyle name="Style 45 2 3 2 6" xfId="13375"/>
    <cellStyle name="Style 49 2 3 2 6" xfId="13376"/>
    <cellStyle name="Border Thin 3 5 2 6" xfId="13377"/>
    <cellStyle name="ac 2 2 4 2 6" xfId="13378"/>
    <cellStyle name="Afjusted 2 2 5 2 6" xfId="13379"/>
    <cellStyle name="Bold/Border 2 2 4 2 6" xfId="13380"/>
    <cellStyle name="COL HEADINGS 2 2 4 2 6" xfId="13381"/>
    <cellStyle name="Date [mmm-yyyy] 2 2 4 2 6" xfId="13382"/>
    <cellStyle name="dp*NumberLine 2 2 4 2 6" xfId="13383"/>
    <cellStyle name="dp*NumberLineEPS 2 2 4 2 6" xfId="13384"/>
    <cellStyle name="dp*SheetSubTitle 2 2 4 2 6" xfId="13385"/>
    <cellStyle name="Heading [Palat] 2 2 4 2 6" xfId="13386"/>
    <cellStyle name="Outputs 2 2 4 2 6" xfId="13387"/>
    <cellStyle name="Magic 2 2 4 2 6" xfId="13388"/>
    <cellStyle name="Title [Helv] 2 2 4 2 6" xfId="13389"/>
    <cellStyle name="Title [Palat] 2 2 4 2 6" xfId="13390"/>
    <cellStyle name="Title [Palat] 2 2 3 3 2 6" xfId="13391"/>
    <cellStyle name="Title [Helv] 2 2 3 3 2 6" xfId="13392"/>
    <cellStyle name="Table Head Aligned 2 2 3 3 2 6" xfId="13393"/>
    <cellStyle name="Magic 2 2 3 3 2 6" xfId="13394"/>
    <cellStyle name="Heading [Helv] 2 2 3 3 2 6" xfId="13395"/>
    <cellStyle name="dp*NumberLineEPS 2 2 3 3 2 6" xfId="13396"/>
    <cellStyle name="COL HEADINGS 2 2 3 3 2 6" xfId="13397"/>
    <cellStyle name="ac 2 2 3 3 2 6" xfId="13398"/>
    <cellStyle name="Afjusted 4 3 3 2 6" xfId="13399"/>
    <cellStyle name="Border Thin 3 3 3 2 6" xfId="13400"/>
    <cellStyle name="PB Table Standard Row 3 3 3 2 6" xfId="13401"/>
    <cellStyle name="Style 44 4 3 3 2 6" xfId="13402"/>
    <cellStyle name="Style 51 4 3 3 2 6" xfId="13403"/>
    <cellStyle name="Afjusted 3 3 3 2 6" xfId="13404"/>
    <cellStyle name="Style 49 4 5 2 6" xfId="13405"/>
    <cellStyle name="Style 44 4 5 2 6" xfId="13406"/>
    <cellStyle name="P-Green Rule 3 5 2 6" xfId="13407"/>
    <cellStyle name="dp*SubTitle 3 5 2 6" xfId="13408"/>
    <cellStyle name="Afjusted 4 5 2 6" xfId="13409"/>
    <cellStyle name="Afjusted 2 2 3 4 5 2" xfId="13410"/>
    <cellStyle name="dp*ThinLineBelow 2 2 5 2" xfId="13411"/>
    <cellStyle name="Afjusted 3 3 3 5 2" xfId="13412"/>
    <cellStyle name="ac 2 3 2 6" xfId="13413"/>
    <cellStyle name="Bold/Border 2 3 2 6" xfId="13414"/>
    <cellStyle name="COL HEADINGS 2 3 2 6" xfId="13415"/>
    <cellStyle name="Date [mmm-yyyy] 2 3 2 6" xfId="13416"/>
    <cellStyle name="dp*NumberLine 2 3 2 6" xfId="13417"/>
    <cellStyle name="dp*NumberLineEPS 2 3 2 6" xfId="13418"/>
    <cellStyle name="dp*SheetSubTitle 2 3 2 6" xfId="13419"/>
    <cellStyle name="Heading [Helv] 2 3 2 6" xfId="13420"/>
    <cellStyle name="Heading [Palat] 2 3 2 6" xfId="13421"/>
    <cellStyle name="Magic 2 3 2 6" xfId="13422"/>
    <cellStyle name="Outputs 2 3 2 6" xfId="13423"/>
    <cellStyle name="Afjusted 6 5 2" xfId="13424"/>
    <cellStyle name="Date [mmm-yyyy] 2 2 3 3 2 6" xfId="13425"/>
    <cellStyle name="Afjusted 2 2 3 3 2 6" xfId="13426"/>
    <cellStyle name="dp*ThinLineBelow 3 3 3 2 6" xfId="13427"/>
    <cellStyle name="Style 49 4 3 3 2 6" xfId="13428"/>
    <cellStyle name="Outputs 2 2 3 3 2 6" xfId="13429"/>
    <cellStyle name="dp*NumberLine 2 2 3 3 2 6" xfId="13430"/>
    <cellStyle name="Bold/Border 2 2 3 3 2 6" xfId="13431"/>
    <cellStyle name="dp*SubTitle 3 3 3 2 6" xfId="13432"/>
    <cellStyle name="Style 45 4 3 3 2 6" xfId="13433"/>
    <cellStyle name="Table Head Aligned 2 3 2 6" xfId="13434"/>
    <cellStyle name="Table Head Green 2 3 2 6" xfId="13435"/>
    <cellStyle name="Title [Helv] 2 3 2 6" xfId="13436"/>
    <cellStyle name="Title [Palat] 2 3 2 6" xfId="13437"/>
    <cellStyle name="Border Thin 3 3 3 5 2" xfId="13438"/>
    <cellStyle name="Style 45 4 3 4 2 6" xfId="13439"/>
    <cellStyle name="Style 51 4 3 4 2 6" xfId="13440"/>
    <cellStyle name="Title [Helv] 2 2 3 3 5 2" xfId="13441"/>
    <cellStyle name="Afjusted 3 4 2 6" xfId="13442"/>
    <cellStyle name="P-Green Rule 3 3 4 2 6" xfId="13443"/>
    <cellStyle name="Border Thin 2 3 2 6" xfId="13444"/>
    <cellStyle name="Style 49 3 3 2 6" xfId="13445"/>
    <cellStyle name="Style 51 2 3 2 6" xfId="13446"/>
    <cellStyle name="Heading [Helv] 2 2 4 2 6" xfId="13447"/>
    <cellStyle name="Table Head Aligned 2 2 4 2 6" xfId="13448"/>
    <cellStyle name="Table Head Green 2 2 4 2 6" xfId="13449"/>
    <cellStyle name="Table Head Green 2 2 3 3 2 6" xfId="13450"/>
    <cellStyle name="Heading [Palat] 2 2 3 3 2 6" xfId="13451"/>
    <cellStyle name="dp*SheetSubTitle 2 2 3 3 2 6" xfId="13452"/>
    <cellStyle name="P-Green Rule 3 3 3 2 6" xfId="13453"/>
    <cellStyle name="Date [mm-d-yyyy] 3 3 3 2 6" xfId="13454"/>
    <cellStyle name="Outputs 2 2 4 5 2" xfId="13455"/>
    <cellStyle name="Date [mm-d-yyyy] 3 4 2 6" xfId="13456"/>
    <cellStyle name="Style 51 4 4 2 6" xfId="13457"/>
    <cellStyle name="Style 49 4 4 2 6" xfId="13458"/>
    <cellStyle name="Style 45 4 4 2 6" xfId="13459"/>
    <cellStyle name="Style 44 4 4 2 6" xfId="13460"/>
    <cellStyle name="dp*ThinLineBelow 3 3 4 2 6" xfId="13461"/>
    <cellStyle name="P-Green Rule 3 4 2 6" xfId="13462"/>
    <cellStyle name="PB Table Standard Row 3 4 2 4" xfId="13463"/>
    <cellStyle name="dp*ThinLineBelow 3 4 2 6" xfId="13464"/>
    <cellStyle name="dp*SubTitle 3 4 2 5" xfId="13465"/>
    <cellStyle name="dp*SubTitle 3 3 4 2 6" xfId="13466"/>
    <cellStyle name="Border Thin 3 4 2 5" xfId="13467"/>
    <cellStyle name="dp*NumberLineEPS 2 2 4 5 2" xfId="13468"/>
    <cellStyle name="Border Thin 3 3 4 2 6" xfId="13469"/>
    <cellStyle name="Border Thin 2 2 5 2" xfId="13470"/>
    <cellStyle name="Afjusted 4 4 2 6" xfId="13471"/>
    <cellStyle name="Afjusted 2 2 4 2 6" xfId="13472"/>
    <cellStyle name="Style 44 4 3 4 2 6" xfId="13473"/>
    <cellStyle name="PB Table Standard Row 3 3 4 2 6" xfId="13474"/>
    <cellStyle name="Title [Palat] 2 2 3 5 6" xfId="13475"/>
    <cellStyle name="Title [Helv] 2 2 3 5 6" xfId="13476"/>
    <cellStyle name="Table Head Green 2 2 3 5 6" xfId="13477"/>
    <cellStyle name="Table Head Aligned 2 2 3 5 6" xfId="13478"/>
    <cellStyle name="Outputs 2 2 3 5 6" xfId="13479"/>
    <cellStyle name="Magic 2 2 3 5 6" xfId="13480"/>
    <cellStyle name="Heading [Palat] 2 2 3 5 6" xfId="13481"/>
    <cellStyle name="Heading [Helv] 2 2 3 5 6" xfId="13482"/>
    <cellStyle name="dp*SheetSubTitle 2 2 3 5 6" xfId="13483"/>
    <cellStyle name="dp*NumberLineEPS 2 2 3 5 6" xfId="13484"/>
    <cellStyle name="dp*NumberLine 2 2 3 5 6" xfId="13485"/>
    <cellStyle name="Date [mmm-yyyy] 2 2 3 5 6" xfId="13486"/>
    <cellStyle name="COL HEADINGS 2 2 3 5 6" xfId="13487"/>
    <cellStyle name="Bold/Border 2 2 3 5 6" xfId="13488"/>
    <cellStyle name="Afjusted 2 2 3 5 6" xfId="13489"/>
    <cellStyle name="ac 2 2 3 5 6" xfId="13490"/>
    <cellStyle name="Afjusted 2 2 5 4 3" xfId="13491"/>
    <cellStyle name="Afjusted 4 3 5 6" xfId="13492"/>
    <cellStyle name="Border Thin 3 3 5 6" xfId="13493"/>
    <cellStyle name="dp*SubTitle 3 3 5 6" xfId="13494"/>
    <cellStyle name="dp*ThinLineBelow 3 3 5 6" xfId="13495"/>
    <cellStyle name="PB Table Standard Row 3 3 5 6" xfId="13496"/>
    <cellStyle name="P-Green Rule 3 3 5 6" xfId="13497"/>
    <cellStyle name="Style 44 4 3 5 6" xfId="13498"/>
    <cellStyle name="Style 45 4 3 5 6" xfId="13499"/>
    <cellStyle name="Style 49 4 3 5 6" xfId="13500"/>
    <cellStyle name="Style 51 4 3 5 6" xfId="13501"/>
    <cellStyle name="Title [Palat] 2 2 3 2 5 2" xfId="13502"/>
    <cellStyle name="Date [mm-d-yyyy] 3 3 5 6" xfId="13503"/>
    <cellStyle name="Magic 2 5 5 2" xfId="13504"/>
    <cellStyle name="dp*SubTitle 2 5 5 2" xfId="13505"/>
    <cellStyle name="Afjusted 3 3 5 6" xfId="13506"/>
    <cellStyle name="ac 5 5 2" xfId="13507"/>
    <cellStyle name="Border Thin 2 5 5 2" xfId="13508"/>
    <cellStyle name="Border Thin 3 2 2 5 2" xfId="13509"/>
    <cellStyle name="Table Head Green 2 2 3 2 5 2" xfId="13510"/>
    <cellStyle name="Table Head Green 2 2 3 4 5 2" xfId="13511"/>
    <cellStyle name="dp*SubTitle 3 2 7 2" xfId="13512"/>
    <cellStyle name="dp*ThinLineBelow 3 2 7 2" xfId="13513"/>
    <cellStyle name="dp*NumberLine 2 3 5 2" xfId="13514"/>
    <cellStyle name="Date [mm-d-yyyy] 2 2 4 6" xfId="13515"/>
    <cellStyle name="Afjusted 3 2 5 6" xfId="13516"/>
    <cellStyle name="P-Green Rule 3 3 4 5 2" xfId="13517"/>
    <cellStyle name="PB Table Standard Row 2 3 4 2" xfId="13518"/>
    <cellStyle name="Date [mm-d-yyyy] 3 2 5 6" xfId="13519"/>
    <cellStyle name="Style 51 4 2 5 6" xfId="13520"/>
    <cellStyle name="Style 49 4 2 5 6" xfId="13521"/>
    <cellStyle name="Style 45 4 2 5 6" xfId="13522"/>
    <cellStyle name="Style 44 4 2 5 6" xfId="13523"/>
    <cellStyle name="P-Green Rule 3 2 5 6" xfId="13524"/>
    <cellStyle name="PB Table Standard Row 3 2 5 4" xfId="13525"/>
    <cellStyle name="dp*ThinLineBelow 3 2 5 6" xfId="13526"/>
    <cellStyle name="dp*SubTitle 3 2 5 6" xfId="13527"/>
    <cellStyle name="Border Thin 3 2 5 6" xfId="13528"/>
    <cellStyle name="Afjusted 4 2 5 6" xfId="13529"/>
    <cellStyle name="ac 2 2 2 5 6" xfId="13530"/>
    <cellStyle name="Afjusted 2 2 2 5 6" xfId="13531"/>
    <cellStyle name="Bold/Border 2 2 2 5 6" xfId="13532"/>
    <cellStyle name="COL HEADINGS 2 2 2 5 6" xfId="13533"/>
    <cellStyle name="Date [mmm-yyyy] 2 2 2 5 6" xfId="13534"/>
    <cellStyle name="dp*NumberLine 2 2 2 5 6" xfId="13535"/>
    <cellStyle name="dp*NumberLineEPS 2 2 2 5 6" xfId="13536"/>
    <cellStyle name="dp*SheetSubTitle 2 2 2 5 6" xfId="13537"/>
    <cellStyle name="Heading [Helv] 2 2 2 5 6" xfId="13538"/>
    <cellStyle name="Heading [Palat] 2 2 2 5 6" xfId="13539"/>
    <cellStyle name="Magic 2 2 2 5 6" xfId="13540"/>
    <cellStyle name="Outputs 2 2 2 5 6" xfId="13541"/>
    <cellStyle name="Table Head Aligned 2 2 2 5 6" xfId="13542"/>
    <cellStyle name="Table Head Green 2 2 2 5 6" xfId="13543"/>
    <cellStyle name="Title [Helv] 2 2 2 5 6" xfId="13544"/>
    <cellStyle name="Title [Palat] 2 2 2 5 6" xfId="13545"/>
    <cellStyle name="Table Head Green 2 2 3 4 2 6" xfId="13546"/>
    <cellStyle name="Heading [Palat] 2 2 3 4 2 6" xfId="13547"/>
    <cellStyle name="PB Table Standard Row 2 3 2 6" xfId="13548"/>
    <cellStyle name="P-Green Rule 2 3 2 6" xfId="13549"/>
    <cellStyle name="Title [Palat] 2 2 3 2 2 6" xfId="13550"/>
    <cellStyle name="Title [Helv] 2 2 3 2 2 6" xfId="13551"/>
    <cellStyle name="Table Head Green 2 2 3 2 2 6" xfId="13552"/>
    <cellStyle name="Table Head Aligned 2 2 3 2 2 6" xfId="13553"/>
    <cellStyle name="Outputs 2 2 3 2 2 6" xfId="13554"/>
    <cellStyle name="Magic 2 2 3 2 2 6" xfId="13555"/>
    <cellStyle name="Heading [Palat] 2 2 3 2 2 6" xfId="13556"/>
    <cellStyle name="Heading [Helv] 2 2 3 2 2 6" xfId="13557"/>
    <cellStyle name="dp*SheetSubTitle 2 2 3 2 2 6" xfId="13558"/>
    <cellStyle name="dp*NumberLineEPS 2 2 3 2 2 6" xfId="13559"/>
    <cellStyle name="dp*NumberLine 2 2 3 2 2 6" xfId="13560"/>
    <cellStyle name="Date [mmm-yyyy] 2 2 3 2 2 6" xfId="13561"/>
    <cellStyle name="COL HEADINGS 2 2 3 2 2 6" xfId="13562"/>
    <cellStyle name="Bold/Border 2 2 3 2 2 6" xfId="13563"/>
    <cellStyle name="Afjusted 2 2 3 2 2 6" xfId="13564"/>
    <cellStyle name="ac 2 2 3 2 2 6" xfId="13565"/>
    <cellStyle name="Afjusted 4 3 2 2 6" xfId="13566"/>
    <cellStyle name="Border Thin 3 3 2 2 6" xfId="13567"/>
    <cellStyle name="dp*SubTitle 3 3 2 2 6" xfId="13568"/>
    <cellStyle name="dp*ThinLineBelow 3 3 2 2 6" xfId="13569"/>
    <cellStyle name="PB Table Standard Row 3 3 2 2 6" xfId="13570"/>
    <cellStyle name="P-Green Rule 3 3 2 2 6" xfId="13571"/>
    <cellStyle name="Style 44 4 3 2 2 6" xfId="13572"/>
    <cellStyle name="Style 45 4 3 2 2 6" xfId="13573"/>
    <cellStyle name="Style 49 4 3 2 2 6" xfId="13574"/>
    <cellStyle name="Style 51 4 3 2 2 6" xfId="13575"/>
    <cellStyle name="Date [mm-d-yyyy] 3 3 2 2 6" xfId="13576"/>
    <cellStyle name="Afjusted 3 3 2 2 6" xfId="13577"/>
    <cellStyle name="Date [mm-d-yyyy] 3 5 2 6" xfId="13578"/>
    <cellStyle name="dp*SubTitle 2 3 2 6" xfId="13579"/>
    <cellStyle name="Date [mm-d-yyyy] 2 2 2 2 6" xfId="13580"/>
    <cellStyle name="Afjusted 3 2 2 2 6" xfId="13581"/>
    <cellStyle name="PB Table Standard Row 3 5 2 6" xfId="13582"/>
    <cellStyle name="Date [mm-d-yyyy] 3 2 2 2 6" xfId="13583"/>
    <cellStyle name="Style 51 4 2 2 2 6" xfId="13584"/>
    <cellStyle name="Style 49 4 2 2 2 6" xfId="13585"/>
    <cellStyle name="Style 45 4 2 2 2 6" xfId="13586"/>
    <cellStyle name="Style 44 4 2 2 2 6" xfId="13587"/>
    <cellStyle name="Style 45 4 5 2 6" xfId="13588"/>
    <cellStyle name="P-Green Rule 3 2 2 2 6" xfId="13589"/>
    <cellStyle name="PB Table Standard Row 3 2 2 2 6" xfId="13590"/>
    <cellStyle name="dp*ThinLineBelow 3 2 2 2 6" xfId="13591"/>
    <cellStyle name="dp*SubTitle 3 2 2 2 6" xfId="13592"/>
    <cellStyle name="Style 51 4 5 2 6" xfId="13593"/>
    <cellStyle name="Border Thin 3 2 2 2 6" xfId="13594"/>
    <cellStyle name="Afjusted 4 2 2 2 6" xfId="13595"/>
    <cellStyle name="ac 2 2 2 2 2 6" xfId="13596"/>
    <cellStyle name="Afjusted 2 2 2 2 2 6" xfId="13597"/>
    <cellStyle name="Bold/Border 2 2 2 2 2 6" xfId="13598"/>
    <cellStyle name="COL HEADINGS 2 2 2 2 2 6" xfId="13599"/>
    <cellStyle name="Date [mmm-yyyy] 2 2 2 2 2 6" xfId="13600"/>
    <cellStyle name="dp*NumberLine 2 2 2 2 2 6" xfId="13601"/>
    <cellStyle name="dp*NumberLineEPS 2 2 2 2 2 6" xfId="13602"/>
    <cellStyle name="dp*SheetSubTitle 2 2 2 2 2 6" xfId="13603"/>
    <cellStyle name="Heading [Helv] 2 2 2 2 2 6" xfId="13604"/>
    <cellStyle name="Heading [Palat] 2 2 2 2 2 6" xfId="13605"/>
    <cellStyle name="Magic 2 2 2 2 2 6" xfId="13606"/>
    <cellStyle name="Outputs 2 2 2 2 2 6" xfId="13607"/>
    <cellStyle name="Table Head Aligned 2 2 2 2 2 6" xfId="13608"/>
    <cellStyle name="Table Head Green 2 2 2 2 2 6" xfId="13609"/>
    <cellStyle name="Title [Helv] 2 2 2 2 2 6" xfId="13610"/>
    <cellStyle name="Title [Palat] 2 2 2 2 2 6" xfId="13611"/>
    <cellStyle name="dp*ThinLineBelow 3 5 2 6" xfId="13612"/>
    <cellStyle name="Date [mm-d-yyyy] 2 2 3 2 6" xfId="13613"/>
    <cellStyle name="Afjusted 3 2 3 2 6" xfId="13614"/>
    <cellStyle name="Date [mm-d-yyyy] 3 2 3 2 6" xfId="13615"/>
    <cellStyle name="Style 51 4 2 3 2 6" xfId="13616"/>
    <cellStyle name="Style 49 4 2 3 2 6" xfId="13617"/>
    <cellStyle name="Style 45 4 2 3 2 6" xfId="13618"/>
    <cellStyle name="Style 44 4 2 3 2 6" xfId="13619"/>
    <cellStyle name="P-Green Rule 3 2 3 2 6" xfId="13620"/>
    <cellStyle name="PB Table Standard Row 3 2 3 2 6" xfId="13621"/>
    <cellStyle name="dp*ThinLineBelow 3 2 3 2 6" xfId="13622"/>
    <cellStyle name="dp*SubTitle 3 2 3 2 6" xfId="13623"/>
    <cellStyle name="Border Thin 3 2 3 2 6" xfId="13624"/>
    <cellStyle name="Afjusted 4 2 3 2 6" xfId="13625"/>
    <cellStyle name="ac 2 2 2 3 2 6" xfId="13626"/>
    <cellStyle name="Afjusted 2 2 2 3 2 6" xfId="13627"/>
    <cellStyle name="Bold/Border 2 2 2 3 2 6" xfId="13628"/>
    <cellStyle name="COL HEADINGS 2 2 2 3 2 6" xfId="13629"/>
    <cellStyle name="Date [mmm-yyyy] 2 2 2 3 2 6" xfId="13630"/>
    <cellStyle name="dp*NumberLine 2 2 2 3 2 6" xfId="13631"/>
    <cellStyle name="dp*NumberLineEPS 2 2 2 3 2 6" xfId="13632"/>
    <cellStyle name="dp*SheetSubTitle 2 2 2 3 2 6" xfId="13633"/>
    <cellStyle name="Heading [Helv] 2 2 2 3 2 6" xfId="13634"/>
    <cellStyle name="Heading [Palat] 2 2 2 3 2 6" xfId="13635"/>
    <cellStyle name="Magic 2 2 2 3 2 6" xfId="13636"/>
    <cellStyle name="Outputs 2 2 2 3 2 6" xfId="13637"/>
    <cellStyle name="Table Head Aligned 2 2 2 3 2 6" xfId="13638"/>
    <cellStyle name="Table Head Green 2 2 2 3 2 6" xfId="13639"/>
    <cellStyle name="Title [Helv] 2 2 2 3 2 6" xfId="13640"/>
    <cellStyle name="Title [Palat] 2 2 2 3 2 6" xfId="13641"/>
    <cellStyle name="Afjusted 3 2 4 2 6" xfId="13642"/>
    <cellStyle name="Date [mm-d-yyyy] 3 2 4 2 6" xfId="13643"/>
    <cellStyle name="Style 51 4 2 4 2 6" xfId="13644"/>
    <cellStyle name="Style 49 4 2 4 2 6" xfId="13645"/>
    <cellStyle name="Style 45 4 2 4 2 6" xfId="13646"/>
    <cellStyle name="Style 44 4 2 4 2 6" xfId="13647"/>
    <cellStyle name="P-Green Rule 3 2 4 2 6" xfId="13648"/>
    <cellStyle name="PB Table Standard Row 3 2 4 2 6" xfId="13649"/>
    <cellStyle name="dp*ThinLineBelow 3 2 4 2 6" xfId="13650"/>
    <cellStyle name="dp*SubTitle 3 2 4 2 6" xfId="13651"/>
    <cellStyle name="Border Thin 3 2 4 2 6" xfId="13652"/>
    <cellStyle name="Afjusted 4 2 4 2 6" xfId="13653"/>
    <cellStyle name="ac 2 2 2 4 2 6" xfId="13654"/>
    <cellStyle name="Afjusted 2 2 2 4 2 6" xfId="13655"/>
    <cellStyle name="Bold/Border 2 2 2 4 2 6" xfId="13656"/>
    <cellStyle name="COL HEADINGS 2 2 2 4 2 6" xfId="13657"/>
    <cellStyle name="Date [mmm-yyyy] 2 2 2 4 2 6" xfId="13658"/>
    <cellStyle name="dp*NumberLine 2 2 2 4 2 6" xfId="13659"/>
    <cellStyle name="dp*NumberLineEPS 2 2 2 4 2 6" xfId="13660"/>
    <cellStyle name="dp*SheetSubTitle 2 2 2 4 2 6" xfId="13661"/>
    <cellStyle name="Heading [Helv] 2 2 2 4 2 6" xfId="13662"/>
    <cellStyle name="Heading [Palat] 2 2 2 4 2 6" xfId="13663"/>
    <cellStyle name="Magic 2 2 2 4 2 6" xfId="13664"/>
    <cellStyle name="Outputs 2 2 2 4 2 6" xfId="13665"/>
    <cellStyle name="Table Head Aligned 2 2 2 4 2 6" xfId="13666"/>
    <cellStyle name="Table Head Green 2 2 2 4 2 6" xfId="13667"/>
    <cellStyle name="Title [Helv] 2 2 2 4 2 6" xfId="13668"/>
    <cellStyle name="Title [Palat] 2 2 2 4 2 6" xfId="13669"/>
    <cellStyle name="Border Thin 4 2 6" xfId="13670"/>
    <cellStyle name="Date [mm-d-yyyy] 4 2 6" xfId="13671"/>
    <cellStyle name="dp*SubTitle 4 2 6" xfId="13672"/>
    <cellStyle name="dp*ThinLineBelow 4 2 6" xfId="13673"/>
    <cellStyle name="PB Table Standard Row 4 2 6" xfId="13674"/>
    <cellStyle name="P-Green Rule 4 2 6" xfId="13675"/>
    <cellStyle name="Style 44 5 2 6" xfId="13676"/>
    <cellStyle name="Style 45 5 2 6" xfId="13677"/>
    <cellStyle name="Style 49 5 2 6" xfId="13678"/>
    <cellStyle name="Style 51 5 2 6" xfId="13679"/>
    <cellStyle name="Style 49 2 3 5 2" xfId="13680"/>
    <cellStyle name="Outputs 4 5 2" xfId="13681"/>
    <cellStyle name="Table Head Aligned 2 2 2 4 5 2" xfId="13682"/>
    <cellStyle name="Title [Palat] 3 2 6" xfId="13683"/>
    <cellStyle name="Title [Helv] 3 2 6" xfId="13684"/>
    <cellStyle name="Table Head Green 3 2 6" xfId="13685"/>
    <cellStyle name="Table Head Aligned 3 2 6" xfId="13686"/>
    <cellStyle name="Outputs 3 2 6" xfId="13687"/>
    <cellStyle name="Magic 3 2 6" xfId="13688"/>
    <cellStyle name="Heading [Palat] 3 2 6" xfId="13689"/>
    <cellStyle name="Heading [Helv] 3 2 6" xfId="13690"/>
    <cellStyle name="Title [Palat] 2 2 2 2 5 2" xfId="13691"/>
    <cellStyle name="Style 44 4 2 3 5 2" xfId="13692"/>
    <cellStyle name="dp*SheetSubTitle 3 2 6" xfId="13693"/>
    <cellStyle name="dp*NumberLineEPS 3 2 6" xfId="13694"/>
    <cellStyle name="dp*NumberLine 3 2 6" xfId="13695"/>
    <cellStyle name="COL HEADINGS 3 2 6" xfId="13696"/>
    <cellStyle name="Bold/Border 3 2 6" xfId="13697"/>
    <cellStyle name="Style 51 3 5 5 2" xfId="13698"/>
    <cellStyle name="Title [Palat] 2 5 5 2" xfId="13699"/>
    <cellStyle name="Afjusted 5 2 6" xfId="13700"/>
    <cellStyle name="ac 3 2 6" xfId="13701"/>
    <cellStyle name="Date [mmm-yyyy] 3 2 6" xfId="13702"/>
    <cellStyle name="ac 2 4 2 6" xfId="13703"/>
    <cellStyle name="Afjusted 2 3 2 6" xfId="13704"/>
    <cellStyle name="Bold/Border 2 4 2 6" xfId="13705"/>
    <cellStyle name="Border Thin 2 4 2 6" xfId="13706"/>
    <cellStyle name="COL HEADINGS 2 4 2 6" xfId="13707"/>
    <cellStyle name="Date [mmm-yyyy] 2 4 2 6" xfId="13708"/>
    <cellStyle name="dp*NumberLine 2 4 2 6" xfId="13709"/>
    <cellStyle name="dp*NumberLineEPS 2 4 2 6" xfId="13710"/>
    <cellStyle name="dp*SheetSubTitle 2 4 2 6" xfId="13711"/>
    <cellStyle name="dp*SubTitle 2 4 2 6" xfId="13712"/>
    <cellStyle name="dp*ThinLineBelow 2 4 2 6" xfId="13713"/>
    <cellStyle name="Heading [Helv] 2 4 2 6" xfId="13714"/>
    <cellStyle name="Heading [Palat] 2 4 2 6" xfId="13715"/>
    <cellStyle name="Magic 2 4 2 6" xfId="13716"/>
    <cellStyle name="Outputs 2 4 2 6" xfId="13717"/>
    <cellStyle name="PB Table Standard Row 2 4 2 6" xfId="13718"/>
    <cellStyle name="P-Green Rule 2 4 2 6" xfId="13719"/>
    <cellStyle name="Style 44 3 4 2 6" xfId="13720"/>
    <cellStyle name="Style 45 3 4 2 6" xfId="13721"/>
    <cellStyle name="Style 49 3 4 2 6" xfId="13722"/>
    <cellStyle name="Style 51 3 4 2 6" xfId="13723"/>
    <cellStyle name="Style 44 2 4 2 6" xfId="13724"/>
    <cellStyle name="Style 45 2 4 2 6" xfId="13725"/>
    <cellStyle name="Style 49 2 4 2 6" xfId="13726"/>
    <cellStyle name="Style 51 2 4 2 6" xfId="13727"/>
    <cellStyle name="Table Head Aligned 2 4 2 6" xfId="13728"/>
    <cellStyle name="Table Head Green 2 4 2 6" xfId="13729"/>
    <cellStyle name="Title [Helv] 2 4 2 6" xfId="13730"/>
    <cellStyle name="Title [Palat] 2 4 2 6" xfId="13731"/>
    <cellStyle name="Style 45 2 3 5 2" xfId="13732"/>
    <cellStyle name="Style 44 7 5 2" xfId="13733"/>
    <cellStyle name="ac 4 2 6" xfId="13734"/>
    <cellStyle name="Title [Helv] 2 5 5 2" xfId="13735"/>
    <cellStyle name="Style 49 3 5 5 2" xfId="13736"/>
    <cellStyle name="Heading [Palat] 2 5 5 2" xfId="13737"/>
    <cellStyle name="dp*SheetSubTitle 2 5 5 2" xfId="13738"/>
    <cellStyle name="Bold/Border 4 2 6" xfId="13739"/>
    <cellStyle name="Border Thin 5 2 6" xfId="13740"/>
    <cellStyle name="Table Head Green 4 5 2" xfId="13741"/>
    <cellStyle name="Style 45 6 5 2" xfId="13742"/>
    <cellStyle name="COL HEADINGS 4 2 6" xfId="13743"/>
    <cellStyle name="Border Thin 5 5 2" xfId="13744"/>
    <cellStyle name="Date [mm-d-yyyy] 5 2 6" xfId="13745"/>
    <cellStyle name="Table Head Aligned 3 5 2" xfId="13746"/>
    <cellStyle name="Title [Palat] 3 5 2" xfId="13747"/>
    <cellStyle name="Heading [Helv] 2 2 2 4 5 2" xfId="13748"/>
    <cellStyle name="Date [mmm-yyyy] 2 2 2 4 5 2" xfId="13749"/>
    <cellStyle name="Afjusted 4 2 4 5 2" xfId="13750"/>
    <cellStyle name="dp*ThinLineBelow 3 2 4 5 2" xfId="13751"/>
    <cellStyle name="Style 44 4 2 4 5 2" xfId="13752"/>
    <cellStyle name="Style 51 4 2 4 5 2" xfId="13753"/>
    <cellStyle name="Title [Palat] 2 2 2 3 5 2" xfId="13754"/>
    <cellStyle name="Table Head Aligned 2 2 2 3 5 2" xfId="13755"/>
    <cellStyle name="Heading [Palat] 2 2 2 3 5 2" xfId="13756"/>
    <cellStyle name="dp*NumberLineEPS 2 2 2 3 5 2" xfId="13757"/>
    <cellStyle name="COL HEADINGS 2 2 2 3 5 2" xfId="13758"/>
    <cellStyle name="ac 2 2 2 3 5 2" xfId="13759"/>
    <cellStyle name="dp*SubTitle 3 2 3 5 2" xfId="13760"/>
    <cellStyle name="Style 45 4 2 3 5 2" xfId="13761"/>
    <cellStyle name="Title [Helv] 2 2 2 2 5 2" xfId="13762"/>
    <cellStyle name="Heading [Helv] 2 2 2 2 5 2" xfId="13763"/>
    <cellStyle name="P-Green Rule 3 2 2 5 2" xfId="13764"/>
    <cellStyle name="Date [mm-d-yyyy] 3 2 2 5 2" xfId="13765"/>
    <cellStyle name="PB Table Standard Row 3 3 2 4 2" xfId="13766"/>
    <cellStyle name="Border Thin 3 3 2 5 2" xfId="13767"/>
    <cellStyle name="COL HEADINGS 2 2 3 2 5 2" xfId="13768"/>
    <cellStyle name="dp*SheetSubTitle 2 2 3 2 5 2" xfId="13769"/>
    <cellStyle name="Heading [Helv] 4 2 6" xfId="13770"/>
    <cellStyle name="Heading [Palat] 4 2 6" xfId="13771"/>
    <cellStyle name="Style 44 4 2 7 2" xfId="13772"/>
    <cellStyle name="Style 51 4 2 7 2" xfId="13773"/>
    <cellStyle name="Afjusted 3 3 8 2" xfId="13774"/>
    <cellStyle name="ac 2 2 3 8 2" xfId="13775"/>
    <cellStyle name="COL HEADINGS 2 2 3 8 2" xfId="13776"/>
    <cellStyle name="Heading [Helv] 2 2 3 8 2" xfId="13777"/>
    <cellStyle name="P-Green Rule 3 4 4 2" xfId="13778"/>
    <cellStyle name="Style 49 4 4 5 2" xfId="13779"/>
    <cellStyle name="Table Head Green 2 2 3 3 5 2" xfId="13780"/>
    <cellStyle name="Heading [Helv] 2 2 4 5 2" xfId="13781"/>
    <cellStyle name="Style 51 4 3 4 5 2" xfId="13782"/>
    <cellStyle name="Table Head Green 2 3 5 2" xfId="13783"/>
    <cellStyle name="Bold/Border 2 2 3 3 5 2" xfId="13784"/>
    <cellStyle name="Heading [Helv] 2 3 5 2" xfId="13785"/>
    <cellStyle name="Style 49 4 3 4 5 2" xfId="13786"/>
    <cellStyle name="Style 51 2 8 2" xfId="13787"/>
    <cellStyle name="Style 49 3 9 2" xfId="13788"/>
    <cellStyle name="dp*NumberLineEPS 2 2 2 12" xfId="13789"/>
    <cellStyle name="Outputs 4 2 6" xfId="13790"/>
    <cellStyle name="PB Table Standard Row 5 2 6" xfId="13791"/>
    <cellStyle name="P-Green Rule 5 2 6" xfId="13792"/>
    <cellStyle name="Style 44 6 2 6" xfId="13793"/>
    <cellStyle name="Style 45 6 2 6" xfId="13794"/>
    <cellStyle name="Style 49 6 2 6" xfId="13795"/>
    <cellStyle name="Style 51 6 2 6" xfId="13796"/>
    <cellStyle name="Table Head Green 4 2 6" xfId="13797"/>
    <cellStyle name="Magic 2 4 4 3" xfId="13798"/>
    <cellStyle name="Border Thin 4 4 3" xfId="13799"/>
    <cellStyle name="Style 49 3 2 5 2" xfId="13800"/>
    <cellStyle name="dp*NumberLineEPS 2 2 3 3 5 2" xfId="13801"/>
    <cellStyle name="Afjusted 6 2 6" xfId="13802"/>
    <cellStyle name="ac 2 5 2 6" xfId="13803"/>
    <cellStyle name="Afjusted 2 4 2 6" xfId="13804"/>
    <cellStyle name="Bold/Border 2 5 2 6" xfId="13805"/>
    <cellStyle name="Border Thin 2 5 2 6" xfId="13806"/>
    <cellStyle name="COL HEADINGS 2 5 2 6" xfId="13807"/>
    <cellStyle name="Date [mmm-yyyy] 2 5 2 6" xfId="13808"/>
    <cellStyle name="dp*NumberLine 2 5 2 6" xfId="13809"/>
    <cellStyle name="dp*NumberLineEPS 2 5 2 6" xfId="13810"/>
    <cellStyle name="dp*SheetSubTitle 2 5 2 6" xfId="13811"/>
    <cellStyle name="dp*SubTitle 2 5 2 6" xfId="13812"/>
    <cellStyle name="dp*ThinLineBelow 2 5 2 6" xfId="13813"/>
    <cellStyle name="Heading [Helv] 2 5 2 6" xfId="13814"/>
    <cellStyle name="Heading [Palat] 2 5 2 6" xfId="13815"/>
    <cellStyle name="Magic 2 5 2 6" xfId="13816"/>
    <cellStyle name="Outputs 2 5 2 6" xfId="13817"/>
    <cellStyle name="PB Table Standard Row 2 5 2 6" xfId="13818"/>
    <cellStyle name="P-Green Rule 2 5 2 6" xfId="13819"/>
    <cellStyle name="Style 44 3 5 2 6" xfId="13820"/>
    <cellStyle name="Style 45 3 5 2 6" xfId="13821"/>
    <cellStyle name="Style 49 3 5 2 6" xfId="13822"/>
    <cellStyle name="Style 51 3 5 2 6" xfId="13823"/>
    <cellStyle name="Style 44 2 5 2 6" xfId="13824"/>
    <cellStyle name="Style 45 2 5 2 6" xfId="13825"/>
    <cellStyle name="Style 49 2 5 2 6" xfId="13826"/>
    <cellStyle name="Style 51 2 5 2 6" xfId="13827"/>
    <cellStyle name="Table Head Aligned 2 5 2 6" xfId="13828"/>
    <cellStyle name="Table Head Green 2 5 2 6" xfId="13829"/>
    <cellStyle name="Title [Helv] 2 5 2 6" xfId="13830"/>
    <cellStyle name="Title [Palat] 2 5 2 6" xfId="13831"/>
    <cellStyle name="Date [mmm-yyyy] 2 4 5 2" xfId="13832"/>
    <cellStyle name="ac 3 5 2" xfId="13833"/>
    <cellStyle name="dp*NumberLine 2 2 3 2 5 2" xfId="13834"/>
    <cellStyle name="Style 44 2 3 5 2" xfId="13835"/>
    <cellStyle name="Style 49 7 5 2" xfId="13836"/>
    <cellStyle name="Border Thin 6 5 2" xfId="13837"/>
    <cellStyle name="ac 5 2 6" xfId="13838"/>
    <cellStyle name="Table Head Green 2 5 5 2" xfId="13839"/>
    <cellStyle name="Style 45 3 5 5 2" xfId="13840"/>
    <cellStyle name="Heading [Helv] 2 5 5 2" xfId="13841"/>
    <cellStyle name="dp*NumberLineEPS 2 5 5 2" xfId="13842"/>
    <cellStyle name="Bold/Border 5 2 6" xfId="13843"/>
    <cellStyle name="Border Thin 6 2 6" xfId="13844"/>
    <cellStyle name="Style 44 6 5 2" xfId="13845"/>
    <cellStyle name="COL HEADINGS 5 2 6" xfId="13846"/>
    <cellStyle name="Title [Palat] 2 4 5 2" xfId="13847"/>
    <cellStyle name="Table Head Green 3 5 2" xfId="13848"/>
    <cellStyle name="Border Thin 4 5 2" xfId="13849"/>
    <cellStyle name="dp*SheetSubTitle 2 2 2 4 5 2" xfId="13850"/>
    <cellStyle name="COL HEADINGS 2 2 2 4 5 2" xfId="13851"/>
    <cellStyle name="Border Thin 3 2 4 5 2" xfId="13852"/>
    <cellStyle name="PB Table Standard Row 3 2 4 5 2" xfId="13853"/>
    <cellStyle name="Style 45 4 2 4 5 2" xfId="13854"/>
    <cellStyle name="Date [mm-d-yyyy] 3 2 4 5 2" xfId="13855"/>
    <cellStyle name="Title [Helv] 2 2 2 3 5 2" xfId="13856"/>
    <cellStyle name="Outputs 2 2 2 3 5 2" xfId="13857"/>
    <cellStyle name="Heading [Helv] 2 2 2 3 5 2" xfId="13858"/>
    <cellStyle name="dp*NumberLine 2 2 2 3 5 2" xfId="13859"/>
    <cellStyle name="Bold/Border 2 2 2 3 5 2" xfId="13860"/>
    <cellStyle name="Afjusted 4 2 3 5 2" xfId="13861"/>
    <cellStyle name="dp*ThinLineBelow 3 2 3 5 2" xfId="13862"/>
    <cellStyle name="Style 49 4 2 3 5 2" xfId="13863"/>
    <cellStyle name="Table Head Green 2 2 2 2 5 2" xfId="13864"/>
    <cellStyle name="dp*SheetSubTitle 2 2 2 2 5 2" xfId="13865"/>
    <cellStyle name="Style 45 4 5 5 2" xfId="13866"/>
    <cellStyle name="PB Table Standard Row 3 5 5 2" xfId="13867"/>
    <cellStyle name="dp*ThinLineBelow 3 3 2 5 2" xfId="13868"/>
    <cellStyle name="Afjusted 4 3 2 5 2" xfId="13869"/>
    <cellStyle name="Date [mmm-yyyy] 2 2 3 2 5 2" xfId="13870"/>
    <cellStyle name="Heading [Helv] 2 2 3 2 5 2" xfId="13871"/>
    <cellStyle name="Heading [Helv] 5 2 6" xfId="13872"/>
    <cellStyle name="Heading [Palat] 5 2 6" xfId="13873"/>
    <cellStyle name="Afjusted 4 2 8 2" xfId="13874"/>
    <cellStyle name="Style 45 4 2 7 2" xfId="13875"/>
    <cellStyle name="Date [mm-d-yyyy] 3 2 8 2" xfId="13876"/>
    <cellStyle name="Afjusted 3 2 8 2" xfId="13877"/>
    <cellStyle name="Date [mmm-yyyy] 2 2 3 8 2" xfId="13878"/>
    <cellStyle name="Heading [Palat] 2 2 3 8 2" xfId="13879"/>
    <cellStyle name="dp*ThinLineBelow 3 3 4 5 2" xfId="13880"/>
    <cellStyle name="Style 51 4 4 5 2" xfId="13881"/>
    <cellStyle name="Table Head Green 2 2 4 5 2" xfId="13882"/>
    <cellStyle name="Style 51 2 3 5 2" xfId="13883"/>
    <cellStyle name="Title [Palat] 2 3 5 2" xfId="13884"/>
    <cellStyle name="Table Head Aligned 2 3 5 2" xfId="13885"/>
    <cellStyle name="dp*NumberLine 2 2 3 3 5 2" xfId="13886"/>
    <cellStyle name="Outputs 2 3 5 2" xfId="13887"/>
    <cellStyle name="dp*SheetSubTitle 2 3 5 2" xfId="13888"/>
    <cellStyle name="Style 49 2 9 2" xfId="13889"/>
    <cellStyle name="Style 45 3 8 2" xfId="13890"/>
    <cellStyle name="Style 44 4 2 4 10" xfId="13891"/>
    <cellStyle name="dp*ThinLineBelow 2 7 2" xfId="13892"/>
    <cellStyle name="Outputs 5 2 6" xfId="13893"/>
    <cellStyle name="PB Table Standard Row 6 2 6" xfId="13894"/>
    <cellStyle name="P-Green Rule 6 2 6" xfId="13895"/>
    <cellStyle name="Table Head Green 2 2 3 3 9" xfId="13896"/>
    <cellStyle name="Style 44 7 2 6" xfId="13897"/>
    <cellStyle name="Style 45 7 2 6" xfId="13898"/>
    <cellStyle name="Style 49 7 2 6" xfId="13899"/>
    <cellStyle name="Style 51 7 2 6" xfId="13900"/>
    <cellStyle name="Table Head Green 5 2 6" xfId="13901"/>
    <cellStyle name="Title [Palat] 4 2 6" xfId="13902"/>
    <cellStyle name="Date [mmm-yyyy] 2 4 4 3" xfId="13903"/>
    <cellStyle name="Style 44 3 3 5 2" xfId="13904"/>
    <cellStyle name="Style 44 2 2 5 2" xfId="13905"/>
    <cellStyle name="Table Head Aligned 2 2 3 4 5 2" xfId="13906"/>
    <cellStyle name="Table Head Green 5 5 2" xfId="13907"/>
    <cellStyle name="ac 2 6 2 6" xfId="13908"/>
    <cellStyle name="Bold/Border 2 6 2 6" xfId="13909"/>
    <cellStyle name="Border Thin 2 6 2 6" xfId="13910"/>
    <cellStyle name="COL HEADINGS 2 6 2 6" xfId="13911"/>
    <cellStyle name="Afjusted 2 3 5 2" xfId="13912"/>
    <cellStyle name="Bold/Border 2 2 3 2 5 2" xfId="13913"/>
    <cellStyle name="Heading [Helv] 2 6 2 6" xfId="13914"/>
    <cellStyle name="Heading [Palat] 2 6 2 6" xfId="13915"/>
    <cellStyle name="Outputs 2 6 2 6" xfId="13916"/>
    <cellStyle name="PB Table Standard Row 2 6 2 6" xfId="13917"/>
    <cellStyle name="P-Green Rule 2 6 2 6" xfId="13918"/>
    <cellStyle name="Style 44 3 6 2 6" xfId="13919"/>
    <cellStyle name="Style 45 3 6 2 6" xfId="13920"/>
    <cellStyle name="Style 49 3 6 2 6" xfId="13921"/>
    <cellStyle name="Style 51 3 6 2 6" xfId="13922"/>
    <cellStyle name="Style 44 2 6 2 6" xfId="13923"/>
    <cellStyle name="Style 45 2 6 2 6" xfId="13924"/>
    <cellStyle name="Style 49 2 6 2 6" xfId="13925"/>
    <cellStyle name="Style 51 2 6 2 6" xfId="13926"/>
    <cellStyle name="Table Head Green 2 6 2 6" xfId="13927"/>
    <cellStyle name="Title [Palat] 2 6 2 6" xfId="13928"/>
    <cellStyle name="Bold/Border 2 3 5 2" xfId="13929"/>
    <cellStyle name="Style 49 3 3 5 2" xfId="13930"/>
    <cellStyle name="dp*NumberLine 2 5 5 2" xfId="13931"/>
    <cellStyle name="Style 45 3 3 5 2" xfId="13932"/>
    <cellStyle name="Title [Palat] 2 2 3 4 5 2" xfId="13933"/>
    <cellStyle name="ac 2 2 3 4 5 2" xfId="13934"/>
    <cellStyle name="Date [mm-d-yyyy] 3 3 4 5 2" xfId="13935"/>
    <cellStyle name="Magic 2 2 3 4 5 2" xfId="13936"/>
    <cellStyle name="Title [Palat] 2 2 4 5 2" xfId="13937"/>
    <cellStyle name="Afjusted 4 3 3 5 2" xfId="13938"/>
    <cellStyle name="PB Table Standard Row 2 2 5 2" xfId="13939"/>
    <cellStyle name="Style 45 3 2 5 2" xfId="13940"/>
    <cellStyle name="Style 51 3 2 5 2" xfId="13941"/>
    <cellStyle name="Title [Helv] 2 2 3 4 5 2" xfId="13942"/>
    <cellStyle name="dp*SheetSubTitle 2 2 3 4 5 2" xfId="13943"/>
    <cellStyle name="Style 49 2 2 5 2" xfId="13944"/>
    <cellStyle name="Style 45 2 2 5 2" xfId="13945"/>
    <cellStyle name="Date [mmm-yyyy] 2 2 3 4 5 2" xfId="13946"/>
    <cellStyle name="ac 2 3 5 2" xfId="13947"/>
    <cellStyle name="Date [mm-d-yyyy] 5 5 2" xfId="13948"/>
    <cellStyle name="Style 51 2 2 5 2" xfId="13949"/>
    <cellStyle name="COL HEADINGS 2 2 3 4 5 2" xfId="13950"/>
    <cellStyle name="Afjusted 3 3 4 5 2" xfId="13951"/>
    <cellStyle name="dp*ThinLineBelow 2 3 5 2" xfId="13952"/>
    <cellStyle name="Style 49 4 5 5 2" xfId="13953"/>
    <cellStyle name="Outputs 2 2 2 4 5 2" xfId="13954"/>
    <cellStyle name="Title [Palat] 5 2 6" xfId="13955"/>
    <cellStyle name="Title [Helv] 4 2 6" xfId="13956"/>
    <cellStyle name="Table Head Green 6 2 6" xfId="13957"/>
    <cellStyle name="Table Head Aligned 4 2 6" xfId="13958"/>
    <cellStyle name="Style 51 9 2 6" xfId="13959"/>
    <cellStyle name="Afjusted 6 9" xfId="13960"/>
    <cellStyle name="Style 49 9 2 6" xfId="13961"/>
    <cellStyle name="Style 45 9 2 6" xfId="13962"/>
    <cellStyle name="Style 44 9 2 6" xfId="13963"/>
    <cellStyle name="Style 51 2 5 5 2" xfId="13964"/>
    <cellStyle name="P-Green Rule 2 5 5 2" xfId="13965"/>
    <cellStyle name="P-Green Rule 7 2 6" xfId="13966"/>
    <cellStyle name="PB Table Standard Row 7 2 6" xfId="13967"/>
    <cellStyle name="Outputs 6 2 6" xfId="13968"/>
    <cellStyle name="Style 44 3 8 2" xfId="13969"/>
    <cellStyle name="Magic 4 2 6" xfId="13970"/>
    <cellStyle name="Date [mm-d-yyyy] 3 2 3 5 2" xfId="13971"/>
    <cellStyle name="Outputs 2 2 2 2 5 2" xfId="13972"/>
    <cellStyle name="Border Thin 3 2 7 2" xfId="13973"/>
    <cellStyle name="Heading [Palat] 6 2 6" xfId="13974"/>
    <cellStyle name="Heading [Helv] 6 2 6" xfId="13975"/>
    <cellStyle name="Date [mm-d-yyyy] 3 3 2 5 2" xfId="13976"/>
    <cellStyle name="dp*SubTitle 2 3 5 2" xfId="13977"/>
    <cellStyle name="Table Head Aligned 2 2 2 2 5 2" xfId="13978"/>
    <cellStyle name="Style 51 4 2 3 5 2" xfId="13979"/>
    <cellStyle name="dp*ThinLineBelow 5 2 6" xfId="13980"/>
    <cellStyle name="dp*SubTitle 5 2 6" xfId="13981"/>
    <cellStyle name="dp*SheetSubTitle 4 2 6" xfId="13982"/>
    <cellStyle name="dp*NumberLineEPS 4 2 6" xfId="13983"/>
    <cellStyle name="dp*NumberLine 4 2 6" xfId="13984"/>
    <cellStyle name="dp*NumberLine 2 4 5 2" xfId="13985"/>
    <cellStyle name="Date [mmm-yyyy] 4 2 6" xfId="13986"/>
    <cellStyle name="Date [mm-d-yyyy] 7 2 6" xfId="13987"/>
    <cellStyle name="COL HEADINGS 6 2 6" xfId="13988"/>
    <cellStyle name="Border Thin 7 2 6" xfId="13989"/>
    <cellStyle name="Bold/Border 6 2 6" xfId="13990"/>
    <cellStyle name="Style 44 3 5 5 2" xfId="13991"/>
    <cellStyle name="Table Head Aligned 2 5 5 2" xfId="13992"/>
    <cellStyle name="Afjusted 7 2 6" xfId="13993"/>
    <cellStyle name="ac 6 2 6" xfId="13994"/>
    <cellStyle name="Style 44 8 2 6" xfId="13995"/>
    <cellStyle name="Style 45 8 2 6" xfId="13996"/>
    <cellStyle name="Style 49 8 2 6" xfId="13997"/>
    <cellStyle name="Style 51 8 2 6" xfId="13998"/>
    <cellStyle name="COL HEADINGS 4 5 2" xfId="13999"/>
    <cellStyle name="Heading [Helv] 2 2 3 3 5 2" xfId="14000"/>
    <cellStyle name="P-Green Rule 5 5 2" xfId="14001"/>
    <cellStyle name="Heading [Palat] 5 5 2" xfId="14002"/>
    <cellStyle name="Heading [Helv] 4 5 2" xfId="14003"/>
    <cellStyle name="Style 45 4 3 2 5 2" xfId="14004"/>
    <cellStyle name="Style 44 4 3 3 5 2" xfId="14005"/>
    <cellStyle name="Magic 2 2 3 3 5 2" xfId="14006"/>
    <cellStyle name="Title [Palat] 2 2 3 3 5 2" xfId="14007"/>
    <cellStyle name="dp*NumberLineEPS 2 2 3 4 5 2" xfId="14008"/>
    <cellStyle name="P-Green Rule 2 2 5 2" xfId="14009"/>
    <cellStyle name="Title [Helv] 2 2 4 5 2" xfId="14010"/>
    <cellStyle name="Title [Palat] 6 2 6" xfId="14011"/>
    <cellStyle name="Title [Helv] 5 2 6" xfId="14012"/>
    <cellStyle name="Table Head Green 7 2 6" xfId="14013"/>
    <cellStyle name="Table Head Aligned 5 2 6" xfId="14014"/>
    <cellStyle name="Outputs 7 2 6" xfId="14015"/>
    <cellStyle name="PB Table Standard Row 3 3 4 5 2" xfId="14016"/>
    <cellStyle name="Magic 5 2 6" xfId="14017"/>
    <cellStyle name="Heading [Palat] 7 2 6" xfId="14018"/>
    <cellStyle name="Heading [Helv] 7 2 6" xfId="14019"/>
    <cellStyle name="dp*SheetSubTitle 5 2 6" xfId="14020"/>
    <cellStyle name="dp*NumberLineEPS 5 2 6" xfId="14021"/>
    <cellStyle name="dp*NumberLine 5 2 6" xfId="14022"/>
    <cellStyle name="Date [mmm-yyyy] 5 2 6" xfId="14023"/>
    <cellStyle name="COL HEADINGS 7 2 6" xfId="14024"/>
    <cellStyle name="Bold/Border 7 2 6" xfId="14025"/>
    <cellStyle name="Afjusted 8 2 6" xfId="14026"/>
    <cellStyle name="ac 7 2 6" xfId="14027"/>
    <cellStyle name="Magic 2 2 2 4 5 2" xfId="14028"/>
    <cellStyle name="Title [Palat] 7 2 6" xfId="14029"/>
    <cellStyle name="Title [Helv] 6 2 6" xfId="14030"/>
    <cellStyle name="Table Head Green 8 2 6" xfId="14031"/>
    <cellStyle name="Table Head Aligned 6 2 6" xfId="14032"/>
    <cellStyle name="Outputs 8 2 6" xfId="14033"/>
    <cellStyle name="Magic 6 2 6" xfId="14034"/>
    <cellStyle name="Heading [Palat] 8 2 6" xfId="14035"/>
    <cellStyle name="Heading [Helv] 8 2 6" xfId="14036"/>
    <cellStyle name="Style 51 4 3 2 5 2" xfId="14037"/>
    <cellStyle name="Date [mm-d-yyyy] 3 5 5 2" xfId="14038"/>
    <cellStyle name="Magic 2 2 2 2 5 2" xfId="14039"/>
    <cellStyle name="Afjusted 3 2 3 5 2" xfId="14040"/>
    <cellStyle name="dp*SheetSubTitle 6 2 6" xfId="14041"/>
    <cellStyle name="dp*NumberLineEPS 6 2 6" xfId="14042"/>
    <cellStyle name="dp*NumberLine 6 2 6" xfId="14043"/>
    <cellStyle name="COL HEADINGS 8 2 6" xfId="14044"/>
    <cellStyle name="Bold/Border 8 2 6" xfId="14045"/>
    <cellStyle name="PB Table Standard Row 2 5 5 2" xfId="14046"/>
    <cellStyle name="Style 49 2 5 5 2" xfId="14047"/>
    <cellStyle name="Afjusted 9 2 6" xfId="14048"/>
    <cellStyle name="ac 8 2 6" xfId="14049"/>
    <cellStyle name="Date [mmm-yyyy] 6 2 6" xfId="14050"/>
    <cellStyle name="Title [Palat] 8 2 6" xfId="14051"/>
    <cellStyle name="Title [Helv] 7 2 6" xfId="14052"/>
    <cellStyle name="Table Head Green 9 2 6" xfId="14053"/>
    <cellStyle name="Table Head Aligned 7 2 6" xfId="14054"/>
    <cellStyle name="Outputs 9 2 6" xfId="14055"/>
    <cellStyle name="Magic 7 2 6" xfId="14056"/>
    <cellStyle name="Heading [Palat] 9 2 6" xfId="14057"/>
    <cellStyle name="Heading [Helv] 9 2 6" xfId="14058"/>
    <cellStyle name="dp*SheetSubTitle 7 2 6" xfId="14059"/>
    <cellStyle name="dp*NumberLineEPS 7 2 6" xfId="14060"/>
    <cellStyle name="dp*NumberLine 7 2 6" xfId="14061"/>
    <cellStyle name="Date [mmm-yyyy] 7 2 6" xfId="14062"/>
    <cellStyle name="COL HEADINGS 9 2 6" xfId="14063"/>
    <cellStyle name="Bold/Border 9 2 6" xfId="14064"/>
    <cellStyle name="Afjusted 10 2 6" xfId="14065"/>
    <cellStyle name="ac 9 2 6" xfId="14066"/>
    <cellStyle name="Title [Palat] 4 5 2" xfId="14067"/>
    <cellStyle name="ac 2 6 5 2" xfId="14068"/>
    <cellStyle name="Bold/Border 2 6 5 2" xfId="14069"/>
    <cellStyle name="Border Thin 2 6 5 2" xfId="14070"/>
    <cellStyle name="COL HEADINGS 2 6 5 2" xfId="14071"/>
    <cellStyle name="Heading [Helv] 2 6 5 2" xfId="14072"/>
    <cellStyle name="Heading [Palat] 2 6 5 2" xfId="14073"/>
    <cellStyle name="ac 2 2 2 2 10" xfId="14074"/>
    <cellStyle name="Outputs 2 6 5 2" xfId="14075"/>
    <cellStyle name="PB Table Standard Row 2 6 5 2" xfId="14076"/>
    <cellStyle name="P-Green Rule 2 6 5 2" xfId="14077"/>
    <cellStyle name="Style 44 3 6 5 2" xfId="14078"/>
    <cellStyle name="Style 45 3 6 5 2" xfId="14079"/>
    <cellStyle name="Style 49 3 6 5 2" xfId="14080"/>
    <cellStyle name="Style 51 3 6 5 2" xfId="14081"/>
    <cellStyle name="Style 44 2 6 5 2" xfId="14082"/>
    <cellStyle name="Style 45 2 6 5 2" xfId="14083"/>
    <cellStyle name="Style 49 2 6 5 2" xfId="14084"/>
    <cellStyle name="Style 51 2 6 5 2" xfId="14085"/>
    <cellStyle name="Table Head Green 2 6 5 2" xfId="14086"/>
    <cellStyle name="Title [Palat] 2 6 5 2" xfId="14087"/>
    <cellStyle name="Title [Palat] 5 5 2" xfId="14088"/>
    <cellStyle name="Title [Helv] 4 5 2" xfId="14089"/>
    <cellStyle name="Table Head Green 6 5 2" xfId="14090"/>
    <cellStyle name="Table Head Aligned 4 5 2" xfId="14091"/>
    <cellStyle name="Outputs 6 5 2" xfId="14092"/>
    <cellStyle name="Magic 4 5 2" xfId="14093"/>
    <cellStyle name="Heading [Palat] 6 5 2" xfId="14094"/>
    <cellStyle name="Heading [Helv] 6 5 2" xfId="14095"/>
    <cellStyle name="dp*SheetSubTitle 4 5 2" xfId="14096"/>
    <cellStyle name="dp*NumberLineEPS 4 5 2" xfId="14097"/>
    <cellStyle name="dp*NumberLine 4 5 2" xfId="14098"/>
    <cellStyle name="Date [mmm-yyyy] 4 5 2" xfId="14099"/>
    <cellStyle name="COL HEADINGS 6 5 2" xfId="14100"/>
    <cellStyle name="Bold/Border 6 5 2" xfId="14101"/>
    <cellStyle name="Afjusted 7 5 2" xfId="14102"/>
    <cellStyle name="ac 6 5 2" xfId="14103"/>
    <cellStyle name="Style 44 8 5 2" xfId="14104"/>
    <cellStyle name="Style 45 8 5 2" xfId="14105"/>
    <cellStyle name="Style 49 8 5 2" xfId="14106"/>
    <cellStyle name="Style 51 8 5 2" xfId="14107"/>
    <cellStyle name="Afjusted 3 6 4 2" xfId="14108"/>
    <cellStyle name="ac 2 7 4 2" xfId="14109"/>
    <cellStyle name="Afjusted 2 5 4 2" xfId="14110"/>
    <cellStyle name="Bold/Border 2 7 4 2" xfId="14111"/>
    <cellStyle name="COL HEADINGS 2 7 4 2" xfId="14112"/>
    <cellStyle name="Date [mmm-yyyy] 2 6 4 2" xfId="14113"/>
    <cellStyle name="dp*NumberLine 2 6 4 2" xfId="14114"/>
    <cellStyle name="dp*NumberLineEPS 2 6 4 2" xfId="14115"/>
    <cellStyle name="dp*SheetSubTitle 2 6 4 2" xfId="14116"/>
    <cellStyle name="Heading [Helv] 2 7 4 2" xfId="14117"/>
    <cellStyle name="Heading [Palat] 2 7 4 2" xfId="14118"/>
    <cellStyle name="Magic 2 6 4 2" xfId="14119"/>
    <cellStyle name="Outputs 2 7 4 2" xfId="14120"/>
    <cellStyle name="Table Head Aligned 2 6 4 2" xfId="14121"/>
    <cellStyle name="Table Head Green 2 7 4 2" xfId="14122"/>
    <cellStyle name="Title [Helv] 2 6 4 2" xfId="14123"/>
    <cellStyle name="Title [Palat] 2 7 4 2" xfId="14124"/>
    <cellStyle name="Date [mm-d-yyyy] 3 6 4 2" xfId="14125"/>
    <cellStyle name="Style 51 4 6 4 2" xfId="14126"/>
    <cellStyle name="Style 49 4 6 4 2" xfId="14127"/>
    <cellStyle name="Style 45 4 6 4 2" xfId="14128"/>
    <cellStyle name="Style 44 4 6 4 2" xfId="14129"/>
    <cellStyle name="P-Green Rule 3 6 4 2" xfId="14130"/>
    <cellStyle name="PB Table Standard Row 3 6 4 2" xfId="14131"/>
    <cellStyle name="dp*ThinLineBelow 3 6 4 2" xfId="14132"/>
    <cellStyle name="dp*SubTitle 3 6 4 2" xfId="14133"/>
    <cellStyle name="Border Thin 3 6 4 2" xfId="14134"/>
    <cellStyle name="Afjusted 4 6 4 2" xfId="14135"/>
    <cellStyle name="ac 2 2 5 4 2" xfId="14136"/>
    <cellStyle name="Afjusted 2 2 6 4 2" xfId="14137"/>
    <cellStyle name="Bold/Border 2 2 5 4 2" xfId="14138"/>
    <cellStyle name="COL HEADINGS 2 2 5 4 2" xfId="14139"/>
    <cellStyle name="Date [mmm-yyyy] 2 2 5 4 2" xfId="14140"/>
    <cellStyle name="dp*NumberLine 2 2 5 4 2" xfId="14141"/>
    <cellStyle name="dp*NumberLineEPS 2 2 5 4 2" xfId="14142"/>
    <cellStyle name="dp*SheetSubTitle 2 2 5 4 2" xfId="14143"/>
    <cellStyle name="Heading [Helv] 2 2 5 4 2" xfId="14144"/>
    <cellStyle name="Heading [Palat] 2 2 5 4 2" xfId="14145"/>
    <cellStyle name="Magic 2 2 5 4 2" xfId="14146"/>
    <cellStyle name="Outputs 2 2 5 4 2" xfId="14147"/>
    <cellStyle name="Table Head Aligned 2 2 5 4 2" xfId="14148"/>
    <cellStyle name="Table Head Green 2 2 5 4 2" xfId="14149"/>
    <cellStyle name="Title [Helv] 2 2 5 4 2" xfId="14150"/>
    <cellStyle name="Title [Palat] 2 2 5 4 2" xfId="14151"/>
    <cellStyle name="dp*SubTitle 2 2 2 4 2" xfId="14152"/>
    <cellStyle name="Border Thin 2 2 2 4 2" xfId="14153"/>
    <cellStyle name="Bold/Border 2 2 3 4 2 4 2" xfId="14154"/>
    <cellStyle name="Magic 2 2 3 4 2 4 2" xfId="14155"/>
    <cellStyle name="Title [Helv] 2 2 3 4 2 4 2" xfId="14156"/>
    <cellStyle name="Style 51 2 2 2 4 2" xfId="14157"/>
    <cellStyle name="Style 45 2 2 2 4 2" xfId="14158"/>
    <cellStyle name="Style 49 2 2 2 4 2" xfId="14159"/>
    <cellStyle name="Style 44 2 2 2 4 2" xfId="14160"/>
    <cellStyle name="Style 51 3 2 2 4 2" xfId="14161"/>
    <cellStyle name="Style 49 3 2 2 4 2" xfId="14162"/>
    <cellStyle name="Style 45 3 2 2 4 2" xfId="14163"/>
    <cellStyle name="Style 44 3 2 2 4 2" xfId="14164"/>
    <cellStyle name="P-Green Rule 2 2 2 4 2" xfId="14165"/>
    <cellStyle name="PB Table Standard Row 2 2 2 4 2" xfId="14166"/>
    <cellStyle name="dp*ThinLineBelow 2 2 2 4 2" xfId="14167"/>
    <cellStyle name="dp*ThinLineBelow 2 3 2 4 2" xfId="14168"/>
    <cellStyle name="Style 44 3 3 2 4 2" xfId="14169"/>
    <cellStyle name="COL HEADINGS 2 2 3 4 2 4 2" xfId="14170"/>
    <cellStyle name="Style 49 4 3 4 2 4 2" xfId="14171"/>
    <cellStyle name="Afjusted 3 3 4 2 4 2" xfId="14172"/>
    <cellStyle name="Date [mm-d-yyyy] 3 3 4 2 4 2" xfId="14173"/>
    <cellStyle name="Afjusted 4 3 4 2 4 2" xfId="14174"/>
    <cellStyle name="ac 2 2 3 4 2 4 2" xfId="14175"/>
    <cellStyle name="Afjusted 2 2 3 4 2 4 2" xfId="14176"/>
    <cellStyle name="Date [mmm-yyyy] 2 2 3 4 2 4 2" xfId="14177"/>
    <cellStyle name="dp*NumberLine 2 2 3 4 2 4 2" xfId="14178"/>
    <cellStyle name="dp*NumberLineEPS 2 2 3 4 2 4 2" xfId="14179"/>
    <cellStyle name="dp*SheetSubTitle 2 2 3 4 2 4 2" xfId="14180"/>
    <cellStyle name="Heading [Helv] 2 2 3 4 2 4 2" xfId="14181"/>
    <cellStyle name="Outputs 2 2 3 4 2 4 2" xfId="14182"/>
    <cellStyle name="Table Head Aligned 2 2 3 4 2 4 2" xfId="14183"/>
    <cellStyle name="Title [Palat] 2 2 3 4 2 4 2" xfId="14184"/>
    <cellStyle name="Afjusted 3 5 2 4 2" xfId="14185"/>
    <cellStyle name="Style 45 3 3 2 4 2" xfId="14186"/>
    <cellStyle name="Style 51 3 3 2 4 2" xfId="14187"/>
    <cellStyle name="Style 44 2 3 2 4 2" xfId="14188"/>
    <cellStyle name="Style 45 2 3 2 4 2" xfId="14189"/>
    <cellStyle name="Style 49 2 3 2 4 2" xfId="14190"/>
    <cellStyle name="Border Thin 3 5 2 4 2" xfId="14191"/>
    <cellStyle name="ac 2 2 4 2 4 2" xfId="14192"/>
    <cellStyle name="Afjusted 2 2 5 2 4 2" xfId="14193"/>
    <cellStyle name="Bold/Border 2 2 4 2 4 2" xfId="14194"/>
    <cellStyle name="COL HEADINGS 2 2 4 2 4 2" xfId="14195"/>
    <cellStyle name="Date [mmm-yyyy] 2 2 4 2 4 2" xfId="14196"/>
    <cellStyle name="dp*NumberLine 2 2 4 2 4 2" xfId="14197"/>
    <cellStyle name="dp*NumberLineEPS 2 2 4 2 4 2" xfId="14198"/>
    <cellStyle name="dp*SheetSubTitle 2 2 4 2 4 2" xfId="14199"/>
    <cellStyle name="Heading [Palat] 2 2 4 2 4 2" xfId="14200"/>
    <cellStyle name="Outputs 2 2 4 2 4 2" xfId="14201"/>
    <cellStyle name="Magic 2 2 4 2 4 2" xfId="14202"/>
    <cellStyle name="Title [Helv] 2 2 4 2 4 2" xfId="14203"/>
    <cellStyle name="Title [Palat] 2 2 4 2 4 2" xfId="14204"/>
    <cellStyle name="Title [Palat] 2 2 3 3 2 4 2" xfId="14205"/>
    <cellStyle name="Title [Helv] 2 2 3 3 2 4 2" xfId="14206"/>
    <cellStyle name="Table Head Aligned 2 2 3 3 2 4 2" xfId="14207"/>
    <cellStyle name="Magic 2 2 3 3 2 4 2" xfId="14208"/>
    <cellStyle name="Heading [Helv] 2 2 3 3 2 4 2" xfId="14209"/>
    <cellStyle name="dp*NumberLineEPS 2 2 3 3 2 4 2" xfId="14210"/>
    <cellStyle name="COL HEADINGS 2 2 3 3 2 4 2" xfId="14211"/>
    <cellStyle name="ac 2 2 3 3 2 4 2" xfId="14212"/>
    <cellStyle name="Afjusted 4 3 3 2 4 2" xfId="14213"/>
    <cellStyle name="Border Thin 3 3 3 2 4 2" xfId="14214"/>
    <cellStyle name="PB Table Standard Row 3 3 3 2 4 2" xfId="14215"/>
    <cellStyle name="Style 44 4 3 3 2 4 2" xfId="14216"/>
    <cellStyle name="Style 51 4 3 3 2 4 2" xfId="14217"/>
    <cellStyle name="Afjusted 3 3 3 2 4 2" xfId="14218"/>
    <cellStyle name="Style 49 4 5 2 4 2" xfId="14219"/>
    <cellStyle name="Style 44 4 5 2 4 2" xfId="14220"/>
    <cellStyle name="P-Green Rule 3 5 2 4 2" xfId="14221"/>
    <cellStyle name="dp*SubTitle 3 5 2 4 2" xfId="14222"/>
    <cellStyle name="Afjusted 4 5 2 4 2" xfId="14223"/>
    <cellStyle name="ac 2 3 2 4 2" xfId="14224"/>
    <cellStyle name="Bold/Border 2 3 2 4 2" xfId="14225"/>
    <cellStyle name="COL HEADINGS 2 3 2 4 2" xfId="14226"/>
    <cellStyle name="Date [mmm-yyyy] 2 3 2 4 2" xfId="14227"/>
    <cellStyle name="dp*NumberLine 2 3 2 4 2" xfId="14228"/>
    <cellStyle name="dp*NumberLineEPS 2 3 2 4 2" xfId="14229"/>
    <cellStyle name="dp*SheetSubTitle 2 3 2 4 2" xfId="14230"/>
    <cellStyle name="Heading [Helv] 2 3 2 4 2" xfId="14231"/>
    <cellStyle name="Heading [Palat] 2 3 2 4 2" xfId="14232"/>
    <cellStyle name="Magic 2 3 2 4 2" xfId="14233"/>
    <cellStyle name="Outputs 2 3 2 4 2" xfId="14234"/>
    <cellStyle name="Date [mmm-yyyy] 2 2 3 3 2 4 2" xfId="14235"/>
    <cellStyle name="Afjusted 2 2 3 3 2 4 2" xfId="14236"/>
    <cellStyle name="dp*ThinLineBelow 3 3 3 2 4 2" xfId="14237"/>
    <cellStyle name="Style 49 4 3 3 2 4 2" xfId="14238"/>
    <cellStyle name="Outputs 2 2 3 3 2 4 2" xfId="14239"/>
    <cellStyle name="dp*NumberLine 2 2 3 3 2 4 2" xfId="14240"/>
    <cellStyle name="Bold/Border 2 2 3 3 2 4 2" xfId="14241"/>
    <cellStyle name="dp*SubTitle 3 3 3 2 4 2" xfId="14242"/>
    <cellStyle name="Style 45 4 3 3 2 4 2" xfId="14243"/>
    <cellStyle name="Table Head Aligned 2 3 2 4 2" xfId="14244"/>
    <cellStyle name="Table Head Green 2 3 2 4 2" xfId="14245"/>
    <cellStyle name="Title [Helv] 2 3 2 4 2" xfId="14246"/>
    <cellStyle name="Title [Palat] 2 3 2 4 2" xfId="14247"/>
    <cellStyle name="Style 45 4 3 4 2 4 2" xfId="14248"/>
    <cellStyle name="Style 51 4 3 4 2 4 2" xfId="14249"/>
    <cellStyle name="Afjusted 3 4 2 4 2" xfId="14250"/>
    <cellStyle name="P-Green Rule 3 3 4 2 4 2" xfId="14251"/>
    <cellStyle name="Border Thin 2 3 2 4 2" xfId="14252"/>
    <cellStyle name="Style 49 3 3 2 4 2" xfId="14253"/>
    <cellStyle name="Style 51 2 3 2 4 2" xfId="14254"/>
    <cellStyle name="Heading [Helv] 2 2 4 2 4 2" xfId="14255"/>
    <cellStyle name="Table Head Aligned 2 2 4 2 4 2" xfId="14256"/>
    <cellStyle name="Table Head Green 2 2 4 2 4 2" xfId="14257"/>
    <cellStyle name="Table Head Green 2 2 3 3 2 4 2" xfId="14258"/>
    <cellStyle name="Heading [Palat] 2 2 3 3 2 4 2" xfId="14259"/>
    <cellStyle name="dp*SheetSubTitle 2 2 3 3 2 4 2" xfId="14260"/>
    <cellStyle name="P-Green Rule 3 3 3 2 4 2" xfId="14261"/>
    <cellStyle name="Date [mm-d-yyyy] 3 3 3 2 4 2" xfId="14262"/>
    <cellStyle name="Date [mm-d-yyyy] 3 4 2 4 2" xfId="14263"/>
    <cellStyle name="Style 51 4 4 2 4 2" xfId="14264"/>
    <cellStyle name="Style 49 4 4 2 4 2" xfId="14265"/>
    <cellStyle name="Style 45 4 4 2 4 2" xfId="14266"/>
    <cellStyle name="Style 44 4 4 2 4 2" xfId="14267"/>
    <cellStyle name="dp*ThinLineBelow 3 3 4 2 4 2" xfId="14268"/>
    <cellStyle name="P-Green Rule 3 4 2 4 2" xfId="14269"/>
    <cellStyle name="PB Table Standard Row 3 4 2 3 2" xfId="14270"/>
    <cellStyle name="dp*ThinLineBelow 3 4 2 4 2" xfId="14271"/>
    <cellStyle name="dp*SubTitle 3 4 2 4 2" xfId="14272"/>
    <cellStyle name="dp*SubTitle 3 3 4 2 4 2" xfId="14273"/>
    <cellStyle name="Border Thin 3 4 2 4 2" xfId="14274"/>
    <cellStyle name="Border Thin 3 3 4 2 4 2" xfId="14275"/>
    <cellStyle name="Afjusted 4 4 2 4 2" xfId="14276"/>
    <cellStyle name="Afjusted 2 2 4 2 4 2" xfId="14277"/>
    <cellStyle name="Style 44 4 3 4 2 4 2" xfId="14278"/>
    <cellStyle name="PB Table Standard Row 3 3 4 2 4 2" xfId="14279"/>
    <cellStyle name="Title [Palat] 2 2 3 5 4 2" xfId="14280"/>
    <cellStyle name="Title [Helv] 2 2 3 5 4 2" xfId="14281"/>
    <cellStyle name="Table Head Green 2 2 3 5 4 2" xfId="14282"/>
    <cellStyle name="Table Head Aligned 2 2 3 5 4 2" xfId="14283"/>
    <cellStyle name="Outputs 2 2 3 5 4 2" xfId="14284"/>
    <cellStyle name="Magic 2 2 3 5 4 2" xfId="14285"/>
    <cellStyle name="Heading [Palat] 2 2 3 5 4 2" xfId="14286"/>
    <cellStyle name="Heading [Helv] 2 2 3 5 4 2" xfId="14287"/>
    <cellStyle name="dp*SheetSubTitle 2 2 3 5 4 2" xfId="14288"/>
    <cellStyle name="dp*NumberLineEPS 2 2 3 5 4 2" xfId="14289"/>
    <cellStyle name="dp*NumberLine 2 2 3 5 4 2" xfId="14290"/>
    <cellStyle name="Date [mmm-yyyy] 2 2 3 5 4 2" xfId="14291"/>
    <cellStyle name="COL HEADINGS 2 2 3 5 4 2" xfId="14292"/>
    <cellStyle name="Bold/Border 2 2 3 5 4 2" xfId="14293"/>
    <cellStyle name="Afjusted 2 2 3 5 4 2" xfId="14294"/>
    <cellStyle name="ac 2 2 3 5 4 2" xfId="14295"/>
    <cellStyle name="Afjusted 4 3 5 4 2" xfId="14296"/>
    <cellStyle name="Border Thin 3 3 5 4 2" xfId="14297"/>
    <cellStyle name="dp*SubTitle 3 3 5 4 2" xfId="14298"/>
    <cellStyle name="dp*ThinLineBelow 3 3 5 4 2" xfId="14299"/>
    <cellStyle name="PB Table Standard Row 3 3 5 4 2" xfId="14300"/>
    <cellStyle name="P-Green Rule 3 3 5 4 2" xfId="14301"/>
    <cellStyle name="Style 44 4 3 5 4 2" xfId="14302"/>
    <cellStyle name="Style 45 4 3 5 4 2" xfId="14303"/>
    <cellStyle name="Style 49 4 3 5 4 2" xfId="14304"/>
    <cellStyle name="Style 51 4 3 5 4 2" xfId="14305"/>
    <cellStyle name="Date [mm-d-yyyy] 3 3 5 4 2" xfId="14306"/>
    <cellStyle name="Afjusted 3 3 5 4 2" xfId="14307"/>
    <cellStyle name="Date [mm-d-yyyy] 2 2 4 4 2" xfId="14308"/>
    <cellStyle name="Afjusted 3 2 5 4 2" xfId="14309"/>
    <cellStyle name="Date [mm-d-yyyy] 3 2 5 4 2" xfId="14310"/>
    <cellStyle name="Style 51 4 2 5 4 2" xfId="14311"/>
    <cellStyle name="Style 49 4 2 5 4 2" xfId="14312"/>
    <cellStyle name="Style 45 4 2 5 4 2" xfId="14313"/>
    <cellStyle name="Style 44 4 2 5 4 2" xfId="14314"/>
    <cellStyle name="P-Green Rule 3 2 5 4 2" xfId="14315"/>
    <cellStyle name="PB Table Standard Row 3 2 5 3 2" xfId="14316"/>
    <cellStyle name="dp*ThinLineBelow 3 2 5 4 2" xfId="14317"/>
    <cellStyle name="dp*SubTitle 3 2 5 4 2" xfId="14318"/>
    <cellStyle name="Border Thin 3 2 5 4 2" xfId="14319"/>
    <cellStyle name="Afjusted 4 2 5 4 2" xfId="14320"/>
    <cellStyle name="ac 2 2 2 5 4 2" xfId="14321"/>
    <cellStyle name="Afjusted 2 2 2 5 4 2" xfId="14322"/>
    <cellStyle name="Bold/Border 2 2 2 5 4 2" xfId="14323"/>
    <cellStyle name="COL HEADINGS 2 2 2 5 4 2" xfId="14324"/>
    <cellStyle name="Date [mmm-yyyy] 2 2 2 5 4 2" xfId="14325"/>
    <cellStyle name="dp*NumberLine 2 2 2 5 4 2" xfId="14326"/>
    <cellStyle name="dp*NumberLineEPS 2 2 2 5 4 2" xfId="14327"/>
    <cellStyle name="dp*SheetSubTitle 2 2 2 5 4 2" xfId="14328"/>
    <cellStyle name="Heading [Helv] 2 2 2 5 4 2" xfId="14329"/>
    <cellStyle name="Heading [Palat] 2 2 2 5 4 2" xfId="14330"/>
    <cellStyle name="Magic 2 2 2 5 4 2" xfId="14331"/>
    <cellStyle name="Outputs 2 2 2 5 4 2" xfId="14332"/>
    <cellStyle name="Table Head Aligned 2 2 2 5 4 2" xfId="14333"/>
    <cellStyle name="Table Head Green 2 2 2 5 4 2" xfId="14334"/>
    <cellStyle name="Title [Helv] 2 2 2 5 4 2" xfId="14335"/>
    <cellStyle name="Title [Palat] 2 2 2 5 4 2" xfId="14336"/>
    <cellStyle name="Table Head Green 2 2 3 4 2 4 2" xfId="14337"/>
    <cellStyle name="Heading [Palat] 2 2 3 4 2 4 2" xfId="14338"/>
    <cellStyle name="PB Table Standard Row 2 3 2 4 2" xfId="14339"/>
    <cellStyle name="P-Green Rule 2 3 2 4 2" xfId="14340"/>
    <cellStyle name="Title [Palat] 2 2 3 2 2 4 2" xfId="14341"/>
    <cellStyle name="Title [Helv] 2 2 3 2 2 4 2" xfId="14342"/>
    <cellStyle name="Table Head Green 2 2 3 2 2 4 2" xfId="14343"/>
    <cellStyle name="Table Head Aligned 2 2 3 2 2 4 2" xfId="14344"/>
    <cellStyle name="Outputs 2 2 3 2 2 4 2" xfId="14345"/>
    <cellStyle name="Magic 2 2 3 2 2 4 2" xfId="14346"/>
    <cellStyle name="Heading [Palat] 2 2 3 2 2 4 2" xfId="14347"/>
    <cellStyle name="Heading [Helv] 2 2 3 2 2 4 2" xfId="14348"/>
    <cellStyle name="dp*SheetSubTitle 2 2 3 2 2 4 2" xfId="14349"/>
    <cellStyle name="dp*NumberLineEPS 2 2 3 2 2 4 2" xfId="14350"/>
    <cellStyle name="dp*NumberLine 2 2 3 2 2 4 2" xfId="14351"/>
    <cellStyle name="Date [mmm-yyyy] 2 2 3 2 2 4 2" xfId="14352"/>
    <cellStyle name="COL HEADINGS 2 2 3 2 2 4 2" xfId="14353"/>
    <cellStyle name="Bold/Border 2 2 3 2 2 4 2" xfId="14354"/>
    <cellStyle name="Afjusted 2 2 3 2 2 4 2" xfId="14355"/>
    <cellStyle name="ac 2 2 3 2 2 4 2" xfId="14356"/>
    <cellStyle name="Afjusted 4 3 2 2 4 2" xfId="14357"/>
    <cellStyle name="Border Thin 3 3 2 2 4 2" xfId="14358"/>
    <cellStyle name="dp*SubTitle 3 3 2 2 4 2" xfId="14359"/>
    <cellStyle name="dp*ThinLineBelow 3 3 2 2 4 2" xfId="14360"/>
    <cellStyle name="PB Table Standard Row 3 3 2 2 4 2" xfId="14361"/>
    <cellStyle name="P-Green Rule 3 3 2 2 4 2" xfId="14362"/>
    <cellStyle name="Style 44 4 3 2 2 4 2" xfId="14363"/>
    <cellStyle name="Style 45 4 3 2 2 4 2" xfId="14364"/>
    <cellStyle name="Style 49 4 3 2 2 4 2" xfId="14365"/>
    <cellStyle name="Style 51 4 3 2 2 4 2" xfId="14366"/>
    <cellStyle name="Date [mm-d-yyyy] 3 3 2 2 4 2" xfId="14367"/>
    <cellStyle name="Afjusted 3 3 2 2 4 2" xfId="14368"/>
    <cellStyle name="Date [mm-d-yyyy] 3 5 2 4 2" xfId="14369"/>
    <cellStyle name="dp*SubTitle 2 3 2 4 2" xfId="14370"/>
    <cellStyle name="Date [mm-d-yyyy] 2 2 2 2 4 2" xfId="14371"/>
    <cellStyle name="Afjusted 3 2 2 2 4 2" xfId="14372"/>
    <cellStyle name="PB Table Standard Row 3 5 2 4 2" xfId="14373"/>
    <cellStyle name="Date [mm-d-yyyy] 3 2 2 2 4 2" xfId="14374"/>
    <cellStyle name="Style 51 4 2 2 2 4 2" xfId="14375"/>
    <cellStyle name="Style 49 4 2 2 2 4 2" xfId="14376"/>
    <cellStyle name="Style 45 4 2 2 2 4 2" xfId="14377"/>
    <cellStyle name="Style 44 4 2 2 2 4 2" xfId="14378"/>
    <cellStyle name="Style 45 4 5 2 4 2" xfId="14379"/>
    <cellStyle name="P-Green Rule 3 2 2 2 4 2" xfId="14380"/>
    <cellStyle name="PB Table Standard Row 3 2 2 2 4 2" xfId="14381"/>
    <cellStyle name="dp*ThinLineBelow 3 2 2 2 4 2" xfId="14382"/>
    <cellStyle name="dp*SubTitle 3 2 2 2 4 2" xfId="14383"/>
    <cellStyle name="Style 51 4 5 2 4 2" xfId="14384"/>
    <cellStyle name="Border Thin 3 2 2 2 4 2" xfId="14385"/>
    <cellStyle name="Afjusted 4 2 2 2 4 2" xfId="14386"/>
    <cellStyle name="ac 2 2 2 2 2 4 2" xfId="14387"/>
    <cellStyle name="Afjusted 2 2 2 2 2 4 2" xfId="14388"/>
    <cellStyle name="Bold/Border 2 2 2 2 2 4 2" xfId="14389"/>
    <cellStyle name="COL HEADINGS 2 2 2 2 2 4 2" xfId="14390"/>
    <cellStyle name="Date [mmm-yyyy] 2 2 2 2 2 4 2" xfId="14391"/>
    <cellStyle name="dp*NumberLine 2 2 2 2 2 4 2" xfId="14392"/>
    <cellStyle name="dp*NumberLineEPS 2 2 2 2 2 4 2" xfId="14393"/>
    <cellStyle name="dp*SheetSubTitle 2 2 2 2 2 4 2" xfId="14394"/>
    <cellStyle name="Heading [Helv] 2 2 2 2 2 4 2" xfId="14395"/>
    <cellStyle name="Heading [Palat] 2 2 2 2 2 4 2" xfId="14396"/>
    <cellStyle name="Magic 2 2 2 2 2 4 2" xfId="14397"/>
    <cellStyle name="Outputs 2 2 2 2 2 4 2" xfId="14398"/>
    <cellStyle name="Table Head Aligned 2 2 2 2 2 4 2" xfId="14399"/>
    <cellStyle name="Table Head Green 2 2 2 2 2 4 2" xfId="14400"/>
    <cellStyle name="Title [Helv] 2 2 2 2 2 4 2" xfId="14401"/>
    <cellStyle name="Title [Palat] 2 2 2 2 2 4 2" xfId="14402"/>
    <cellStyle name="dp*ThinLineBelow 3 5 2 4 2" xfId="14403"/>
    <cellStyle name="Date [mm-d-yyyy] 2 2 3 2 4 2" xfId="14404"/>
    <cellStyle name="Afjusted 3 2 3 2 4 2" xfId="14405"/>
    <cellStyle name="Date [mm-d-yyyy] 3 2 3 2 4 2" xfId="14406"/>
    <cellStyle name="Style 51 4 2 3 2 4 2" xfId="14407"/>
    <cellStyle name="Style 49 4 2 3 2 4 2" xfId="14408"/>
    <cellStyle name="Style 45 4 2 3 2 4 2" xfId="14409"/>
    <cellStyle name="Style 44 4 2 3 2 4 2" xfId="14410"/>
    <cellStyle name="P-Green Rule 3 2 3 2 4 2" xfId="14411"/>
    <cellStyle name="PB Table Standard Row 3 2 3 2 4 2" xfId="14412"/>
    <cellStyle name="dp*ThinLineBelow 3 2 3 2 4 2" xfId="14413"/>
    <cellStyle name="dp*SubTitle 3 2 3 2 4 2" xfId="14414"/>
    <cellStyle name="Border Thin 3 2 3 2 4 2" xfId="14415"/>
    <cellStyle name="Afjusted 4 2 3 2 4 2" xfId="14416"/>
    <cellStyle name="ac 2 2 2 3 2 4 2" xfId="14417"/>
    <cellStyle name="Afjusted 2 2 2 3 2 4 2" xfId="14418"/>
    <cellStyle name="Bold/Border 2 2 2 3 2 4 2" xfId="14419"/>
    <cellStyle name="COL HEADINGS 2 2 2 3 2 4 2" xfId="14420"/>
    <cellStyle name="Date [mmm-yyyy] 2 2 2 3 2 4 2" xfId="14421"/>
    <cellStyle name="dp*NumberLine 2 2 2 3 2 4 2" xfId="14422"/>
    <cellStyle name="dp*NumberLineEPS 2 2 2 3 2 4 2" xfId="14423"/>
    <cellStyle name="dp*SheetSubTitle 2 2 2 3 2 4 2" xfId="14424"/>
    <cellStyle name="Heading [Helv] 2 2 2 3 2 4 2" xfId="14425"/>
    <cellStyle name="Heading [Palat] 2 2 2 3 2 4 2" xfId="14426"/>
    <cellStyle name="Magic 2 2 2 3 2 4 2" xfId="14427"/>
    <cellStyle name="Outputs 2 2 2 3 2 4 2" xfId="14428"/>
    <cellStyle name="Table Head Aligned 2 2 2 3 2 4 2" xfId="14429"/>
    <cellStyle name="Table Head Green 2 2 2 3 2 4 2" xfId="14430"/>
    <cellStyle name="Title [Helv] 2 2 2 3 2 4 2" xfId="14431"/>
    <cellStyle name="Title [Palat] 2 2 2 3 2 4 2" xfId="14432"/>
    <cellStyle name="Afjusted 3 2 4 2 4 2" xfId="14433"/>
    <cellStyle name="Date [mm-d-yyyy] 3 2 4 2 4 2" xfId="14434"/>
    <cellStyle name="Style 51 4 2 4 2 4 2" xfId="14435"/>
    <cellStyle name="Style 49 4 2 4 2 4 2" xfId="14436"/>
    <cellStyle name="Style 45 4 2 4 2 4 2" xfId="14437"/>
    <cellStyle name="Style 44 4 2 4 2 4 2" xfId="14438"/>
    <cellStyle name="P-Green Rule 3 2 4 2 4 2" xfId="14439"/>
    <cellStyle name="PB Table Standard Row 3 2 4 2 4 2" xfId="14440"/>
    <cellStyle name="dp*ThinLineBelow 3 2 4 2 4 2" xfId="14441"/>
    <cellStyle name="dp*SubTitle 3 2 4 2 4 2" xfId="14442"/>
    <cellStyle name="Border Thin 3 2 4 2 4 2" xfId="14443"/>
    <cellStyle name="Afjusted 4 2 4 2 4 2" xfId="14444"/>
    <cellStyle name="ac 2 2 2 4 2 4 2" xfId="14445"/>
    <cellStyle name="Afjusted 2 2 2 4 2 4 2" xfId="14446"/>
    <cellStyle name="Bold/Border 2 2 2 4 2 4 2" xfId="14447"/>
    <cellStyle name="COL HEADINGS 2 2 2 4 2 4 2" xfId="14448"/>
    <cellStyle name="Date [mmm-yyyy] 2 2 2 4 2 4 2" xfId="14449"/>
    <cellStyle name="dp*NumberLine 2 2 2 4 2 4 2" xfId="14450"/>
    <cellStyle name="dp*NumberLineEPS 2 2 2 4 2 4 2" xfId="14451"/>
    <cellStyle name="dp*SheetSubTitle 2 2 2 4 2 4 2" xfId="14452"/>
    <cellStyle name="Heading [Helv] 2 2 2 4 2 4 2" xfId="14453"/>
    <cellStyle name="Heading [Palat] 2 2 2 4 2 4 2" xfId="14454"/>
    <cellStyle name="Magic 2 2 2 4 2 4 2" xfId="14455"/>
    <cellStyle name="Outputs 2 2 2 4 2 4 2" xfId="14456"/>
    <cellStyle name="Table Head Aligned 2 2 2 4 2 4 2" xfId="14457"/>
    <cellStyle name="Table Head Green 2 2 2 4 2 4 2" xfId="14458"/>
    <cellStyle name="Title [Helv] 2 2 2 4 2 4 2" xfId="14459"/>
    <cellStyle name="Title [Palat] 2 2 2 4 2 4 2" xfId="14460"/>
    <cellStyle name="Border Thin 4 2 4 2" xfId="14461"/>
    <cellStyle name="Date [mm-d-yyyy] 4 2 4 2" xfId="14462"/>
    <cellStyle name="dp*SubTitle 4 2 4 2" xfId="14463"/>
    <cellStyle name="dp*ThinLineBelow 4 2 4 2" xfId="14464"/>
    <cellStyle name="PB Table Standard Row 4 2 4 2" xfId="14465"/>
    <cellStyle name="P-Green Rule 4 2 4 2" xfId="14466"/>
    <cellStyle name="Style 44 5 2 4 2" xfId="14467"/>
    <cellStyle name="Style 45 5 2 4 2" xfId="14468"/>
    <cellStyle name="Style 49 5 2 4 2" xfId="14469"/>
    <cellStyle name="Style 51 5 2 4 2" xfId="14470"/>
    <cellStyle name="Title [Palat] 3 2 4 2" xfId="14471"/>
    <cellStyle name="Title [Helv] 3 2 4 2" xfId="14472"/>
    <cellStyle name="Table Head Green 3 2 4 2" xfId="14473"/>
    <cellStyle name="Table Head Aligned 3 2 4 2" xfId="14474"/>
    <cellStyle name="Outputs 3 2 4 2" xfId="14475"/>
    <cellStyle name="Magic 3 2 4 2" xfId="14476"/>
    <cellStyle name="Heading [Palat] 3 2 4 2" xfId="14477"/>
    <cellStyle name="Heading [Helv] 3 2 4 2" xfId="14478"/>
    <cellStyle name="dp*SheetSubTitle 3 2 4 2" xfId="14479"/>
    <cellStyle name="dp*NumberLineEPS 3 2 4 2" xfId="14480"/>
    <cellStyle name="dp*NumberLine 3 2 4 2" xfId="14481"/>
    <cellStyle name="COL HEADINGS 3 2 4 2" xfId="14482"/>
    <cellStyle name="Bold/Border 3 2 4 2" xfId="14483"/>
    <cellStyle name="Afjusted 5 2 4 2" xfId="14484"/>
    <cellStyle name="ac 3 2 4 2" xfId="14485"/>
    <cellStyle name="Date [mmm-yyyy] 3 2 4 2" xfId="14486"/>
    <cellStyle name="ac 2 4 2 4 2" xfId="14487"/>
    <cellStyle name="Afjusted 2 3 2 4 2" xfId="14488"/>
    <cellStyle name="Bold/Border 2 4 2 4 2" xfId="14489"/>
    <cellStyle name="Border Thin 2 4 2 4 2" xfId="14490"/>
    <cellStyle name="COL HEADINGS 2 4 2 4 2" xfId="14491"/>
    <cellStyle name="Date [mmm-yyyy] 2 4 2 4 2" xfId="14492"/>
    <cellStyle name="dp*NumberLine 2 4 2 4 2" xfId="14493"/>
    <cellStyle name="dp*NumberLineEPS 2 4 2 4 2" xfId="14494"/>
    <cellStyle name="dp*SheetSubTitle 2 4 2 4 2" xfId="14495"/>
    <cellStyle name="dp*SubTitle 2 4 2 4 2" xfId="14496"/>
    <cellStyle name="dp*ThinLineBelow 2 4 2 4 2" xfId="14497"/>
    <cellStyle name="Heading [Helv] 2 4 2 4 2" xfId="14498"/>
    <cellStyle name="Heading [Palat] 2 4 2 4 2" xfId="14499"/>
    <cellStyle name="Magic 2 4 2 4 2" xfId="14500"/>
    <cellStyle name="Outputs 2 4 2 4 2" xfId="14501"/>
    <cellStyle name="PB Table Standard Row 2 4 2 4 2" xfId="14502"/>
    <cellStyle name="P-Green Rule 2 4 2 4 2" xfId="14503"/>
    <cellStyle name="Style 44 3 4 2 4 2" xfId="14504"/>
    <cellStyle name="Style 45 3 4 2 4 2" xfId="14505"/>
    <cellStyle name="Style 49 3 4 2 4 2" xfId="14506"/>
    <cellStyle name="Style 51 3 4 2 4 2" xfId="14507"/>
    <cellStyle name="Style 44 2 4 2 4 2" xfId="14508"/>
    <cellStyle name="Style 45 2 4 2 4 2" xfId="14509"/>
    <cellStyle name="Style 49 2 4 2 4 2" xfId="14510"/>
    <cellStyle name="Style 51 2 4 2 4 2" xfId="14511"/>
    <cellStyle name="Table Head Aligned 2 4 2 4 2" xfId="14512"/>
    <cellStyle name="Table Head Green 2 4 2 4 2" xfId="14513"/>
    <cellStyle name="Title [Helv] 2 4 2 4 2" xfId="14514"/>
    <cellStyle name="Title [Palat] 2 4 2 4 2" xfId="14515"/>
    <cellStyle name="ac 4 2 4 2" xfId="14516"/>
    <cellStyle name="Bold/Border 4 2 4 2" xfId="14517"/>
    <cellStyle name="Border Thin 5 2 4 2" xfId="14518"/>
    <cellStyle name="COL HEADINGS 4 2 4 2" xfId="14519"/>
    <cellStyle name="Date [mm-d-yyyy] 5 2 4 2" xfId="14520"/>
    <cellStyle name="Heading [Helv] 4 2 4 2" xfId="14521"/>
    <cellStyle name="Heading [Palat] 4 2 4 2" xfId="14522"/>
    <cellStyle name="Outputs 4 2 4 2" xfId="14523"/>
    <cellStyle name="PB Table Standard Row 5 2 4 2" xfId="14524"/>
    <cellStyle name="P-Green Rule 5 2 4 2" xfId="14525"/>
    <cellStyle name="Style 44 6 2 4 2" xfId="14526"/>
    <cellStyle name="Style 45 6 2 4 2" xfId="14527"/>
    <cellStyle name="Style 49 6 2 4 2" xfId="14528"/>
    <cellStyle name="Style 51 6 2 4 2" xfId="14529"/>
    <cellStyle name="Table Head Green 4 2 4 2" xfId="14530"/>
    <cellStyle name="Afjusted 6 2 4 2" xfId="14531"/>
    <cellStyle name="ac 2 5 2 4 2" xfId="14532"/>
    <cellStyle name="Afjusted 2 4 2 4 2" xfId="14533"/>
    <cellStyle name="Bold/Border 2 5 2 4 2" xfId="14534"/>
    <cellStyle name="Border Thin 2 5 2 4 2" xfId="14535"/>
    <cellStyle name="COL HEADINGS 2 5 2 4 2" xfId="14536"/>
    <cellStyle name="Date [mmm-yyyy] 2 5 2 4 2" xfId="14537"/>
    <cellStyle name="dp*NumberLine 2 5 2 4 2" xfId="14538"/>
    <cellStyle name="dp*NumberLineEPS 2 5 2 4 2" xfId="14539"/>
    <cellStyle name="dp*SheetSubTitle 2 5 2 4 2" xfId="14540"/>
    <cellStyle name="dp*SubTitle 2 5 2 4 2" xfId="14541"/>
    <cellStyle name="dp*ThinLineBelow 2 5 2 4 2" xfId="14542"/>
    <cellStyle name="Heading [Helv] 2 5 2 4 2" xfId="14543"/>
    <cellStyle name="Heading [Palat] 2 5 2 4 2" xfId="14544"/>
    <cellStyle name="Magic 2 5 2 4 2" xfId="14545"/>
    <cellStyle name="Outputs 2 5 2 4 2" xfId="14546"/>
    <cellStyle name="PB Table Standard Row 2 5 2 4 2" xfId="14547"/>
    <cellStyle name="P-Green Rule 2 5 2 4 2" xfId="14548"/>
    <cellStyle name="Style 44 3 5 2 4 2" xfId="14549"/>
    <cellStyle name="Style 45 3 5 2 4 2" xfId="14550"/>
    <cellStyle name="Style 49 3 5 2 4 2" xfId="14551"/>
    <cellStyle name="Style 51 3 5 2 4 2" xfId="14552"/>
    <cellStyle name="Style 44 2 5 2 4 2" xfId="14553"/>
    <cellStyle name="Style 45 2 5 2 4 2" xfId="14554"/>
    <cellStyle name="Style 49 2 5 2 4 2" xfId="14555"/>
    <cellStyle name="Style 51 2 5 2 4 2" xfId="14556"/>
    <cellStyle name="Table Head Aligned 2 5 2 4 2" xfId="14557"/>
    <cellStyle name="Table Head Green 2 5 2 4 2" xfId="14558"/>
    <cellStyle name="Title [Helv] 2 5 2 4 2" xfId="14559"/>
    <cellStyle name="Title [Palat] 2 5 2 4 2" xfId="14560"/>
    <cellStyle name="ac 5 2 4 2" xfId="14561"/>
    <cellStyle name="Bold/Border 5 2 4 2" xfId="14562"/>
    <cellStyle name="Border Thin 6 2 4 2" xfId="14563"/>
    <cellStyle name="COL HEADINGS 5 2 4 2" xfId="14564"/>
    <cellStyle name="Heading [Helv] 5 2 4 2" xfId="14565"/>
    <cellStyle name="Heading [Palat] 5 2 4 2" xfId="14566"/>
    <cellStyle name="Outputs 5 2 4 2" xfId="14567"/>
    <cellStyle name="PB Table Standard Row 6 2 4 2" xfId="14568"/>
    <cellStyle name="P-Green Rule 6 2 4 2" xfId="14569"/>
    <cellStyle name="Style 44 7 2 4 2" xfId="14570"/>
    <cellStyle name="Style 45 7 2 4 2" xfId="14571"/>
    <cellStyle name="Style 49 7 2 4 2" xfId="14572"/>
    <cellStyle name="Style 51 7 2 4 2" xfId="14573"/>
    <cellStyle name="Table Head Green 5 2 4 2" xfId="14574"/>
    <cellStyle name="Title [Palat] 4 2 4 2" xfId="14575"/>
    <cellStyle name="ac 2 6 2 4 2" xfId="14576"/>
    <cellStyle name="Bold/Border 2 6 2 4 2" xfId="14577"/>
    <cellStyle name="Border Thin 2 6 2 4 2" xfId="14578"/>
    <cellStyle name="COL HEADINGS 2 6 2 4 2" xfId="14579"/>
    <cellStyle name="Heading [Helv] 2 6 2 4 2" xfId="14580"/>
    <cellStyle name="Heading [Palat] 2 6 2 4 2" xfId="14581"/>
    <cellStyle name="Outputs 2 6 2 4 2" xfId="14582"/>
    <cellStyle name="PB Table Standard Row 2 6 2 4 2" xfId="14583"/>
    <cellStyle name="P-Green Rule 2 6 2 4 2" xfId="14584"/>
    <cellStyle name="Style 44 3 6 2 4 2" xfId="14585"/>
    <cellStyle name="Style 45 3 6 2 4 2" xfId="14586"/>
    <cellStyle name="Style 49 3 6 2 4 2" xfId="14587"/>
    <cellStyle name="Style 51 3 6 2 4 2" xfId="14588"/>
    <cellStyle name="Style 44 2 6 2 4 2" xfId="14589"/>
    <cellStyle name="Style 45 2 6 2 4 2" xfId="14590"/>
    <cellStyle name="Style 49 2 6 2 4 2" xfId="14591"/>
    <cellStyle name="Style 51 2 6 2 4 2" xfId="14592"/>
    <cellStyle name="Table Head Green 2 6 2 4 2" xfId="14593"/>
    <cellStyle name="Title [Palat] 2 6 2 4 2" xfId="14594"/>
    <cellStyle name="Title [Palat] 5 2 4 2" xfId="14595"/>
    <cellStyle name="Title [Helv] 4 2 4 2" xfId="14596"/>
    <cellStyle name="Table Head Green 6 2 4 2" xfId="14597"/>
    <cellStyle name="Table Head Aligned 4 2 4 2" xfId="14598"/>
    <cellStyle name="Style 51 9 2 4 2" xfId="14599"/>
    <cellStyle name="Style 49 9 2 4 2" xfId="14600"/>
    <cellStyle name="Style 45 9 2 4 2" xfId="14601"/>
    <cellStyle name="Style 44 9 2 4 2" xfId="14602"/>
    <cellStyle name="P-Green Rule 7 2 4 2" xfId="14603"/>
    <cellStyle name="PB Table Standard Row 7 2 4 2" xfId="14604"/>
    <cellStyle name="Outputs 6 2 4 2" xfId="14605"/>
    <cellStyle name="Magic 4 2 4 2" xfId="14606"/>
    <cellStyle name="Heading [Palat] 6 2 4 2" xfId="14607"/>
    <cellStyle name="Heading [Helv] 6 2 4 2" xfId="14608"/>
    <cellStyle name="dp*ThinLineBelow 5 2 4 2" xfId="14609"/>
    <cellStyle name="dp*SubTitle 5 2 4 2" xfId="14610"/>
    <cellStyle name="dp*SheetSubTitle 4 2 4 2" xfId="14611"/>
    <cellStyle name="dp*NumberLineEPS 4 2 4 2" xfId="14612"/>
    <cellStyle name="dp*NumberLine 4 2 4 2" xfId="14613"/>
    <cellStyle name="Date [mmm-yyyy] 4 2 4 2" xfId="14614"/>
    <cellStyle name="Date [mm-d-yyyy] 7 2 4 2" xfId="14615"/>
    <cellStyle name="COL HEADINGS 6 2 4 2" xfId="14616"/>
    <cellStyle name="Border Thin 7 2 4 2" xfId="14617"/>
    <cellStyle name="Bold/Border 6 2 4 2" xfId="14618"/>
    <cellStyle name="Afjusted 7 2 4 2" xfId="14619"/>
    <cellStyle name="ac 6 2 4 2" xfId="14620"/>
    <cellStyle name="Style 44 8 2 4 2" xfId="14621"/>
    <cellStyle name="Style 45 8 2 4 2" xfId="14622"/>
    <cellStyle name="Style 49 8 2 4 2" xfId="14623"/>
    <cellStyle name="Style 51 8 2 4 2" xfId="14624"/>
    <cellStyle name="Title [Palat] 6 2 4 2" xfId="14625"/>
    <cellStyle name="Title [Helv] 5 2 4 2" xfId="14626"/>
    <cellStyle name="Table Head Green 7 2 4 2" xfId="14627"/>
    <cellStyle name="Table Head Aligned 5 2 4 2" xfId="14628"/>
    <cellStyle name="Outputs 7 2 4 2" xfId="14629"/>
    <cellStyle name="Magic 5 2 4 2" xfId="14630"/>
    <cellStyle name="Heading [Palat] 7 2 4 2" xfId="14631"/>
    <cellStyle name="Heading [Helv] 7 2 4 2" xfId="14632"/>
    <cellStyle name="dp*SheetSubTitle 5 2 4 2" xfId="14633"/>
    <cellStyle name="dp*NumberLineEPS 5 2 4 2" xfId="14634"/>
    <cellStyle name="dp*NumberLine 5 2 4 2" xfId="14635"/>
    <cellStyle name="Date [mmm-yyyy] 5 2 4 2" xfId="14636"/>
    <cellStyle name="COL HEADINGS 7 2 4 2" xfId="14637"/>
    <cellStyle name="Bold/Border 7 2 4 2" xfId="14638"/>
    <cellStyle name="Afjusted 8 2 4 2" xfId="14639"/>
    <cellStyle name="ac 7 2 4 2" xfId="14640"/>
    <cellStyle name="Title [Palat] 7 2 4 2" xfId="14641"/>
    <cellStyle name="Title [Helv] 6 2 4 2" xfId="14642"/>
    <cellStyle name="Table Head Green 8 2 4 2" xfId="14643"/>
    <cellStyle name="Table Head Aligned 6 2 4 2" xfId="14644"/>
    <cellStyle name="Outputs 8 2 4 2" xfId="14645"/>
    <cellStyle name="Magic 6 2 4 2" xfId="14646"/>
    <cellStyle name="Heading [Palat] 8 2 4 2" xfId="14647"/>
    <cellStyle name="Heading [Helv] 8 2 4 2" xfId="14648"/>
    <cellStyle name="dp*SheetSubTitle 6 2 4 2" xfId="14649"/>
    <cellStyle name="dp*NumberLineEPS 6 2 4 2" xfId="14650"/>
    <cellStyle name="dp*NumberLine 6 2 4 2" xfId="14651"/>
    <cellStyle name="COL HEADINGS 8 2 4 2" xfId="14652"/>
    <cellStyle name="Bold/Border 8 2 4 2" xfId="14653"/>
    <cellStyle name="Afjusted 9 2 4 2" xfId="14654"/>
    <cellStyle name="ac 8 2 4 2" xfId="14655"/>
    <cellStyle name="Date [mmm-yyyy] 6 2 4 2" xfId="14656"/>
    <cellStyle name="Title [Palat] 8 2 4 2" xfId="14657"/>
    <cellStyle name="Title [Helv] 7 2 4 2" xfId="14658"/>
    <cellStyle name="Table Head Green 9 2 4 2" xfId="14659"/>
    <cellStyle name="Table Head Aligned 7 2 4 2" xfId="14660"/>
    <cellStyle name="Outputs 9 2 4 2" xfId="14661"/>
    <cellStyle name="Magic 7 2 4 2" xfId="14662"/>
    <cellStyle name="Heading [Palat] 9 2 4 2" xfId="14663"/>
    <cellStyle name="Heading [Helv] 9 2 4 2" xfId="14664"/>
    <cellStyle name="dp*SheetSubTitle 7 2 4 2" xfId="14665"/>
    <cellStyle name="dp*NumberLineEPS 7 2 4 2" xfId="14666"/>
    <cellStyle name="dp*NumberLine 7 2 4 2" xfId="14667"/>
    <cellStyle name="Date [mmm-yyyy] 7 2 4 2" xfId="14668"/>
    <cellStyle name="COL HEADINGS 9 2 4 2" xfId="14669"/>
    <cellStyle name="Bold/Border 9 2 4 2" xfId="14670"/>
    <cellStyle name="Afjusted 10 2 4 2" xfId="14671"/>
    <cellStyle name="ac 9 2 4 2" xfId="14672"/>
    <cellStyle name="Afjusted 3 8 3" xfId="14673"/>
    <cellStyle name="Bold/Border 2 2 2 2 4 3" xfId="14674"/>
    <cellStyle name="Outputs 2 9 3" xfId="14675"/>
    <cellStyle name="Table Head Green 2 2 3 2 4 3" xfId="14676"/>
    <cellStyle name="Title [Helv] 2 2 2 11" xfId="14677"/>
    <cellStyle name="Style 42 3 4" xfId="14678"/>
    <cellStyle name="PB Table Standard Row 5 4 3" xfId="14679"/>
    <cellStyle name="Outputs 4 4 3" xfId="14680"/>
    <cellStyle name="Heading [Palat] 4 4 3" xfId="14681"/>
    <cellStyle name="Heading [Helv] 4 4 3" xfId="14682"/>
    <cellStyle name="COL HEADINGS 4 4 3" xfId="14683"/>
    <cellStyle name="Border Thin 5 4 3" xfId="14684"/>
    <cellStyle name="Title [Helv] 2 4 4 3" xfId="14685"/>
    <cellStyle name="Style 51 2 4 4 3" xfId="14686"/>
    <cellStyle name="Header2 2 6" xfId="14687"/>
    <cellStyle name="ac 3 4 3" xfId="14688"/>
    <cellStyle name="Afjusted 5 4 3" xfId="14689"/>
    <cellStyle name="COL HEADINGS 3 4 3" xfId="14690"/>
    <cellStyle name="Arial6Bold 9 2" xfId="14691"/>
    <cellStyle name="Arial8Bold 9 2" xfId="14692"/>
    <cellStyle name="Arial8Italic 9 2" xfId="14693"/>
    <cellStyle name="ArialNormal 9 2" xfId="14694"/>
    <cellStyle name="Table Head Green 3 4 3" xfId="14695"/>
    <cellStyle name="dp*NumberLine 2 5 10" xfId="14696"/>
    <cellStyle name="Border 7 2" xfId="14697"/>
    <cellStyle name="Style 51 5 4 3" xfId="14698"/>
    <cellStyle name="Style 49 5 4 3" xfId="14699"/>
    <cellStyle name="Style 45 5 4 3" xfId="14700"/>
    <cellStyle name="Style 44 5 4 3" xfId="14701"/>
    <cellStyle name="dp*ThinLineBelow 4 4 3" xfId="14702"/>
    <cellStyle name="Title [Helv] 2 2 2 4 4 3" xfId="14703"/>
    <cellStyle name="Outputs 2 2 2 4 4 3" xfId="14704"/>
    <cellStyle name="Magic 2 2 2 4 4 3" xfId="14705"/>
    <cellStyle name="dp*NumberLine 2 2 2 4 4 3" xfId="14706"/>
    <cellStyle name="Bold/Border 2 2 2 4 4 3" xfId="14707"/>
    <cellStyle name="Afjusted 2 2 2 4 4 3" xfId="14708"/>
    <cellStyle name="Border Thin 3 2 4 4 3" xfId="14709"/>
    <cellStyle name="dp*SubTitle 3 2 4 4 3" xfId="14710"/>
    <cellStyle name="Style 45 4 2 4 4 3" xfId="14711"/>
    <cellStyle name="Style 49 4 2 4 4 3" xfId="14712"/>
    <cellStyle name="Style 51 4 2 4 4 3" xfId="14713"/>
    <cellStyle name="Title [Palat] 2 2 2 3 4 3" xfId="14714"/>
    <cellStyle name="Title [Helv] 2 2 2 3 4 3" xfId="14715"/>
    <cellStyle name="Table Head Green 2 2 2 3 4 3" xfId="14716"/>
    <cellStyle name="Outputs 2 2 2 3 4 3" xfId="14717"/>
    <cellStyle name="Heading [Helv] 2 2 2 3 4 3" xfId="14718"/>
    <cellStyle name="dp*NumberLine 2 2 2 3 4 3" xfId="14719"/>
    <cellStyle name="Bold/Border 2 2 2 3 4 3" xfId="14720"/>
    <cellStyle name="Afjusted 4 2 3 4 3" xfId="14721"/>
    <cellStyle name="dp*ThinLineBelow 3 2 3 4 3" xfId="14722"/>
    <cellStyle name="Style 44 4 2 3 4 3" xfId="14723"/>
    <cellStyle name="Style 51 4 2 3 4 3" xfId="14724"/>
    <cellStyle name="Date [mm-d-yyyy] 2 2 3 4 3" xfId="14725"/>
    <cellStyle name="dp*ThinLineBelow 3 5 4 3" xfId="14726"/>
    <cellStyle name="Table Head Green 2 2 2 2 4 3" xfId="14727"/>
    <cellStyle name="Table Head Aligned 2 2 2 2 4 3" xfId="14728"/>
    <cellStyle name="Outputs 2 2 2 2 4 3" xfId="14729"/>
    <cellStyle name="Magic 2 2 2 2 4 3" xfId="14730"/>
    <cellStyle name="dp*ThinLineBelow 3 2 2 4 3" xfId="14731"/>
    <cellStyle name="dp*SubTitle 3 3 2 4 3" xfId="14732"/>
    <cellStyle name="Afjusted 2 2 3 2 4 3" xfId="14733"/>
    <cellStyle name="dp*NumberLineEPS 2 2 2 7 3" xfId="14734"/>
    <cellStyle name="dp*NumberLine 2 2 2 7 3" xfId="14735"/>
    <cellStyle name="Date [mmm-yyyy] 2 2 2 7 3" xfId="14736"/>
    <cellStyle name="COL HEADINGS 2 2 2 7 3" xfId="14737"/>
    <cellStyle name="ac 2 2 2 7 3" xfId="14738"/>
    <cellStyle name="Afjusted 4 2 7 3" xfId="14739"/>
    <cellStyle name="Date [mm-d-yyyy] 3 2 7 3" xfId="14740"/>
    <cellStyle name="Afjusted 3 3 7 3" xfId="14741"/>
    <cellStyle name="Style 49 4 3 7 3" xfId="14742"/>
    <cellStyle name="P-Green Rule 3 3 7 3" xfId="14743"/>
    <cellStyle name="dp*SubTitle 3 3 7 3" xfId="14744"/>
    <cellStyle name="Border Thin 3 3 7 3" xfId="14745"/>
    <cellStyle name="Afjusted 2 2 3 7 3" xfId="14746"/>
    <cellStyle name="Date [mmm-yyyy] 2 2 3 7 3" xfId="14747"/>
    <cellStyle name="dp*NumberLine 2 2 3 7 3" xfId="14748"/>
    <cellStyle name="dp*NumberLineEPS 2 2 3 7 3" xfId="14749"/>
    <cellStyle name="dp*SheetSubTitle 2 2 3 7 3" xfId="14750"/>
    <cellStyle name="Heading [Helv] 2 2 3 7 3" xfId="14751"/>
    <cellStyle name="Heading [Palat] 2 2 3 7 3" xfId="14752"/>
    <cellStyle name="Magic 2 2 3 7 3" xfId="14753"/>
    <cellStyle name="Outputs 2 2 3 7 3" xfId="14754"/>
    <cellStyle name="Table Head Aligned 2 2 3 7 3" xfId="14755"/>
    <cellStyle name="Table Head Green 2 2 3 7 3" xfId="14756"/>
    <cellStyle name="PB Table Standard Row 3 3 4 4 3" xfId="14757"/>
    <cellStyle name="DateYearEstimate 9 2" xfId="14758"/>
    <cellStyle name="DateYearWholeEstimate 9 2" xfId="14759"/>
    <cellStyle name="Style 44 4 3 4 4 3" xfId="14760"/>
    <cellStyle name="Afjusted 4 4 4 3" xfId="14761"/>
    <cellStyle name="dp*SubTitle 3 3 4 4 3" xfId="14762"/>
    <cellStyle name="dp*ThinLineBelow 3 3 4 4 3" xfId="14763"/>
    <cellStyle name="Style 44 4 4 4 3" xfId="14764"/>
    <cellStyle name="Style 51 4 4 4 3" xfId="14765"/>
    <cellStyle name="Date [mm-d-yyyy] 3 4 4 3" xfId="14766"/>
    <cellStyle name="Date [mm-d-yyyy] 3 3 3 4 3" xfId="14767"/>
    <cellStyle name="P-Green Rule 3 3 3 4 3" xfId="14768"/>
    <cellStyle name="dp*SheetSubTitle 2 2 3 3 4 3" xfId="14769"/>
    <cellStyle name="Heading [Palat] 2 2 3 3 4 3" xfId="14770"/>
    <cellStyle name="Table Head Green 2 2 3 3 4 3" xfId="14771"/>
    <cellStyle name="Table Head Green 2 2 4 4 3" xfId="14772"/>
    <cellStyle name="Table Head Aligned 2 2 4 4 3" xfId="14773"/>
    <cellStyle name="Heading [Helv] 2 2 4 4 3" xfId="14774"/>
    <cellStyle name="Style 51 2 3 4 3" xfId="14775"/>
    <cellStyle name="Style 49 3 3 4 3" xfId="14776"/>
    <cellStyle name="Border Thin 2 3 4 3" xfId="14777"/>
    <cellStyle name="P-Green Rule 3 3 4 4 3" xfId="14778"/>
    <cellStyle name="Afjusted 3 4 4 3" xfId="14779"/>
    <cellStyle name="Style 51 4 3 4 4 3" xfId="14780"/>
    <cellStyle name="Table Head Aligned 2 3 4 3" xfId="14781"/>
    <cellStyle name="Outputs 2 3 4 3" xfId="14782"/>
    <cellStyle name="Magic 2 3 4 3" xfId="14783"/>
    <cellStyle name="Heading [Palat] 2 3 4 3" xfId="14784"/>
    <cellStyle name="Heading [Helv] 2 3 4 3" xfId="14785"/>
    <cellStyle name="dp*SheetSubTitle 2 3 4 3" xfId="14786"/>
    <cellStyle name="dp*Number%ItalicsLineAbove 7 2" xfId="14787"/>
    <cellStyle name="dp*NumberLineEPS 2 3 4 3" xfId="14788"/>
    <cellStyle name="dp*SubTitle 3 5 4 3" xfId="14789"/>
    <cellStyle name="P-Green Rule 3 5 4 3" xfId="14790"/>
    <cellStyle name="dp*ThinLineAbove 7 2" xfId="14791"/>
    <cellStyle name="Style 44 4 5 4 3" xfId="14792"/>
    <cellStyle name="Style 49 4 5 4 3" xfId="14793"/>
    <cellStyle name="Afjusted 3 3 3 4 3" xfId="14794"/>
    <cellStyle name="Draw lines around data in range 9 2" xfId="14795"/>
    <cellStyle name="Draw shadow and lines within range 9 2" xfId="14796"/>
    <cellStyle name="Style 51 4 3 3 4 3" xfId="14797"/>
    <cellStyle name="Style 44 4 3 3 4 3" xfId="14798"/>
    <cellStyle name="Afjusted 4 3 3 4 3" xfId="14799"/>
    <cellStyle name="dp*NumberLineEPS 2 2 3 3 4 3" xfId="14800"/>
    <cellStyle name="Table Head Aligned 2 2 3 3 4 3" xfId="14801"/>
    <cellStyle name="Title [Helv] 2 2 3 3 4 3" xfId="14802"/>
    <cellStyle name="Title [Palat] 2 2 3 3 4 3" xfId="14803"/>
    <cellStyle name="Magic 2 2 4 4 3" xfId="14804"/>
    <cellStyle name="dp*SheetSubTitle 2 2 4 4 3" xfId="14805"/>
    <cellStyle name="dp*NumberLineEPS 2 2 4 4 3" xfId="14806"/>
    <cellStyle name="dp*NumberLine 2 2 4 4 3" xfId="14807"/>
    <cellStyle name="Date [mmm-yyyy] 2 2 4 4 3" xfId="14808"/>
    <cellStyle name="COL HEADINGS 2 2 4 4 3" xfId="14809"/>
    <cellStyle name="Bold/Border 2 2 4 4 3" xfId="14810"/>
    <cellStyle name="Outputs 2 2 3 4 4 3" xfId="14811"/>
    <cellStyle name="Heading [Helv] 2 2 3 4 4 3" xfId="14812"/>
    <cellStyle name="dp*NumberLine 2 2 3 4 4 3" xfId="14813"/>
    <cellStyle name="Date [mmm-yyyy] 2 2 3 4 4 3" xfId="14814"/>
    <cellStyle name="Afjusted 2 2 3 4 4 3" xfId="14815"/>
    <cellStyle name="Date [mm-d-yyyy] 3 3 4 4 3" xfId="14816"/>
    <cellStyle name="Style 49 4 3 4 4 3" xfId="14817"/>
    <cellStyle name="dp*ThinLineBelow 2 3 4 3" xfId="14818"/>
    <cellStyle name="PB Table Standard Row 2 2 4 3" xfId="14819"/>
    <cellStyle name="Style 45 3 2 4 3" xfId="14820"/>
    <cellStyle name="Style 44 2 2 4 3" xfId="14821"/>
    <cellStyle name="Style 51 2 2 4 3" xfId="14822"/>
    <cellStyle name="Format a row of totals 9 2" xfId="14823"/>
    <cellStyle name="Format text as bold, black on yellow 9 2" xfId="14824"/>
    <cellStyle name="Border Thin 2 2 4 3" xfId="14825"/>
    <cellStyle name="dp*SubTitle 2 2 4 3" xfId="14826"/>
    <cellStyle name="Title [Palat] 2 2 7 3" xfId="14827"/>
    <cellStyle name="Outputs 2 2 7 3" xfId="14828"/>
    <cellStyle name="Magic 2 2 7 3" xfId="14829"/>
    <cellStyle name="dp*NumberLineEPS 2 2 7 3" xfId="14830"/>
    <cellStyle name="Date [mmm-yyyy] 2 2 7 3" xfId="14831"/>
    <cellStyle name="Border Thin 3 3 10" xfId="14832"/>
    <cellStyle name="dp*NumberLineEPS 2 2 2 4 9" xfId="14833"/>
    <cellStyle name="ItemTypeClass 9 2" xfId="14834"/>
    <cellStyle name="FieldName 2 4" xfId="14835"/>
    <cellStyle name="Arial8Bold 12" xfId="14836"/>
    <cellStyle name="Main 8 2" xfId="14837"/>
    <cellStyle name="Title [Palat] 2 2 2 11" xfId="14838"/>
    <cellStyle name="Title [Helv] 2 8 3" xfId="14839"/>
    <cellStyle name="Table Head Green 2 9 3" xfId="14840"/>
    <cellStyle name="Table Head Aligned 2 8 3" xfId="14841"/>
    <cellStyle name="Style 40 3 4" xfId="14842"/>
    <cellStyle name="SAPBEXaggData 6 2" xfId="14843"/>
    <cellStyle name="SAPBEXaggDataEmph 6 2" xfId="14844"/>
    <cellStyle name="SAPBEXaggItem 6 2" xfId="14845"/>
    <cellStyle name="SAPBEXaggItemX 8 2" xfId="14846"/>
    <cellStyle name="SAPBEXexcBad7 6 2" xfId="14847"/>
    <cellStyle name="SAPBEXexcBad8 6 2" xfId="14848"/>
    <cellStyle name="SAPBEXexcBad9 6 2" xfId="14849"/>
    <cellStyle name="SAPBEXexcCritical4 6 2" xfId="14850"/>
    <cellStyle name="SAPBEXexcCritical5 6 2" xfId="14851"/>
    <cellStyle name="SAPBEXexcCritical6 6 2" xfId="14852"/>
    <cellStyle name="SAPBEXexcGood1 6 2" xfId="14853"/>
    <cellStyle name="SAPBEXexcGood2 6 2" xfId="14854"/>
    <cellStyle name="SAPBEXexcGood3 6 2" xfId="14855"/>
    <cellStyle name="SAPBEXformats 6 2" xfId="14856"/>
    <cellStyle name="SAPBEXHLevel0 8 2" xfId="14857"/>
    <cellStyle name="SAPBEXHLevel0X 8 2" xfId="14858"/>
    <cellStyle name="SAPBEXHLevel1 8 2" xfId="14859"/>
    <cellStyle name="SAPBEXHLevel1X 8 2" xfId="14860"/>
    <cellStyle name="SAPBEXHLevel2 8 2" xfId="14861"/>
    <cellStyle name="SAPBEXHLevel2X 8 2" xfId="14862"/>
    <cellStyle name="SAPBEXHLevel3 8 2" xfId="14863"/>
    <cellStyle name="SAPBEXHLevel3X 8 2" xfId="14864"/>
    <cellStyle name="SAPBEXresData 6 2" xfId="14865"/>
    <cellStyle name="SAPBEXresDataEmph 6 2" xfId="14866"/>
    <cellStyle name="SAPBEXresItem 6 2" xfId="14867"/>
    <cellStyle name="SAPBEXresItemX 8 2" xfId="14868"/>
    <cellStyle name="SAPBEXstdData 6 2" xfId="14869"/>
    <cellStyle name="SAPBEXstdDataEmph 6 2" xfId="14870"/>
    <cellStyle name="SAPBEXstdItem 6 2" xfId="14871"/>
    <cellStyle name="SAPBEXstdItemX 8 2" xfId="14872"/>
    <cellStyle name="SAPBEXtitle 6 2" xfId="14873"/>
    <cellStyle name="SAPBEXundefined 6 2" xfId="14874"/>
    <cellStyle name="SSComma0 6 2" xfId="14875"/>
    <cellStyle name="SSComma2 6 2" xfId="14876"/>
    <cellStyle name="SSDecs3 6 2" xfId="14877"/>
    <cellStyle name="SSDfltPct 6 2" xfId="14878"/>
    <cellStyle name="SSDfltPct0 6 2" xfId="14879"/>
    <cellStyle name="SSFixed2 6 2" xfId="14880"/>
    <cellStyle name="Style 21 9 2" xfId="14881"/>
    <cellStyle name="Style 22 9 2" xfId="14882"/>
    <cellStyle name="Style 24 7 2" xfId="14883"/>
    <cellStyle name="Style 25 7 2" xfId="14884"/>
    <cellStyle name="Style 26 7 2" xfId="14885"/>
    <cellStyle name="Style 27 7 2" xfId="14886"/>
    <cellStyle name="Style 28 7 2" xfId="14887"/>
    <cellStyle name="Style 35 9 2" xfId="14888"/>
    <cellStyle name="Style 36 9 2" xfId="14889"/>
    <cellStyle name="Style 37 9 2" xfId="14890"/>
    <cellStyle name="Style 40 9 2" xfId="14891"/>
    <cellStyle name="Style 42 9 2" xfId="14892"/>
    <cellStyle name="Style 43 9 2" xfId="14893"/>
    <cellStyle name="Style 48 9 2" xfId="14894"/>
    <cellStyle name="Style 50 9 2" xfId="14895"/>
    <cellStyle name="Style 52 9 2" xfId="14896"/>
    <cellStyle name="Style 53 9 2" xfId="14897"/>
    <cellStyle name="SymbolBlue 9 2" xfId="14898"/>
    <cellStyle name="UNLOCKED 36 2" xfId="14899"/>
    <cellStyle name="WingdingsBlack 9 2" xfId="14900"/>
    <cellStyle name="WingdingsRed 9 2" xfId="14901"/>
    <cellStyle name="WingdingsWhite 9 2" xfId="14902"/>
    <cellStyle name="COL HEADINGS 2 9 3" xfId="14903"/>
    <cellStyle name="Table Head Green 2 2 2 4 9" xfId="14904"/>
    <cellStyle name="Table Head Aligned 2 2 3 2 4 3" xfId="14905"/>
    <cellStyle name="Magic 3 4 3" xfId="14906"/>
    <cellStyle name="P-Green Rule 2 4 10" xfId="14907"/>
    <cellStyle name="Style 49 3 8 3" xfId="14908"/>
    <cellStyle name="Table Head Aligned 3 4 3" xfId="14909"/>
    <cellStyle name="Heading [Palat] 2 2 2 2 4 3" xfId="14910"/>
    <cellStyle name="dp*SubTitle 2 3 4 3" xfId="14911"/>
    <cellStyle name="Date [mm-d-yyyy] 2 2 6 3" xfId="14912"/>
    <cellStyle name="Title [Helv] 2 2 2 7 3" xfId="14913"/>
    <cellStyle name="Date [mm-d-yyyy] 2 4 3" xfId="14914"/>
    <cellStyle name="dp*NumberLine 2 8 3" xfId="14915"/>
    <cellStyle name="Afjusted 3 7 3" xfId="14916"/>
    <cellStyle name="ac 2 8 3" xfId="14917"/>
    <cellStyle name="Afjusted 2 6 3" xfId="14918"/>
    <cellStyle name="Bold/Border 2 8 3" xfId="14919"/>
    <cellStyle name="COL HEADINGS 2 8 3" xfId="14920"/>
    <cellStyle name="Border Thin 3 3 2 4 3" xfId="14921"/>
    <cellStyle name="Date [mmm-yyyy] 2 7 3" xfId="14922"/>
    <cellStyle name="Style 45 4 3 3 4 3" xfId="14923"/>
    <cellStyle name="dp*NumberLine 2 3 4 3" xfId="14924"/>
    <cellStyle name="dp*NumberLine 2 7 3" xfId="14925"/>
    <cellStyle name="dp*NumberLineEPS 2 7 3" xfId="14926"/>
    <cellStyle name="dp*SheetSubTitle 2 7 3" xfId="14927"/>
    <cellStyle name="Afjusted 4 5 4 3" xfId="14928"/>
    <cellStyle name="dp*ThinLineBelow 2 6 3" xfId="14929"/>
    <cellStyle name="Millions 3 2 2" xfId="14930"/>
    <cellStyle name="Global 2 2 2" xfId="14931"/>
    <cellStyle name="Header2 2 3 2" xfId="14932"/>
    <cellStyle name="Heading [Helv] 2 8 3" xfId="14933"/>
    <cellStyle name="Heading [Palat] 2 8 3" xfId="14934"/>
    <cellStyle name="Millions 4 2 2" xfId="14935"/>
    <cellStyle name="Magic 2 7 3" xfId="14936"/>
    <cellStyle name="Millions 2 2 2" xfId="14937"/>
    <cellStyle name="COL HEADINGS 2 3 4 3" xfId="14938"/>
    <cellStyle name="dp*NumberLine 2 2 3 3 4 3" xfId="14939"/>
    <cellStyle name="Outputs 2 8 3" xfId="14940"/>
    <cellStyle name="P-Green Rule 2 7 3" xfId="14941"/>
    <cellStyle name="Style 44 3 7 3" xfId="14942"/>
    <cellStyle name="Style 45 3 7 3" xfId="14943"/>
    <cellStyle name="Style 49 3 7 3" xfId="14944"/>
    <cellStyle name="Style 51 3 7 3" xfId="14945"/>
    <cellStyle name="Style 44 2 7 3" xfId="14946"/>
    <cellStyle name="Style 45 2 7 3" xfId="14947"/>
    <cellStyle name="Style 49 2 7 3" xfId="14948"/>
    <cellStyle name="Style 51 2 7 3" xfId="14949"/>
    <cellStyle name="Table Head Aligned 2 7 3" xfId="14950"/>
    <cellStyle name="Table Head Green 2 8 3" xfId="14951"/>
    <cellStyle name="Time Strip 2 2 2" xfId="14952"/>
    <cellStyle name="Title [Helv] 2 7 3" xfId="14953"/>
    <cellStyle name="Title [Palat] 2 8 3" xfId="14954"/>
    <cellStyle name="Magic 2 8 3" xfId="14955"/>
    <cellStyle name="Date [mmm-yyyy] 2 8 3" xfId="14956"/>
    <cellStyle name="Millions 5 2 2" xfId="14957"/>
    <cellStyle name="Magic 2 2 2 7 3" xfId="14958"/>
    <cellStyle name="Title [Palat] 2 2 3 2 4 3" xfId="14959"/>
    <cellStyle name="ac 2 9 3" xfId="14960"/>
    <cellStyle name="Heading [Palat] 2 2 2 7 3" xfId="14961"/>
    <cellStyle name="Arial6Bold 2 2 2" xfId="14962"/>
    <cellStyle name="Arial8Bold 2 2 2" xfId="14963"/>
    <cellStyle name="Arial8Italic 2 2 2" xfId="14964"/>
    <cellStyle name="ArialNormal 2 2 2" xfId="14965"/>
    <cellStyle name="Border 2 2 2" xfId="14966"/>
    <cellStyle name="DateYearEstimate 2 2 2" xfId="14967"/>
    <cellStyle name="DateYearWholeEstimate 2 2 2" xfId="14968"/>
    <cellStyle name="dp*Number%ItalicsLineAbove 2 2 2" xfId="14969"/>
    <cellStyle name="dp*ThinLineAbove 2 2 2" xfId="14970"/>
    <cellStyle name="Draw lines around data in range 2 2 2" xfId="14971"/>
    <cellStyle name="Draw shadow and lines within range 2 2 2" xfId="14972"/>
    <cellStyle name="FieldName 2 2 2" xfId="14973"/>
    <cellStyle name="Format a row of totals 2 2 2" xfId="14974"/>
    <cellStyle name="Format text as bold, black on yellow 2 2 2" xfId="14975"/>
    <cellStyle name="ItemTypeClass 2 2 2" xfId="14976"/>
    <cellStyle name="Main 2 2 2" xfId="14977"/>
    <cellStyle name="Millions 6 2 2" xfId="14978"/>
    <cellStyle name="SAPBEXaggData 2 2 2" xfId="14979"/>
    <cellStyle name="SAPBEXaggDataEmph 2 2 2" xfId="14980"/>
    <cellStyle name="SAPBEXaggItem 2 2 2" xfId="14981"/>
    <cellStyle name="SAPBEXaggItemX 2 2 2" xfId="14982"/>
    <cellStyle name="SAPBEXexcBad7 2 2 2" xfId="14983"/>
    <cellStyle name="SAPBEXexcBad8 2 2 2" xfId="14984"/>
    <cellStyle name="SAPBEXexcBad9 2 2 2" xfId="14985"/>
    <cellStyle name="SAPBEXexcCritical4 2 2 2" xfId="14986"/>
    <cellStyle name="SAPBEXexcCritical5 2 2 2" xfId="14987"/>
    <cellStyle name="SAPBEXexcCritical6 2 2 2" xfId="14988"/>
    <cellStyle name="SAPBEXexcGood1 2 2 2" xfId="14989"/>
    <cellStyle name="SAPBEXexcGood2 2 2 2" xfId="14990"/>
    <cellStyle name="SAPBEXexcGood3 2 2 2" xfId="14991"/>
    <cellStyle name="SAPBEXformats 2 2 2" xfId="14992"/>
    <cellStyle name="SAPBEXHLevel0 2 2 2" xfId="14993"/>
    <cellStyle name="SAPBEXHLevel0X 2 2 2" xfId="14994"/>
    <cellStyle name="SAPBEXHLevel1 2 2 2" xfId="14995"/>
    <cellStyle name="SAPBEXHLevel1X 2 2 2" xfId="14996"/>
    <cellStyle name="SAPBEXHLevel2 2 2 2" xfId="14997"/>
    <cellStyle name="SAPBEXHLevel2X 2 2 2" xfId="14998"/>
    <cellStyle name="SAPBEXHLevel3 2 2 2" xfId="14999"/>
    <cellStyle name="SAPBEXHLevel3X 2 2 2" xfId="15000"/>
    <cellStyle name="SAPBEXresData 2 2 2" xfId="15001"/>
    <cellStyle name="SAPBEXresDataEmph 2 2 2" xfId="15002"/>
    <cellStyle name="SAPBEXresItem 2 2 2" xfId="15003"/>
    <cellStyle name="SAPBEXresItemX 2 2 2" xfId="15004"/>
    <cellStyle name="SAPBEXstdData 2 2 2" xfId="15005"/>
    <cellStyle name="SAPBEXstdDataEmph 2 2 2" xfId="15006"/>
    <cellStyle name="SAPBEXstdItem 2 2 2" xfId="15007"/>
    <cellStyle name="SAPBEXstdItemX 2 2 2" xfId="15008"/>
    <cellStyle name="SAPBEXtitle 2 2 2" xfId="15009"/>
    <cellStyle name="SAPBEXundefined 2 2 2" xfId="15010"/>
    <cellStyle name="SSComma0 2 2 2" xfId="15011"/>
    <cellStyle name="SSComma2 2 2 2" xfId="15012"/>
    <cellStyle name="SSDecs3 2 2 2" xfId="15013"/>
    <cellStyle name="SSDfltPct 2 2 2" xfId="15014"/>
    <cellStyle name="SSDfltPct0 2 2 2" xfId="15015"/>
    <cellStyle name="SSFixed2 2 2 2" xfId="15016"/>
    <cellStyle name="Style 21 2 2 2" xfId="15017"/>
    <cellStyle name="Style 22 2 2 2" xfId="15018"/>
    <cellStyle name="Style 24 2 2 2" xfId="15019"/>
    <cellStyle name="Style 25 2 2 2" xfId="15020"/>
    <cellStyle name="Style 26 2 2 2" xfId="15021"/>
    <cellStyle name="Style 27 2 2 2" xfId="15022"/>
    <cellStyle name="Style 28 2 2 2" xfId="15023"/>
    <cellStyle name="Style 35 2 2 2" xfId="15024"/>
    <cellStyle name="Style 36 2 2 2" xfId="15025"/>
    <cellStyle name="Style 37 2 2 2" xfId="15026"/>
    <cellStyle name="Style 40 2 2 2" xfId="15027"/>
    <cellStyle name="Style 42 2 2 2" xfId="15028"/>
    <cellStyle name="Style 43 2 2 2" xfId="15029"/>
    <cellStyle name="Style 48 2 2 2" xfId="15030"/>
    <cellStyle name="Style 50 2 2 2" xfId="15031"/>
    <cellStyle name="Style 52 2 2 2" xfId="15032"/>
    <cellStyle name="Style 53 2 2 2" xfId="15033"/>
    <cellStyle name="SymbolBlue 2 2 2" xfId="15034"/>
    <cellStyle name="UNLOCKED 2 2 2" xfId="15035"/>
    <cellStyle name="WingdingsBlack 2 2 2" xfId="15036"/>
    <cellStyle name="WingdingsRed 2 2 2" xfId="15037"/>
    <cellStyle name="WingdingsWhite 2 2 2" xfId="15038"/>
    <cellStyle name="dp*SheetSubTitle 2 2 2 7 3" xfId="15039"/>
    <cellStyle name="ac 2 2 3 7 3" xfId="15040"/>
    <cellStyle name="UNLOCKED 4 2 2" xfId="15041"/>
    <cellStyle name="Millions 7 2 2" xfId="15042"/>
    <cellStyle name="Output 2 6" xfId="15043"/>
    <cellStyle name="dp*SubTitle 3 7 3" xfId="15044"/>
    <cellStyle name="Bold/Border 2 3 4 3" xfId="15045"/>
    <cellStyle name="Style 49 4 3 3 4 3" xfId="15046"/>
    <cellStyle name="Title [Palat] 2 3 4 3" xfId="15047"/>
    <cellStyle name="Border Thin 3 7 3" xfId="15048"/>
    <cellStyle name="UNLOCKED 3 2 2" xfId="15049"/>
    <cellStyle name="dp*SheetSubTitle 2 2 2 2 4 3" xfId="15050"/>
    <cellStyle name="WingdingsBlack 2 5" xfId="15051"/>
    <cellStyle name="dp*NumberLineEPS 2 2 2 2 4 3" xfId="15052"/>
    <cellStyle name="UNLOCKED 5 2 2" xfId="15053"/>
    <cellStyle name="Afjusted 4 7 3" xfId="15054"/>
    <cellStyle name="UNLOCKED 6 2 2" xfId="15055"/>
    <cellStyle name="Bold/Border 4 4 3" xfId="15056"/>
    <cellStyle name="ac 2 2 6 3" xfId="15057"/>
    <cellStyle name="Afjusted 2 2 7 3" xfId="15058"/>
    <cellStyle name="Bold/Border 2 2 6 3" xfId="15059"/>
    <cellStyle name="COL HEADINGS 2 2 6 3" xfId="15060"/>
    <cellStyle name="Date [mmm-yyyy] 2 2 6 3" xfId="15061"/>
    <cellStyle name="Style 45 4 3 4 4 3" xfId="15062"/>
    <cellStyle name="dp*SubTitle 3 3 3 4 3" xfId="15063"/>
    <cellStyle name="Date [mmm-yyyy] 2 3 4 3" xfId="15064"/>
    <cellStyle name="dp*NumberLine 2 2 6 3" xfId="15065"/>
    <cellStyle name="dp*NumberLineEPS 2 2 6 3" xfId="15066"/>
    <cellStyle name="dp*SheetSubTitle 2 2 6 3" xfId="15067"/>
    <cellStyle name="Heading [Helv] 2 2 6 3" xfId="15068"/>
    <cellStyle name="Heading [Palat] 2 2 6 3" xfId="15069"/>
    <cellStyle name="Magic 2 2 6 3" xfId="15070"/>
    <cellStyle name="Outputs 2 2 6 3" xfId="15071"/>
    <cellStyle name="Table Head Aligned 2 2 6 3" xfId="15072"/>
    <cellStyle name="Table Head Green 2 2 6 3" xfId="15073"/>
    <cellStyle name="Title [Helv] 2 2 6 3" xfId="15074"/>
    <cellStyle name="Title [Palat] 2 2 6 3" xfId="15075"/>
    <cellStyle name="Date [mmm-yyyy] 2 2 2 2 4 3" xfId="15076"/>
    <cellStyle name="COL HEADINGS 2 2 2 2 4 3" xfId="15077"/>
    <cellStyle name="dp*NumberLine 2 2 2 2 4 3" xfId="15078"/>
    <cellStyle name="Date [mm-d-yyyy] 2 5 3" xfId="15079"/>
    <cellStyle name="Table Head Green 4 9" xfId="15080"/>
    <cellStyle name="Bold/Border 2 2 2 4 9" xfId="15081"/>
    <cellStyle name="PB Table Standard Row 3 2 2 4 3" xfId="15082"/>
    <cellStyle name="Afjusted 2 2 2 2 4 3" xfId="15083"/>
    <cellStyle name="UNLOCKED 7 2 2" xfId="15084"/>
    <cellStyle name="ac 2 2 2 2 4 3" xfId="15085"/>
    <cellStyle name="UNLOCKED 8 2 2" xfId="15086"/>
    <cellStyle name="Afjusted 4 2 2 4 3" xfId="15087"/>
    <cellStyle name="Style 45 3 3 4 3" xfId="15088"/>
    <cellStyle name="Style 49 2 3 4 3" xfId="15089"/>
    <cellStyle name="Style 51 3 3 4 3" xfId="15090"/>
    <cellStyle name="Border Thin 3 5 4 3" xfId="15091"/>
    <cellStyle name="Afjusted 3 5 4 3" xfId="15092"/>
    <cellStyle name="EYCurrency 2 2 2" xfId="15093"/>
    <cellStyle name="Style 45 2 3 4 3" xfId="15094"/>
    <cellStyle name="EYColumnHeading 10 2 2" xfId="15095"/>
    <cellStyle name="Style 44 2 3 4 3" xfId="15096"/>
    <cellStyle name="Style 45 4 2 2 4 3" xfId="15097"/>
    <cellStyle name="dp*SubTitle 2 2 3 3" xfId="15098"/>
    <cellStyle name="Border Thin 2 2 3 3" xfId="15099"/>
    <cellStyle name="P-Green Rule 2 3 4 3" xfId="15100"/>
    <cellStyle name="Date [mm-d-yyyy] 2 2 2 4 3" xfId="15101"/>
    <cellStyle name="dp*ThinLineBelow 2 4 4 3" xfId="15102"/>
    <cellStyle name="dp*NumberLineEPS 2 4 4 3" xfId="15103"/>
    <cellStyle name="COL HEADINGS 2 4 4 3" xfId="15104"/>
    <cellStyle name="Afjusted 2 3 4 3" xfId="15105"/>
    <cellStyle name="Format a row of totals 2 4" xfId="15106"/>
    <cellStyle name="UNLOCKED 41" xfId="15107"/>
    <cellStyle name="Afjusted 2 2 2 3 9" xfId="15108"/>
    <cellStyle name="Bold/Border 2 2 3 4 3 3" xfId="15109"/>
    <cellStyle name="Magic 2 2 3 4 3 3" xfId="15110"/>
    <cellStyle name="Title [Helv] 2 2 3 4 3 3" xfId="15111"/>
    <cellStyle name="Style 51 2 2 3 3" xfId="15112"/>
    <cellStyle name="Style 45 2 2 3 3" xfId="15113"/>
    <cellStyle name="Style 49 2 2 3 3" xfId="15114"/>
    <cellStyle name="Style 44 2 2 3 3" xfId="15115"/>
    <cellStyle name="Style 51 3 2 3 3" xfId="15116"/>
    <cellStyle name="Style 49 3 2 3 3" xfId="15117"/>
    <cellStyle name="Style 45 3 2 3 3" xfId="15118"/>
    <cellStyle name="Style 44 3 2 3 3" xfId="15119"/>
    <cellStyle name="P-Green Rule 2 2 3 3" xfId="15120"/>
    <cellStyle name="PB Table Standard Row 2 2 3 3" xfId="15121"/>
    <cellStyle name="dp*ThinLineBelow 2 2 3 3" xfId="15122"/>
    <cellStyle name="dp*ThinLineBelow 2 3 3 3" xfId="15123"/>
    <cellStyle name="Style 44 3 3 3 3" xfId="15124"/>
    <cellStyle name="COL HEADINGS 2 2 3 4 3 3" xfId="15125"/>
    <cellStyle name="Style 49 4 3 4 3 3" xfId="15126"/>
    <cellStyle name="Date [mm-d-yyyy] 3 2 2 4 3" xfId="15127"/>
    <cellStyle name="Afjusted 3 3 4 3 3" xfId="15128"/>
    <cellStyle name="Date [mm-d-yyyy] 3 3 4 3 3" xfId="15129"/>
    <cellStyle name="Afjusted 4 3 4 3 3" xfId="15130"/>
    <cellStyle name="ac 2 2 3 4 3 3" xfId="15131"/>
    <cellStyle name="Afjusted 2 2 3 4 3 3" xfId="15132"/>
    <cellStyle name="Date [mmm-yyyy] 2 2 3 4 3 3" xfId="15133"/>
    <cellStyle name="dp*NumberLine 2 2 3 4 3 3" xfId="15134"/>
    <cellStyle name="dp*NumberLineEPS 2 2 3 4 3 3" xfId="15135"/>
    <cellStyle name="dp*SheetSubTitle 2 2 3 4 3 3" xfId="15136"/>
    <cellStyle name="Heading [Helv] 2 2 3 4 3 3" xfId="15137"/>
    <cellStyle name="Outputs 2 2 3 4 3 3" xfId="15138"/>
    <cellStyle name="Table Head Aligned 2 2 3 4 3 3" xfId="15139"/>
    <cellStyle name="Title [Palat] 2 2 3 4 3 3" xfId="15140"/>
    <cellStyle name="UNLOCKED 12 2 2" xfId="15141"/>
    <cellStyle name="Afjusted 3 5 3 3" xfId="15142"/>
    <cellStyle name="Style 45 3 3 3 3" xfId="15143"/>
    <cellStyle name="Style 51 3 3 3 3" xfId="15144"/>
    <cellStyle name="Style 44 2 3 3 3" xfId="15145"/>
    <cellStyle name="Style 45 2 3 3 3" xfId="15146"/>
    <cellStyle name="Style 49 2 3 3 3" xfId="15147"/>
    <cellStyle name="Border Thin 3 5 3 3" xfId="15148"/>
    <cellStyle name="ac 2 2 4 3 3" xfId="15149"/>
    <cellStyle name="Afjusted 2 2 5 3 3" xfId="15150"/>
    <cellStyle name="Bold/Border 2 2 4 3 3" xfId="15151"/>
    <cellStyle name="COL HEADINGS 2 2 4 3 3" xfId="15152"/>
    <cellStyle name="Date [mmm-yyyy] 2 2 4 3 3" xfId="15153"/>
    <cellStyle name="dp*NumberLine 2 2 4 3 3" xfId="15154"/>
    <cellStyle name="dp*NumberLineEPS 2 2 4 3 3" xfId="15155"/>
    <cellStyle name="dp*SheetSubTitle 2 2 4 3 3" xfId="15156"/>
    <cellStyle name="Heading [Palat] 2 2 4 3 3" xfId="15157"/>
    <cellStyle name="Outputs 2 2 4 3 3" xfId="15158"/>
    <cellStyle name="Magic 2 2 4 3 3" xfId="15159"/>
    <cellStyle name="Title [Helv] 2 2 4 3 3" xfId="15160"/>
    <cellStyle name="Title [Palat] 2 2 4 3 3" xfId="15161"/>
    <cellStyle name="Title [Palat] 2 2 3 3 3 3" xfId="15162"/>
    <cellStyle name="Title [Helv] 2 2 3 3 3 3" xfId="15163"/>
    <cellStyle name="Table Head Aligned 2 2 3 3 3 3" xfId="15164"/>
    <cellStyle name="Magic 2 2 3 3 3 3" xfId="15165"/>
    <cellStyle name="Heading [Helv] 2 2 3 3 3 3" xfId="15166"/>
    <cellStyle name="dp*NumberLineEPS 2 2 3 3 3 3" xfId="15167"/>
    <cellStyle name="COL HEADINGS 2 2 3 3 3 3" xfId="15168"/>
    <cellStyle name="ac 2 2 3 3 3 3" xfId="15169"/>
    <cellStyle name="Afjusted 4 3 3 3 3" xfId="15170"/>
    <cellStyle name="Border Thin 3 3 3 3 3" xfId="15171"/>
    <cellStyle name="PB Table Standard Row 3 3 3 3 3" xfId="15172"/>
    <cellStyle name="Style 44 4 3 3 3 3" xfId="15173"/>
    <cellStyle name="Style 51 4 3 3 3 3" xfId="15174"/>
    <cellStyle name="Afjusted 3 3 3 3 3" xfId="15175"/>
    <cellStyle name="Style 49 4 5 3 3" xfId="15176"/>
    <cellStyle name="UNLOCKED 9 2 2" xfId="15177"/>
    <cellStyle name="Style 44 4 5 3 3" xfId="15178"/>
    <cellStyle name="P-Green Rule 3 5 3 3" xfId="15179"/>
    <cellStyle name="dp*SubTitle 3 5 3 3" xfId="15180"/>
    <cellStyle name="Afjusted 4 5 3 3" xfId="15181"/>
    <cellStyle name="Table Head Aligned 2 2 2 4 10" xfId="15182"/>
    <cellStyle name="dp*SheetSubTitle 2 8 3" xfId="15183"/>
    <cellStyle name="UNLOCKED 11 2 2" xfId="15184"/>
    <cellStyle name="ac 2 3 3 3" xfId="15185"/>
    <cellStyle name="Bold/Border 2 3 3 3" xfId="15186"/>
    <cellStyle name="COL HEADINGS 2 3 3 3" xfId="15187"/>
    <cellStyle name="Date [mmm-yyyy] 2 3 3 3" xfId="15188"/>
    <cellStyle name="dp*NumberLine 2 3 3 3" xfId="15189"/>
    <cellStyle name="dp*NumberLineEPS 2 3 3 3" xfId="15190"/>
    <cellStyle name="dp*SheetSubTitle 2 3 3 3" xfId="15191"/>
    <cellStyle name="Heading [Helv] 2 3 3 3" xfId="15192"/>
    <cellStyle name="Heading [Palat] 2 3 3 3" xfId="15193"/>
    <cellStyle name="Magic 2 3 3 3" xfId="15194"/>
    <cellStyle name="Outputs 2 3 3 3" xfId="15195"/>
    <cellStyle name="Style 49 2 4 10" xfId="15196"/>
    <cellStyle name="Date [mmm-yyyy] 2 2 3 3 3 3" xfId="15197"/>
    <cellStyle name="Afjusted 2 2 3 3 3 3" xfId="15198"/>
    <cellStyle name="dp*ThinLineBelow 3 3 3 3 3" xfId="15199"/>
    <cellStyle name="Style 49 4 3 3 3 3" xfId="15200"/>
    <cellStyle name="Outputs 2 2 3 3 3 3" xfId="15201"/>
    <cellStyle name="dp*NumberLine 2 2 3 3 3 3" xfId="15202"/>
    <cellStyle name="Bold/Border 2 2 3 3 3 3" xfId="15203"/>
    <cellStyle name="dp*SubTitle 3 3 3 3 3" xfId="15204"/>
    <cellStyle name="Style 45 4 3 3 3 3" xfId="15205"/>
    <cellStyle name="Table Head Aligned 2 3 3 3" xfId="15206"/>
    <cellStyle name="Table Head Green 2 3 3 3" xfId="15207"/>
    <cellStyle name="Title [Helv] 2 3 3 3" xfId="15208"/>
    <cellStyle name="Title [Palat] 2 3 3 3" xfId="15209"/>
    <cellStyle name="Style 45 4 3 4 3 3" xfId="15210"/>
    <cellStyle name="UNLOCKED 10 2 2" xfId="15211"/>
    <cellStyle name="Style 51 4 3 4 3 3" xfId="15212"/>
    <cellStyle name="Afjusted 3 4 3 3" xfId="15213"/>
    <cellStyle name="P-Green Rule 3 3 4 3 3" xfId="15214"/>
    <cellStyle name="Border Thin 2 3 3 3" xfId="15215"/>
    <cellStyle name="Style 49 3 3 3 3" xfId="15216"/>
    <cellStyle name="Style 51 2 3 3 3" xfId="15217"/>
    <cellStyle name="Heading [Helv] 2 2 4 3 3" xfId="15218"/>
    <cellStyle name="Table Head Aligned 2 2 4 3 3" xfId="15219"/>
    <cellStyle name="Table Head Green 2 2 4 3 3" xfId="15220"/>
    <cellStyle name="Table Head Green 2 2 3 3 3 3" xfId="15221"/>
    <cellStyle name="Heading [Palat] 2 2 3 3 3 3" xfId="15222"/>
    <cellStyle name="dp*SheetSubTitle 2 2 3 3 3 3" xfId="15223"/>
    <cellStyle name="P-Green Rule 3 3 3 3 3" xfId="15224"/>
    <cellStyle name="Date [mm-d-yyyy] 3 3 3 3 3" xfId="15225"/>
    <cellStyle name="Date [mm-d-yyyy] 3 4 3 3" xfId="15226"/>
    <cellStyle name="Style 51 4 4 3 3" xfId="15227"/>
    <cellStyle name="Style 49 4 4 3 3" xfId="15228"/>
    <cellStyle name="Style 45 4 4 3 3" xfId="15229"/>
    <cellStyle name="Style 44 4 4 3 3" xfId="15230"/>
    <cellStyle name="dp*ThinLineBelow 3 3 4 3 3" xfId="15231"/>
    <cellStyle name="P-Green Rule 3 4 3 3" xfId="15232"/>
    <cellStyle name="dp*ThinLineBelow 3 4 3 3" xfId="15233"/>
    <cellStyle name="dp*SubTitle 3 4 3 3" xfId="15234"/>
    <cellStyle name="dp*SubTitle 3 3 4 3 3" xfId="15235"/>
    <cellStyle name="Border Thin 3 4 3 3" xfId="15236"/>
    <cellStyle name="Border Thin 3 3 4 3 3" xfId="15237"/>
    <cellStyle name="Magic 2 2 10" xfId="15238"/>
    <cellStyle name="Afjusted 4 4 3 3" xfId="15239"/>
    <cellStyle name="Afjusted 2 2 4 3 3" xfId="15240"/>
    <cellStyle name="Style 44 4 3 4 3 3" xfId="15241"/>
    <cellStyle name="PB Table Standard Row 3 3 4 3 3" xfId="15242"/>
    <cellStyle name="Title [Palat] 2 2 3 6 3" xfId="15243"/>
    <cellStyle name="Title [Helv] 2 2 3 6 3" xfId="15244"/>
    <cellStyle name="Table Head Green 2 2 3 6 3" xfId="15245"/>
    <cellStyle name="Table Head Aligned 2 2 3 6 3" xfId="15246"/>
    <cellStyle name="Outputs 2 2 3 6 3" xfId="15247"/>
    <cellStyle name="Magic 2 2 3 6 3" xfId="15248"/>
    <cellStyle name="Heading [Palat] 2 2 3 6 3" xfId="15249"/>
    <cellStyle name="Heading [Helv] 2 2 3 6 3" xfId="15250"/>
    <cellStyle name="dp*SheetSubTitle 2 2 3 6 3" xfId="15251"/>
    <cellStyle name="dp*NumberLineEPS 2 2 3 6 3" xfId="15252"/>
    <cellStyle name="dp*NumberLine 2 2 3 6 3" xfId="15253"/>
    <cellStyle name="Date [mmm-yyyy] 2 2 3 6 3" xfId="15254"/>
    <cellStyle name="COL HEADINGS 2 2 3 6 3" xfId="15255"/>
    <cellStyle name="Bold/Border 2 2 3 6 3" xfId="15256"/>
    <cellStyle name="Afjusted 2 2 3 6 3" xfId="15257"/>
    <cellStyle name="ac 2 2 3 6 3" xfId="15258"/>
    <cellStyle name="Afjusted 4 3 6 3" xfId="15259"/>
    <cellStyle name="Border Thin 3 3 6 3" xfId="15260"/>
    <cellStyle name="dp*SubTitle 3 3 6 3" xfId="15261"/>
    <cellStyle name="dp*ThinLineBelow 3 3 6 3" xfId="15262"/>
    <cellStyle name="PB Table Standard Row 3 3 6 3" xfId="15263"/>
    <cellStyle name="P-Green Rule 3 3 6 3" xfId="15264"/>
    <cellStyle name="Style 44 4 3 6 3" xfId="15265"/>
    <cellStyle name="Style 45 4 3 6 3" xfId="15266"/>
    <cellStyle name="Style 49 4 3 6 3" xfId="15267"/>
    <cellStyle name="Style 51 4 3 6 3" xfId="15268"/>
    <cellStyle name="Date [mm-d-yyyy] 3 3 6 3" xfId="15269"/>
    <cellStyle name="Title [Palat] 2 4 4 3" xfId="15270"/>
    <cellStyle name="Style 51 3 4 4 3" xfId="15271"/>
    <cellStyle name="Afjusted 3 3 6 3" xfId="15272"/>
    <cellStyle name="Border Thin 2 4 4 3" xfId="15273"/>
    <cellStyle name="Calculation 2 3 2" xfId="15274"/>
    <cellStyle name="Afjusted 4 2 4 4 3" xfId="15275"/>
    <cellStyle name="ac 2 2 4 4 3" xfId="15276"/>
    <cellStyle name="Input 2 3 2" xfId="15277"/>
    <cellStyle name="Note 2 3 3" xfId="15278"/>
    <cellStyle name="Date [mm-d-yyyy] 3 5 4 3" xfId="15279"/>
    <cellStyle name="Output 2 2 2 2" xfId="15280"/>
    <cellStyle name="Input 2 2 2 2" xfId="15281"/>
    <cellStyle name="Afjusted 3 3 2 4 3" xfId="15282"/>
    <cellStyle name="Total 2 2 2 2" xfId="15283"/>
    <cellStyle name="Calculation 2 2 2 2" xfId="15284"/>
    <cellStyle name="PB Table Standard Row 3 3 2 3 3" xfId="15285"/>
    <cellStyle name="P-Green Rule 3 3 2 4 3" xfId="15286"/>
    <cellStyle name="Date [mm-d-yyyy] 3 3 2 4 3" xfId="15287"/>
    <cellStyle name="ac 2 4 4 3" xfId="15288"/>
    <cellStyle name="Date [mm-d-yyyy] 2 2 5 3" xfId="15289"/>
    <cellStyle name="Afjusted 3 2 6 3" xfId="15290"/>
    <cellStyle name="dp*SubTitle 3 2 2 4 3" xfId="15291"/>
    <cellStyle name="Style 45 2 4 4 3" xfId="15292"/>
    <cellStyle name="P-Green Rule 2 4 4 3" xfId="15293"/>
    <cellStyle name="Style 51 4 5 4 3" xfId="15294"/>
    <cellStyle name="Date [mm-d-yyyy] 3 2 6 3" xfId="15295"/>
    <cellStyle name="Style 51 4 2 6 3" xfId="15296"/>
    <cellStyle name="Style 49 4 2 6 3" xfId="15297"/>
    <cellStyle name="Style 45 4 2 6 3" xfId="15298"/>
    <cellStyle name="Style 44 4 2 6 3" xfId="15299"/>
    <cellStyle name="Heading [Palat] 2 4 4 3" xfId="15300"/>
    <cellStyle name="P-Green Rule 3 2 6 3" xfId="15301"/>
    <cellStyle name="dp*ThinLineBelow 3 2 6 3" xfId="15302"/>
    <cellStyle name="dp*SubTitle 3 2 6 3" xfId="15303"/>
    <cellStyle name="dp*SubTitle 2 4 4 3" xfId="15304"/>
    <cellStyle name="Border Thin 3 2 6 3" xfId="15305"/>
    <cellStyle name="dp*NumberLine 2 4 4 3" xfId="15306"/>
    <cellStyle name="Afjusted 4 2 6 3" xfId="15307"/>
    <cellStyle name="ac 2 2 2 6 3" xfId="15308"/>
    <cellStyle name="Afjusted 2 2 2 6 3" xfId="15309"/>
    <cellStyle name="Bold/Border 2 2 2 6 3" xfId="15310"/>
    <cellStyle name="COL HEADINGS 2 2 2 6 3" xfId="15311"/>
    <cellStyle name="Date [mmm-yyyy] 2 2 2 6 3" xfId="15312"/>
    <cellStyle name="dp*NumberLine 2 2 2 6 3" xfId="15313"/>
    <cellStyle name="dp*NumberLineEPS 2 2 2 6 3" xfId="15314"/>
    <cellStyle name="dp*SheetSubTitle 2 2 2 6 3" xfId="15315"/>
    <cellStyle name="Heading [Helv] 2 2 2 6 3" xfId="15316"/>
    <cellStyle name="Heading [Palat] 2 2 2 6 3" xfId="15317"/>
    <cellStyle name="Magic 2 2 2 6 3" xfId="15318"/>
    <cellStyle name="Outputs 2 2 2 6 3" xfId="15319"/>
    <cellStyle name="Table Head Aligned 2 2 2 6 3" xfId="15320"/>
    <cellStyle name="Table Head Green 2 2 2 6 3" xfId="15321"/>
    <cellStyle name="Title [Helv] 2 2 2 6 3" xfId="15322"/>
    <cellStyle name="Title [Palat] 2 2 2 6 3" xfId="15323"/>
    <cellStyle name="Style 45 3 4 4 3" xfId="15324"/>
    <cellStyle name="Output 2 3 2" xfId="15325"/>
    <cellStyle name="Title [Palat] 3 10" xfId="15326"/>
    <cellStyle name="Border Thin 3 2 2 4 3" xfId="15327"/>
    <cellStyle name="Outputs 2 4 4 3" xfId="15328"/>
    <cellStyle name="Total 2 3 2" xfId="15329"/>
    <cellStyle name="Style 51 4 3 2 4 3" xfId="15330"/>
    <cellStyle name="Style 45 4 3 2 4 3" xfId="15331"/>
    <cellStyle name="Style 49 4 3 2 4 3" xfId="15332"/>
    <cellStyle name="Style 44 4 3 2 4 3" xfId="15333"/>
    <cellStyle name="dp*ThinLineBelow 3 3 2 4 3" xfId="15334"/>
    <cellStyle name="Table Head Green 2 2 3 4 3 3" xfId="15335"/>
    <cellStyle name="Heading [Palat] 2 2 3 4 3 3" xfId="15336"/>
    <cellStyle name="P-Green Rule 2 3 3 3" xfId="15337"/>
    <cellStyle name="Title [Palat] 2 2 3 2 3 3" xfId="15338"/>
    <cellStyle name="Title [Helv] 2 2 3 2 3 3" xfId="15339"/>
    <cellStyle name="Table Head Green 2 2 3 2 3 3" xfId="15340"/>
    <cellStyle name="Table Head Aligned 2 2 3 2 3 3" xfId="15341"/>
    <cellStyle name="Outputs 2 2 3 2 3 3" xfId="15342"/>
    <cellStyle name="Magic 2 2 3 2 3 3" xfId="15343"/>
    <cellStyle name="Heading [Palat] 2 2 3 2 3 3" xfId="15344"/>
    <cellStyle name="Heading [Helv] 2 2 3 2 3 3" xfId="15345"/>
    <cellStyle name="dp*SheetSubTitle 2 2 3 2 3 3" xfId="15346"/>
    <cellStyle name="dp*NumberLineEPS 2 2 3 2 3 3" xfId="15347"/>
    <cellStyle name="dp*NumberLine 2 2 3 2 3 3" xfId="15348"/>
    <cellStyle name="Date [mmm-yyyy] 2 2 3 2 3 3" xfId="15349"/>
    <cellStyle name="COL HEADINGS 2 2 3 2 3 3" xfId="15350"/>
    <cellStyle name="Bold/Border 2 2 3 2 3 3" xfId="15351"/>
    <cellStyle name="Afjusted 2 2 3 2 3 3" xfId="15352"/>
    <cellStyle name="ac 2 2 3 2 3 3" xfId="15353"/>
    <cellStyle name="Afjusted 4 3 2 3 3" xfId="15354"/>
    <cellStyle name="Border Thin 3 3 2 3 3" xfId="15355"/>
    <cellStyle name="dp*SubTitle 3 3 2 3 3" xfId="15356"/>
    <cellStyle name="dp*ThinLineBelow 3 3 2 3 3" xfId="15357"/>
    <cellStyle name="P-Green Rule 3 3 2 3 3" xfId="15358"/>
    <cellStyle name="Style 44 4 3 2 3 3" xfId="15359"/>
    <cellStyle name="Style 45 4 3 2 3 3" xfId="15360"/>
    <cellStyle name="Style 49 4 3 2 3 3" xfId="15361"/>
    <cellStyle name="Style 51 4 3 2 3 3" xfId="15362"/>
    <cellStyle name="Date [mm-d-yyyy] 3 3 2 3 3" xfId="15363"/>
    <cellStyle name="Afjusted 3 3 2 3 3" xfId="15364"/>
    <cellStyle name="Date [mm-d-yyyy] 3 5 3 3" xfId="15365"/>
    <cellStyle name="dp*SubTitle 2 3 3 3" xfId="15366"/>
    <cellStyle name="Date [mm-d-yyyy] 2 2 2 3 3" xfId="15367"/>
    <cellStyle name="Afjusted 3 2 2 3 3" xfId="15368"/>
    <cellStyle name="PB Table Standard Row 3 5 3 3" xfId="15369"/>
    <cellStyle name="Date [mm-d-yyyy] 3 2 2 3 3" xfId="15370"/>
    <cellStyle name="Style 51 4 2 2 3 3" xfId="15371"/>
    <cellStyle name="Style 49 4 2 2 3 3" xfId="15372"/>
    <cellStyle name="Style 45 4 2 2 3 3" xfId="15373"/>
    <cellStyle name="Style 44 4 2 2 3 3" xfId="15374"/>
    <cellStyle name="Style 45 4 5 3 3" xfId="15375"/>
    <cellStyle name="P-Green Rule 3 2 2 3 3" xfId="15376"/>
    <cellStyle name="PB Table Standard Row 3 2 2 3 3" xfId="15377"/>
    <cellStyle name="dp*ThinLineBelow 3 2 2 3 3" xfId="15378"/>
    <cellStyle name="dp*SubTitle 3 2 2 3 3" xfId="15379"/>
    <cellStyle name="Style 51 4 5 3 3" xfId="15380"/>
    <cellStyle name="Border Thin 3 2 2 3 3" xfId="15381"/>
    <cellStyle name="Afjusted 4 2 2 3 3" xfId="15382"/>
    <cellStyle name="ac 2 2 2 2 3 3" xfId="15383"/>
    <cellStyle name="Afjusted 2 2 2 2 3 3" xfId="15384"/>
    <cellStyle name="Bold/Border 2 2 2 2 3 3" xfId="15385"/>
    <cellStyle name="COL HEADINGS 2 2 2 2 3 3" xfId="15386"/>
    <cellStyle name="Date [mmm-yyyy] 2 2 2 2 3 3" xfId="15387"/>
    <cellStyle name="dp*NumberLine 2 2 2 2 3 3" xfId="15388"/>
    <cellStyle name="dp*NumberLineEPS 2 2 2 2 3 3" xfId="15389"/>
    <cellStyle name="dp*SheetSubTitle 2 2 2 2 3 3" xfId="15390"/>
    <cellStyle name="Heading [Helv] 2 2 2 2 3 3" xfId="15391"/>
    <cellStyle name="Heading [Palat] 2 2 2 2 3 3" xfId="15392"/>
    <cellStyle name="Magic 2 2 2 2 3 3" xfId="15393"/>
    <cellStyle name="Outputs 2 2 2 2 3 3" xfId="15394"/>
    <cellStyle name="Table Head Aligned 2 2 2 2 3 3" xfId="15395"/>
    <cellStyle name="Table Head Green 2 2 2 2 3 3" xfId="15396"/>
    <cellStyle name="Title [Helv] 2 2 2 2 3 3" xfId="15397"/>
    <cellStyle name="Title [Palat] 2 2 2 2 3 3" xfId="15398"/>
    <cellStyle name="dp*ThinLineBelow 3 5 3 3" xfId="15399"/>
    <cellStyle name="Date [mm-d-yyyy] 2 2 3 3 3" xfId="15400"/>
    <cellStyle name="Afjusted 3 2 3 3 3" xfId="15401"/>
    <cellStyle name="Date [mm-d-yyyy] 3 2 3 3 3" xfId="15402"/>
    <cellStyle name="Style 51 4 2 3 3 3" xfId="15403"/>
    <cellStyle name="Style 49 4 2 3 3 3" xfId="15404"/>
    <cellStyle name="Style 45 4 2 3 3 3" xfId="15405"/>
    <cellStyle name="Style 44 4 2 3 3 3" xfId="15406"/>
    <cellStyle name="P-Green Rule 3 2 3 3 3" xfId="15407"/>
    <cellStyle name="PB Table Standard Row 3 2 3 3 3" xfId="15408"/>
    <cellStyle name="dp*ThinLineBelow 3 2 3 3 3" xfId="15409"/>
    <cellStyle name="dp*SubTitle 3 2 3 3 3" xfId="15410"/>
    <cellStyle name="Border Thin 3 2 3 3 3" xfId="15411"/>
    <cellStyle name="Afjusted 4 2 3 3 3" xfId="15412"/>
    <cellStyle name="ac 2 2 2 3 3 3" xfId="15413"/>
    <cellStyle name="Afjusted 2 2 2 3 3 3" xfId="15414"/>
    <cellStyle name="Bold/Border 2 2 2 3 3 3" xfId="15415"/>
    <cellStyle name="COL HEADINGS 2 2 2 3 3 3" xfId="15416"/>
    <cellStyle name="Date [mmm-yyyy] 2 2 2 3 3 3" xfId="15417"/>
    <cellStyle name="dp*NumberLine 2 2 2 3 3 3" xfId="15418"/>
    <cellStyle name="dp*NumberLineEPS 2 2 2 3 3 3" xfId="15419"/>
    <cellStyle name="dp*SheetSubTitle 2 2 2 3 3 3" xfId="15420"/>
    <cellStyle name="Heading [Helv] 2 2 2 3 3 3" xfId="15421"/>
    <cellStyle name="Heading [Palat] 2 2 2 3 3 3" xfId="15422"/>
    <cellStyle name="Magic 2 2 2 3 3 3" xfId="15423"/>
    <cellStyle name="Outputs 2 2 2 3 3 3" xfId="15424"/>
    <cellStyle name="Table Head Aligned 2 2 2 3 3 3" xfId="15425"/>
    <cellStyle name="Table Head Green 2 2 2 3 3 3" xfId="15426"/>
    <cellStyle name="Title [Helv] 2 2 2 3 3 3" xfId="15427"/>
    <cellStyle name="Title [Palat] 2 2 2 3 3 3" xfId="15428"/>
    <cellStyle name="Afjusted 3 2 4 3 3" xfId="15429"/>
    <cellStyle name="Date [mm-d-yyyy] 3 2 4 3 3" xfId="15430"/>
    <cellStyle name="Style 51 4 2 4 3 3" xfId="15431"/>
    <cellStyle name="Style 49 4 2 4 3 3" xfId="15432"/>
    <cellStyle name="Style 45 4 2 4 3 3" xfId="15433"/>
    <cellStyle name="Style 44 4 2 4 3 3" xfId="15434"/>
    <cellStyle name="P-Green Rule 3 2 4 3 3" xfId="15435"/>
    <cellStyle name="PB Table Standard Row 3 2 4 3 3" xfId="15436"/>
    <cellStyle name="dp*ThinLineBelow 3 2 4 3 3" xfId="15437"/>
    <cellStyle name="dp*SubTitle 3 2 4 3 3" xfId="15438"/>
    <cellStyle name="Border Thin 3 2 4 3 3" xfId="15439"/>
    <cellStyle name="Afjusted 4 2 4 3 3" xfId="15440"/>
    <cellStyle name="ac 2 2 2 4 3 3" xfId="15441"/>
    <cellStyle name="Afjusted 2 2 2 4 3 3" xfId="15442"/>
    <cellStyle name="Bold/Border 2 2 2 4 3 3" xfId="15443"/>
    <cellStyle name="COL HEADINGS 2 2 2 4 3 3" xfId="15444"/>
    <cellStyle name="Date [mmm-yyyy] 2 2 2 4 3 3" xfId="15445"/>
    <cellStyle name="dp*NumberLine 2 2 2 4 3 3" xfId="15446"/>
    <cellStyle name="dp*NumberLineEPS 2 2 2 4 3 3" xfId="15447"/>
    <cellStyle name="dp*SheetSubTitle 2 2 2 4 3 3" xfId="15448"/>
    <cellStyle name="Heading [Helv] 2 2 2 4 3 3" xfId="15449"/>
    <cellStyle name="Heading [Palat] 2 2 2 4 3 3" xfId="15450"/>
    <cellStyle name="Magic 2 2 2 4 3 3" xfId="15451"/>
    <cellStyle name="Outputs 2 2 2 4 3 3" xfId="15452"/>
    <cellStyle name="Table Head Aligned 2 2 2 4 3 3" xfId="15453"/>
    <cellStyle name="Table Head Green 2 2 2 4 3 3" xfId="15454"/>
    <cellStyle name="Title [Helv] 2 2 2 4 3 3" xfId="15455"/>
    <cellStyle name="Title [Palat] 2 2 2 4 3 3" xfId="15456"/>
    <cellStyle name="Bold/Border 2 2 3 2 4 3" xfId="15457"/>
    <cellStyle name="Border Thin 4 3 3" xfId="15458"/>
    <cellStyle name="Date [mm-d-yyyy] 4 3 3" xfId="15459"/>
    <cellStyle name="dp*SubTitle 4 3 3" xfId="15460"/>
    <cellStyle name="dp*ThinLineBelow 4 3 3" xfId="15461"/>
    <cellStyle name="PB Table Standard Row 4 3 3" xfId="15462"/>
    <cellStyle name="P-Green Rule 4 3 3" xfId="15463"/>
    <cellStyle name="Style 44 5 3 3" xfId="15464"/>
    <cellStyle name="Style 45 5 3 3" xfId="15465"/>
    <cellStyle name="Style 49 5 3 3" xfId="15466"/>
    <cellStyle name="Style 51 5 3 3" xfId="15467"/>
    <cellStyle name="UNLOCKED 13 2 2" xfId="15468"/>
    <cellStyle name="COL HEADINGS 2 2 3 2 4 3" xfId="15469"/>
    <cellStyle name="UNLOCKED 14 2 2" xfId="15470"/>
    <cellStyle name="ac 2 2 3 2 4 3" xfId="15471"/>
    <cellStyle name="Date [mmm-yyyy] 2 2 3 2 4 3" xfId="15472"/>
    <cellStyle name="FieldName 3 2 2" xfId="15473"/>
    <cellStyle name="WingdingsWhite 3 2 2" xfId="15474"/>
    <cellStyle name="WingdingsRed 3 2 2" xfId="15475"/>
    <cellStyle name="WingdingsBlack 3 2 2" xfId="15476"/>
    <cellStyle name="UNLOCKED 16 2 2" xfId="15477"/>
    <cellStyle name="Title [Palat] 3 3 3" xfId="15478"/>
    <cellStyle name="Title [Helv] 3 3 3" xfId="15479"/>
    <cellStyle name="Table Head Green 3 3 3" xfId="15480"/>
    <cellStyle name="Table Head Aligned 3 3 3" xfId="15481"/>
    <cellStyle name="SymbolBlue 3 2 2" xfId="15482"/>
    <cellStyle name="Style 53 3 2 2" xfId="15483"/>
    <cellStyle name="Style 52 3 2 2" xfId="15484"/>
    <cellStyle name="Style 50 3 2 2" xfId="15485"/>
    <cellStyle name="Style 48 3 2 2" xfId="15486"/>
    <cellStyle name="Style 43 3 2 2" xfId="15487"/>
    <cellStyle name="Style 42 3 2 2" xfId="15488"/>
    <cellStyle name="Style 40 3 2 2" xfId="15489"/>
    <cellStyle name="Style 37 3 2 2" xfId="15490"/>
    <cellStyle name="Style 36 3 2 2" xfId="15491"/>
    <cellStyle name="Style 35 3 2 2" xfId="15492"/>
    <cellStyle name="Style 28 3 2 2" xfId="15493"/>
    <cellStyle name="Style 25 3 2 2" xfId="15494"/>
    <cellStyle name="Style 27 3 2 2" xfId="15495"/>
    <cellStyle name="Style 26 3 2 2" xfId="15496"/>
    <cellStyle name="Style 24 3 2 2" xfId="15497"/>
    <cellStyle name="Style 22 3 2 2" xfId="15498"/>
    <cellStyle name="Style 21 3 2 2" xfId="15499"/>
    <cellStyle name="Outputs 3 3 3" xfId="15500"/>
    <cellStyle name="Millions 8 2 2" xfId="15501"/>
    <cellStyle name="Magic 3 3 3" xfId="15502"/>
    <cellStyle name="ItemTypeClass 3 2 2" xfId="15503"/>
    <cellStyle name="Heading [Palat] 3 3 3" xfId="15504"/>
    <cellStyle name="Heading [Helv] 3 3 3" xfId="15505"/>
    <cellStyle name="Format text as bold, black on yellow 3 2 2" xfId="15506"/>
    <cellStyle name="Format a row of totals 3 2 2" xfId="15507"/>
    <cellStyle name="Draw shadow and lines within range 3 2 2" xfId="15508"/>
    <cellStyle name="Draw lines around data in range 3 2 2" xfId="15509"/>
    <cellStyle name="dp*ThinLineAbove 3 2 2" xfId="15510"/>
    <cellStyle name="dp*SheetSubTitle 3 3 3" xfId="15511"/>
    <cellStyle name="dp*NumberLineEPS 3 3 3" xfId="15512"/>
    <cellStyle name="dp*NumberLine 3 3 3" xfId="15513"/>
    <cellStyle name="dp*Number%ItalicsLineAbove 3 2 2" xfId="15514"/>
    <cellStyle name="DateYearWholeEstimate 3 2 2" xfId="15515"/>
    <cellStyle name="DateYearEstimate 3 2 2" xfId="15516"/>
    <cellStyle name="COL HEADINGS 3 3 3" xfId="15517"/>
    <cellStyle name="Border 3 2 2" xfId="15518"/>
    <cellStyle name="Bold/Border 3 3 3" xfId="15519"/>
    <cellStyle name="ArialNormal 3 2 2" xfId="15520"/>
    <cellStyle name="Arial8Italic 3 2 2" xfId="15521"/>
    <cellStyle name="Arial8Bold 3 2 2" xfId="15522"/>
    <cellStyle name="Arial6Bold 3 2 2" xfId="15523"/>
    <cellStyle name="Afjusted 5 3 3" xfId="15524"/>
    <cellStyle name="ac 3 3 3" xfId="15525"/>
    <cellStyle name="UNLOCKED 15 2 2" xfId="15526"/>
    <cellStyle name="dp*NumberLine 2 2 3 2 4 3" xfId="15527"/>
    <cellStyle name="Date [mmm-yyyy] 3 3 3" xfId="15528"/>
    <cellStyle name="dp*NumberLineEPS 2 2 3 2 4 3" xfId="15529"/>
    <cellStyle name="UNLOCKED 17 2 2" xfId="15530"/>
    <cellStyle name="Heading [Palat] 2 9 3" xfId="15531"/>
    <cellStyle name="dp*SheetSubTitle 2 2 3 2 4 3" xfId="15532"/>
    <cellStyle name="UNLOCKED 18 2 2" xfId="15533"/>
    <cellStyle name="Table Head Aligned 2 2 7 3" xfId="15534"/>
    <cellStyle name="UNLOCKED 19 2 2" xfId="15535"/>
    <cellStyle name="ac 2 4 3 3" xfId="15536"/>
    <cellStyle name="Afjusted 2 3 3 3" xfId="15537"/>
    <cellStyle name="Bold/Border 2 4 3 3" xfId="15538"/>
    <cellStyle name="Border Thin 2 4 3 3" xfId="15539"/>
    <cellStyle name="COL HEADINGS 2 4 3 3" xfId="15540"/>
    <cellStyle name="Date [mmm-yyyy] 2 4 3 3" xfId="15541"/>
    <cellStyle name="dp*NumberLine 2 4 3 3" xfId="15542"/>
    <cellStyle name="dp*NumberLineEPS 2 4 3 3" xfId="15543"/>
    <cellStyle name="dp*SheetSubTitle 2 4 3 3" xfId="15544"/>
    <cellStyle name="dp*SubTitle 2 4 3 3" xfId="15545"/>
    <cellStyle name="dp*ThinLineBelow 2 4 3 3" xfId="15546"/>
    <cellStyle name="Heading [Helv] 2 4 3 3" xfId="15547"/>
    <cellStyle name="Heading [Palat] 2 4 3 3" xfId="15548"/>
    <cellStyle name="Magic 2 4 3 3" xfId="15549"/>
    <cellStyle name="Outputs 2 4 3 3" xfId="15550"/>
    <cellStyle name="PB Table Standard Row 2 4 3 3" xfId="15551"/>
    <cellStyle name="P-Green Rule 2 4 3 3" xfId="15552"/>
    <cellStyle name="Style 44 3 4 3 3" xfId="15553"/>
    <cellStyle name="Style 45 3 4 3 3" xfId="15554"/>
    <cellStyle name="Style 49 3 4 3 3" xfId="15555"/>
    <cellStyle name="Style 51 3 4 3 3" xfId="15556"/>
    <cellStyle name="Style 44 2 4 3 3" xfId="15557"/>
    <cellStyle name="Style 45 2 4 3 3" xfId="15558"/>
    <cellStyle name="Style 49 2 4 3 3" xfId="15559"/>
    <cellStyle name="Style 51 2 4 3 3" xfId="15560"/>
    <cellStyle name="Table Head Aligned 2 4 3 3" xfId="15561"/>
    <cellStyle name="Table Head Green 2 4 3 3" xfId="15562"/>
    <cellStyle name="Title [Helv] 2 4 3 3" xfId="15563"/>
    <cellStyle name="Title [Palat] 2 4 3 3" xfId="15564"/>
    <cellStyle name="Heading [Helv] 2 2 3 2 4 3" xfId="15565"/>
    <cellStyle name="UNLOCKED 20 2 2" xfId="15566"/>
    <cellStyle name="Heading [Palat] 2 2 3 2 4 3" xfId="15567"/>
    <cellStyle name="Afjusted 3 3 12" xfId="15568"/>
    <cellStyle name="Table Head Green 2 4 4 3" xfId="15569"/>
    <cellStyle name="ac 4 3 3" xfId="15570"/>
    <cellStyle name="dp*SheetSubTitle 3 4 3" xfId="15571"/>
    <cellStyle name="dp*NumberLine 3 4 3" xfId="15572"/>
    <cellStyle name="Arial6Bold 4 2 2" xfId="15573"/>
    <cellStyle name="Arial8Bold 4 2 2" xfId="15574"/>
    <cellStyle name="Arial8Italic 4 2 2" xfId="15575"/>
    <cellStyle name="ArialNormal 4 2 2" xfId="15576"/>
    <cellStyle name="Outputs 3 4 3" xfId="15577"/>
    <cellStyle name="Title [Helv] 3 4 3" xfId="15578"/>
    <cellStyle name="Bold/Border 4 3 3" xfId="15579"/>
    <cellStyle name="PB Table Standard Row 6 9" xfId="15580"/>
    <cellStyle name="Border Thin 5 3 3" xfId="15581"/>
    <cellStyle name="P-Green Rule 4 4 3" xfId="15582"/>
    <cellStyle name="dp*SubTitle 4 4 3" xfId="15583"/>
    <cellStyle name="Table Head Green 2 2 2 4 4 3" xfId="15584"/>
    <cellStyle name="Heading [Palat] 2 2 2 4 4 3" xfId="15585"/>
    <cellStyle name="Date [mmm-yyyy] 2 2 2 4 4 3" xfId="15586"/>
    <cellStyle name="P-Green Rule 3 2 4 4 3" xfId="15587"/>
    <cellStyle name="dp*ThinLineBelow 3 2 4 4 3" xfId="15588"/>
    <cellStyle name="COL HEADINGS 4 3 3" xfId="15589"/>
    <cellStyle name="Date [mm-d-yyyy] 3 2 4 4 3" xfId="15590"/>
    <cellStyle name="Magic 2 2 2 3 4 3" xfId="15591"/>
    <cellStyle name="dp*SheetSubTitle 2 2 2 3 4 3" xfId="15592"/>
    <cellStyle name="Date [mmm-yyyy] 2 2 2 3 4 3" xfId="15593"/>
    <cellStyle name="Afjusted 2 2 2 3 4 3" xfId="15594"/>
    <cellStyle name="Border Thin 3 2 3 4 3" xfId="15595"/>
    <cellStyle name="PB Table Standard Row 3 2 3 4 3" xfId="15596"/>
    <cellStyle name="Style 45 4 2 3 4 3" xfId="15597"/>
    <cellStyle name="Date [mm-d-yyyy] 3 2 3 4 3" xfId="15598"/>
    <cellStyle name="Title [Palat] 2 2 2 2 4 3" xfId="15599"/>
    <cellStyle name="Bold/Border 2 2 2 7 3" xfId="15600"/>
    <cellStyle name="Style 45 4 3 7 3" xfId="15601"/>
    <cellStyle name="PB Table Standard Row 3 3 7 3" xfId="15602"/>
    <cellStyle name="Date [mm-d-yyyy] 5 3 3" xfId="15603"/>
    <cellStyle name="Bold/Border 2 2 3 7 3" xfId="15604"/>
    <cellStyle name="Title [Helv] 2 2 3 7 3" xfId="15605"/>
    <cellStyle name="DateYearEstimate 4 2 2" xfId="15606"/>
    <cellStyle name="DateYearWholeEstimate 4 2 2" xfId="15607"/>
    <cellStyle name="Style 45 4 4 4 3" xfId="15608"/>
    <cellStyle name="dp*ThinLineBelow 3 3 3 4 3" xfId="15609"/>
    <cellStyle name="Draw lines around data in range 4 2 2" xfId="15610"/>
    <cellStyle name="Draw shadow and lines within range 4 2 2" xfId="15611"/>
    <cellStyle name="PB Table Standard Row 3 3 3 4 3" xfId="15612"/>
    <cellStyle name="ac 2 2 3 3 4 3" xfId="15613"/>
    <cellStyle name="Heading [Helv] 2 2 3 3 4 3" xfId="15614"/>
    <cellStyle name="Title [Palat] 2 2 4 4 3" xfId="15615"/>
    <cellStyle name="Outputs 2 2 4 4 3" xfId="15616"/>
    <cellStyle name="Title [Palat] 2 2 3 4 4 3" xfId="15617"/>
    <cellStyle name="dp*SheetSubTitle 2 2 3 4 4 3" xfId="15618"/>
    <cellStyle name="ac 2 2 3 4 4 3" xfId="15619"/>
    <cellStyle name="Afjusted 3 3 4 4 3" xfId="15620"/>
    <cellStyle name="COL HEADINGS 2 2 3 4 4 3" xfId="15621"/>
    <cellStyle name="P-Green Rule 2 2 4 3" xfId="15622"/>
    <cellStyle name="Style 49 3 2 4 3" xfId="15623"/>
    <cellStyle name="Style 49 2 2 4 3" xfId="15624"/>
    <cellStyle name="Title [Helv] 2 2 3 4 4 3" xfId="15625"/>
    <cellStyle name="Bold/Border 2 2 3 4 4 3" xfId="15626"/>
    <cellStyle name="Format a row of totals 4 2 2" xfId="15627"/>
    <cellStyle name="Format text as bold, black on yellow 4 2 2" xfId="15628"/>
    <cellStyle name="Heading [Helv] 4 3 3" xfId="15629"/>
    <cellStyle name="Heading [Palat] 4 3 3" xfId="15630"/>
    <cellStyle name="Title [Helv] 2 2 7 3" xfId="15631"/>
    <cellStyle name="Heading [Palat] 2 2 7 3" xfId="15632"/>
    <cellStyle name="COL HEADINGS 2 2 7 3" xfId="15633"/>
    <cellStyle name="ac 2 2 7 3" xfId="15634"/>
    <cellStyle name="Table Head Aligned 2 2 3 11" xfId="15635"/>
    <cellStyle name="ItemTypeClass 4 2 2" xfId="15636"/>
    <cellStyle name="Main 3 2 2" xfId="15637"/>
    <cellStyle name="Style 51 4 2 3 9" xfId="15638"/>
    <cellStyle name="Outputs 4 3 3" xfId="15639"/>
    <cellStyle name="PB Table Standard Row 5 3 3" xfId="15640"/>
    <cellStyle name="P-Green Rule 5 3 3" xfId="15641"/>
    <cellStyle name="SAPBEXaggItemX 3 2 2" xfId="15642"/>
    <cellStyle name="SAPBEXHLevel0 3 2 2" xfId="15643"/>
    <cellStyle name="SAPBEXHLevel0X 3 2 2" xfId="15644"/>
    <cellStyle name="SAPBEXHLevel1 3 2 2" xfId="15645"/>
    <cellStyle name="SAPBEXHLevel1X 3 2 2" xfId="15646"/>
    <cellStyle name="SAPBEXHLevel2 3 2 2" xfId="15647"/>
    <cellStyle name="SAPBEXHLevel2X 3 2 2" xfId="15648"/>
    <cellStyle name="SAPBEXHLevel3 3 2 2" xfId="15649"/>
    <cellStyle name="SAPBEXHLevel3X 3 2 2" xfId="15650"/>
    <cellStyle name="SAPBEXresItemX 3 2 2" xfId="15651"/>
    <cellStyle name="SAPBEXstdItemX 3 2 2" xfId="15652"/>
    <cellStyle name="Style 21 4 2 2" xfId="15653"/>
    <cellStyle name="Style 22 4 2 2" xfId="15654"/>
    <cellStyle name="Style 35 4 2 2" xfId="15655"/>
    <cellStyle name="Style 36 4 2 2" xfId="15656"/>
    <cellStyle name="Style 37 4 2 2" xfId="15657"/>
    <cellStyle name="Style 40 4 2 2" xfId="15658"/>
    <cellStyle name="Style 42 4 2 2" xfId="15659"/>
    <cellStyle name="Style 43 4 2 2" xfId="15660"/>
    <cellStyle name="Style 44 6 3 3" xfId="15661"/>
    <cellStyle name="Style 45 6 3 3" xfId="15662"/>
    <cellStyle name="Style 48 4 2 2" xfId="15663"/>
    <cellStyle name="Style 49 6 3 3" xfId="15664"/>
    <cellStyle name="Style 50 4 2 2" xfId="15665"/>
    <cellStyle name="Style 51 6 3 3" xfId="15666"/>
    <cellStyle name="Style 52 4 2 2" xfId="15667"/>
    <cellStyle name="Style 53 4 2 2" xfId="15668"/>
    <cellStyle name="SymbolBlue 4 2 2" xfId="15669"/>
    <cellStyle name="Table Head Green 4 3 3" xfId="15670"/>
    <cellStyle name="UNLOCKED 21 2 2" xfId="15671"/>
    <cellStyle name="WingdingsBlack 4 2 2" xfId="15672"/>
    <cellStyle name="WingdingsRed 4 2 2" xfId="15673"/>
    <cellStyle name="WingdingsWhite 4 2 2" xfId="15674"/>
    <cellStyle name="Heading [Helv] 2 9 3" xfId="15675"/>
    <cellStyle name="Afjusted 6 3 3" xfId="15676"/>
    <cellStyle name="UNLOCKED 22 2 2" xfId="15677"/>
    <cellStyle name="ac 2 5 3 3" xfId="15678"/>
    <cellStyle name="Afjusted 2 4 3 3" xfId="15679"/>
    <cellStyle name="Bold/Border 2 5 3 3" xfId="15680"/>
    <cellStyle name="Border Thin 2 5 3 3" xfId="15681"/>
    <cellStyle name="COL HEADINGS 2 5 3 3" xfId="15682"/>
    <cellStyle name="Date [mmm-yyyy] 2 5 3 3" xfId="15683"/>
    <cellStyle name="dp*NumberLine 2 5 3 3" xfId="15684"/>
    <cellStyle name="dp*NumberLineEPS 2 5 3 3" xfId="15685"/>
    <cellStyle name="dp*SheetSubTitle 2 5 3 3" xfId="15686"/>
    <cellStyle name="dp*SubTitle 2 5 3 3" xfId="15687"/>
    <cellStyle name="dp*ThinLineBelow 2 5 3 3" xfId="15688"/>
    <cellStyle name="Heading [Helv] 2 5 3 3" xfId="15689"/>
    <cellStyle name="Heading [Palat] 2 5 3 3" xfId="15690"/>
    <cellStyle name="Magic 2 5 3 3" xfId="15691"/>
    <cellStyle name="Outputs 2 5 3 3" xfId="15692"/>
    <cellStyle name="PB Table Standard Row 2 5 3 3" xfId="15693"/>
    <cellStyle name="P-Green Rule 2 5 3 3" xfId="15694"/>
    <cellStyle name="Style 44 3 5 3 3" xfId="15695"/>
    <cellStyle name="Style 45 3 5 3 3" xfId="15696"/>
    <cellStyle name="Style 49 3 5 3 3" xfId="15697"/>
    <cellStyle name="Style 51 3 5 3 3" xfId="15698"/>
    <cellStyle name="Style 44 2 5 3 3" xfId="15699"/>
    <cellStyle name="Style 45 2 5 3 3" xfId="15700"/>
    <cellStyle name="Style 49 2 5 3 3" xfId="15701"/>
    <cellStyle name="Style 51 2 5 3 3" xfId="15702"/>
    <cellStyle name="Table Head Aligned 2 5 3 3" xfId="15703"/>
    <cellStyle name="Table Head Green 2 5 3 3" xfId="15704"/>
    <cellStyle name="Title [Helv] 2 5 3 3" xfId="15705"/>
    <cellStyle name="Title [Palat] 2 5 3 3" xfId="15706"/>
    <cellStyle name="Magic 2 2 3 2 4 3" xfId="15707"/>
    <cellStyle name="Table Head Green 2 3 4 3" xfId="15708"/>
    <cellStyle name="Title [Palat] 2 2 2 2 9" xfId="15709"/>
    <cellStyle name="Outputs 2 2 3 2 4 3" xfId="15710"/>
    <cellStyle name="UNLOCKED 23 2 2" xfId="15711"/>
    <cellStyle name="Heading [Palat] 2 2 3 4 4 3" xfId="15712"/>
    <cellStyle name="UNLOCKED 24 2 2" xfId="15713"/>
    <cellStyle name="P-Green Rule 5 4 3" xfId="15714"/>
    <cellStyle name="Date [mm-d-yyyy] 5 4 3" xfId="15715"/>
    <cellStyle name="ac 4 4 3" xfId="15716"/>
    <cellStyle name="Table Head Aligned 2 4 4 3" xfId="15717"/>
    <cellStyle name="ac 5 3 3" xfId="15718"/>
    <cellStyle name="Bold/Border 3 4 3" xfId="15719"/>
    <cellStyle name="dp*NumberLineEPS 3 4 3" xfId="15720"/>
    <cellStyle name="Arial6Bold 5 2 2" xfId="15721"/>
    <cellStyle name="Arial8Bold 5 2 2" xfId="15722"/>
    <cellStyle name="Arial8Italic 5 2 2" xfId="15723"/>
    <cellStyle name="ArialNormal 5 2 2" xfId="15724"/>
    <cellStyle name="Heading [Helv] 3 4 3" xfId="15725"/>
    <cellStyle name="Title [Palat] 3 4 3" xfId="15726"/>
    <cellStyle name="Bold/Border 5 3 3" xfId="15727"/>
    <cellStyle name="Border Thin 6 3 3" xfId="15728"/>
    <cellStyle name="PB Table Standard Row 4 4 3" xfId="15729"/>
    <cellStyle name="Date [mm-d-yyyy] 4 4 3" xfId="15730"/>
    <cellStyle name="Title [Palat] 2 2 2 4 4 3" xfId="15731"/>
    <cellStyle name="Table Head Aligned 2 2 2 4 4 3" xfId="15732"/>
    <cellStyle name="Heading [Helv] 2 2 2 4 4 3" xfId="15733"/>
    <cellStyle name="COL HEADINGS 2 2 2 4 4 3" xfId="15734"/>
    <cellStyle name="Style 44 4 2 4 4 3" xfId="15735"/>
    <cellStyle name="PB Table Standard Row 3 2 4 4 3" xfId="15736"/>
    <cellStyle name="COL HEADINGS 5 3 3" xfId="15737"/>
    <cellStyle name="Afjusted 3 2 4 4 3" xfId="15738"/>
    <cellStyle name="Heading [Palat] 2 2 2 3 4 3" xfId="15739"/>
    <cellStyle name="dp*NumberLineEPS 2 2 2 3 4 3" xfId="15740"/>
    <cellStyle name="COL HEADINGS 2 2 2 3 4 3" xfId="15741"/>
    <cellStyle name="ac 2 2 2 3 4 3" xfId="15742"/>
    <cellStyle name="dp*SubTitle 3 2 3 4 3" xfId="15743"/>
    <cellStyle name="P-Green Rule 3 2 3 4 3" xfId="15744"/>
    <cellStyle name="Style 49 4 2 3 4 3" xfId="15745"/>
    <cellStyle name="Afjusted 3 2 3 4 3" xfId="15746"/>
    <cellStyle name="Title [Helv] 2 2 2 2 4 3" xfId="15747"/>
    <cellStyle name="Afjusted 2 2 2 7 3" xfId="15748"/>
    <cellStyle name="Date [mm-d-yyyy] 3 3 7 3" xfId="15749"/>
    <cellStyle name="Style 51 4 3 7 3" xfId="15750"/>
    <cellStyle name="Style 44 4 3 7 3" xfId="15751"/>
    <cellStyle name="dp*ThinLineBelow 3 3 7 3" xfId="15752"/>
    <cellStyle name="Afjusted 4 3 7 3" xfId="15753"/>
    <cellStyle name="Date [mm-d-yyyy] 6 2 3" xfId="15754"/>
    <cellStyle name="COL HEADINGS 2 2 3 7 3" xfId="15755"/>
    <cellStyle name="Title [Palat] 2 2 3 7 3" xfId="15756"/>
    <cellStyle name="DateYearEstimate 5 2 2" xfId="15757"/>
    <cellStyle name="DateYearWholeEstimate 5 2 2" xfId="15758"/>
    <cellStyle name="Afjusted 2 2 4 4 3" xfId="15759"/>
    <cellStyle name="Border Thin 3 3 4 4 3" xfId="15760"/>
    <cellStyle name="Style 49 4 4 4 3" xfId="15761"/>
    <cellStyle name="dp*NumberLine 2 2 2 4 9" xfId="15762"/>
    <cellStyle name="Afjusted 2 2 3 3 4 3" xfId="15763"/>
    <cellStyle name="Draw lines around data in range 5 2 2" xfId="15764"/>
    <cellStyle name="Draw shadow and lines within range 5 2 2" xfId="15765"/>
    <cellStyle name="Border Thin 3 3 3 4 3" xfId="15766"/>
    <cellStyle name="COL HEADINGS 2 2 3 3 4 3" xfId="15767"/>
    <cellStyle name="Magic 2 2 3 3 4 3" xfId="15768"/>
    <cellStyle name="Title [Helv] 2 2 4 4 3" xfId="15769"/>
    <cellStyle name="Heading [Palat] 2 2 4 4 3" xfId="15770"/>
    <cellStyle name="Table Head Aligned 2 2 3 4 4 3" xfId="15771"/>
    <cellStyle name="dp*NumberLineEPS 2 2 3 4 4 3" xfId="15772"/>
    <cellStyle name="Afjusted 4 3 4 4 3" xfId="15773"/>
    <cellStyle name="Style 44 3 3 4 3" xfId="15774"/>
    <cellStyle name="dp*ThinLineBelow 2 2 4 3" xfId="15775"/>
    <cellStyle name="Style 44 3 2 4 3" xfId="15776"/>
    <cellStyle name="Style 51 3 2 4 3" xfId="15777"/>
    <cellStyle name="Style 45 2 2 4 3" xfId="15778"/>
    <cellStyle name="Magic 2 2 3 4 4 3" xfId="15779"/>
    <cellStyle name="Format a row of totals 5 2 2" xfId="15780"/>
    <cellStyle name="Format text as bold, black on yellow 5 2 2" xfId="15781"/>
    <cellStyle name="Heading [Helv] 5 3 3" xfId="15782"/>
    <cellStyle name="Heading [Palat] 5 3 3" xfId="15783"/>
    <cellStyle name="Table Head Green 2 2 7 3" xfId="15784"/>
    <cellStyle name="Heading [Helv] 2 2 7 3" xfId="15785"/>
    <cellStyle name="Bold/Border 2 2 7 3" xfId="15786"/>
    <cellStyle name="ac 3 10" xfId="15787"/>
    <cellStyle name="ItemTypeClass 5 2 2" xfId="15788"/>
    <cellStyle name="Main 4 2 2" xfId="15789"/>
    <cellStyle name="Style 49 2 8 3" xfId="15790"/>
    <cellStyle name="Title [Palat] 2 12" xfId="15791"/>
    <cellStyle name="Outputs 5 3 3" xfId="15792"/>
    <cellStyle name="PB Table Standard Row 6 3 3" xfId="15793"/>
    <cellStyle name="P-Green Rule 6 3 3" xfId="15794"/>
    <cellStyle name="SAPBEXaggItemX 4 2 2" xfId="15795"/>
    <cellStyle name="SAPBEXHLevel0 4 2 2" xfId="15796"/>
    <cellStyle name="SAPBEXHLevel0X 4 2 2" xfId="15797"/>
    <cellStyle name="SAPBEXHLevel1 4 2 2" xfId="15798"/>
    <cellStyle name="SAPBEXHLevel1X 4 2 2" xfId="15799"/>
    <cellStyle name="SAPBEXHLevel2 4 2 2" xfId="15800"/>
    <cellStyle name="SAPBEXHLevel2X 4 2 2" xfId="15801"/>
    <cellStyle name="SAPBEXHLevel3 4 2 2" xfId="15802"/>
    <cellStyle name="SAPBEXHLevel3X 4 2 2" xfId="15803"/>
    <cellStyle name="SAPBEXresItemX 4 2 2" xfId="15804"/>
    <cellStyle name="SAPBEXstdItemX 4 2 2" xfId="15805"/>
    <cellStyle name="Style 21 5 2 2" xfId="15806"/>
    <cellStyle name="Style 22 5 2 2" xfId="15807"/>
    <cellStyle name="Style 35 5 2 2" xfId="15808"/>
    <cellStyle name="Style 36 5 2 2" xfId="15809"/>
    <cellStyle name="Style 37 5 2 2" xfId="15810"/>
    <cellStyle name="Style 40 5 2 2" xfId="15811"/>
    <cellStyle name="Style 42 5 2 2" xfId="15812"/>
    <cellStyle name="Style 43 5 2 2" xfId="15813"/>
    <cellStyle name="Style 44 7 3 3" xfId="15814"/>
    <cellStyle name="Style 45 7 3 3" xfId="15815"/>
    <cellStyle name="Style 48 5 2 2" xfId="15816"/>
    <cellStyle name="Style 49 7 3 3" xfId="15817"/>
    <cellStyle name="Style 50 5 2 2" xfId="15818"/>
    <cellStyle name="Style 51 7 3 3" xfId="15819"/>
    <cellStyle name="Style 52 5 2 2" xfId="15820"/>
    <cellStyle name="Style 53 5 2 2" xfId="15821"/>
    <cellStyle name="SymbolBlue 5 2 2" xfId="15822"/>
    <cellStyle name="Table Head Green 5 3 3" xfId="15823"/>
    <cellStyle name="Title [Palat] 4 3 3" xfId="15824"/>
    <cellStyle name="UNLOCKED 25 2 2" xfId="15825"/>
    <cellStyle name="WingdingsBlack 5 2 2" xfId="15826"/>
    <cellStyle name="WingdingsRed 5 2 2" xfId="15827"/>
    <cellStyle name="WingdingsWhite 5 2 2" xfId="15828"/>
    <cellStyle name="Title [Helv] 2 2 2 4 9" xfId="15829"/>
    <cellStyle name="ac 2 6 3 3" xfId="15830"/>
    <cellStyle name="Bold/Border 2 6 3 3" xfId="15831"/>
    <cellStyle name="Border Thin 2 6 3 3" xfId="15832"/>
    <cellStyle name="COL HEADINGS 2 6 3 3" xfId="15833"/>
    <cellStyle name="Date [mm-d-yyyy] 2 3 2 3" xfId="15834"/>
    <cellStyle name="Bold/Border 2 2 3 3 4 3" xfId="15835"/>
    <cellStyle name="Header2 2 2 2 2" xfId="15836"/>
    <cellStyle name="Heading [Helv] 2 6 3 3" xfId="15837"/>
    <cellStyle name="Heading [Palat] 2 6 3 3" xfId="15838"/>
    <cellStyle name="Outputs 2 2 3 3 4 3" xfId="15839"/>
    <cellStyle name="Outputs 2 6 3 3" xfId="15840"/>
    <cellStyle name="PB Table Standard Row 2 6 3 3" xfId="15841"/>
    <cellStyle name="P-Green Rule 2 6 3 3" xfId="15842"/>
    <cellStyle name="Style 44 3 6 3 3" xfId="15843"/>
    <cellStyle name="Style 45 3 6 3 3" xfId="15844"/>
    <cellStyle name="Style 49 3 6 3 3" xfId="15845"/>
    <cellStyle name="Style 51 3 6 3 3" xfId="15846"/>
    <cellStyle name="Style 44 2 6 3 3" xfId="15847"/>
    <cellStyle name="Style 45 2 6 3 3" xfId="15848"/>
    <cellStyle name="Style 49 2 6 3 3" xfId="15849"/>
    <cellStyle name="Style 51 2 6 3 3" xfId="15850"/>
    <cellStyle name="Table Head Green 2 6 3 3" xfId="15851"/>
    <cellStyle name="Title [Palat] 2 6 3 3" xfId="15852"/>
    <cellStyle name="Table Head Green 2 2 3 4 4 3" xfId="15853"/>
    <cellStyle name="UNLOCKED 26 2 2" xfId="15854"/>
    <cellStyle name="Table Head Green 2 2 2 7 3" xfId="15855"/>
    <cellStyle name="SAPBEXHLevel0X 2 5" xfId="15856"/>
    <cellStyle name="Outputs 2 2 2 7 3" xfId="15857"/>
    <cellStyle name="Border Thin 3 3 2 8" xfId="15858"/>
    <cellStyle name="SAPBEXHLevel1 4 4" xfId="15859"/>
    <cellStyle name="Title [Helv] 2 2 3 2 4 3" xfId="15860"/>
    <cellStyle name="SAPBEXstdItemX 4 4" xfId="15861"/>
    <cellStyle name="SAPBEXHLevel2X 4 4" xfId="15862"/>
    <cellStyle name="SAPBEXHLevel3 4 4" xfId="15863"/>
    <cellStyle name="Magic 2 2 2 4 9" xfId="15864"/>
    <cellStyle name="PB Table Standard Row 3 5 4 3" xfId="15865"/>
    <cellStyle name="SAPBEXHLevel0X 4 4" xfId="15866"/>
    <cellStyle name="P-Green Rule 3 2 2 4 3" xfId="15867"/>
    <cellStyle name="Heading [Palat] 2 2 2 4 9" xfId="15868"/>
    <cellStyle name="Style 49 4 2 2 4 3" xfId="15869"/>
    <cellStyle name="Afjusted 2 2 2 4 9" xfId="15870"/>
    <cellStyle name="dp*NumberLineEPS 2 8 3" xfId="15871"/>
    <cellStyle name="Heading [Helv] 2 2 2 7 3" xfId="15872"/>
    <cellStyle name="FieldName 4 2 2" xfId="15873"/>
    <cellStyle name="WingdingsWhite 6 2 2" xfId="15874"/>
    <cellStyle name="WingdingsRed 6 2 2" xfId="15875"/>
    <cellStyle name="WingdingsBlack 6 2 2" xfId="15876"/>
    <cellStyle name="UNLOCKED 28 2 2" xfId="15877"/>
    <cellStyle name="Title [Palat] 5 3 3" xfId="15878"/>
    <cellStyle name="Title [Helv] 4 3 3" xfId="15879"/>
    <cellStyle name="Table Head Green 6 3 3" xfId="15880"/>
    <cellStyle name="Table Head Aligned 4 3 3" xfId="15881"/>
    <cellStyle name="SymbolBlue 6 2 2" xfId="15882"/>
    <cellStyle name="Style 53 6 2 2" xfId="15883"/>
    <cellStyle name="Style 52 6 2 2" xfId="15884"/>
    <cellStyle name="Style 50 6 2 2" xfId="15885"/>
    <cellStyle name="Style 48 6 2 2" xfId="15886"/>
    <cellStyle name="Style 43 6 2 2" xfId="15887"/>
    <cellStyle name="Style 42 6 2 2" xfId="15888"/>
    <cellStyle name="Style 40 6 2 2" xfId="15889"/>
    <cellStyle name="Style 37 6 2 2" xfId="15890"/>
    <cellStyle name="Style 36 6 2 2" xfId="15891"/>
    <cellStyle name="Style 35 6 2 2" xfId="15892"/>
    <cellStyle name="Style 28 4 2 2" xfId="15893"/>
    <cellStyle name="Style 27 4 2 2" xfId="15894"/>
    <cellStyle name="Style 24 4 2 2" xfId="15895"/>
    <cellStyle name="Style 26 4 2 2" xfId="15896"/>
    <cellStyle name="Style 25 4 2 2" xfId="15897"/>
    <cellStyle name="Style 22 6 2 2" xfId="15898"/>
    <cellStyle name="Style 21 6 2 2" xfId="15899"/>
    <cellStyle name="SSFixed2 3 2 2" xfId="15900"/>
    <cellStyle name="SSDfltPct0 3 2 2" xfId="15901"/>
    <cellStyle name="SSDfltPct 3 2 2" xfId="15902"/>
    <cellStyle name="SSDecs3 3 2 2" xfId="15903"/>
    <cellStyle name="SSComma2 3 2 2" xfId="15904"/>
    <cellStyle name="SSComma0 3 2 2" xfId="15905"/>
    <cellStyle name="SAPBEXundefined 3 2 2" xfId="15906"/>
    <cellStyle name="SAPBEXtitle 3 2 2" xfId="15907"/>
    <cellStyle name="SAPBEXstdItemX 5 2 2" xfId="15908"/>
    <cellStyle name="SAPBEXstdItem 3 2 2" xfId="15909"/>
    <cellStyle name="SAPBEXstdDataEmph 3 2 2" xfId="15910"/>
    <cellStyle name="SAPBEXstdData 3 2 2" xfId="15911"/>
    <cellStyle name="SAPBEXresItemX 5 2 2" xfId="15912"/>
    <cellStyle name="SAPBEXresItem 3 2 2" xfId="15913"/>
    <cellStyle name="SAPBEXresDataEmph 3 2 2" xfId="15914"/>
    <cellStyle name="SAPBEXresData 3 2 2" xfId="15915"/>
    <cellStyle name="SAPBEXHLevel3X 5 2 2" xfId="15916"/>
    <cellStyle name="SAPBEXHLevel3 5 2 2" xfId="15917"/>
    <cellStyle name="SAPBEXHLevel2X 5 2 2" xfId="15918"/>
    <cellStyle name="SAPBEXHLevel2 5 2 2" xfId="15919"/>
    <cellStyle name="SAPBEXHLevel1X 5 2 2" xfId="15920"/>
    <cellStyle name="SAPBEXHLevel1 5 2 2" xfId="15921"/>
    <cellStyle name="SAPBEXHLevel0X 5 2 2" xfId="15922"/>
    <cellStyle name="SAPBEXHLevel0 5 2 2" xfId="15923"/>
    <cellStyle name="SAPBEXformats 3 2 2" xfId="15924"/>
    <cellStyle name="SAPBEXexcGood3 3 2 2" xfId="15925"/>
    <cellStyle name="SAPBEXexcGood2 3 2 2" xfId="15926"/>
    <cellStyle name="SAPBEXexcGood1 3 2 2" xfId="15927"/>
    <cellStyle name="SAPBEXexcCritical6 3 2 2" xfId="15928"/>
    <cellStyle name="SAPBEXexcCritical5 3 2 2" xfId="15929"/>
    <cellStyle name="SAPBEXexcCritical4 3 2 2" xfId="15930"/>
    <cellStyle name="SAPBEXexcBad9 3 2 2" xfId="15931"/>
    <cellStyle name="SAPBEXexcBad8 3 2 2" xfId="15932"/>
    <cellStyle name="SAPBEXexcBad7 3 2 2" xfId="15933"/>
    <cellStyle name="SAPBEXaggItemX 5 2 2" xfId="15934"/>
    <cellStyle name="SAPBEXaggItem 3 2 2" xfId="15935"/>
    <cellStyle name="SAPBEXaggDataEmph 3 2 2" xfId="15936"/>
    <cellStyle name="SAPBEXaggData 3 2 2" xfId="15937"/>
    <cellStyle name="Arial6Bold 7 2 2" xfId="15938"/>
    <cellStyle name="Arial8Bold 7 2 2" xfId="15939"/>
    <cellStyle name="Arial8Italic 7 2 2" xfId="15940"/>
    <cellStyle name="ArialNormal 7 2 2" xfId="15941"/>
    <cellStyle name="Border 5 2 2" xfId="15942"/>
    <cellStyle name="Outputs 6 3 3" xfId="15943"/>
    <cellStyle name="dp*Number%ItalicsLineAbove 5 2 2" xfId="15944"/>
    <cellStyle name="dp*ThinLineAbove 5 2 2" xfId="15945"/>
    <cellStyle name="Draw lines around data in range 7 2 2" xfId="15946"/>
    <cellStyle name="Draw shadow and lines within range 7 2 2" xfId="15947"/>
    <cellStyle name="Millions 9 2 2" xfId="15948"/>
    <cellStyle name="Main 5 2 2" xfId="15949"/>
    <cellStyle name="Magic 4 3 3" xfId="15950"/>
    <cellStyle name="ItemTypeClass 6 2 2" xfId="15951"/>
    <cellStyle name="Format a row of totals 7 2 2" xfId="15952"/>
    <cellStyle name="Format text as bold, black on yellow 7 2 2" xfId="15953"/>
    <cellStyle name="dp*NumberLine 2 2 7 3" xfId="15954"/>
    <cellStyle name="Heading [Palat] 6 3 3" xfId="15955"/>
    <cellStyle name="Heading [Helv] 6 3 3" xfId="15956"/>
    <cellStyle name="Format text as bold, black on yellow 6 2 2" xfId="15957"/>
    <cellStyle name="Format a row of totals 6 2 2" xfId="15958"/>
    <cellStyle name="ItemTypeClass 7 2 2" xfId="15959"/>
    <cellStyle name="Main 6 2 2" xfId="15960"/>
    <cellStyle name="Draw shadow and lines within range 6 2 2" xfId="15961"/>
    <cellStyle name="Draw lines around data in range 6 2 2" xfId="15962"/>
    <cellStyle name="dp*ThinLineBelow 5 3 3" xfId="15963"/>
    <cellStyle name="dp*ThinLineAbove 4 2 2" xfId="15964"/>
    <cellStyle name="dp*SubTitle 5 3 3" xfId="15965"/>
    <cellStyle name="dp*SheetSubTitle 4 3 3" xfId="15966"/>
    <cellStyle name="dp*NumberLineEPS 4 3 3" xfId="15967"/>
    <cellStyle name="dp*NumberLine 4 3 3" xfId="15968"/>
    <cellStyle name="ac 2 3 4 3" xfId="15969"/>
    <cellStyle name="dp*Number%ItalicsLineAbove 4 2 2" xfId="15970"/>
    <cellStyle name="Millions 10 2 2" xfId="15971"/>
    <cellStyle name="Date [mmm-yyyy] 2 2 3 3 4 3" xfId="15972"/>
    <cellStyle name="Title [Helv] 2 3 4 3" xfId="15973"/>
    <cellStyle name="DateYearWholeEstimate 6 2 2" xfId="15974"/>
    <cellStyle name="DateYearEstimate 6 2 2" xfId="15975"/>
    <cellStyle name="Date [mmm-yyyy] 4 3 3" xfId="15976"/>
    <cellStyle name="Date [mm-d-yyyy] 7 3 3" xfId="15977"/>
    <cellStyle name="COL HEADINGS 6 3 3" xfId="15978"/>
    <cellStyle name="dp*SheetSubTitle 2 2 2 4 4 3" xfId="15979"/>
    <cellStyle name="Border Thin 7 3 3" xfId="15980"/>
    <cellStyle name="Border 4 2 2" xfId="15981"/>
    <cellStyle name="Bold/Border 6 3 3" xfId="15982"/>
    <cellStyle name="ArialNormal 6 2 2" xfId="15983"/>
    <cellStyle name="Arial8Italic 6 2 2" xfId="15984"/>
    <cellStyle name="Arial8Bold 6 2 2" xfId="15985"/>
    <cellStyle name="Arial6Bold 6 2 2" xfId="15986"/>
    <cellStyle name="Afjusted 7 3 3" xfId="15987"/>
    <cellStyle name="ac 6 3 3" xfId="15988"/>
    <cellStyle name="SAPBEXaggData 4 2 2" xfId="15989"/>
    <cellStyle name="SAPBEXaggDataEmph 4 2 2" xfId="15990"/>
    <cellStyle name="SAPBEXaggItem 4 2 2" xfId="15991"/>
    <cellStyle name="SAPBEXaggItemX 6 2 2" xfId="15992"/>
    <cellStyle name="SAPBEXexcBad7 4 2 2" xfId="15993"/>
    <cellStyle name="SAPBEXexcBad8 4 2 2" xfId="15994"/>
    <cellStyle name="SAPBEXexcBad9 4 2 2" xfId="15995"/>
    <cellStyle name="SAPBEXexcCritical4 4 2 2" xfId="15996"/>
    <cellStyle name="SAPBEXexcCritical5 4 2 2" xfId="15997"/>
    <cellStyle name="SAPBEXexcCritical6 4 2 2" xfId="15998"/>
    <cellStyle name="SAPBEXexcGood2 4 2 2" xfId="15999"/>
    <cellStyle name="SAPBEXexcGood1 4 2 2" xfId="16000"/>
    <cellStyle name="SAPBEXexcGood3 4 2 2" xfId="16001"/>
    <cellStyle name="SAPBEXformats 4 2 2" xfId="16002"/>
    <cellStyle name="SAPBEXHLevel0 6 2 2" xfId="16003"/>
    <cellStyle name="SAPBEXHLevel0X 6 2 2" xfId="16004"/>
    <cellStyle name="SAPBEXHLevel1 6 2 2" xfId="16005"/>
    <cellStyle name="SAPBEXHLevel1X 6 2 2" xfId="16006"/>
    <cellStyle name="SAPBEXHLevel2 6 2 2" xfId="16007"/>
    <cellStyle name="SAPBEXHLevel2X 6 2 2" xfId="16008"/>
    <cellStyle name="SAPBEXHLevel3 6 2 2" xfId="16009"/>
    <cellStyle name="SAPBEXHLevel3X 6 2 2" xfId="16010"/>
    <cellStyle name="SAPBEXresData 4 2 2" xfId="16011"/>
    <cellStyle name="SAPBEXresDataEmph 4 2 2" xfId="16012"/>
    <cellStyle name="SAPBEXresItem 4 2 2" xfId="16013"/>
    <cellStyle name="SAPBEXresItemX 6 2 2" xfId="16014"/>
    <cellStyle name="SAPBEXstdData 4 2 2" xfId="16015"/>
    <cellStyle name="SAPBEXstdDataEmph 4 2 2" xfId="16016"/>
    <cellStyle name="SAPBEXstdItem 4 2 2" xfId="16017"/>
    <cellStyle name="SAPBEXstdItemX 6 2 2" xfId="16018"/>
    <cellStyle name="SAPBEXtitle 4 2 2" xfId="16019"/>
    <cellStyle name="SAPBEXundefined 4 2 2" xfId="16020"/>
    <cellStyle name="Style 44 8 3 3" xfId="16021"/>
    <cellStyle name="Style 45 8 3 3" xfId="16022"/>
    <cellStyle name="Style 49 8 3 3" xfId="16023"/>
    <cellStyle name="Style 51 8 3 3" xfId="16024"/>
    <cellStyle name="SSComma0 4 2 2" xfId="16025"/>
    <cellStyle name="SSComma2 4 2 2" xfId="16026"/>
    <cellStyle name="SSDecs3 4 2 2" xfId="16027"/>
    <cellStyle name="SSDfltPct 4 2 2" xfId="16028"/>
    <cellStyle name="SSDfltPct0 4 2 2" xfId="16029"/>
    <cellStyle name="SSFixed2 4 2 2" xfId="16030"/>
    <cellStyle name="Style 22 7 2 2" xfId="16031"/>
    <cellStyle name="Style 24 5 2 2" xfId="16032"/>
    <cellStyle name="Style 25 5 2 2" xfId="16033"/>
    <cellStyle name="Style 26 5 2 2" xfId="16034"/>
    <cellStyle name="Style 27 5 2 2" xfId="16035"/>
    <cellStyle name="Style 28 5 2 2" xfId="16036"/>
    <cellStyle name="Style 35 7 2 2" xfId="16037"/>
    <cellStyle name="Style 36 7 2 2" xfId="16038"/>
    <cellStyle name="Style 37 7 2 2" xfId="16039"/>
    <cellStyle name="Style 40 7 2 2" xfId="16040"/>
    <cellStyle name="Style 42 7 2 2" xfId="16041"/>
    <cellStyle name="Style 43 7 2 2" xfId="16042"/>
    <cellStyle name="Style 48 7 2 2" xfId="16043"/>
    <cellStyle name="Style 50 7 2 2" xfId="16044"/>
    <cellStyle name="Style 52 7 2 2" xfId="16045"/>
    <cellStyle name="Style 53 7 2 2" xfId="16046"/>
    <cellStyle name="UNLOCKED 27 2 2" xfId="16047"/>
    <cellStyle name="SymbolBlue 7 2 2" xfId="16048"/>
    <cellStyle name="Style 21 7 2 2" xfId="16049"/>
    <cellStyle name="Bold/Border 2 9 3" xfId="16050"/>
    <cellStyle name="Afjusted 3 2 2 4 3" xfId="16051"/>
    <cellStyle name="Style 44 4 2 2 4 3" xfId="16052"/>
    <cellStyle name="Heading [Helv] 2 2 2 2 4 3" xfId="16053"/>
    <cellStyle name="Style 45 4 5 4 3" xfId="16054"/>
    <cellStyle name="Afjusted 4 3 2 4 3" xfId="16055"/>
    <cellStyle name="PB Table Standard Row 2 3 3 3" xfId="16056"/>
    <cellStyle name="Date [mm-d-yyyy] 3 2 3 9" xfId="16057"/>
    <cellStyle name="Style 51 4 2 2 4 3" xfId="16058"/>
    <cellStyle name="DateYearWholeEstimate 7 2 2" xfId="16059"/>
    <cellStyle name="DateYearEstimate 7 2 2" xfId="16060"/>
    <cellStyle name="UNLOCKED 29 2 2" xfId="16061"/>
    <cellStyle name="WingdingsBlack 7 2 2" xfId="16062"/>
    <cellStyle name="WingdingsRed 7 2 2" xfId="16063"/>
    <cellStyle name="WingdingsWhite 7 2 2" xfId="16064"/>
    <cellStyle name="Style 36 4 5" xfId="16065"/>
    <cellStyle name="UNLOCKED 31 2 2" xfId="16066"/>
    <cellStyle name="Title [Palat] 6 3 3" xfId="16067"/>
    <cellStyle name="Title [Helv] 5 3 3" xfId="16068"/>
    <cellStyle name="Table Head Green 7 3 3" xfId="16069"/>
    <cellStyle name="Table Head Aligned 5 3 3" xfId="16070"/>
    <cellStyle name="Outputs 7 3 3" xfId="16071"/>
    <cellStyle name="Millions 11 2 2" xfId="16072"/>
    <cellStyle name="Magic 5 3 3" xfId="16073"/>
    <cellStyle name="Heading [Palat] 7 3 3" xfId="16074"/>
    <cellStyle name="Heading [Helv] 7 3 3" xfId="16075"/>
    <cellStyle name="dp*SheetSubTitle 5 3 3" xfId="16076"/>
    <cellStyle name="dp*NumberLineEPS 5 3 3" xfId="16077"/>
    <cellStyle name="dp*NumberLine 5 3 3" xfId="16078"/>
    <cellStyle name="Date [mmm-yyyy] 5 3 3" xfId="16079"/>
    <cellStyle name="COL HEADINGS 7 3 3" xfId="16080"/>
    <cellStyle name="Bold/Border 7 3 3" xfId="16081"/>
    <cellStyle name="Afjusted 8 3 3" xfId="16082"/>
    <cellStyle name="ac 7 3 3" xfId="16083"/>
    <cellStyle name="UNLOCKED 30 2 2" xfId="16084"/>
    <cellStyle name="FieldName 5 2 2" xfId="16085"/>
    <cellStyle name="WingdingsWhite 8 2 2" xfId="16086"/>
    <cellStyle name="WingdingsRed 8 2 2" xfId="16087"/>
    <cellStyle name="WingdingsBlack 8 2 2" xfId="16088"/>
    <cellStyle name="UNLOCKED 33 2 2" xfId="16089"/>
    <cellStyle name="Title [Palat] 7 3 3" xfId="16090"/>
    <cellStyle name="Title [Helv] 6 3 3" xfId="16091"/>
    <cellStyle name="Table Head Green 8 3 3" xfId="16092"/>
    <cellStyle name="Table Head Aligned 6 3 3" xfId="16093"/>
    <cellStyle name="SymbolBlue 8 2 2" xfId="16094"/>
    <cellStyle name="Style 53 8 2 2" xfId="16095"/>
    <cellStyle name="Style 52 8 2 2" xfId="16096"/>
    <cellStyle name="Style 50 8 2 2" xfId="16097"/>
    <cellStyle name="Style 48 8 2 2" xfId="16098"/>
    <cellStyle name="Style 43 8 2 2" xfId="16099"/>
    <cellStyle name="Style 42 8 2 2" xfId="16100"/>
    <cellStyle name="Style 40 8 2 2" xfId="16101"/>
    <cellStyle name="Style 37 8 2 2" xfId="16102"/>
    <cellStyle name="Style 36 8 2 2" xfId="16103"/>
    <cellStyle name="Style 35 8 2 2" xfId="16104"/>
    <cellStyle name="Style 28 6 2 2" xfId="16105"/>
    <cellStyle name="Style 26 6 2 2" xfId="16106"/>
    <cellStyle name="Style 27 6 2 2" xfId="16107"/>
    <cellStyle name="Style 25 6 2 2" xfId="16108"/>
    <cellStyle name="Style 24 6 2 2" xfId="16109"/>
    <cellStyle name="Style 22 8 2 2" xfId="16110"/>
    <cellStyle name="Style 21 8 2 2" xfId="16111"/>
    <cellStyle name="SSFixed2 5 2 2" xfId="16112"/>
    <cellStyle name="SSDfltPct0 5 2 2" xfId="16113"/>
    <cellStyle name="SSDfltPct 5 2 2" xfId="16114"/>
    <cellStyle name="SSDecs3 5 2 2" xfId="16115"/>
    <cellStyle name="SSComma2 5 2 2" xfId="16116"/>
    <cellStyle name="SSComma0 5 2 2" xfId="16117"/>
    <cellStyle name="SAPBEXundefined 5 2 2" xfId="16118"/>
    <cellStyle name="SAPBEXtitle 5 2 2" xfId="16119"/>
    <cellStyle name="SAPBEXstdItemX 7 2 2" xfId="16120"/>
    <cellStyle name="SAPBEXstdItem 5 2 2" xfId="16121"/>
    <cellStyle name="SAPBEXstdDataEmph 5 2 2" xfId="16122"/>
    <cellStyle name="SAPBEXstdData 5 2 2" xfId="16123"/>
    <cellStyle name="SAPBEXresItemX 7 2 2" xfId="16124"/>
    <cellStyle name="SAPBEXresItem 5 2 2" xfId="16125"/>
    <cellStyle name="SAPBEXresDataEmph 5 2 2" xfId="16126"/>
    <cellStyle name="SAPBEXresData 5 2 2" xfId="16127"/>
    <cellStyle name="SAPBEXHLevel3X 7 2 2" xfId="16128"/>
    <cellStyle name="SAPBEXHLevel3 7 2 2" xfId="16129"/>
    <cellStyle name="SAPBEXHLevel2X 7 2 2" xfId="16130"/>
    <cellStyle name="SAPBEXHLevel2 7 2 2" xfId="16131"/>
    <cellStyle name="SAPBEXHLevel1X 7 2 2" xfId="16132"/>
    <cellStyle name="SAPBEXHLevel1 7 2 2" xfId="16133"/>
    <cellStyle name="SAPBEXHLevel0X 7 2 2" xfId="16134"/>
    <cellStyle name="SAPBEXHLevel0 7 2 2" xfId="16135"/>
    <cellStyle name="SAPBEXformats 5 2 2" xfId="16136"/>
    <cellStyle name="SAPBEXexcGood3 5 2 2" xfId="16137"/>
    <cellStyle name="SAPBEXexcGood2 5 2 2" xfId="16138"/>
    <cellStyle name="SAPBEXexcGood1 5 2 2" xfId="16139"/>
    <cellStyle name="SAPBEXexcCritical6 5 2 2" xfId="16140"/>
    <cellStyle name="SAPBEXexcCritical5 5 2 2" xfId="16141"/>
    <cellStyle name="SAPBEXexcCritical4 5 2 2" xfId="16142"/>
    <cellStyle name="SAPBEXexcBad9 5 2 2" xfId="16143"/>
    <cellStyle name="SAPBEXexcBad8 5 2 2" xfId="16144"/>
    <cellStyle name="SAPBEXexcBad7 5 2 2" xfId="16145"/>
    <cellStyle name="SAPBEXaggItemX 7 2 2" xfId="16146"/>
    <cellStyle name="SAPBEXaggItem 5 2 2" xfId="16147"/>
    <cellStyle name="SAPBEXaggDataEmph 5 2 2" xfId="16148"/>
    <cellStyle name="SAPBEXaggData 5 2 2" xfId="16149"/>
    <cellStyle name="Outputs 8 3 3" xfId="16150"/>
    <cellStyle name="Millions 12 2 2" xfId="16151"/>
    <cellStyle name="Main 7 2 2" xfId="16152"/>
    <cellStyle name="Magic 6 3 3" xfId="16153"/>
    <cellStyle name="ItemTypeClass 8 2 2" xfId="16154"/>
    <cellStyle name="Heading [Palat] 8 3 3" xfId="16155"/>
    <cellStyle name="Heading [Helv] 8 3 3" xfId="16156"/>
    <cellStyle name="Format text as bold, black on yellow 8 2 2" xfId="16157"/>
    <cellStyle name="Format a row of totals 8 2 2" xfId="16158"/>
    <cellStyle name="Draw shadow and lines within range 8 2 2" xfId="16159"/>
    <cellStyle name="Draw lines around data in range 8 2 2" xfId="16160"/>
    <cellStyle name="dp*ThinLineAbove 6 2 2" xfId="16161"/>
    <cellStyle name="dp*SheetSubTitle 6 3 3" xfId="16162"/>
    <cellStyle name="dp*NumberLineEPS 6 3 3" xfId="16163"/>
    <cellStyle name="dp*NumberLine 6 3 3" xfId="16164"/>
    <cellStyle name="dp*Number%ItalicsLineAbove 6 2 2" xfId="16165"/>
    <cellStyle name="DateYearWholeEstimate 8 2 2" xfId="16166"/>
    <cellStyle name="DateYearEstimate 8 2 2" xfId="16167"/>
    <cellStyle name="COL HEADINGS 8 3 3" xfId="16168"/>
    <cellStyle name="dp*NumberLineEPS 2 2 2 4 4 3" xfId="16169"/>
    <cellStyle name="Border 6 2 2" xfId="16170"/>
    <cellStyle name="Bold/Border 8 3 3" xfId="16171"/>
    <cellStyle name="ArialNormal 8 2 2" xfId="16172"/>
    <cellStyle name="Arial8Italic 8 2 2" xfId="16173"/>
    <cellStyle name="Arial8Bold 8 2 2" xfId="16174"/>
    <cellStyle name="Arial6Bold 8 2 2" xfId="16175"/>
    <cellStyle name="Afjusted 9 3 3" xfId="16176"/>
    <cellStyle name="ac 8 3 3" xfId="16177"/>
    <cellStyle name="UNLOCKED 32 2 2" xfId="16178"/>
    <cellStyle name="Date [mmm-yyyy] 6 3 3" xfId="16179"/>
    <cellStyle name="UNLOCKED 37 2" xfId="16180"/>
    <cellStyle name="UNLOCKED 35 2 2" xfId="16181"/>
    <cellStyle name="Title [Palat] 8 3 3" xfId="16182"/>
    <cellStyle name="Title [Helv] 7 3 3" xfId="16183"/>
    <cellStyle name="Table Head Green 9 3 3" xfId="16184"/>
    <cellStyle name="Table Head Aligned 7 3 3" xfId="16185"/>
    <cellStyle name="Outputs 9 3 3" xfId="16186"/>
    <cellStyle name="Millions 13 2 2" xfId="16187"/>
    <cellStyle name="Magic 7 3 3" xfId="16188"/>
    <cellStyle name="Heading [Palat] 9 3 3" xfId="16189"/>
    <cellStyle name="Heading [Helv] 9 3 3" xfId="16190"/>
    <cellStyle name="dp*SheetSubTitle 7 3 3" xfId="16191"/>
    <cellStyle name="dp*NumberLineEPS 7 3 3" xfId="16192"/>
    <cellStyle name="dp*NumberLine 7 3 3" xfId="16193"/>
    <cellStyle name="Date [mmm-yyyy] 7 3 3" xfId="16194"/>
    <cellStyle name="COL HEADINGS 9 3 3" xfId="16195"/>
    <cellStyle name="Bold/Border 9 3 3" xfId="16196"/>
    <cellStyle name="Afjusted 10 3 3" xfId="16197"/>
    <cellStyle name="ac 9 3 3" xfId="16198"/>
    <cellStyle name="UNLOCKED 34 2 2" xfId="16199"/>
    <cellStyle name="Title [Palat] 2 2 2 7 3" xfId="16200"/>
    <cellStyle name="Heading [Palat] 3 4 3" xfId="16201"/>
    <cellStyle name="Afjusted 3 2 7 3" xfId="16202"/>
    <cellStyle name="Afjusted 3 6 2 3" xfId="16203"/>
    <cellStyle name="ac 2 7 2 3" xfId="16204"/>
    <cellStyle name="Afjusted 2 5 2 3" xfId="16205"/>
    <cellStyle name="Bold/Border 2 7 2 3" xfId="16206"/>
    <cellStyle name="COL HEADINGS 2 7 2 3" xfId="16207"/>
    <cellStyle name="Date [mmm-yyyy] 2 6 2 3" xfId="16208"/>
    <cellStyle name="dp*NumberLine 2 6 2 3" xfId="16209"/>
    <cellStyle name="dp*NumberLineEPS 2 6 2 3" xfId="16210"/>
    <cellStyle name="dp*SheetSubTitle 2 6 2 3" xfId="16211"/>
    <cellStyle name="Heading [Helv] 2 7 2 3" xfId="16212"/>
    <cellStyle name="Heading [Palat] 2 7 2 3" xfId="16213"/>
    <cellStyle name="Magic 2 6 2 3" xfId="16214"/>
    <cellStyle name="Outputs 2 7 2 3" xfId="16215"/>
    <cellStyle name="Table Head Aligned 2 6 2 3" xfId="16216"/>
    <cellStyle name="Table Head Green 2 7 2 3" xfId="16217"/>
    <cellStyle name="Title [Helv] 2 6 2 3" xfId="16218"/>
    <cellStyle name="Title [Palat] 2 7 2 3" xfId="16219"/>
    <cellStyle name="Date [mm-d-yyyy] 3 6 2 3" xfId="16220"/>
    <cellStyle name="Style 51 4 6 2 3" xfId="16221"/>
    <cellStyle name="Style 49 4 6 2 3" xfId="16222"/>
    <cellStyle name="Style 45 4 6 2 3" xfId="16223"/>
    <cellStyle name="Style 44 4 6 2 3" xfId="16224"/>
    <cellStyle name="P-Green Rule 3 6 2 3" xfId="16225"/>
    <cellStyle name="PB Table Standard Row 3 6 2 3" xfId="16226"/>
    <cellStyle name="dp*ThinLineBelow 3 6 2 3" xfId="16227"/>
    <cellStyle name="dp*SubTitle 3 6 2 3" xfId="16228"/>
    <cellStyle name="Border Thin 3 6 2 3" xfId="16229"/>
    <cellStyle name="Afjusted 4 6 2 3" xfId="16230"/>
    <cellStyle name="ac 2 2 5 2 3" xfId="16231"/>
    <cellStyle name="Afjusted 2 2 6 2 3" xfId="16232"/>
    <cellStyle name="Bold/Border 2 2 5 2 3" xfId="16233"/>
    <cellStyle name="COL HEADINGS 2 2 5 2 3" xfId="16234"/>
    <cellStyle name="Date [mmm-yyyy] 2 2 5 2 3" xfId="16235"/>
    <cellStyle name="dp*NumberLine 2 2 5 2 3" xfId="16236"/>
    <cellStyle name="dp*NumberLineEPS 2 2 5 2 3" xfId="16237"/>
    <cellStyle name="dp*SheetSubTitle 2 2 5 2 3" xfId="16238"/>
    <cellStyle name="Heading [Helv] 2 2 5 2 3" xfId="16239"/>
    <cellStyle name="Heading [Palat] 2 2 5 2 3" xfId="16240"/>
    <cellStyle name="Magic 2 2 5 2 3" xfId="16241"/>
    <cellStyle name="Outputs 2 2 5 2 3" xfId="16242"/>
    <cellStyle name="Table Head Aligned 2 2 5 2 3" xfId="16243"/>
    <cellStyle name="Table Head Green 2 2 5 2 3" xfId="16244"/>
    <cellStyle name="Title [Helv] 2 2 5 2 3" xfId="16245"/>
    <cellStyle name="Title [Palat] 2 2 5 2 3" xfId="16246"/>
    <cellStyle name="dp*SubTitle 2 2 2 2 3" xfId="16247"/>
    <cellStyle name="Border Thin 2 2 2 2 3" xfId="16248"/>
    <cellStyle name="Bold/Border 2 2 3 4 2 2 3" xfId="16249"/>
    <cellStyle name="Magic 2 2 3 4 2 2 3" xfId="16250"/>
    <cellStyle name="Title [Helv] 2 2 3 4 2 2 3" xfId="16251"/>
    <cellStyle name="Style 51 2 2 2 2 3" xfId="16252"/>
    <cellStyle name="Style 45 2 2 2 2 3" xfId="16253"/>
    <cellStyle name="Style 49 2 2 2 2 3" xfId="16254"/>
    <cellStyle name="Style 44 2 2 2 2 3" xfId="16255"/>
    <cellStyle name="Style 51 3 2 2 2 3" xfId="16256"/>
    <cellStyle name="Style 49 3 2 2 2 3" xfId="16257"/>
    <cellStyle name="Style 45 3 2 2 2 3" xfId="16258"/>
    <cellStyle name="Style 44 3 2 2 2 3" xfId="16259"/>
    <cellStyle name="P-Green Rule 2 2 2 2 3" xfId="16260"/>
    <cellStyle name="PB Table Standard Row 2 2 2 2 3" xfId="16261"/>
    <cellStyle name="dp*ThinLineBelow 2 2 2 2 3" xfId="16262"/>
    <cellStyle name="dp*ThinLineBelow 2 3 2 2 3" xfId="16263"/>
    <cellStyle name="Style 44 3 3 2 2 3" xfId="16264"/>
    <cellStyle name="COL HEADINGS 2 2 3 4 2 2 3" xfId="16265"/>
    <cellStyle name="Style 49 4 3 4 2 2 3" xfId="16266"/>
    <cellStyle name="Afjusted 3 3 4 2 2 3" xfId="16267"/>
    <cellStyle name="Date [mm-d-yyyy] 3 3 4 2 2 3" xfId="16268"/>
    <cellStyle name="Afjusted 4 3 4 2 2 3" xfId="16269"/>
    <cellStyle name="ac 2 2 3 4 2 2 3" xfId="16270"/>
    <cellStyle name="Afjusted 2 2 3 4 2 2 3" xfId="16271"/>
    <cellStyle name="Date [mmm-yyyy] 2 2 3 4 2 2 3" xfId="16272"/>
    <cellStyle name="dp*NumberLine 2 2 3 4 2 2 3" xfId="16273"/>
    <cellStyle name="dp*NumberLineEPS 2 2 3 4 2 2 3" xfId="16274"/>
    <cellStyle name="dp*SheetSubTitle 2 2 3 4 2 2 3" xfId="16275"/>
    <cellStyle name="Heading [Helv] 2 2 3 4 2 2 3" xfId="16276"/>
    <cellStyle name="Outputs 2 2 3 4 2 2 3" xfId="16277"/>
    <cellStyle name="Table Head Aligned 2 2 3 4 2 2 3" xfId="16278"/>
    <cellStyle name="Title [Palat] 2 2 3 4 2 2 3" xfId="16279"/>
    <cellStyle name="Afjusted 3 5 2 2 3" xfId="16280"/>
    <cellStyle name="Style 45 3 3 2 2 3" xfId="16281"/>
    <cellStyle name="Style 51 3 3 2 2 3" xfId="16282"/>
    <cellStyle name="Style 44 2 3 2 2 3" xfId="16283"/>
    <cellStyle name="Style 45 2 3 2 2 3" xfId="16284"/>
    <cellStyle name="Style 49 2 3 2 2 3" xfId="16285"/>
    <cellStyle name="Border Thin 3 5 2 2 3" xfId="16286"/>
    <cellStyle name="ac 2 2 4 2 2 3" xfId="16287"/>
    <cellStyle name="Afjusted 2 2 5 2 2 3" xfId="16288"/>
    <cellStyle name="Bold/Border 2 2 4 2 2 3" xfId="16289"/>
    <cellStyle name="COL HEADINGS 2 2 4 2 2 3" xfId="16290"/>
    <cellStyle name="Date [mmm-yyyy] 2 2 4 2 2 3" xfId="16291"/>
    <cellStyle name="dp*NumberLine 2 2 4 2 2 3" xfId="16292"/>
    <cellStyle name="dp*NumberLineEPS 2 2 4 2 2 3" xfId="16293"/>
    <cellStyle name="dp*SheetSubTitle 2 2 4 2 2 3" xfId="16294"/>
    <cellStyle name="Heading [Palat] 2 2 4 2 2 3" xfId="16295"/>
    <cellStyle name="Outputs 2 2 4 2 2 3" xfId="16296"/>
    <cellStyle name="Magic 2 2 4 2 2 3" xfId="16297"/>
    <cellStyle name="Title [Helv] 2 2 4 2 2 3" xfId="16298"/>
    <cellStyle name="Title [Palat] 2 2 4 2 2 3" xfId="16299"/>
    <cellStyle name="Title [Palat] 2 2 3 3 2 2 3" xfId="16300"/>
    <cellStyle name="Title [Helv] 2 2 3 3 2 2 3" xfId="16301"/>
    <cellStyle name="Table Head Aligned 2 2 3 3 2 2 3" xfId="16302"/>
    <cellStyle name="Magic 2 2 3 3 2 2 3" xfId="16303"/>
    <cellStyle name="Heading [Helv] 2 2 3 3 2 2 3" xfId="16304"/>
    <cellStyle name="dp*NumberLineEPS 2 2 3 3 2 2 3" xfId="16305"/>
    <cellStyle name="COL HEADINGS 2 2 3 3 2 2 3" xfId="16306"/>
    <cellStyle name="ac 2 2 3 3 2 2 3" xfId="16307"/>
    <cellStyle name="Afjusted 4 3 3 2 2 3" xfId="16308"/>
    <cellStyle name="Border Thin 3 3 3 2 2 3" xfId="16309"/>
    <cellStyle name="PB Table Standard Row 3 3 3 2 2 3" xfId="16310"/>
    <cellStyle name="Style 44 4 3 3 2 2 3" xfId="16311"/>
    <cellStyle name="Style 51 4 3 3 2 2 3" xfId="16312"/>
    <cellStyle name="Afjusted 3 3 3 2 2 3" xfId="16313"/>
    <cellStyle name="Style 49 4 5 2 2 3" xfId="16314"/>
    <cellStyle name="Style 44 4 5 2 2 3" xfId="16315"/>
    <cellStyle name="P-Green Rule 3 5 2 2 3" xfId="16316"/>
    <cellStyle name="dp*SubTitle 3 5 2 2 3" xfId="16317"/>
    <cellStyle name="Afjusted 4 5 2 2 3" xfId="16318"/>
    <cellStyle name="ac 2 3 2 2 3" xfId="16319"/>
    <cellStyle name="Bold/Border 2 3 2 2 3" xfId="16320"/>
    <cellStyle name="COL HEADINGS 2 3 2 2 3" xfId="16321"/>
    <cellStyle name="Date [mmm-yyyy] 2 3 2 2 3" xfId="16322"/>
    <cellStyle name="dp*NumberLine 2 3 2 2 3" xfId="16323"/>
    <cellStyle name="dp*NumberLineEPS 2 3 2 2 3" xfId="16324"/>
    <cellStyle name="dp*SheetSubTitle 2 3 2 2 3" xfId="16325"/>
    <cellStyle name="Heading [Helv] 2 3 2 2 3" xfId="16326"/>
    <cellStyle name="Heading [Palat] 2 3 2 2 3" xfId="16327"/>
    <cellStyle name="Magic 2 3 2 2 3" xfId="16328"/>
    <cellStyle name="Outputs 2 3 2 2 3" xfId="16329"/>
    <cellStyle name="Date [mmm-yyyy] 2 2 3 3 2 2 3" xfId="16330"/>
    <cellStyle name="Afjusted 2 2 3 3 2 2 3" xfId="16331"/>
    <cellStyle name="dp*ThinLineBelow 3 3 3 2 2 3" xfId="16332"/>
    <cellStyle name="Style 49 4 3 3 2 2 3" xfId="16333"/>
    <cellStyle name="Outputs 2 2 3 3 2 2 3" xfId="16334"/>
    <cellStyle name="dp*NumberLine 2 2 3 3 2 2 3" xfId="16335"/>
    <cellStyle name="Bold/Border 2 2 3 3 2 2 3" xfId="16336"/>
    <cellStyle name="dp*SubTitle 3 3 3 2 2 3" xfId="16337"/>
    <cellStyle name="Style 45 4 3 3 2 2 3" xfId="16338"/>
    <cellStyle name="Table Head Aligned 2 3 2 2 3" xfId="16339"/>
    <cellStyle name="Table Head Green 2 3 2 2 3" xfId="16340"/>
    <cellStyle name="Title [Helv] 2 3 2 2 3" xfId="16341"/>
    <cellStyle name="Title [Palat] 2 3 2 2 3" xfId="16342"/>
    <cellStyle name="Style 45 4 3 4 2 2 3" xfId="16343"/>
    <cellStyle name="Style 51 4 3 4 2 2 3" xfId="16344"/>
    <cellStyle name="Afjusted 3 4 2 2 3" xfId="16345"/>
    <cellStyle name="P-Green Rule 3 3 4 2 2 3" xfId="16346"/>
    <cellStyle name="Border Thin 2 3 2 2 3" xfId="16347"/>
    <cellStyle name="Style 49 3 3 2 2 3" xfId="16348"/>
    <cellStyle name="Style 51 2 3 2 2 3" xfId="16349"/>
    <cellStyle name="Heading [Helv] 2 2 4 2 2 3" xfId="16350"/>
    <cellStyle name="Table Head Aligned 2 2 4 2 2 3" xfId="16351"/>
    <cellStyle name="Table Head Green 2 2 4 2 2 3" xfId="16352"/>
    <cellStyle name="Table Head Green 2 2 3 3 2 2 3" xfId="16353"/>
    <cellStyle name="Heading [Palat] 2 2 3 3 2 2 3" xfId="16354"/>
    <cellStyle name="dp*SheetSubTitle 2 2 3 3 2 2 3" xfId="16355"/>
    <cellStyle name="P-Green Rule 3 3 3 2 2 3" xfId="16356"/>
    <cellStyle name="Date [mm-d-yyyy] 3 3 3 2 2 3" xfId="16357"/>
    <cellStyle name="Date [mm-d-yyyy] 3 4 2 2 3" xfId="16358"/>
    <cellStyle name="Style 51 4 4 2 2 3" xfId="16359"/>
    <cellStyle name="Style 49 4 4 2 2 3" xfId="16360"/>
    <cellStyle name="Style 45 4 4 2 2 3" xfId="16361"/>
    <cellStyle name="Style 44 4 4 2 2 3" xfId="16362"/>
    <cellStyle name="dp*ThinLineBelow 3 3 4 2 2 3" xfId="16363"/>
    <cellStyle name="P-Green Rule 3 4 2 2 3" xfId="16364"/>
    <cellStyle name="dp*ThinLineBelow 3 4 2 2 3" xfId="16365"/>
    <cellStyle name="dp*SubTitle 3 4 2 2 3" xfId="16366"/>
    <cellStyle name="dp*SubTitle 3 3 4 2 2 3" xfId="16367"/>
    <cellStyle name="Border Thin 3 4 2 2 3" xfId="16368"/>
    <cellStyle name="Border Thin 3 3 4 2 2 3" xfId="16369"/>
    <cellStyle name="Afjusted 4 4 2 2 3" xfId="16370"/>
    <cellStyle name="Afjusted 2 2 4 2 2 3" xfId="16371"/>
    <cellStyle name="Style 44 4 3 4 2 2 3" xfId="16372"/>
    <cellStyle name="PB Table Standard Row 3 3 4 2 2 3" xfId="16373"/>
    <cellStyle name="Title [Palat] 2 2 3 5 2 3" xfId="16374"/>
    <cellStyle name="Title [Helv] 2 2 3 5 2 3" xfId="16375"/>
    <cellStyle name="Table Head Green 2 2 3 5 2 3" xfId="16376"/>
    <cellStyle name="Table Head Aligned 2 2 3 5 2 3" xfId="16377"/>
    <cellStyle name="Outputs 2 2 3 5 2 3" xfId="16378"/>
    <cellStyle name="Magic 2 2 3 5 2 3" xfId="16379"/>
    <cellStyle name="Heading [Palat] 2 2 3 5 2 3" xfId="16380"/>
    <cellStyle name="Heading [Helv] 2 2 3 5 2 3" xfId="16381"/>
    <cellStyle name="dp*SheetSubTitle 2 2 3 5 2 3" xfId="16382"/>
    <cellStyle name="dp*NumberLineEPS 2 2 3 5 2 3" xfId="16383"/>
    <cellStyle name="dp*NumberLine 2 2 3 5 2 3" xfId="16384"/>
    <cellStyle name="Date [mmm-yyyy] 2 2 3 5 2 3" xfId="16385"/>
    <cellStyle name="COL HEADINGS 2 2 3 5 2 3" xfId="16386"/>
    <cellStyle name="Bold/Border 2 2 3 5 2 3" xfId="16387"/>
    <cellStyle name="Afjusted 2 2 3 5 2 3" xfId="16388"/>
    <cellStyle name="ac 2 2 3 5 2 3" xfId="16389"/>
    <cellStyle name="Afjusted 4 3 5 2 3" xfId="16390"/>
    <cellStyle name="Border Thin 3 3 5 2 3" xfId="16391"/>
    <cellStyle name="dp*SubTitle 3 3 5 2 3" xfId="16392"/>
    <cellStyle name="dp*ThinLineBelow 3 3 5 2 3" xfId="16393"/>
    <cellStyle name="PB Table Standard Row 3 3 5 2 3" xfId="16394"/>
    <cellStyle name="P-Green Rule 3 3 5 2 3" xfId="16395"/>
    <cellStyle name="Style 44 4 3 5 2 3" xfId="16396"/>
    <cellStyle name="Style 45 4 3 5 2 3" xfId="16397"/>
    <cellStyle name="Style 49 4 3 5 2 3" xfId="16398"/>
    <cellStyle name="Style 51 4 3 5 2 3" xfId="16399"/>
    <cellStyle name="Date [mm-d-yyyy] 3 3 5 2 3" xfId="16400"/>
    <cellStyle name="Afjusted 3 3 5 2 3" xfId="16401"/>
    <cellStyle name="Date [mm-d-yyyy] 2 2 4 2 3" xfId="16402"/>
    <cellStyle name="Afjusted 3 2 5 2 3" xfId="16403"/>
    <cellStyle name="Date [mm-d-yyyy] 3 2 5 2 3" xfId="16404"/>
    <cellStyle name="Style 51 4 2 5 2 3" xfId="16405"/>
    <cellStyle name="Style 49 4 2 5 2 3" xfId="16406"/>
    <cellStyle name="Style 45 4 2 5 2 3" xfId="16407"/>
    <cellStyle name="Style 44 4 2 5 2 3" xfId="16408"/>
    <cellStyle name="P-Green Rule 3 2 5 2 3" xfId="16409"/>
    <cellStyle name="dp*ThinLineBelow 3 2 5 2 3" xfId="16410"/>
    <cellStyle name="dp*SubTitle 3 2 5 2 3" xfId="16411"/>
    <cellStyle name="Border Thin 3 2 5 2 3" xfId="16412"/>
    <cellStyle name="Afjusted 4 2 5 2 3" xfId="16413"/>
    <cellStyle name="ac 2 2 2 5 2 3" xfId="16414"/>
    <cellStyle name="Afjusted 2 2 2 5 2 3" xfId="16415"/>
    <cellStyle name="Bold/Border 2 2 2 5 2 3" xfId="16416"/>
    <cellStyle name="COL HEADINGS 2 2 2 5 2 3" xfId="16417"/>
    <cellStyle name="Date [mmm-yyyy] 2 2 2 5 2 3" xfId="16418"/>
    <cellStyle name="dp*NumberLine 2 2 2 5 2 3" xfId="16419"/>
    <cellStyle name="dp*NumberLineEPS 2 2 2 5 2 3" xfId="16420"/>
    <cellStyle name="dp*SheetSubTitle 2 2 2 5 2 3" xfId="16421"/>
    <cellStyle name="Heading [Helv] 2 2 2 5 2 3" xfId="16422"/>
    <cellStyle name="Heading [Palat] 2 2 2 5 2 3" xfId="16423"/>
    <cellStyle name="Magic 2 2 2 5 2 3" xfId="16424"/>
    <cellStyle name="Outputs 2 2 2 5 2 3" xfId="16425"/>
    <cellStyle name="Table Head Aligned 2 2 2 5 2 3" xfId="16426"/>
    <cellStyle name="Table Head Green 2 2 2 5 2 3" xfId="16427"/>
    <cellStyle name="Title [Helv] 2 2 2 5 2 3" xfId="16428"/>
    <cellStyle name="Title [Palat] 2 2 2 5 2 3" xfId="16429"/>
    <cellStyle name="Table Head Green 2 2 3 4 2 2 3" xfId="16430"/>
    <cellStyle name="Heading [Palat] 2 2 3 4 2 2 3" xfId="16431"/>
    <cellStyle name="PB Table Standard Row 2 3 2 2 3" xfId="16432"/>
    <cellStyle name="P-Green Rule 2 3 2 2 3" xfId="16433"/>
    <cellStyle name="Title [Palat] 2 2 3 2 2 2 3" xfId="16434"/>
    <cellStyle name="Title [Helv] 2 2 3 2 2 2 3" xfId="16435"/>
    <cellStyle name="Table Head Green 2 2 3 2 2 2 3" xfId="16436"/>
    <cellStyle name="Table Head Aligned 2 2 3 2 2 2 3" xfId="16437"/>
    <cellStyle name="Outputs 2 2 3 2 2 2 3" xfId="16438"/>
    <cellStyle name="Magic 2 2 3 2 2 2 3" xfId="16439"/>
    <cellStyle name="Heading [Palat] 2 2 3 2 2 2 3" xfId="16440"/>
    <cellStyle name="Heading [Helv] 2 2 3 2 2 2 3" xfId="16441"/>
    <cellStyle name="dp*SheetSubTitle 2 2 3 2 2 2 3" xfId="16442"/>
    <cellStyle name="dp*NumberLineEPS 2 2 3 2 2 2 3" xfId="16443"/>
    <cellStyle name="dp*NumberLine 2 2 3 2 2 2 3" xfId="16444"/>
    <cellStyle name="Date [mmm-yyyy] 2 2 3 2 2 2 3" xfId="16445"/>
    <cellStyle name="COL HEADINGS 2 2 3 2 2 2 3" xfId="16446"/>
    <cellStyle name="Bold/Border 2 2 3 2 2 2 3" xfId="16447"/>
    <cellStyle name="Afjusted 2 2 3 2 2 2 3" xfId="16448"/>
    <cellStyle name="ac 2 2 3 2 2 2 3" xfId="16449"/>
    <cellStyle name="Afjusted 4 3 2 2 2 3" xfId="16450"/>
    <cellStyle name="Border Thin 3 3 2 2 2 3" xfId="16451"/>
    <cellStyle name="dp*SubTitle 3 3 2 2 2 3" xfId="16452"/>
    <cellStyle name="dp*ThinLineBelow 3 3 2 2 2 3" xfId="16453"/>
    <cellStyle name="PB Table Standard Row 3 3 2 2 2 3" xfId="16454"/>
    <cellStyle name="P-Green Rule 3 3 2 2 2 3" xfId="16455"/>
    <cellStyle name="Style 44 4 3 2 2 2 3" xfId="16456"/>
    <cellStyle name="Style 45 4 3 2 2 2 3" xfId="16457"/>
    <cellStyle name="Style 49 4 3 2 2 2 3" xfId="16458"/>
    <cellStyle name="Style 51 4 3 2 2 2 3" xfId="16459"/>
    <cellStyle name="Date [mm-d-yyyy] 3 3 2 2 2 3" xfId="16460"/>
    <cellStyle name="Afjusted 3 3 2 2 2 3" xfId="16461"/>
    <cellStyle name="Date [mm-d-yyyy] 3 5 2 2 3" xfId="16462"/>
    <cellStyle name="dp*SubTitle 2 3 2 2 3" xfId="16463"/>
    <cellStyle name="Date [mm-d-yyyy] 2 2 2 2 2 3" xfId="16464"/>
    <cellStyle name="Afjusted 3 2 2 2 2 3" xfId="16465"/>
    <cellStyle name="PB Table Standard Row 3 5 2 2 3" xfId="16466"/>
    <cellStyle name="Date [mm-d-yyyy] 3 2 2 2 2 3" xfId="16467"/>
    <cellStyle name="Style 51 4 2 2 2 2 3" xfId="16468"/>
    <cellStyle name="Style 49 4 2 2 2 2 3" xfId="16469"/>
    <cellStyle name="Style 45 4 2 2 2 2 3" xfId="16470"/>
    <cellStyle name="Style 44 4 2 2 2 2 3" xfId="16471"/>
    <cellStyle name="Style 45 4 5 2 2 3" xfId="16472"/>
    <cellStyle name="P-Green Rule 3 2 2 2 2 3" xfId="16473"/>
    <cellStyle name="PB Table Standard Row 3 2 2 2 2 3" xfId="16474"/>
    <cellStyle name="dp*ThinLineBelow 3 2 2 2 2 3" xfId="16475"/>
    <cellStyle name="dp*SubTitle 3 2 2 2 2 3" xfId="16476"/>
    <cellStyle name="Style 51 4 5 2 2 3" xfId="16477"/>
    <cellStyle name="Border Thin 3 2 2 2 2 3" xfId="16478"/>
    <cellStyle name="Afjusted 4 2 2 2 2 3" xfId="16479"/>
    <cellStyle name="ac 2 2 2 2 2 2 3" xfId="16480"/>
    <cellStyle name="Afjusted 2 2 2 2 2 2 3" xfId="16481"/>
    <cellStyle name="Bold/Border 2 2 2 2 2 2 3" xfId="16482"/>
    <cellStyle name="COL HEADINGS 2 2 2 2 2 2 3" xfId="16483"/>
    <cellStyle name="Date [mmm-yyyy] 2 2 2 2 2 2 3" xfId="16484"/>
    <cellStyle name="dp*NumberLine 2 2 2 2 2 2 3" xfId="16485"/>
    <cellStyle name="dp*NumberLineEPS 2 2 2 2 2 2 3" xfId="16486"/>
    <cellStyle name="dp*SheetSubTitle 2 2 2 2 2 2 3" xfId="16487"/>
    <cellStyle name="Heading [Helv] 2 2 2 2 2 2 3" xfId="16488"/>
    <cellStyle name="Heading [Palat] 2 2 2 2 2 2 3" xfId="16489"/>
    <cellStyle name="Magic 2 2 2 2 2 2 3" xfId="16490"/>
    <cellStyle name="Outputs 2 2 2 2 2 2 3" xfId="16491"/>
    <cellStyle name="Table Head Aligned 2 2 2 2 2 2 3" xfId="16492"/>
    <cellStyle name="Table Head Green 2 2 2 2 2 2 3" xfId="16493"/>
    <cellStyle name="Title [Helv] 2 2 2 2 2 2 3" xfId="16494"/>
    <cellStyle name="Title [Palat] 2 2 2 2 2 2 3" xfId="16495"/>
    <cellStyle name="dp*ThinLineBelow 3 5 2 2 3" xfId="16496"/>
    <cellStyle name="Date [mm-d-yyyy] 2 2 3 2 2 3" xfId="16497"/>
    <cellStyle name="Afjusted 3 2 3 2 2 3" xfId="16498"/>
    <cellStyle name="Date [mm-d-yyyy] 3 2 3 2 2 3" xfId="16499"/>
    <cellStyle name="Style 51 4 2 3 2 2 3" xfId="16500"/>
    <cellStyle name="Style 49 4 2 3 2 2 3" xfId="16501"/>
    <cellStyle name="Style 45 4 2 3 2 2 3" xfId="16502"/>
    <cellStyle name="Style 44 4 2 3 2 2 3" xfId="16503"/>
    <cellStyle name="P-Green Rule 3 2 3 2 2 3" xfId="16504"/>
    <cellStyle name="PB Table Standard Row 3 2 3 2 2 3" xfId="16505"/>
    <cellStyle name="dp*ThinLineBelow 3 2 3 2 2 3" xfId="16506"/>
    <cellStyle name="dp*SubTitle 3 2 3 2 2 3" xfId="16507"/>
    <cellStyle name="Border Thin 3 2 3 2 2 3" xfId="16508"/>
    <cellStyle name="Afjusted 4 2 3 2 2 3" xfId="16509"/>
    <cellStyle name="ac 2 2 2 3 2 2 3" xfId="16510"/>
    <cellStyle name="Afjusted 2 2 2 3 2 2 3" xfId="16511"/>
    <cellStyle name="Bold/Border 2 2 2 3 2 2 3" xfId="16512"/>
    <cellStyle name="COL HEADINGS 2 2 2 3 2 2 3" xfId="16513"/>
    <cellStyle name="Date [mmm-yyyy] 2 2 2 3 2 2 3" xfId="16514"/>
    <cellStyle name="dp*NumberLine 2 2 2 3 2 2 3" xfId="16515"/>
    <cellStyle name="dp*NumberLineEPS 2 2 2 3 2 2 3" xfId="16516"/>
    <cellStyle name="dp*SheetSubTitle 2 2 2 3 2 2 3" xfId="16517"/>
    <cellStyle name="Heading [Helv] 2 2 2 3 2 2 3" xfId="16518"/>
    <cellStyle name="Heading [Palat] 2 2 2 3 2 2 3" xfId="16519"/>
    <cellStyle name="Magic 2 2 2 3 2 2 3" xfId="16520"/>
    <cellStyle name="Outputs 2 2 2 3 2 2 3" xfId="16521"/>
    <cellStyle name="Table Head Aligned 2 2 2 3 2 2 3" xfId="16522"/>
    <cellStyle name="Table Head Green 2 2 2 3 2 2 3" xfId="16523"/>
    <cellStyle name="Title [Helv] 2 2 2 3 2 2 3" xfId="16524"/>
    <cellStyle name="Title [Palat] 2 2 2 3 2 2 3" xfId="16525"/>
    <cellStyle name="Afjusted 3 2 4 2 2 3" xfId="16526"/>
    <cellStyle name="Date [mm-d-yyyy] 3 2 4 2 2 3" xfId="16527"/>
    <cellStyle name="Style 51 4 2 4 2 2 3" xfId="16528"/>
    <cellStyle name="Style 49 4 2 4 2 2 3" xfId="16529"/>
    <cellStyle name="Style 45 4 2 4 2 2 3" xfId="16530"/>
    <cellStyle name="Style 44 4 2 4 2 2 3" xfId="16531"/>
    <cellStyle name="P-Green Rule 3 2 4 2 2 3" xfId="16532"/>
    <cellStyle name="PB Table Standard Row 3 2 4 2 2 3" xfId="16533"/>
    <cellStyle name="dp*ThinLineBelow 3 2 4 2 2 3" xfId="16534"/>
    <cellStyle name="dp*SubTitle 3 2 4 2 2 3" xfId="16535"/>
    <cellStyle name="Border Thin 3 2 4 2 2 3" xfId="16536"/>
    <cellStyle name="Afjusted 4 2 4 2 2 3" xfId="16537"/>
    <cellStyle name="ac 2 2 2 4 2 2 3" xfId="16538"/>
    <cellStyle name="Afjusted 2 2 2 4 2 2 3" xfId="16539"/>
    <cellStyle name="Bold/Border 2 2 2 4 2 2 3" xfId="16540"/>
    <cellStyle name="COL HEADINGS 2 2 2 4 2 2 3" xfId="16541"/>
    <cellStyle name="Date [mmm-yyyy] 2 2 2 4 2 2 3" xfId="16542"/>
    <cellStyle name="dp*NumberLine 2 2 2 4 2 2 3" xfId="16543"/>
    <cellStyle name="dp*NumberLineEPS 2 2 2 4 2 2 3" xfId="16544"/>
    <cellStyle name="dp*SheetSubTitle 2 2 2 4 2 2 3" xfId="16545"/>
    <cellStyle name="Heading [Helv] 2 2 2 4 2 2 3" xfId="16546"/>
    <cellStyle name="Heading [Palat] 2 2 2 4 2 2 3" xfId="16547"/>
    <cellStyle name="Magic 2 2 2 4 2 2 3" xfId="16548"/>
    <cellStyle name="Outputs 2 2 2 4 2 2 3" xfId="16549"/>
    <cellStyle name="Table Head Aligned 2 2 2 4 2 2 3" xfId="16550"/>
    <cellStyle name="Table Head Green 2 2 2 4 2 2 3" xfId="16551"/>
    <cellStyle name="Title [Helv] 2 2 2 4 2 2 3" xfId="16552"/>
    <cellStyle name="Title [Palat] 2 2 2 4 2 2 3" xfId="16553"/>
    <cellStyle name="Border Thin 4 2 2 3" xfId="16554"/>
    <cellStyle name="Date [mm-d-yyyy] 4 2 2 3" xfId="16555"/>
    <cellStyle name="dp*SubTitle 4 2 2 3" xfId="16556"/>
    <cellStyle name="dp*ThinLineBelow 4 2 2 3" xfId="16557"/>
    <cellStyle name="PB Table Standard Row 4 2 2 3" xfId="16558"/>
    <cellStyle name="P-Green Rule 4 2 2 3" xfId="16559"/>
    <cellStyle name="Style 44 5 2 2 3" xfId="16560"/>
    <cellStyle name="Style 45 5 2 2 3" xfId="16561"/>
    <cellStyle name="Style 49 5 2 2 3" xfId="16562"/>
    <cellStyle name="Style 51 5 2 2 3" xfId="16563"/>
    <cellStyle name="Title [Palat] 3 2 2 3" xfId="16564"/>
    <cellStyle name="Title [Helv] 3 2 2 3" xfId="16565"/>
    <cellStyle name="Table Head Green 3 2 2 3" xfId="16566"/>
    <cellStyle name="Table Head Aligned 3 2 2 3" xfId="16567"/>
    <cellStyle name="Outputs 3 2 2 3" xfId="16568"/>
    <cellStyle name="Magic 3 2 2 3" xfId="16569"/>
    <cellStyle name="Heading [Palat] 3 2 2 3" xfId="16570"/>
    <cellStyle name="Heading [Helv] 3 2 2 3" xfId="16571"/>
    <cellStyle name="dp*SheetSubTitle 3 2 2 3" xfId="16572"/>
    <cellStyle name="dp*NumberLineEPS 3 2 2 3" xfId="16573"/>
    <cellStyle name="dp*NumberLine 3 2 2 3" xfId="16574"/>
    <cellStyle name="COL HEADINGS 3 2 2 3" xfId="16575"/>
    <cellStyle name="Bold/Border 3 2 2 3" xfId="16576"/>
    <cellStyle name="Afjusted 5 2 2 3" xfId="16577"/>
    <cellStyle name="ac 3 2 2 3" xfId="16578"/>
    <cellStyle name="Date [mmm-yyyy] 3 2 2 3" xfId="16579"/>
    <cellStyle name="ac 2 4 2 2 3" xfId="16580"/>
    <cellStyle name="Afjusted 2 3 2 2 3" xfId="16581"/>
    <cellStyle name="Bold/Border 2 4 2 2 3" xfId="16582"/>
    <cellStyle name="Border Thin 2 4 2 2 3" xfId="16583"/>
    <cellStyle name="COL HEADINGS 2 4 2 2 3" xfId="16584"/>
    <cellStyle name="Date [mmm-yyyy] 2 4 2 2 3" xfId="16585"/>
    <cellStyle name="dp*NumberLine 2 4 2 2 3" xfId="16586"/>
    <cellStyle name="dp*NumberLineEPS 2 4 2 2 3" xfId="16587"/>
    <cellStyle name="dp*SheetSubTitle 2 4 2 2 3" xfId="16588"/>
    <cellStyle name="dp*SubTitle 2 4 2 2 3" xfId="16589"/>
    <cellStyle name="dp*ThinLineBelow 2 4 2 2 3" xfId="16590"/>
    <cellStyle name="Heading [Helv] 2 4 2 2 3" xfId="16591"/>
    <cellStyle name="Heading [Palat] 2 4 2 2 3" xfId="16592"/>
    <cellStyle name="Magic 2 4 2 2 3" xfId="16593"/>
    <cellStyle name="Outputs 2 4 2 2 3" xfId="16594"/>
    <cellStyle name="PB Table Standard Row 2 4 2 2 3" xfId="16595"/>
    <cellStyle name="P-Green Rule 2 4 2 2 3" xfId="16596"/>
    <cellStyle name="Style 44 3 4 2 2 3" xfId="16597"/>
    <cellStyle name="Style 45 3 4 2 2 3" xfId="16598"/>
    <cellStyle name="Style 49 3 4 2 2 3" xfId="16599"/>
    <cellStyle name="Style 51 3 4 2 2 3" xfId="16600"/>
    <cellStyle name="Style 44 2 4 2 2 3" xfId="16601"/>
    <cellStyle name="Style 45 2 4 2 2 3" xfId="16602"/>
    <cellStyle name="Style 49 2 4 2 2 3" xfId="16603"/>
    <cellStyle name="Style 51 2 4 2 2 3" xfId="16604"/>
    <cellStyle name="Table Head Aligned 2 4 2 2 3" xfId="16605"/>
    <cellStyle name="Table Head Green 2 4 2 2 3" xfId="16606"/>
    <cellStyle name="Title [Helv] 2 4 2 2 3" xfId="16607"/>
    <cellStyle name="Title [Palat] 2 4 2 2 3" xfId="16608"/>
    <cellStyle name="ac 4 2 2 3" xfId="16609"/>
    <cellStyle name="Bold/Border 4 2 2 3" xfId="16610"/>
    <cellStyle name="Border Thin 5 2 2 3" xfId="16611"/>
    <cellStyle name="COL HEADINGS 4 2 2 3" xfId="16612"/>
    <cellStyle name="Date [mm-d-yyyy] 5 2 2 3" xfId="16613"/>
    <cellStyle name="Heading [Helv] 4 2 2 3" xfId="16614"/>
    <cellStyle name="Heading [Palat] 4 2 2 3" xfId="16615"/>
    <cellStyle name="Outputs 4 2 2 3" xfId="16616"/>
    <cellStyle name="PB Table Standard Row 5 2 2 3" xfId="16617"/>
    <cellStyle name="P-Green Rule 5 2 2 3" xfId="16618"/>
    <cellStyle name="Style 44 6 2 2 3" xfId="16619"/>
    <cellStyle name="Style 45 6 2 2 3" xfId="16620"/>
    <cellStyle name="Style 49 6 2 2 3" xfId="16621"/>
    <cellStyle name="Style 51 6 2 2 3" xfId="16622"/>
    <cellStyle name="Table Head Green 4 2 2 3" xfId="16623"/>
    <cellStyle name="Afjusted 6 2 2 3" xfId="16624"/>
    <cellStyle name="ac 2 5 2 2 3" xfId="16625"/>
    <cellStyle name="Afjusted 2 4 2 2 3" xfId="16626"/>
    <cellStyle name="Bold/Border 2 5 2 2 3" xfId="16627"/>
    <cellStyle name="Border Thin 2 5 2 2 3" xfId="16628"/>
    <cellStyle name="COL HEADINGS 2 5 2 2 3" xfId="16629"/>
    <cellStyle name="Date [mmm-yyyy] 2 5 2 2 3" xfId="16630"/>
    <cellStyle name="dp*NumberLine 2 5 2 2 3" xfId="16631"/>
    <cellStyle name="dp*NumberLineEPS 2 5 2 2 3" xfId="16632"/>
    <cellStyle name="dp*SheetSubTitle 2 5 2 2 3" xfId="16633"/>
    <cellStyle name="dp*SubTitle 2 5 2 2 3" xfId="16634"/>
    <cellStyle name="dp*ThinLineBelow 2 5 2 2 3" xfId="16635"/>
    <cellStyle name="Heading [Helv] 2 5 2 2 3" xfId="16636"/>
    <cellStyle name="Heading [Palat] 2 5 2 2 3" xfId="16637"/>
    <cellStyle name="Magic 2 5 2 2 3" xfId="16638"/>
    <cellStyle name="Outputs 2 5 2 2 3" xfId="16639"/>
    <cellStyle name="PB Table Standard Row 2 5 2 2 3" xfId="16640"/>
    <cellStyle name="P-Green Rule 2 5 2 2 3" xfId="16641"/>
    <cellStyle name="Style 44 3 5 2 2 3" xfId="16642"/>
    <cellStyle name="Style 45 3 5 2 2 3" xfId="16643"/>
    <cellStyle name="Style 49 3 5 2 2 3" xfId="16644"/>
    <cellStyle name="Style 51 3 5 2 2 3" xfId="16645"/>
    <cellStyle name="Style 44 2 5 2 2 3" xfId="16646"/>
    <cellStyle name="Style 45 2 5 2 2 3" xfId="16647"/>
    <cellStyle name="Style 49 2 5 2 2 3" xfId="16648"/>
    <cellStyle name="Style 51 2 5 2 2 3" xfId="16649"/>
    <cellStyle name="Table Head Aligned 2 5 2 2 3" xfId="16650"/>
    <cellStyle name="Table Head Green 2 5 2 2 3" xfId="16651"/>
    <cellStyle name="Title [Helv] 2 5 2 2 3" xfId="16652"/>
    <cellStyle name="Title [Palat] 2 5 2 2 3" xfId="16653"/>
    <cellStyle name="ac 5 2 2 3" xfId="16654"/>
    <cellStyle name="Bold/Border 5 2 2 3" xfId="16655"/>
    <cellStyle name="Border Thin 6 2 2 3" xfId="16656"/>
    <cellStyle name="COL HEADINGS 5 2 2 3" xfId="16657"/>
    <cellStyle name="Heading [Helv] 5 2 2 3" xfId="16658"/>
    <cellStyle name="Heading [Palat] 5 2 2 3" xfId="16659"/>
    <cellStyle name="Outputs 5 2 2 3" xfId="16660"/>
    <cellStyle name="PB Table Standard Row 6 2 2 3" xfId="16661"/>
    <cellStyle name="P-Green Rule 6 2 2 3" xfId="16662"/>
    <cellStyle name="Style 44 7 2 2 3" xfId="16663"/>
    <cellStyle name="Style 45 7 2 2 3" xfId="16664"/>
    <cellStyle name="Style 49 7 2 2 3" xfId="16665"/>
    <cellStyle name="Style 51 7 2 2 3" xfId="16666"/>
    <cellStyle name="Table Head Green 5 2 2 3" xfId="16667"/>
    <cellStyle name="Title [Palat] 4 2 2 3" xfId="16668"/>
    <cellStyle name="ac 2 6 2 2 3" xfId="16669"/>
    <cellStyle name="Bold/Border 2 6 2 2 3" xfId="16670"/>
    <cellStyle name="Border Thin 2 6 2 2 3" xfId="16671"/>
    <cellStyle name="COL HEADINGS 2 6 2 2 3" xfId="16672"/>
    <cellStyle name="Heading [Helv] 2 6 2 2 3" xfId="16673"/>
    <cellStyle name="Heading [Palat] 2 6 2 2 3" xfId="16674"/>
    <cellStyle name="Outputs 2 6 2 2 3" xfId="16675"/>
    <cellStyle name="PB Table Standard Row 2 6 2 2 3" xfId="16676"/>
    <cellStyle name="P-Green Rule 2 6 2 2 3" xfId="16677"/>
    <cellStyle name="Style 44 3 6 2 2 3" xfId="16678"/>
    <cellStyle name="Style 45 3 6 2 2 3" xfId="16679"/>
    <cellStyle name="Style 49 3 6 2 2 3" xfId="16680"/>
    <cellStyle name="Style 51 3 6 2 2 3" xfId="16681"/>
    <cellStyle name="Style 44 2 6 2 2 3" xfId="16682"/>
    <cellStyle name="Style 45 2 6 2 2 3" xfId="16683"/>
    <cellStyle name="Style 49 2 6 2 2 3" xfId="16684"/>
    <cellStyle name="Style 51 2 6 2 2 3" xfId="16685"/>
    <cellStyle name="Table Head Green 2 6 2 2 3" xfId="16686"/>
    <cellStyle name="Title [Palat] 2 6 2 2 3" xfId="16687"/>
    <cellStyle name="Title [Palat] 5 2 2 3" xfId="16688"/>
    <cellStyle name="Title [Helv] 4 2 2 3" xfId="16689"/>
    <cellStyle name="Table Head Green 6 2 2 3" xfId="16690"/>
    <cellStyle name="Table Head Aligned 4 2 2 3" xfId="16691"/>
    <cellStyle name="Style 51 9 2 2 3" xfId="16692"/>
    <cellStyle name="Style 49 9 2 2 3" xfId="16693"/>
    <cellStyle name="Style 45 9 2 2 3" xfId="16694"/>
    <cellStyle name="Style 44 9 2 2 3" xfId="16695"/>
    <cellStyle name="P-Green Rule 7 2 2 3" xfId="16696"/>
    <cellStyle name="PB Table Standard Row 7 2 2 3" xfId="16697"/>
    <cellStyle name="Outputs 6 2 2 3" xfId="16698"/>
    <cellStyle name="Magic 4 2 2 3" xfId="16699"/>
    <cellStyle name="Heading [Palat] 6 2 2 3" xfId="16700"/>
    <cellStyle name="Heading [Helv] 6 2 2 3" xfId="16701"/>
    <cellStyle name="dp*ThinLineBelow 5 2 2 3" xfId="16702"/>
    <cellStyle name="dp*SubTitle 5 2 2 3" xfId="16703"/>
    <cellStyle name="dp*SheetSubTitle 4 2 2 3" xfId="16704"/>
    <cellStyle name="dp*NumberLineEPS 4 2 2 3" xfId="16705"/>
    <cellStyle name="dp*NumberLine 4 2 2 3" xfId="16706"/>
    <cellStyle name="Date [mmm-yyyy] 4 2 2 3" xfId="16707"/>
    <cellStyle name="Date [mm-d-yyyy] 7 2 2 3" xfId="16708"/>
    <cellStyle name="COL HEADINGS 6 2 2 3" xfId="16709"/>
    <cellStyle name="Border Thin 7 2 2 3" xfId="16710"/>
    <cellStyle name="Bold/Border 6 2 2 3" xfId="16711"/>
    <cellStyle name="Afjusted 7 2 2 3" xfId="16712"/>
    <cellStyle name="ac 6 2 2 3" xfId="16713"/>
    <cellStyle name="Style 44 8 2 2 3" xfId="16714"/>
    <cellStyle name="Style 45 8 2 2 3" xfId="16715"/>
    <cellStyle name="Style 49 8 2 2 3" xfId="16716"/>
    <cellStyle name="Style 51 8 2 2 3" xfId="16717"/>
    <cellStyle name="Title [Palat] 6 2 2 3" xfId="16718"/>
    <cellStyle name="Title [Helv] 5 2 2 3" xfId="16719"/>
    <cellStyle name="Table Head Green 7 2 2 3" xfId="16720"/>
    <cellStyle name="Table Head Aligned 5 2 2 3" xfId="16721"/>
    <cellStyle name="Outputs 7 2 2 3" xfId="16722"/>
    <cellStyle name="Magic 5 2 2 3" xfId="16723"/>
    <cellStyle name="Heading [Palat] 7 2 2 3" xfId="16724"/>
    <cellStyle name="Heading [Helv] 7 2 2 3" xfId="16725"/>
    <cellStyle name="dp*SheetSubTitle 5 2 2 3" xfId="16726"/>
    <cellStyle name="dp*NumberLineEPS 5 2 2 3" xfId="16727"/>
    <cellStyle name="dp*NumberLine 5 2 2 3" xfId="16728"/>
    <cellStyle name="Date [mmm-yyyy] 5 2 2 3" xfId="16729"/>
    <cellStyle name="COL HEADINGS 7 2 2 3" xfId="16730"/>
    <cellStyle name="Bold/Border 7 2 2 3" xfId="16731"/>
    <cellStyle name="Afjusted 8 2 2 3" xfId="16732"/>
    <cellStyle name="ac 7 2 2 3" xfId="16733"/>
    <cellStyle name="Title [Palat] 7 2 2 3" xfId="16734"/>
    <cellStyle name="Title [Helv] 6 2 2 3" xfId="16735"/>
    <cellStyle name="Table Head Green 8 2 2 3" xfId="16736"/>
    <cellStyle name="Table Head Aligned 6 2 2 3" xfId="16737"/>
    <cellStyle name="Outputs 8 2 2 3" xfId="16738"/>
    <cellStyle name="Magic 6 2 2 3" xfId="16739"/>
    <cellStyle name="Heading [Palat] 8 2 2 3" xfId="16740"/>
    <cellStyle name="Heading [Helv] 8 2 2 3" xfId="16741"/>
    <cellStyle name="dp*SheetSubTitle 6 2 2 3" xfId="16742"/>
    <cellStyle name="dp*NumberLineEPS 6 2 2 3" xfId="16743"/>
    <cellStyle name="dp*NumberLine 6 2 2 3" xfId="16744"/>
    <cellStyle name="COL HEADINGS 8 2 2 3" xfId="16745"/>
    <cellStyle name="Bold/Border 8 2 2 3" xfId="16746"/>
    <cellStyle name="Afjusted 9 2 2 3" xfId="16747"/>
    <cellStyle name="ac 8 2 2 3" xfId="16748"/>
    <cellStyle name="Date [mmm-yyyy] 6 2 2 3" xfId="16749"/>
    <cellStyle name="Title [Palat] 8 2 2 3" xfId="16750"/>
    <cellStyle name="Title [Helv] 7 2 2 3" xfId="16751"/>
    <cellStyle name="Table Head Green 9 2 2 3" xfId="16752"/>
    <cellStyle name="Table Head Aligned 7 2 2 3" xfId="16753"/>
    <cellStyle name="Outputs 9 2 2 3" xfId="16754"/>
    <cellStyle name="Magic 7 2 2 3" xfId="16755"/>
    <cellStyle name="Heading [Palat] 9 2 2 3" xfId="16756"/>
    <cellStyle name="Heading [Helv] 9 2 2 3" xfId="16757"/>
    <cellStyle name="dp*SheetSubTitle 7 2 2 3" xfId="16758"/>
    <cellStyle name="dp*NumberLineEPS 7 2 2 3" xfId="16759"/>
    <cellStyle name="dp*NumberLine 7 2 2 3" xfId="16760"/>
    <cellStyle name="Date [mmm-yyyy] 7 2 2 3" xfId="16761"/>
    <cellStyle name="COL HEADINGS 9 2 2 3" xfId="16762"/>
    <cellStyle name="Bold/Border 9 2 2 3" xfId="16763"/>
    <cellStyle name="Afjusted 10 2 2 3" xfId="16764"/>
    <cellStyle name="ac 9 2 2 3" xfId="16765"/>
    <cellStyle name="Style 44 6 4 3" xfId="16766"/>
    <cellStyle name="Style 45 6 4 3" xfId="16767"/>
    <cellStyle name="Style 49 6 4 3" xfId="16768"/>
    <cellStyle name="Style 51 6 4 3" xfId="16769"/>
    <cellStyle name="Table Head Green 4 4 3" xfId="16770"/>
    <cellStyle name="SSDfltPct0 2 4" xfId="16771"/>
    <cellStyle name="Table Head Aligned 2 2 2 12" xfId="16772"/>
    <cellStyle name="Afjusted 6 4 3" xfId="16773"/>
    <cellStyle name="Style 21 2 4" xfId="16774"/>
    <cellStyle name="ac 2 5 4 3" xfId="16775"/>
    <cellStyle name="Afjusted 2 4 4 3" xfId="16776"/>
    <cellStyle name="Bold/Border 2 5 4 3" xfId="16777"/>
    <cellStyle name="Border Thin 2 5 4 3" xfId="16778"/>
    <cellStyle name="COL HEADINGS 2 5 4 3" xfId="16779"/>
    <cellStyle name="Date [mmm-yyyy] 2 5 4 3" xfId="16780"/>
    <cellStyle name="dp*NumberLine 2 5 4 3" xfId="16781"/>
    <cellStyle name="dp*NumberLineEPS 2 5 4 3" xfId="16782"/>
    <cellStyle name="dp*SheetSubTitle 2 5 4 3" xfId="16783"/>
    <cellStyle name="dp*SubTitle 2 5 4 3" xfId="16784"/>
    <cellStyle name="dp*ThinLineBelow 2 5 4 3" xfId="16785"/>
    <cellStyle name="Heading [Helv] 2 5 4 3" xfId="16786"/>
    <cellStyle name="Heading [Palat] 2 5 4 3" xfId="16787"/>
    <cellStyle name="Magic 2 5 4 3" xfId="16788"/>
    <cellStyle name="Outputs 2 5 4 3" xfId="16789"/>
    <cellStyle name="PB Table Standard Row 2 5 4 3" xfId="16790"/>
    <cellStyle name="P-Green Rule 2 5 4 3" xfId="16791"/>
    <cellStyle name="Style 44 3 5 4 3" xfId="16792"/>
    <cellStyle name="Style 45 3 5 4 3" xfId="16793"/>
    <cellStyle name="Style 49 3 5 4 3" xfId="16794"/>
    <cellStyle name="Style 51 3 5 4 3" xfId="16795"/>
    <cellStyle name="Style 44 2 5 4 3" xfId="16796"/>
    <cellStyle name="Style 45 2 5 4 3" xfId="16797"/>
    <cellStyle name="Style 49 2 5 4 3" xfId="16798"/>
    <cellStyle name="Style 51 2 5 4 3" xfId="16799"/>
    <cellStyle name="Table Head Aligned 2 5 4 3" xfId="16800"/>
    <cellStyle name="Table Head Green 2 5 4 3" xfId="16801"/>
    <cellStyle name="Title [Helv] 2 5 4 3" xfId="16802"/>
    <cellStyle name="Title [Palat] 2 5 4 3" xfId="16803"/>
    <cellStyle name="Style 22 2 4" xfId="16804"/>
    <cellStyle name="Style 24 2 4" xfId="16805"/>
    <cellStyle name="ac 5 4 3" xfId="16806"/>
    <cellStyle name="Bold/Border 5 4 3" xfId="16807"/>
    <cellStyle name="Border Thin 6 4 3" xfId="16808"/>
    <cellStyle name="COL HEADINGS 5 4 3" xfId="16809"/>
    <cellStyle name="Date [mm-d-yyyy] 6 3 3" xfId="16810"/>
    <cellStyle name="Heading [Helv] 5 4 3" xfId="16811"/>
    <cellStyle name="Heading [Palat] 5 4 3" xfId="16812"/>
    <cellStyle name="Outputs 5 4 3" xfId="16813"/>
    <cellStyle name="PB Table Standard Row 6 4 3" xfId="16814"/>
    <cellStyle name="P-Green Rule 6 4 3" xfId="16815"/>
    <cellStyle name="SSDecs3 2 3" xfId="16816"/>
    <cellStyle name="Table Head Aligned 2 2 2 11" xfId="16817"/>
    <cellStyle name="Style 44 7 4 3" xfId="16818"/>
    <cellStyle name="Style 45 7 4 3" xfId="16819"/>
    <cellStyle name="Style 49 7 4 3" xfId="16820"/>
    <cellStyle name="Style 51 7 4 3" xfId="16821"/>
    <cellStyle name="Table Head Green 5 4 3" xfId="16822"/>
    <cellStyle name="Title [Palat] 4 4 3" xfId="16823"/>
    <cellStyle name="SSFixed2 2 4" xfId="16824"/>
    <cellStyle name="Style 51 3 5 9" xfId="16825"/>
    <cellStyle name="dp*SheetSubTitle 2 2 10" xfId="16826"/>
    <cellStyle name="ac 2 2 10" xfId="16827"/>
    <cellStyle name="Draw lines around data in range 12" xfId="16828"/>
    <cellStyle name="ac 2 6 4 3" xfId="16829"/>
    <cellStyle name="Bold/Border 2 6 4 3" xfId="16830"/>
    <cellStyle name="Border Thin 2 6 4 3" xfId="16831"/>
    <cellStyle name="COL HEADINGS 2 6 4 3" xfId="16832"/>
    <cellStyle name="Date [mm-d-yyyy] 2 3 3 3" xfId="16833"/>
    <cellStyle name="Heading [Helv] 2 6 4 3" xfId="16834"/>
    <cellStyle name="Heading [Palat] 2 6 4 3" xfId="16835"/>
    <cellStyle name="Outputs 2 6 4 3" xfId="16836"/>
    <cellStyle name="PB Table Standard Row 2 6 4 3" xfId="16837"/>
    <cellStyle name="P-Green Rule 2 6 4 3" xfId="16838"/>
    <cellStyle name="Style 44 3 6 4 3" xfId="16839"/>
    <cellStyle name="Style 45 3 6 4 3" xfId="16840"/>
    <cellStyle name="Style 49 3 6 4 3" xfId="16841"/>
    <cellStyle name="Style 51 3 6 4 3" xfId="16842"/>
    <cellStyle name="Style 44 2 6 4 3" xfId="16843"/>
    <cellStyle name="Style 45 2 6 4 3" xfId="16844"/>
    <cellStyle name="Style 49 2 6 4 3" xfId="16845"/>
    <cellStyle name="Style 51 2 6 4 3" xfId="16846"/>
    <cellStyle name="Table Head Green 2 6 4 3" xfId="16847"/>
    <cellStyle name="Title [Palat] 2 6 4 3" xfId="16848"/>
    <cellStyle name="SAPBEXHLevel2 11" xfId="16849"/>
    <cellStyle name="Title [Palat] 5 4 3" xfId="16850"/>
    <cellStyle name="Title [Helv] 4 4 3" xfId="16851"/>
    <cellStyle name="Table Head Green 6 4 3" xfId="16852"/>
    <cellStyle name="Table Head Aligned 4 4 3" xfId="16853"/>
    <cellStyle name="Style 51 9 3 3" xfId="16854"/>
    <cellStyle name="Style 49 9 3 3" xfId="16855"/>
    <cellStyle name="Style 45 9 3 3" xfId="16856"/>
    <cellStyle name="Style 44 9 3 3" xfId="16857"/>
    <cellStyle name="dp*ThinLineBelow 3 5 8" xfId="16858"/>
    <cellStyle name="Style 43 4 5" xfId="16859"/>
    <cellStyle name="P-Green Rule 7 3 3" xfId="16860"/>
    <cellStyle name="PB Table Standard Row 7 3 3" xfId="16861"/>
    <cellStyle name="Outputs 6 4 3" xfId="16862"/>
    <cellStyle name="Magic 4 4 3" xfId="16863"/>
    <cellStyle name="Heading [Palat] 6 4 3" xfId="16864"/>
    <cellStyle name="Heading [Helv] 6 4 3" xfId="16865"/>
    <cellStyle name="dp*ThinLineBelow 5 4 3" xfId="16866"/>
    <cellStyle name="dp*SubTitle 5 4 3" xfId="16867"/>
    <cellStyle name="dp*SheetSubTitle 4 4 3" xfId="16868"/>
    <cellStyle name="dp*NumberLineEPS 4 4 3" xfId="16869"/>
    <cellStyle name="dp*NumberLine 4 4 3" xfId="16870"/>
    <cellStyle name="Date [mmm-yyyy] 4 4 3" xfId="16871"/>
    <cellStyle name="Date [mm-d-yyyy] 7 4 3" xfId="16872"/>
    <cellStyle name="COL HEADINGS 6 4 3" xfId="16873"/>
    <cellStyle name="Border Thin 7 4 3" xfId="16874"/>
    <cellStyle name="Bold/Border 6 4 3" xfId="16875"/>
    <cellStyle name="Afjusted 7 4 3" xfId="16876"/>
    <cellStyle name="ac 6 4 3" xfId="16877"/>
    <cellStyle name="Outputs 2 2 2 11" xfId="16878"/>
    <cellStyle name="Afjusted 3 2 3 9" xfId="16879"/>
    <cellStyle name="Style 44 8 4 3" xfId="16880"/>
    <cellStyle name="Style 45 8 4 3" xfId="16881"/>
    <cellStyle name="Style 49 8 4 3" xfId="16882"/>
    <cellStyle name="Style 51 8 4 3" xfId="16883"/>
    <cellStyle name="Title [Palat] 6 4 3" xfId="16884"/>
    <cellStyle name="Title [Helv] 5 4 3" xfId="16885"/>
    <cellStyle name="Table Head Green 7 4 3" xfId="16886"/>
    <cellStyle name="Table Head Aligned 5 4 3" xfId="16887"/>
    <cellStyle name="Outputs 7 4 3" xfId="16888"/>
    <cellStyle name="Magic 5 4 3" xfId="16889"/>
    <cellStyle name="Heading [Palat] 7 4 3" xfId="16890"/>
    <cellStyle name="Heading [Helv] 7 4 3" xfId="16891"/>
    <cellStyle name="dp*SheetSubTitle 5 4 3" xfId="16892"/>
    <cellStyle name="dp*NumberLineEPS 5 4 3" xfId="16893"/>
    <cellStyle name="dp*NumberLine 5 4 3" xfId="16894"/>
    <cellStyle name="Date [mmm-yyyy] 5 4 3" xfId="16895"/>
    <cellStyle name="COL HEADINGS 7 4 3" xfId="16896"/>
    <cellStyle name="Bold/Border 7 4 3" xfId="16897"/>
    <cellStyle name="Afjusted 8 4 3" xfId="16898"/>
    <cellStyle name="ac 7 4 3" xfId="16899"/>
    <cellStyle name="Style 44 7 9" xfId="16900"/>
    <cellStyle name="SAPBEXaggItem 9" xfId="16901"/>
    <cellStyle name="Title [Palat] 7 4 3" xfId="16902"/>
    <cellStyle name="Title [Helv] 6 4 3" xfId="16903"/>
    <cellStyle name="Table Head Green 8 4 3" xfId="16904"/>
    <cellStyle name="Table Head Aligned 6 4 3" xfId="16905"/>
    <cellStyle name="Date [mm-d-yyyy] 2 2 3 9" xfId="16906"/>
    <cellStyle name="Title [Helv] 2 2 2 2 9" xfId="16907"/>
    <cellStyle name="Table Head Green 2 2 2 11" xfId="16908"/>
    <cellStyle name="Outputs 8 4 3" xfId="16909"/>
    <cellStyle name="Magic 6 4 3" xfId="16910"/>
    <cellStyle name="Heading [Palat] 8 4 3" xfId="16911"/>
    <cellStyle name="Heading [Helv] 8 4 3" xfId="16912"/>
    <cellStyle name="dp*SheetSubTitle 6 4 3" xfId="16913"/>
    <cellStyle name="dp*NumberLineEPS 6 4 3" xfId="16914"/>
    <cellStyle name="dp*NumberLine 6 4 3" xfId="16915"/>
    <cellStyle name="COL HEADINGS 8 4 3" xfId="16916"/>
    <cellStyle name="Bold/Border 8 4 3" xfId="16917"/>
    <cellStyle name="Afjusted 9 4 3" xfId="16918"/>
    <cellStyle name="ac 8 4 3" xfId="16919"/>
    <cellStyle name="ItemTypeClass 3 5" xfId="16920"/>
    <cellStyle name="Date [mmm-yyyy] 6 4 3" xfId="16921"/>
    <cellStyle name="Title [Palat] 8 4 3" xfId="16922"/>
    <cellStyle name="Title [Helv] 7 4 3" xfId="16923"/>
    <cellStyle name="Table Head Green 9 4 3" xfId="16924"/>
    <cellStyle name="Table Head Aligned 7 4 3" xfId="16925"/>
    <cellStyle name="Outputs 9 4 3" xfId="16926"/>
    <cellStyle name="Magic 7 4 3" xfId="16927"/>
    <cellStyle name="Heading [Palat] 9 4 3" xfId="16928"/>
    <cellStyle name="Heading [Helv] 9 4 3" xfId="16929"/>
    <cellStyle name="dp*SheetSubTitle 7 4 3" xfId="16930"/>
    <cellStyle name="dp*NumberLineEPS 7 4 3" xfId="16931"/>
    <cellStyle name="dp*NumberLine 7 4 3" xfId="16932"/>
    <cellStyle name="Date [mmm-yyyy] 7 4 3" xfId="16933"/>
    <cellStyle name="COL HEADINGS 9 4 3" xfId="16934"/>
    <cellStyle name="Bold/Border 9 4 3" xfId="16935"/>
    <cellStyle name="Afjusted 10 4 3" xfId="16936"/>
    <cellStyle name="ac 9 4 3" xfId="16937"/>
    <cellStyle name="Style 49 4 3 4 9" xfId="16938"/>
    <cellStyle name="Afjusted 3 6 3 3" xfId="16939"/>
    <cellStyle name="ac 2 7 3 3" xfId="16940"/>
    <cellStyle name="Afjusted 2 5 3 3" xfId="16941"/>
    <cellStyle name="Bold/Border 2 7 3 3" xfId="16942"/>
    <cellStyle name="COL HEADINGS 2 7 3 3" xfId="16943"/>
    <cellStyle name="Date [mmm-yyyy] 2 6 3 3" xfId="16944"/>
    <cellStyle name="dp*NumberLine 2 6 3 3" xfId="16945"/>
    <cellStyle name="dp*NumberLineEPS 2 6 3 3" xfId="16946"/>
    <cellStyle name="dp*SheetSubTitle 2 6 3 3" xfId="16947"/>
    <cellStyle name="Heading [Helv] 2 7 3 3" xfId="16948"/>
    <cellStyle name="Heading [Palat] 2 7 3 3" xfId="16949"/>
    <cellStyle name="Magic 2 6 3 3" xfId="16950"/>
    <cellStyle name="Outputs 2 7 3 3" xfId="16951"/>
    <cellStyle name="Table Head Aligned 2 6 3 3" xfId="16952"/>
    <cellStyle name="Table Head Green 2 7 3 3" xfId="16953"/>
    <cellStyle name="Title [Helv] 2 6 3 3" xfId="16954"/>
    <cellStyle name="Title [Palat] 2 7 3 3" xfId="16955"/>
    <cellStyle name="Date [mm-d-yyyy] 3 6 3 3" xfId="16956"/>
    <cellStyle name="Style 51 4 6 3 3" xfId="16957"/>
    <cellStyle name="Style 49 4 6 3 3" xfId="16958"/>
    <cellStyle name="Style 45 4 6 3 3" xfId="16959"/>
    <cellStyle name="Style 44 4 6 3 3" xfId="16960"/>
    <cellStyle name="P-Green Rule 3 6 3 3" xfId="16961"/>
    <cellStyle name="PB Table Standard Row 3 6 3 3" xfId="16962"/>
    <cellStyle name="dp*ThinLineBelow 3 6 3 3" xfId="16963"/>
    <cellStyle name="dp*SubTitle 3 6 3 3" xfId="16964"/>
    <cellStyle name="Border Thin 3 6 3 3" xfId="16965"/>
    <cellStyle name="Afjusted 4 6 3 3" xfId="16966"/>
    <cellStyle name="ac 2 2 5 3 3" xfId="16967"/>
    <cellStyle name="Afjusted 2 2 6 3 3" xfId="16968"/>
    <cellStyle name="Bold/Border 2 2 5 3 3" xfId="16969"/>
    <cellStyle name="COL HEADINGS 2 2 5 3 3" xfId="16970"/>
    <cellStyle name="Date [mmm-yyyy] 2 2 5 3 3" xfId="16971"/>
    <cellStyle name="dp*NumberLine 2 2 5 3 3" xfId="16972"/>
    <cellStyle name="dp*NumberLineEPS 2 2 5 3 3" xfId="16973"/>
    <cellStyle name="dp*SheetSubTitle 2 2 5 3 3" xfId="16974"/>
    <cellStyle name="Heading [Helv] 2 2 5 3 3" xfId="16975"/>
    <cellStyle name="Heading [Palat] 2 2 5 3 3" xfId="16976"/>
    <cellStyle name="Magic 2 2 5 3 3" xfId="16977"/>
    <cellStyle name="Outputs 2 2 5 3 3" xfId="16978"/>
    <cellStyle name="Table Head Aligned 2 2 5 3 3" xfId="16979"/>
    <cellStyle name="Table Head Green 2 2 5 3 3" xfId="16980"/>
    <cellStyle name="Title [Helv] 2 2 5 3 3" xfId="16981"/>
    <cellStyle name="Title [Palat] 2 2 5 3 3" xfId="16982"/>
    <cellStyle name="dp*SubTitle 2 2 2 3 3" xfId="16983"/>
    <cellStyle name="Border Thin 2 2 2 3 3" xfId="16984"/>
    <cellStyle name="Bold/Border 2 2 3 4 2 3 3" xfId="16985"/>
    <cellStyle name="Magic 2 2 3 4 2 3 3" xfId="16986"/>
    <cellStyle name="Title [Helv] 2 2 3 4 2 3 3" xfId="16987"/>
    <cellStyle name="Style 51 2 2 2 3 3" xfId="16988"/>
    <cellStyle name="Style 45 2 2 2 3 3" xfId="16989"/>
    <cellStyle name="Style 49 2 2 2 3 3" xfId="16990"/>
    <cellStyle name="Style 44 2 2 2 3 3" xfId="16991"/>
    <cellStyle name="Style 51 3 2 2 3 3" xfId="16992"/>
    <cellStyle name="Style 49 3 2 2 3 3" xfId="16993"/>
    <cellStyle name="Style 45 3 2 2 3 3" xfId="16994"/>
    <cellStyle name="Style 44 3 2 2 3 3" xfId="16995"/>
    <cellStyle name="P-Green Rule 2 2 2 3 3" xfId="16996"/>
    <cellStyle name="PB Table Standard Row 2 2 2 3 3" xfId="16997"/>
    <cellStyle name="dp*ThinLineBelow 2 2 2 3 3" xfId="16998"/>
    <cellStyle name="dp*ThinLineBelow 2 3 2 3 3" xfId="16999"/>
    <cellStyle name="Style 44 3 3 2 3 3" xfId="17000"/>
    <cellStyle name="COL HEADINGS 2 2 3 4 2 3 3" xfId="17001"/>
    <cellStyle name="Style 49 4 3 4 2 3 3" xfId="17002"/>
    <cellStyle name="Afjusted 3 3 4 2 3 3" xfId="17003"/>
    <cellStyle name="Date [mm-d-yyyy] 3 3 4 2 3 3" xfId="17004"/>
    <cellStyle name="Afjusted 4 3 4 2 3 3" xfId="17005"/>
    <cellStyle name="ac 2 2 3 4 2 3 3" xfId="17006"/>
    <cellStyle name="Afjusted 2 2 3 4 2 3 3" xfId="17007"/>
    <cellStyle name="Date [mmm-yyyy] 2 2 3 4 2 3 3" xfId="17008"/>
    <cellStyle name="dp*NumberLine 2 2 3 4 2 3 3" xfId="17009"/>
    <cellStyle name="dp*NumberLineEPS 2 2 3 4 2 3 3" xfId="17010"/>
    <cellStyle name="dp*SheetSubTitle 2 2 3 4 2 3 3" xfId="17011"/>
    <cellStyle name="Heading [Helv] 2 2 3 4 2 3 3" xfId="17012"/>
    <cellStyle name="Outputs 2 2 3 4 2 3 3" xfId="17013"/>
    <cellStyle name="Table Head Aligned 2 2 3 4 2 3 3" xfId="17014"/>
    <cellStyle name="Title [Palat] 2 2 3 4 2 3 3" xfId="17015"/>
    <cellStyle name="Afjusted 3 5 2 3 3" xfId="17016"/>
    <cellStyle name="Style 45 3 3 2 3 3" xfId="17017"/>
    <cellStyle name="Style 51 3 3 2 3 3" xfId="17018"/>
    <cellStyle name="Style 44 2 3 2 3 3" xfId="17019"/>
    <cellStyle name="Style 45 2 3 2 3 3" xfId="17020"/>
    <cellStyle name="Style 49 2 3 2 3 3" xfId="17021"/>
    <cellStyle name="Border Thin 3 5 2 3 3" xfId="17022"/>
    <cellStyle name="ac 2 2 4 2 3 3" xfId="17023"/>
    <cellStyle name="Afjusted 2 2 5 2 3 3" xfId="17024"/>
    <cellStyle name="Bold/Border 2 2 4 2 3 3" xfId="17025"/>
    <cellStyle name="COL HEADINGS 2 2 4 2 3 3" xfId="17026"/>
    <cellStyle name="Date [mmm-yyyy] 2 2 4 2 3 3" xfId="17027"/>
    <cellStyle name="dp*NumberLine 2 2 4 2 3 3" xfId="17028"/>
    <cellStyle name="dp*NumberLineEPS 2 2 4 2 3 3" xfId="17029"/>
    <cellStyle name="dp*SheetSubTitle 2 2 4 2 3 3" xfId="17030"/>
    <cellStyle name="Heading [Palat] 2 2 4 2 3 3" xfId="17031"/>
    <cellStyle name="Outputs 2 2 4 2 3 3" xfId="17032"/>
    <cellStyle name="Magic 2 2 4 2 3 3" xfId="17033"/>
    <cellStyle name="Title [Helv] 2 2 4 2 3 3" xfId="17034"/>
    <cellStyle name="Title [Palat] 2 2 4 2 3 3" xfId="17035"/>
    <cellStyle name="Title [Palat] 2 2 3 3 2 3 3" xfId="17036"/>
    <cellStyle name="Title [Helv] 2 2 3 3 2 3 3" xfId="17037"/>
    <cellStyle name="Table Head Aligned 2 2 3 3 2 3 3" xfId="17038"/>
    <cellStyle name="Magic 2 2 3 3 2 3 3" xfId="17039"/>
    <cellStyle name="Heading [Helv] 2 2 3 3 2 3 3" xfId="17040"/>
    <cellStyle name="dp*NumberLineEPS 2 2 3 3 2 3 3" xfId="17041"/>
    <cellStyle name="COL HEADINGS 2 2 3 3 2 3 3" xfId="17042"/>
    <cellStyle name="ac 2 2 3 3 2 3 3" xfId="17043"/>
    <cellStyle name="Afjusted 4 3 3 2 3 3" xfId="17044"/>
    <cellStyle name="Border Thin 3 3 3 2 3 3" xfId="17045"/>
    <cellStyle name="PB Table Standard Row 3 3 3 2 3 3" xfId="17046"/>
    <cellStyle name="Style 44 4 3 3 2 3 3" xfId="17047"/>
    <cellStyle name="Style 51 4 3 3 2 3 3" xfId="17048"/>
    <cellStyle name="Afjusted 3 3 3 2 3 3" xfId="17049"/>
    <cellStyle name="Style 49 4 5 2 3 3" xfId="17050"/>
    <cellStyle name="Style 44 4 5 2 3 3" xfId="17051"/>
    <cellStyle name="P-Green Rule 3 5 2 3 3" xfId="17052"/>
    <cellStyle name="dp*SubTitle 3 5 2 3 3" xfId="17053"/>
    <cellStyle name="Afjusted 4 5 2 3 3" xfId="17054"/>
    <cellStyle name="ac 2 3 2 3 3" xfId="17055"/>
    <cellStyle name="Bold/Border 2 3 2 3 3" xfId="17056"/>
    <cellStyle name="COL HEADINGS 2 3 2 3 3" xfId="17057"/>
    <cellStyle name="Date [mmm-yyyy] 2 3 2 3 3" xfId="17058"/>
    <cellStyle name="dp*NumberLine 2 3 2 3 3" xfId="17059"/>
    <cellStyle name="dp*NumberLineEPS 2 3 2 3 3" xfId="17060"/>
    <cellStyle name="dp*SheetSubTitle 2 3 2 3 3" xfId="17061"/>
    <cellStyle name="Heading [Helv] 2 3 2 3 3" xfId="17062"/>
    <cellStyle name="Heading [Palat] 2 3 2 3 3" xfId="17063"/>
    <cellStyle name="Magic 2 3 2 3 3" xfId="17064"/>
    <cellStyle name="Outputs 2 3 2 3 3" xfId="17065"/>
    <cellStyle name="Date [mmm-yyyy] 2 2 3 3 2 3 3" xfId="17066"/>
    <cellStyle name="Afjusted 2 2 3 3 2 3 3" xfId="17067"/>
    <cellStyle name="dp*ThinLineBelow 3 3 3 2 3 3" xfId="17068"/>
    <cellStyle name="Style 49 4 3 3 2 3 3" xfId="17069"/>
    <cellStyle name="Outputs 2 2 3 3 2 3 3" xfId="17070"/>
    <cellStyle name="dp*NumberLine 2 2 3 3 2 3 3" xfId="17071"/>
    <cellStyle name="Bold/Border 2 2 3 3 2 3 3" xfId="17072"/>
    <cellStyle name="dp*SubTitle 3 3 3 2 3 3" xfId="17073"/>
    <cellStyle name="Style 45 4 3 3 2 3 3" xfId="17074"/>
    <cellStyle name="Table Head Aligned 2 3 2 3 3" xfId="17075"/>
    <cellStyle name="Table Head Green 2 3 2 3 3" xfId="17076"/>
    <cellStyle name="Title [Helv] 2 3 2 3 3" xfId="17077"/>
    <cellStyle name="Title [Palat] 2 3 2 3 3" xfId="17078"/>
    <cellStyle name="Style 45 4 3 4 2 3 3" xfId="17079"/>
    <cellStyle name="Style 51 4 3 4 2 3 3" xfId="17080"/>
    <cellStyle name="Afjusted 3 4 2 3 3" xfId="17081"/>
    <cellStyle name="P-Green Rule 3 3 4 2 3 3" xfId="17082"/>
    <cellStyle name="Border Thin 2 3 2 3 3" xfId="17083"/>
    <cellStyle name="Style 49 3 3 2 3 3" xfId="17084"/>
    <cellStyle name="Style 51 2 3 2 3 3" xfId="17085"/>
    <cellStyle name="Heading [Helv] 2 2 4 2 3 3" xfId="17086"/>
    <cellStyle name="Table Head Aligned 2 2 4 2 3 3" xfId="17087"/>
    <cellStyle name="Table Head Green 2 2 4 2 3 3" xfId="17088"/>
    <cellStyle name="Table Head Green 2 2 3 3 2 3 3" xfId="17089"/>
    <cellStyle name="Heading [Palat] 2 2 3 3 2 3 3" xfId="17090"/>
    <cellStyle name="dp*SheetSubTitle 2 2 3 3 2 3 3" xfId="17091"/>
    <cellStyle name="P-Green Rule 3 3 3 2 3 3" xfId="17092"/>
    <cellStyle name="Date [mm-d-yyyy] 3 3 3 2 3 3" xfId="17093"/>
    <cellStyle name="Date [mm-d-yyyy] 3 4 2 3 3" xfId="17094"/>
    <cellStyle name="Style 51 4 4 2 3 3" xfId="17095"/>
    <cellStyle name="Style 49 4 4 2 3 3" xfId="17096"/>
    <cellStyle name="Style 45 4 4 2 3 3" xfId="17097"/>
    <cellStyle name="Style 44 4 4 2 3 3" xfId="17098"/>
    <cellStyle name="dp*ThinLineBelow 3 3 4 2 3 3" xfId="17099"/>
    <cellStyle name="P-Green Rule 3 4 2 3 3" xfId="17100"/>
    <cellStyle name="PB Table Standard Row 3 4 2 2 3" xfId="17101"/>
    <cellStyle name="dp*ThinLineBelow 3 4 2 3 3" xfId="17102"/>
    <cellStyle name="dp*SubTitle 3 4 2 3 3" xfId="17103"/>
    <cellStyle name="dp*SubTitle 3 3 4 2 3 3" xfId="17104"/>
    <cellStyle name="Border Thin 3 4 2 3 3" xfId="17105"/>
    <cellStyle name="Border Thin 3 3 4 2 3 3" xfId="17106"/>
    <cellStyle name="Afjusted 4 4 2 3 3" xfId="17107"/>
    <cellStyle name="Afjusted 2 2 4 2 3 3" xfId="17108"/>
    <cellStyle name="Style 44 4 3 4 2 3 3" xfId="17109"/>
    <cellStyle name="PB Table Standard Row 3 3 4 2 3 3" xfId="17110"/>
    <cellStyle name="Title [Palat] 2 2 3 5 3 3" xfId="17111"/>
    <cellStyle name="Title [Helv] 2 2 3 5 3 3" xfId="17112"/>
    <cellStyle name="Table Head Green 2 2 3 5 3 3" xfId="17113"/>
    <cellStyle name="Table Head Aligned 2 2 3 5 3 3" xfId="17114"/>
    <cellStyle name="Outputs 2 2 3 5 3 3" xfId="17115"/>
    <cellStyle name="Magic 2 2 3 5 3 3" xfId="17116"/>
    <cellStyle name="Heading [Palat] 2 2 3 5 3 3" xfId="17117"/>
    <cellStyle name="Heading [Helv] 2 2 3 5 3 3" xfId="17118"/>
    <cellStyle name="dp*SheetSubTitle 2 2 3 5 3 3" xfId="17119"/>
    <cellStyle name="dp*NumberLineEPS 2 2 3 5 3 3" xfId="17120"/>
    <cellStyle name="dp*NumberLine 2 2 3 5 3 3" xfId="17121"/>
    <cellStyle name="Date [mmm-yyyy] 2 2 3 5 3 3" xfId="17122"/>
    <cellStyle name="COL HEADINGS 2 2 3 5 3 3" xfId="17123"/>
    <cellStyle name="Bold/Border 2 2 3 5 3 3" xfId="17124"/>
    <cellStyle name="Afjusted 2 2 3 5 3 3" xfId="17125"/>
    <cellStyle name="ac 2 2 3 5 3 3" xfId="17126"/>
    <cellStyle name="Afjusted 4 3 5 3 3" xfId="17127"/>
    <cellStyle name="Border Thin 3 3 5 3 3" xfId="17128"/>
    <cellStyle name="dp*SubTitle 3 3 5 3 3" xfId="17129"/>
    <cellStyle name="dp*ThinLineBelow 3 3 5 3 3" xfId="17130"/>
    <cellStyle name="PB Table Standard Row 3 3 5 3 3" xfId="17131"/>
    <cellStyle name="P-Green Rule 3 3 5 3 3" xfId="17132"/>
    <cellStyle name="Style 44 4 3 5 3 3" xfId="17133"/>
    <cellStyle name="Style 45 4 3 5 3 3" xfId="17134"/>
    <cellStyle name="Style 49 4 3 5 3 3" xfId="17135"/>
    <cellStyle name="Style 51 4 3 5 3 3" xfId="17136"/>
    <cellStyle name="Date [mm-d-yyyy] 3 3 5 3 3" xfId="17137"/>
    <cellStyle name="Afjusted 3 3 5 3 3" xfId="17138"/>
    <cellStyle name="Date [mm-d-yyyy] 2 2 4 3 3" xfId="17139"/>
    <cellStyle name="Afjusted 3 2 5 3 3" xfId="17140"/>
    <cellStyle name="Date [mm-d-yyyy] 3 2 5 3 3" xfId="17141"/>
    <cellStyle name="Style 51 4 2 5 3 3" xfId="17142"/>
    <cellStyle name="Style 49 4 2 5 3 3" xfId="17143"/>
    <cellStyle name="Style 45 4 2 5 3 3" xfId="17144"/>
    <cellStyle name="Style 44 4 2 5 3 3" xfId="17145"/>
    <cellStyle name="P-Green Rule 3 2 5 3 3" xfId="17146"/>
    <cellStyle name="PB Table Standard Row 3 2 5 2 3" xfId="17147"/>
    <cellStyle name="dp*ThinLineBelow 3 2 5 3 3" xfId="17148"/>
    <cellStyle name="dp*SubTitle 3 2 5 3 3" xfId="17149"/>
    <cellStyle name="Border Thin 3 2 5 3 3" xfId="17150"/>
    <cellStyle name="Afjusted 4 2 5 3 3" xfId="17151"/>
    <cellStyle name="ac 2 2 2 5 3 3" xfId="17152"/>
    <cellStyle name="Afjusted 2 2 2 5 3 3" xfId="17153"/>
    <cellStyle name="Bold/Border 2 2 2 5 3 3" xfId="17154"/>
    <cellStyle name="COL HEADINGS 2 2 2 5 3 3" xfId="17155"/>
    <cellStyle name="Date [mmm-yyyy] 2 2 2 5 3 3" xfId="17156"/>
    <cellStyle name="dp*NumberLine 2 2 2 5 3 3" xfId="17157"/>
    <cellStyle name="dp*NumberLineEPS 2 2 2 5 3 3" xfId="17158"/>
    <cellStyle name="dp*SheetSubTitle 2 2 2 5 3 3" xfId="17159"/>
    <cellStyle name="Heading [Helv] 2 2 2 5 3 3" xfId="17160"/>
    <cellStyle name="Heading [Palat] 2 2 2 5 3 3" xfId="17161"/>
    <cellStyle name="Magic 2 2 2 5 3 3" xfId="17162"/>
    <cellStyle name="Outputs 2 2 2 5 3 3" xfId="17163"/>
    <cellStyle name="Table Head Aligned 2 2 2 5 3 3" xfId="17164"/>
    <cellStyle name="Table Head Green 2 2 2 5 3 3" xfId="17165"/>
    <cellStyle name="Title [Helv] 2 2 2 5 3 3" xfId="17166"/>
    <cellStyle name="Title [Palat] 2 2 2 5 3 3" xfId="17167"/>
    <cellStyle name="Table Head Green 2 2 3 4 2 3 3" xfId="17168"/>
    <cellStyle name="Heading [Palat] 2 2 3 4 2 3 3" xfId="17169"/>
    <cellStyle name="PB Table Standard Row 2 3 2 3 3" xfId="17170"/>
    <cellStyle name="P-Green Rule 2 3 2 3 3" xfId="17171"/>
    <cellStyle name="Title [Palat] 2 2 3 2 2 3 3" xfId="17172"/>
    <cellStyle name="Title [Helv] 2 2 3 2 2 3 3" xfId="17173"/>
    <cellStyle name="Table Head Green 2 2 3 2 2 3 3" xfId="17174"/>
    <cellStyle name="Table Head Aligned 2 2 3 2 2 3 3" xfId="17175"/>
    <cellStyle name="Outputs 2 2 3 2 2 3 3" xfId="17176"/>
    <cellStyle name="Magic 2 2 3 2 2 3 3" xfId="17177"/>
    <cellStyle name="Heading [Palat] 2 2 3 2 2 3 3" xfId="17178"/>
    <cellStyle name="Heading [Helv] 2 2 3 2 2 3 3" xfId="17179"/>
    <cellStyle name="dp*SheetSubTitle 2 2 3 2 2 3 3" xfId="17180"/>
    <cellStyle name="dp*NumberLineEPS 2 2 3 2 2 3 3" xfId="17181"/>
    <cellStyle name="dp*NumberLine 2 2 3 2 2 3 3" xfId="17182"/>
    <cellStyle name="Date [mmm-yyyy] 2 2 3 2 2 3 3" xfId="17183"/>
    <cellStyle name="COL HEADINGS 2 2 3 2 2 3 3" xfId="17184"/>
    <cellStyle name="Bold/Border 2 2 3 2 2 3 3" xfId="17185"/>
    <cellStyle name="Afjusted 2 2 3 2 2 3 3" xfId="17186"/>
    <cellStyle name="ac 2 2 3 2 2 3 3" xfId="17187"/>
    <cellStyle name="Afjusted 4 3 2 2 3 3" xfId="17188"/>
    <cellStyle name="Border Thin 3 3 2 2 3 3" xfId="17189"/>
    <cellStyle name="dp*SubTitle 3 3 2 2 3 3" xfId="17190"/>
    <cellStyle name="dp*ThinLineBelow 3 3 2 2 3 3" xfId="17191"/>
    <cellStyle name="PB Table Standard Row 3 3 2 2 3 3" xfId="17192"/>
    <cellStyle name="P-Green Rule 3 3 2 2 3 3" xfId="17193"/>
    <cellStyle name="Style 44 4 3 2 2 3 3" xfId="17194"/>
    <cellStyle name="Style 45 4 3 2 2 3 3" xfId="17195"/>
    <cellStyle name="Style 49 4 3 2 2 3 3" xfId="17196"/>
    <cellStyle name="Style 51 4 3 2 2 3 3" xfId="17197"/>
    <cellStyle name="Date [mm-d-yyyy] 3 3 2 2 3 3" xfId="17198"/>
    <cellStyle name="Afjusted 3 3 2 2 3 3" xfId="17199"/>
    <cellStyle name="Date [mm-d-yyyy] 3 5 2 3 3" xfId="17200"/>
    <cellStyle name="dp*SubTitle 2 3 2 3 3" xfId="17201"/>
    <cellStyle name="Date [mm-d-yyyy] 2 2 2 2 3 3" xfId="17202"/>
    <cellStyle name="Afjusted 3 2 2 2 3 3" xfId="17203"/>
    <cellStyle name="PB Table Standard Row 3 5 2 3 3" xfId="17204"/>
    <cellStyle name="Date [mm-d-yyyy] 3 2 2 2 3 3" xfId="17205"/>
    <cellStyle name="Style 51 4 2 2 2 3 3" xfId="17206"/>
    <cellStyle name="Style 49 4 2 2 2 3 3" xfId="17207"/>
    <cellStyle name="Style 45 4 2 2 2 3 3" xfId="17208"/>
    <cellStyle name="Style 44 4 2 2 2 3 3" xfId="17209"/>
    <cellStyle name="Style 45 4 5 2 3 3" xfId="17210"/>
    <cellStyle name="P-Green Rule 3 2 2 2 3 3" xfId="17211"/>
    <cellStyle name="PB Table Standard Row 3 2 2 2 3 3" xfId="17212"/>
    <cellStyle name="dp*ThinLineBelow 3 2 2 2 3 3" xfId="17213"/>
    <cellStyle name="dp*SubTitle 3 2 2 2 3 3" xfId="17214"/>
    <cellStyle name="Style 51 4 5 2 3 3" xfId="17215"/>
    <cellStyle name="Border Thin 3 2 2 2 3 3" xfId="17216"/>
    <cellStyle name="Afjusted 4 2 2 2 3 3" xfId="17217"/>
    <cellStyle name="ac 2 2 2 2 2 3 3" xfId="17218"/>
    <cellStyle name="Afjusted 2 2 2 2 2 3 3" xfId="17219"/>
    <cellStyle name="Bold/Border 2 2 2 2 2 3 3" xfId="17220"/>
    <cellStyle name="COL HEADINGS 2 2 2 2 2 3 3" xfId="17221"/>
    <cellStyle name="Date [mmm-yyyy] 2 2 2 2 2 3 3" xfId="17222"/>
    <cellStyle name="dp*NumberLine 2 2 2 2 2 3 3" xfId="17223"/>
    <cellStyle name="dp*NumberLineEPS 2 2 2 2 2 3 3" xfId="17224"/>
    <cellStyle name="dp*SheetSubTitle 2 2 2 2 2 3 3" xfId="17225"/>
    <cellStyle name="Heading [Helv] 2 2 2 2 2 3 3" xfId="17226"/>
    <cellStyle name="Heading [Palat] 2 2 2 2 2 3 3" xfId="17227"/>
    <cellStyle name="Magic 2 2 2 2 2 3 3" xfId="17228"/>
    <cellStyle name="Outputs 2 2 2 2 2 3 3" xfId="17229"/>
    <cellStyle name="Table Head Aligned 2 2 2 2 2 3 3" xfId="17230"/>
    <cellStyle name="Table Head Green 2 2 2 2 2 3 3" xfId="17231"/>
    <cellStyle name="Title [Helv] 2 2 2 2 2 3 3" xfId="17232"/>
    <cellStyle name="Title [Palat] 2 2 2 2 2 3 3" xfId="17233"/>
    <cellStyle name="dp*ThinLineBelow 3 5 2 3 3" xfId="17234"/>
    <cellStyle name="Date [mm-d-yyyy] 2 2 3 2 3 3" xfId="17235"/>
    <cellStyle name="Afjusted 3 2 3 2 3 3" xfId="17236"/>
    <cellStyle name="Date [mm-d-yyyy] 3 2 3 2 3 3" xfId="17237"/>
    <cellStyle name="Style 51 4 2 3 2 3 3" xfId="17238"/>
    <cellStyle name="Style 49 4 2 3 2 3 3" xfId="17239"/>
    <cellStyle name="Style 45 4 2 3 2 3 3" xfId="17240"/>
    <cellStyle name="Style 44 4 2 3 2 3 3" xfId="17241"/>
    <cellStyle name="P-Green Rule 3 2 3 2 3 3" xfId="17242"/>
    <cellStyle name="PB Table Standard Row 3 2 3 2 3 3" xfId="17243"/>
    <cellStyle name="dp*ThinLineBelow 3 2 3 2 3 3" xfId="17244"/>
    <cellStyle name="dp*SubTitle 3 2 3 2 3 3" xfId="17245"/>
    <cellStyle name="Border Thin 3 2 3 2 3 3" xfId="17246"/>
    <cellStyle name="Afjusted 4 2 3 2 3 3" xfId="17247"/>
    <cellStyle name="ac 2 2 2 3 2 3 3" xfId="17248"/>
    <cellStyle name="Afjusted 2 2 2 3 2 3 3" xfId="17249"/>
    <cellStyle name="Bold/Border 2 2 2 3 2 3 3" xfId="17250"/>
    <cellStyle name="COL HEADINGS 2 2 2 3 2 3 3" xfId="17251"/>
    <cellStyle name="Date [mmm-yyyy] 2 2 2 3 2 3 3" xfId="17252"/>
    <cellStyle name="dp*NumberLine 2 2 2 3 2 3 3" xfId="17253"/>
    <cellStyle name="dp*NumberLineEPS 2 2 2 3 2 3 3" xfId="17254"/>
    <cellStyle name="dp*SheetSubTitle 2 2 2 3 2 3 3" xfId="17255"/>
    <cellStyle name="Heading [Helv] 2 2 2 3 2 3 3" xfId="17256"/>
    <cellStyle name="Heading [Palat] 2 2 2 3 2 3 3" xfId="17257"/>
    <cellStyle name="Magic 2 2 2 3 2 3 3" xfId="17258"/>
    <cellStyle name="Outputs 2 2 2 3 2 3 3" xfId="17259"/>
    <cellStyle name="Table Head Aligned 2 2 2 3 2 3 3" xfId="17260"/>
    <cellStyle name="Table Head Green 2 2 2 3 2 3 3" xfId="17261"/>
    <cellStyle name="Title [Helv] 2 2 2 3 2 3 3" xfId="17262"/>
    <cellStyle name="Title [Palat] 2 2 2 3 2 3 3" xfId="17263"/>
    <cellStyle name="Afjusted 3 2 4 2 3 3" xfId="17264"/>
    <cellStyle name="Date [mm-d-yyyy] 3 2 4 2 3 3" xfId="17265"/>
    <cellStyle name="Style 51 4 2 4 2 3 3" xfId="17266"/>
    <cellStyle name="Style 49 4 2 4 2 3 3" xfId="17267"/>
    <cellStyle name="Style 45 4 2 4 2 3 3" xfId="17268"/>
    <cellStyle name="Style 44 4 2 4 2 3 3" xfId="17269"/>
    <cellStyle name="P-Green Rule 3 2 4 2 3 3" xfId="17270"/>
    <cellStyle name="PB Table Standard Row 3 2 4 2 3 3" xfId="17271"/>
    <cellStyle name="dp*ThinLineBelow 3 2 4 2 3 3" xfId="17272"/>
    <cellStyle name="dp*SubTitle 3 2 4 2 3 3" xfId="17273"/>
    <cellStyle name="Border Thin 3 2 4 2 3 3" xfId="17274"/>
    <cellStyle name="Afjusted 4 2 4 2 3 3" xfId="17275"/>
    <cellStyle name="ac 2 2 2 4 2 3 3" xfId="17276"/>
    <cellStyle name="Afjusted 2 2 2 4 2 3 3" xfId="17277"/>
    <cellStyle name="Bold/Border 2 2 2 4 2 3 3" xfId="17278"/>
    <cellStyle name="COL HEADINGS 2 2 2 4 2 3 3" xfId="17279"/>
    <cellStyle name="Date [mmm-yyyy] 2 2 2 4 2 3 3" xfId="17280"/>
    <cellStyle name="dp*NumberLine 2 2 2 4 2 3 3" xfId="17281"/>
    <cellStyle name="dp*NumberLineEPS 2 2 2 4 2 3 3" xfId="17282"/>
    <cellStyle name="dp*SheetSubTitle 2 2 2 4 2 3 3" xfId="17283"/>
    <cellStyle name="Heading [Helv] 2 2 2 4 2 3 3" xfId="17284"/>
    <cellStyle name="Heading [Palat] 2 2 2 4 2 3 3" xfId="17285"/>
    <cellStyle name="Magic 2 2 2 4 2 3 3" xfId="17286"/>
    <cellStyle name="Outputs 2 2 2 4 2 3 3" xfId="17287"/>
    <cellStyle name="Table Head Aligned 2 2 2 4 2 3 3" xfId="17288"/>
    <cellStyle name="Table Head Green 2 2 2 4 2 3 3" xfId="17289"/>
    <cellStyle name="Title [Helv] 2 2 2 4 2 3 3" xfId="17290"/>
    <cellStyle name="Title [Palat] 2 2 2 4 2 3 3" xfId="17291"/>
    <cellStyle name="Border Thin 4 2 3 3" xfId="17292"/>
    <cellStyle name="Date [mm-d-yyyy] 4 2 3 3" xfId="17293"/>
    <cellStyle name="dp*SubTitle 4 2 3 3" xfId="17294"/>
    <cellStyle name="dp*ThinLineBelow 4 2 3 3" xfId="17295"/>
    <cellStyle name="PB Table Standard Row 4 2 3 3" xfId="17296"/>
    <cellStyle name="P-Green Rule 4 2 3 3" xfId="17297"/>
    <cellStyle name="Style 44 5 2 3 3" xfId="17298"/>
    <cellStyle name="Style 45 5 2 3 3" xfId="17299"/>
    <cellStyle name="Style 49 5 2 3 3" xfId="17300"/>
    <cellStyle name="Style 51 5 2 3 3" xfId="17301"/>
    <cellStyle name="Title [Palat] 3 2 3 3" xfId="17302"/>
    <cellStyle name="Title [Helv] 3 2 3 3" xfId="17303"/>
    <cellStyle name="Table Head Green 3 2 3 3" xfId="17304"/>
    <cellStyle name="Table Head Aligned 3 2 3 3" xfId="17305"/>
    <cellStyle name="Outputs 3 2 3 3" xfId="17306"/>
    <cellStyle name="Magic 3 2 3 3" xfId="17307"/>
    <cellStyle name="Heading [Palat] 3 2 3 3" xfId="17308"/>
    <cellStyle name="Heading [Helv] 3 2 3 3" xfId="17309"/>
    <cellStyle name="dp*SheetSubTitle 3 2 3 3" xfId="17310"/>
    <cellStyle name="dp*NumberLineEPS 3 2 3 3" xfId="17311"/>
    <cellStyle name="dp*NumberLine 3 2 3 3" xfId="17312"/>
    <cellStyle name="COL HEADINGS 3 2 3 3" xfId="17313"/>
    <cellStyle name="Bold/Border 3 2 3 3" xfId="17314"/>
    <cellStyle name="Afjusted 5 2 3 3" xfId="17315"/>
    <cellStyle name="ac 3 2 3 3" xfId="17316"/>
    <cellStyle name="Date [mmm-yyyy] 3 2 3 3" xfId="17317"/>
    <cellStyle name="ac 2 4 2 3 3" xfId="17318"/>
    <cellStyle name="Afjusted 2 3 2 3 3" xfId="17319"/>
    <cellStyle name="Bold/Border 2 4 2 3 3" xfId="17320"/>
    <cellStyle name="Border Thin 2 4 2 3 3" xfId="17321"/>
    <cellStyle name="COL HEADINGS 2 4 2 3 3" xfId="17322"/>
    <cellStyle name="Date [mmm-yyyy] 2 4 2 3 3" xfId="17323"/>
    <cellStyle name="dp*NumberLine 2 4 2 3 3" xfId="17324"/>
    <cellStyle name="dp*NumberLineEPS 2 4 2 3 3" xfId="17325"/>
    <cellStyle name="dp*SheetSubTitle 2 4 2 3 3" xfId="17326"/>
    <cellStyle name="dp*SubTitle 2 4 2 3 3" xfId="17327"/>
    <cellStyle name="dp*ThinLineBelow 2 4 2 3 3" xfId="17328"/>
    <cellStyle name="Heading [Helv] 2 4 2 3 3" xfId="17329"/>
    <cellStyle name="Heading [Palat] 2 4 2 3 3" xfId="17330"/>
    <cellStyle name="Magic 2 4 2 3 3" xfId="17331"/>
    <cellStyle name="Outputs 2 4 2 3 3" xfId="17332"/>
    <cellStyle name="PB Table Standard Row 2 4 2 3 3" xfId="17333"/>
    <cellStyle name="P-Green Rule 2 4 2 3 3" xfId="17334"/>
    <cellStyle name="Style 44 3 4 2 3 3" xfId="17335"/>
    <cellStyle name="Style 45 3 4 2 3 3" xfId="17336"/>
    <cellStyle name="Style 49 3 4 2 3 3" xfId="17337"/>
    <cellStyle name="Style 51 3 4 2 3 3" xfId="17338"/>
    <cellStyle name="Style 44 2 4 2 3 3" xfId="17339"/>
    <cellStyle name="Style 45 2 4 2 3 3" xfId="17340"/>
    <cellStyle name="Style 49 2 4 2 3 3" xfId="17341"/>
    <cellStyle name="Style 51 2 4 2 3 3" xfId="17342"/>
    <cellStyle name="Table Head Aligned 2 4 2 3 3" xfId="17343"/>
    <cellStyle name="Table Head Green 2 4 2 3 3" xfId="17344"/>
    <cellStyle name="Title [Helv] 2 4 2 3 3" xfId="17345"/>
    <cellStyle name="Title [Palat] 2 4 2 3 3" xfId="17346"/>
    <cellStyle name="ac 4 2 3 3" xfId="17347"/>
    <cellStyle name="Bold/Border 4 2 3 3" xfId="17348"/>
    <cellStyle name="Border Thin 5 2 3 3" xfId="17349"/>
    <cellStyle name="COL HEADINGS 4 2 3 3" xfId="17350"/>
    <cellStyle name="Date [mm-d-yyyy] 5 2 3 3" xfId="17351"/>
    <cellStyle name="Heading [Helv] 4 2 3 3" xfId="17352"/>
    <cellStyle name="Heading [Palat] 4 2 3 3" xfId="17353"/>
    <cellStyle name="Outputs 4 2 3 3" xfId="17354"/>
    <cellStyle name="PB Table Standard Row 5 2 3 3" xfId="17355"/>
    <cellStyle name="P-Green Rule 5 2 3 3" xfId="17356"/>
    <cellStyle name="Style 44 6 2 3 3" xfId="17357"/>
    <cellStyle name="Style 45 6 2 3 3" xfId="17358"/>
    <cellStyle name="Style 49 6 2 3 3" xfId="17359"/>
    <cellStyle name="Style 51 6 2 3 3" xfId="17360"/>
    <cellStyle name="Table Head Green 4 2 3 3" xfId="17361"/>
    <cellStyle name="Afjusted 6 2 3 3" xfId="17362"/>
    <cellStyle name="ac 2 5 2 3 3" xfId="17363"/>
    <cellStyle name="Afjusted 2 4 2 3 3" xfId="17364"/>
    <cellStyle name="Bold/Border 2 5 2 3 3" xfId="17365"/>
    <cellStyle name="Border Thin 2 5 2 3 3" xfId="17366"/>
    <cellStyle name="COL HEADINGS 2 5 2 3 3" xfId="17367"/>
    <cellStyle name="Date [mmm-yyyy] 2 5 2 3 3" xfId="17368"/>
    <cellStyle name="dp*NumberLine 2 5 2 3 3" xfId="17369"/>
    <cellStyle name="dp*NumberLineEPS 2 5 2 3 3" xfId="17370"/>
    <cellStyle name="dp*SheetSubTitle 2 5 2 3 3" xfId="17371"/>
    <cellStyle name="dp*SubTitle 2 5 2 3 3" xfId="17372"/>
    <cellStyle name="dp*ThinLineBelow 2 5 2 3 3" xfId="17373"/>
    <cellStyle name="Heading [Helv] 2 5 2 3 3" xfId="17374"/>
    <cellStyle name="Heading [Palat] 2 5 2 3 3" xfId="17375"/>
    <cellStyle name="Magic 2 5 2 3 3" xfId="17376"/>
    <cellStyle name="Outputs 2 5 2 3 3" xfId="17377"/>
    <cellStyle name="PB Table Standard Row 2 5 2 3 3" xfId="17378"/>
    <cellStyle name="P-Green Rule 2 5 2 3 3" xfId="17379"/>
    <cellStyle name="Style 44 3 5 2 3 3" xfId="17380"/>
    <cellStyle name="Style 45 3 5 2 3 3" xfId="17381"/>
    <cellStyle name="Style 49 3 5 2 3 3" xfId="17382"/>
    <cellStyle name="Style 51 3 5 2 3 3" xfId="17383"/>
    <cellStyle name="Style 44 2 5 2 3 3" xfId="17384"/>
    <cellStyle name="Style 45 2 5 2 3 3" xfId="17385"/>
    <cellStyle name="Style 49 2 5 2 3 3" xfId="17386"/>
    <cellStyle name="Style 51 2 5 2 3 3" xfId="17387"/>
    <cellStyle name="Table Head Aligned 2 5 2 3 3" xfId="17388"/>
    <cellStyle name="Table Head Green 2 5 2 3 3" xfId="17389"/>
    <cellStyle name="Title [Helv] 2 5 2 3 3" xfId="17390"/>
    <cellStyle name="Title [Palat] 2 5 2 3 3" xfId="17391"/>
    <cellStyle name="ac 5 2 3 3" xfId="17392"/>
    <cellStyle name="Bold/Border 5 2 3 3" xfId="17393"/>
    <cellStyle name="Border Thin 6 2 3 3" xfId="17394"/>
    <cellStyle name="COL HEADINGS 5 2 3 3" xfId="17395"/>
    <cellStyle name="Heading [Helv] 5 2 3 3" xfId="17396"/>
    <cellStyle name="Heading [Palat] 5 2 3 3" xfId="17397"/>
    <cellStyle name="Outputs 5 2 3 3" xfId="17398"/>
    <cellStyle name="PB Table Standard Row 6 2 3 3" xfId="17399"/>
    <cellStyle name="P-Green Rule 6 2 3 3" xfId="17400"/>
    <cellStyle name="Style 44 7 2 3 3" xfId="17401"/>
    <cellStyle name="Style 45 7 2 3 3" xfId="17402"/>
    <cellStyle name="Style 49 7 2 3 3" xfId="17403"/>
    <cellStyle name="Style 51 7 2 3 3" xfId="17404"/>
    <cellStyle name="Table Head Green 5 2 3 3" xfId="17405"/>
    <cellStyle name="Title [Palat] 4 2 3 3" xfId="17406"/>
    <cellStyle name="ac 2 6 2 3 3" xfId="17407"/>
    <cellStyle name="Bold/Border 2 6 2 3 3" xfId="17408"/>
    <cellStyle name="Border Thin 2 6 2 3 3" xfId="17409"/>
    <cellStyle name="COL HEADINGS 2 6 2 3 3" xfId="17410"/>
    <cellStyle name="Heading [Helv] 2 6 2 3 3" xfId="17411"/>
    <cellStyle name="Heading [Palat] 2 6 2 3 3" xfId="17412"/>
    <cellStyle name="Outputs 2 6 2 3 3" xfId="17413"/>
    <cellStyle name="PB Table Standard Row 2 6 2 3 3" xfId="17414"/>
    <cellStyle name="P-Green Rule 2 6 2 3 3" xfId="17415"/>
    <cellStyle name="Style 44 3 6 2 3 3" xfId="17416"/>
    <cellStyle name="Style 45 3 6 2 3 3" xfId="17417"/>
    <cellStyle name="Style 49 3 6 2 3 3" xfId="17418"/>
    <cellStyle name="Style 51 3 6 2 3 3" xfId="17419"/>
    <cellStyle name="Style 44 2 6 2 3 3" xfId="17420"/>
    <cellStyle name="Style 45 2 6 2 3 3" xfId="17421"/>
    <cellStyle name="Style 49 2 6 2 3 3" xfId="17422"/>
    <cellStyle name="Style 51 2 6 2 3 3" xfId="17423"/>
    <cellStyle name="Table Head Green 2 6 2 3 3" xfId="17424"/>
    <cellStyle name="Title [Palat] 2 6 2 3 3" xfId="17425"/>
    <cellStyle name="Title [Palat] 5 2 3 3" xfId="17426"/>
    <cellStyle name="Title [Helv] 4 2 3 3" xfId="17427"/>
    <cellStyle name="Table Head Green 6 2 3 3" xfId="17428"/>
    <cellStyle name="Table Head Aligned 4 2 3 3" xfId="17429"/>
    <cellStyle name="Style 51 9 2 3 3" xfId="17430"/>
    <cellStyle name="Style 49 9 2 3 3" xfId="17431"/>
    <cellStyle name="Style 45 9 2 3 3" xfId="17432"/>
    <cellStyle name="Style 44 9 2 3 3" xfId="17433"/>
    <cellStyle name="P-Green Rule 7 2 3 3" xfId="17434"/>
    <cellStyle name="PB Table Standard Row 7 2 3 3" xfId="17435"/>
    <cellStyle name="Outputs 6 2 3 3" xfId="17436"/>
    <cellStyle name="Magic 4 2 3 3" xfId="17437"/>
    <cellStyle name="Heading [Palat] 6 2 3 3" xfId="17438"/>
    <cellStyle name="Heading [Helv] 6 2 3 3" xfId="17439"/>
    <cellStyle name="dp*ThinLineBelow 5 2 3 3" xfId="17440"/>
    <cellStyle name="dp*SubTitle 5 2 3 3" xfId="17441"/>
    <cellStyle name="dp*SheetSubTitle 4 2 3 3" xfId="17442"/>
    <cellStyle name="dp*NumberLineEPS 4 2 3 3" xfId="17443"/>
    <cellStyle name="dp*NumberLine 4 2 3 3" xfId="17444"/>
    <cellStyle name="Date [mmm-yyyy] 4 2 3 3" xfId="17445"/>
    <cellStyle name="Date [mm-d-yyyy] 7 2 3 3" xfId="17446"/>
    <cellStyle name="COL HEADINGS 6 2 3 3" xfId="17447"/>
    <cellStyle name="Border Thin 7 2 3 3" xfId="17448"/>
    <cellStyle name="Bold/Border 6 2 3 3" xfId="17449"/>
    <cellStyle name="Afjusted 7 2 3 3" xfId="17450"/>
    <cellStyle name="ac 6 2 3 3" xfId="17451"/>
    <cellStyle name="Style 44 8 2 3 3" xfId="17452"/>
    <cellStyle name="Style 45 8 2 3 3" xfId="17453"/>
    <cellStyle name="Style 49 8 2 3 3" xfId="17454"/>
    <cellStyle name="Style 51 8 2 3 3" xfId="17455"/>
    <cellStyle name="Title [Palat] 6 2 3 3" xfId="17456"/>
    <cellStyle name="Title [Helv] 5 2 3 3" xfId="17457"/>
    <cellStyle name="Table Head Green 7 2 3 3" xfId="17458"/>
    <cellStyle name="Table Head Aligned 5 2 3 3" xfId="17459"/>
    <cellStyle name="Outputs 7 2 3 3" xfId="17460"/>
    <cellStyle name="Magic 5 2 3 3" xfId="17461"/>
    <cellStyle name="Heading [Palat] 7 2 3 3" xfId="17462"/>
    <cellStyle name="Heading [Helv] 7 2 3 3" xfId="17463"/>
    <cellStyle name="dp*SheetSubTitle 5 2 3 3" xfId="17464"/>
    <cellStyle name="dp*NumberLineEPS 5 2 3 3" xfId="17465"/>
    <cellStyle name="dp*NumberLine 5 2 3 3" xfId="17466"/>
    <cellStyle name="Date [mmm-yyyy] 5 2 3 3" xfId="17467"/>
    <cellStyle name="COL HEADINGS 7 2 3 3" xfId="17468"/>
    <cellStyle name="Bold/Border 7 2 3 3" xfId="17469"/>
    <cellStyle name="Afjusted 8 2 3 3" xfId="17470"/>
    <cellStyle name="ac 7 2 3 3" xfId="17471"/>
    <cellStyle name="Title [Palat] 7 2 3 3" xfId="17472"/>
    <cellStyle name="Title [Helv] 6 2 3 3" xfId="17473"/>
    <cellStyle name="Table Head Green 8 2 3 3" xfId="17474"/>
    <cellStyle name="Table Head Aligned 6 2 3 3" xfId="17475"/>
    <cellStyle name="Outputs 8 2 3 3" xfId="17476"/>
    <cellStyle name="Magic 6 2 3 3" xfId="17477"/>
    <cellStyle name="Heading [Palat] 8 2 3 3" xfId="17478"/>
    <cellStyle name="Heading [Helv] 8 2 3 3" xfId="17479"/>
    <cellStyle name="dp*SheetSubTitle 6 2 3 3" xfId="17480"/>
    <cellStyle name="dp*NumberLineEPS 6 2 3 3" xfId="17481"/>
    <cellStyle name="dp*NumberLine 6 2 3 3" xfId="17482"/>
    <cellStyle name="COL HEADINGS 8 2 3 3" xfId="17483"/>
    <cellStyle name="Bold/Border 8 2 3 3" xfId="17484"/>
    <cellStyle name="Afjusted 9 2 3 3" xfId="17485"/>
    <cellStyle name="ac 8 2 3 3" xfId="17486"/>
    <cellStyle name="Date [mmm-yyyy] 6 2 3 3" xfId="17487"/>
    <cellStyle name="Title [Palat] 8 2 3 3" xfId="17488"/>
    <cellStyle name="Title [Helv] 7 2 3 3" xfId="17489"/>
    <cellStyle name="Table Head Green 9 2 3 3" xfId="17490"/>
    <cellStyle name="Table Head Aligned 7 2 3 3" xfId="17491"/>
    <cellStyle name="Outputs 9 2 3 3" xfId="17492"/>
    <cellStyle name="Magic 7 2 3 3" xfId="17493"/>
    <cellStyle name="Heading [Palat] 9 2 3 3" xfId="17494"/>
    <cellStyle name="Heading [Helv] 9 2 3 3" xfId="17495"/>
    <cellStyle name="dp*SheetSubTitle 7 2 3 3" xfId="17496"/>
    <cellStyle name="dp*NumberLineEPS 7 2 3 3" xfId="17497"/>
    <cellStyle name="dp*NumberLine 7 2 3 3" xfId="17498"/>
    <cellStyle name="Date [mmm-yyyy] 7 2 3 3" xfId="17499"/>
    <cellStyle name="COL HEADINGS 9 2 3 3" xfId="17500"/>
    <cellStyle name="Bold/Border 9 2 3 3" xfId="17501"/>
    <cellStyle name="Afjusted 10 2 3 3" xfId="17502"/>
    <cellStyle name="ac 9 2 3 3" xfId="17503"/>
    <cellStyle name="Style 45 9 7" xfId="17504"/>
    <cellStyle name="Style 44 9 7" xfId="17505"/>
    <cellStyle name="Style 43 6 4" xfId="17506"/>
    <cellStyle name="Style 42 6 4" xfId="17507"/>
    <cellStyle name="Style 40 6 4" xfId="17508"/>
    <cellStyle name="Style 37 6 4" xfId="17509"/>
    <cellStyle name="Style 36 6 4" xfId="17510"/>
    <cellStyle name="Style 35 6 4" xfId="17511"/>
    <cellStyle name="Style 28 4 4" xfId="17512"/>
    <cellStyle name="Style 27 4 4" xfId="17513"/>
    <cellStyle name="Style 24 4 4" xfId="17514"/>
    <cellStyle name="Style 26 4 4" xfId="17515"/>
    <cellStyle name="Style 25 4 4" xfId="17516"/>
    <cellStyle name="Style 22 6 4" xfId="17517"/>
    <cellStyle name="Style 21 6 4" xfId="17518"/>
    <cellStyle name="SSFixed2 3 4" xfId="17519"/>
    <cellStyle name="SSDfltPct0 3 4" xfId="17520"/>
    <cellStyle name="SSDfltPct 3 4" xfId="17521"/>
    <cellStyle name="SSDecs3 3 4" xfId="17522"/>
    <cellStyle name="SSComma2 3 4" xfId="17523"/>
    <cellStyle name="SSComma0 3 4" xfId="17524"/>
    <cellStyle name="SAPBEXundefined 3 4" xfId="17525"/>
    <cellStyle name="SAPBEXtitle 3 4" xfId="17526"/>
    <cellStyle name="SAPBEXstdItemX 5 4" xfId="17527"/>
    <cellStyle name="SAPBEXstdItem 3 4" xfId="17528"/>
    <cellStyle name="SAPBEXstdDataEmph 3 4" xfId="17529"/>
    <cellStyle name="SAPBEXstdData 3 4" xfId="17530"/>
    <cellStyle name="SAPBEXresItemX 5 4" xfId="17531"/>
    <cellStyle name="SAPBEXresItem 3 4" xfId="17532"/>
    <cellStyle name="SAPBEXresDataEmph 3 4" xfId="17533"/>
    <cellStyle name="SAPBEXresData 3 4" xfId="17534"/>
    <cellStyle name="SAPBEXHLevel3X 5 4" xfId="17535"/>
    <cellStyle name="SAPBEXHLevel3 5 4" xfId="17536"/>
    <cellStyle name="SAPBEXHLevel2X 5 4" xfId="17537"/>
    <cellStyle name="SAPBEXHLevel2 5 4" xfId="17538"/>
    <cellStyle name="SAPBEXHLevel1X 5 4" xfId="17539"/>
    <cellStyle name="SAPBEXHLevel1 5 4" xfId="17540"/>
    <cellStyle name="SAPBEXHLevel0X 5 4" xfId="17541"/>
    <cellStyle name="SAPBEXHLevel0 5 4" xfId="17542"/>
    <cellStyle name="SAPBEXformats 3 4" xfId="17543"/>
    <cellStyle name="SAPBEXexcGood3 3 4" xfId="17544"/>
    <cellStyle name="SAPBEXexcGood2 3 4" xfId="17545"/>
    <cellStyle name="SAPBEXexcGood1 3 4" xfId="17546"/>
    <cellStyle name="SAPBEXexcCritical6 3 4" xfId="17547"/>
    <cellStyle name="SAPBEXexcCritical5 3 4" xfId="17548"/>
    <cellStyle name="SAPBEXexcCritical4 3 4" xfId="17549"/>
    <cellStyle name="SAPBEXexcBad9 3 4" xfId="17550"/>
    <cellStyle name="SAPBEXexcBad8 3 4" xfId="17551"/>
    <cellStyle name="SAPBEXexcBad7 3 4" xfId="17552"/>
    <cellStyle name="SAPBEXaggItemX 5 4" xfId="17553"/>
    <cellStyle name="SAPBEXaggItem 3 4" xfId="17554"/>
    <cellStyle name="SAPBEXaggDataEmph 3 4" xfId="17555"/>
    <cellStyle name="SAPBEXaggData 3 4" xfId="17556"/>
    <cellStyle name="Arial6Bold 7 4" xfId="17557"/>
    <cellStyle name="Style 49 4 2 2 9" xfId="17558"/>
    <cellStyle name="Arial8Bold 7 4" xfId="17559"/>
    <cellStyle name="Arial8Italic 7 4" xfId="17560"/>
    <cellStyle name="ArialNormal 7 4" xfId="17561"/>
    <cellStyle name="Border 5 4" xfId="17562"/>
    <cellStyle name="Outputs 6 9" xfId="17563"/>
    <cellStyle name="SAPBEXHLevel1X 11" xfId="17564"/>
    <cellStyle name="Date [mm-d-yyyy] 3 2 2 9" xfId="17565"/>
    <cellStyle name="dp*Number%ItalicsLineAbove 5 4" xfId="17566"/>
    <cellStyle name="dp*ThinLineAbove 5 4" xfId="17567"/>
    <cellStyle name="Draw lines around data in range 7 4" xfId="17568"/>
    <cellStyle name="Draw shadow and lines within range 7 4" xfId="17569"/>
    <cellStyle name="Millions 9 4" xfId="17570"/>
    <cellStyle name="Main 5 4" xfId="17571"/>
    <cellStyle name="Magic 4 9" xfId="17572"/>
    <cellStyle name="ItemTypeClass 6 4" xfId="17573"/>
    <cellStyle name="Format a row of totals 7 4" xfId="17574"/>
    <cellStyle name="Format text as bold, black on yellow 7 4" xfId="17575"/>
    <cellStyle name="Heading [Palat] 6 9" xfId="17576"/>
    <cellStyle name="Heading [Helv] 6 9" xfId="17577"/>
    <cellStyle name="Title [Helv] 2 2 4 10" xfId="17578"/>
    <cellStyle name="Title [Helv] 2 2 3 3 10" xfId="17579"/>
    <cellStyle name="Format text as bold, black on yellow 6 4" xfId="17580"/>
    <cellStyle name="Format a row of totals 6 4" xfId="17581"/>
    <cellStyle name="ItemTypeClass 7 4" xfId="17582"/>
    <cellStyle name="Main 6 4" xfId="17583"/>
    <cellStyle name="Draw shadow and lines within range 6 4" xfId="17584"/>
    <cellStyle name="Draw lines around data in range 6 4" xfId="17585"/>
    <cellStyle name="dp*ThinLineAbove 4 4" xfId="17586"/>
    <cellStyle name="Style 49 4 3 11" xfId="17587"/>
    <cellStyle name="dp*SheetSubTitle 4 9" xfId="17588"/>
    <cellStyle name="dp*NumberLineEPS 4 9" xfId="17589"/>
    <cellStyle name="dp*NumberLine 4 9" xfId="17590"/>
    <cellStyle name="dp*Number%ItalicsLineAbove 4 4" xfId="17591"/>
    <cellStyle name="Millions 10 4" xfId="17592"/>
    <cellStyle name="DateYearWholeEstimate 6 4" xfId="17593"/>
    <cellStyle name="DateYearEstimate 6 4" xfId="17594"/>
    <cellStyle name="Date [mmm-yyyy] 4 9" xfId="17595"/>
    <cellStyle name="Date [mm-d-yyyy] 7 8" xfId="17596"/>
    <cellStyle name="Style 51 4 2 2 9" xfId="17597"/>
    <cellStyle name="COL HEADINGS 6 9" xfId="17598"/>
    <cellStyle name="Border 4 4" xfId="17599"/>
    <cellStyle name="Bold/Border 6 9" xfId="17600"/>
    <cellStyle name="ArialNormal 6 4" xfId="17601"/>
    <cellStyle name="Arial8Italic 6 4" xfId="17602"/>
    <cellStyle name="Arial8Bold 6 4" xfId="17603"/>
    <cellStyle name="Arial6Bold 6 4" xfId="17604"/>
    <cellStyle name="Afjusted 7 9" xfId="17605"/>
    <cellStyle name="ac 6 9" xfId="17606"/>
    <cellStyle name="SAPBEXaggData 4 4" xfId="17607"/>
    <cellStyle name="SAPBEXaggDataEmph 4 4" xfId="17608"/>
    <cellStyle name="SAPBEXaggItem 4 4" xfId="17609"/>
    <cellStyle name="SAPBEXaggItemX 6 4" xfId="17610"/>
    <cellStyle name="SAPBEXexcBad7 4 4" xfId="17611"/>
    <cellStyle name="SAPBEXexcBad8 4 4" xfId="17612"/>
    <cellStyle name="SAPBEXexcBad9 4 4" xfId="17613"/>
    <cellStyle name="SAPBEXexcCritical4 4 4" xfId="17614"/>
    <cellStyle name="SAPBEXexcCritical5 4 4" xfId="17615"/>
    <cellStyle name="SAPBEXexcCritical6 4 4" xfId="17616"/>
    <cellStyle name="SAPBEXexcGood2 4 4" xfId="17617"/>
    <cellStyle name="SAPBEXexcGood1 4 4" xfId="17618"/>
    <cellStyle name="SAPBEXexcGood3 4 4" xfId="17619"/>
    <cellStyle name="SAPBEXformats 4 4" xfId="17620"/>
    <cellStyle name="SAPBEXHLevel0 6 4" xfId="17621"/>
    <cellStyle name="SAPBEXHLevel0X 6 4" xfId="17622"/>
    <cellStyle name="SAPBEXHLevel1 6 4" xfId="17623"/>
    <cellStyle name="SAPBEXHLevel1X 6 4" xfId="17624"/>
    <cellStyle name="SAPBEXHLevel2 6 4" xfId="17625"/>
    <cellStyle name="SAPBEXHLevel2X 6 4" xfId="17626"/>
    <cellStyle name="SAPBEXHLevel3 6 4" xfId="17627"/>
    <cellStyle name="SAPBEXHLevel3X 6 4" xfId="17628"/>
    <cellStyle name="SAPBEXresData 4 4" xfId="17629"/>
    <cellStyle name="SAPBEXresDataEmph 4 4" xfId="17630"/>
    <cellStyle name="SAPBEXresItem 4 4" xfId="17631"/>
    <cellStyle name="SAPBEXresItemX 6 4" xfId="17632"/>
    <cellStyle name="SAPBEXstdData 4 4" xfId="17633"/>
    <cellStyle name="SAPBEXstdDataEmph 4 4" xfId="17634"/>
    <cellStyle name="SAPBEXstdItem 4 4" xfId="17635"/>
    <cellStyle name="SAPBEXstdItemX 6 4" xfId="17636"/>
    <cellStyle name="SAPBEXtitle 4 4" xfId="17637"/>
    <cellStyle name="SAPBEXundefined 4 4" xfId="17638"/>
    <cellStyle name="Style 44 8 9" xfId="17639"/>
    <cellStyle name="Style 45 8 9" xfId="17640"/>
    <cellStyle name="Style 49 8 9" xfId="17641"/>
    <cellStyle name="Style 51 8 9" xfId="17642"/>
    <cellStyle name="SSComma0 4 4" xfId="17643"/>
    <cellStyle name="SSComma2 4 4" xfId="17644"/>
    <cellStyle name="SSDecs3 4 4" xfId="17645"/>
    <cellStyle name="SSDfltPct 4 4" xfId="17646"/>
    <cellStyle name="SSDfltPct0 4 4" xfId="17647"/>
    <cellStyle name="SSFixed2 4 4" xfId="17648"/>
    <cellStyle name="Style 22 7 4" xfId="17649"/>
    <cellStyle name="Style 24 5 4" xfId="17650"/>
    <cellStyle name="Style 25 5 4" xfId="17651"/>
    <cellStyle name="Style 26 5 4" xfId="17652"/>
    <cellStyle name="Style 27 5 4" xfId="17653"/>
    <cellStyle name="Style 28 5 4" xfId="17654"/>
    <cellStyle name="Style 35 7 4" xfId="17655"/>
    <cellStyle name="Style 36 7 4" xfId="17656"/>
    <cellStyle name="Style 37 7 4" xfId="17657"/>
    <cellStyle name="Style 40 7 4" xfId="17658"/>
    <cellStyle name="Style 42 7 4" xfId="17659"/>
    <cellStyle name="Style 43 7 4" xfId="17660"/>
    <cellStyle name="Style 48 7 4" xfId="17661"/>
    <cellStyle name="Style 50 7 4" xfId="17662"/>
    <cellStyle name="Style 52 7 4" xfId="17663"/>
    <cellStyle name="Style 53 7 4" xfId="17664"/>
    <cellStyle name="UNLOCKED 27 4" xfId="17665"/>
    <cellStyle name="SymbolBlue 7 4" xfId="17666"/>
    <cellStyle name="Style 21 7 4" xfId="17667"/>
    <cellStyle name="dp*NumberLineEPS 2 2 3 2 10" xfId="17668"/>
    <cellStyle name="Heading [Palat] 3 10" xfId="17669"/>
    <cellStyle name="dp*ThinLineAbove 3 5" xfId="17670"/>
    <cellStyle name="Style 53 12" xfId="17671"/>
    <cellStyle name="UNLOCKED 15 5" xfId="17672"/>
    <cellStyle name="dp*SheetSubTitle 3 10" xfId="17673"/>
    <cellStyle name="Style 43 3 5" xfId="17674"/>
    <cellStyle name="P-Green Rule 4 10" xfId="17675"/>
    <cellStyle name="dp*SheetSubTitle 2 2 2 3 10" xfId="17676"/>
    <cellStyle name="Afjusted 2 2 2 3 10" xfId="17677"/>
    <cellStyle name="Title [Helv] 2 2 2 2 10" xfId="17678"/>
    <cellStyle name="Heading [Palat] 2 2 4 10" xfId="17679"/>
    <cellStyle name="Arial8Italic 2 5" xfId="17680"/>
    <cellStyle name="Format a row of totals 3 5" xfId="17681"/>
    <cellStyle name="Millions 5 5" xfId="17682"/>
    <cellStyle name="UNLOCKED 13 5" xfId="17683"/>
    <cellStyle name="DateYearWholeEstimate 7 4" xfId="17684"/>
    <cellStyle name="ac 2 2 2 3 10" xfId="17685"/>
    <cellStyle name="DateYearEstimate 7 4" xfId="17686"/>
    <cellStyle name="UNLOCKED 29 4" xfId="17687"/>
    <cellStyle name="WingdingsBlack 7 4" xfId="17688"/>
    <cellStyle name="WingdingsRed 7 4" xfId="17689"/>
    <cellStyle name="WingdingsWhite 7 4" xfId="17690"/>
    <cellStyle name="Border Thin 3 2 3 10" xfId="17691"/>
    <cellStyle name="UNLOCKED 31 4" xfId="17692"/>
    <cellStyle name="Title [Palat] 6 8" xfId="17693"/>
    <cellStyle name="Title [Helv] 5 8" xfId="17694"/>
    <cellStyle name="Table Head Green 7 8" xfId="17695"/>
    <cellStyle name="Table Head Aligned 5 8" xfId="17696"/>
    <cellStyle name="PB Table Standard Row 3 5 9" xfId="17697"/>
    <cellStyle name="Outputs 7 8" xfId="17698"/>
    <cellStyle name="Millions 11 4" xfId="17699"/>
    <cellStyle name="Magic 5 8" xfId="17700"/>
    <cellStyle name="Heading [Palat] 7 8" xfId="17701"/>
    <cellStyle name="Heading [Helv] 7 8" xfId="17702"/>
    <cellStyle name="dp*SheetSubTitle 5 8" xfId="17703"/>
    <cellStyle name="dp*NumberLineEPS 5 8" xfId="17704"/>
    <cellStyle name="dp*NumberLine 5 8" xfId="17705"/>
    <cellStyle name="Date [mmm-yyyy] 5 8" xfId="17706"/>
    <cellStyle name="Afjusted 3 2 2 10" xfId="17707"/>
    <cellStyle name="COL HEADINGS 7 8" xfId="17708"/>
    <cellStyle name="Bold/Border 7 8" xfId="17709"/>
    <cellStyle name="Afjusted 8 8" xfId="17710"/>
    <cellStyle name="ac 7 8" xfId="17711"/>
    <cellStyle name="UNLOCKED 30 4" xfId="17712"/>
    <cellStyle name="Style 51 5 10" xfId="17713"/>
    <cellStyle name="FieldName 5 4" xfId="17714"/>
    <cellStyle name="WingdingsWhite 8 4" xfId="17715"/>
    <cellStyle name="WingdingsRed 8 4" xfId="17716"/>
    <cellStyle name="WingdingsBlack 8 4" xfId="17717"/>
    <cellStyle name="UNLOCKED 33 4" xfId="17718"/>
    <cellStyle name="Title [Palat] 7 8" xfId="17719"/>
    <cellStyle name="Title [Helv] 6 8" xfId="17720"/>
    <cellStyle name="Table Head Green 8 8" xfId="17721"/>
    <cellStyle name="Table Head Aligned 6 8" xfId="17722"/>
    <cellStyle name="SymbolBlue 8 4" xfId="17723"/>
    <cellStyle name="Style 53 8 4" xfId="17724"/>
    <cellStyle name="Style 52 8 4" xfId="17725"/>
    <cellStyle name="Style 50 8 4" xfId="17726"/>
    <cellStyle name="Style 48 8 4" xfId="17727"/>
    <cellStyle name="Style 43 8 4" xfId="17728"/>
    <cellStyle name="Style 42 8 4" xfId="17729"/>
    <cellStyle name="Style 40 8 4" xfId="17730"/>
    <cellStyle name="Style 37 8 4" xfId="17731"/>
    <cellStyle name="Style 36 8 4" xfId="17732"/>
    <cellStyle name="Style 35 8 4" xfId="17733"/>
    <cellStyle name="Style 28 6 4" xfId="17734"/>
    <cellStyle name="Style 26 6 4" xfId="17735"/>
    <cellStyle name="Style 27 6 4" xfId="17736"/>
    <cellStyle name="Style 25 6 4" xfId="17737"/>
    <cellStyle name="Style 24 6 4" xfId="17738"/>
    <cellStyle name="Style 22 8 4" xfId="17739"/>
    <cellStyle name="Style 21 8 4" xfId="17740"/>
    <cellStyle name="SSFixed2 5 4" xfId="17741"/>
    <cellStyle name="SSDfltPct0 5 4" xfId="17742"/>
    <cellStyle name="SSDfltPct 5 4" xfId="17743"/>
    <cellStyle name="SSDecs3 5 4" xfId="17744"/>
    <cellStyle name="SSComma2 5 4" xfId="17745"/>
    <cellStyle name="SSComma0 5 4" xfId="17746"/>
    <cellStyle name="dp*ThinLineAbove 10" xfId="17747"/>
    <cellStyle name="SAPBEXundefined 5 4" xfId="17748"/>
    <cellStyle name="SAPBEXtitle 5 4" xfId="17749"/>
    <cellStyle name="SAPBEXstdItemX 7 4" xfId="17750"/>
    <cellStyle name="SAPBEXstdItem 5 4" xfId="17751"/>
    <cellStyle name="SAPBEXstdDataEmph 5 4" xfId="17752"/>
    <cellStyle name="SAPBEXstdData 5 4" xfId="17753"/>
    <cellStyle name="SAPBEXresItemX 7 4" xfId="17754"/>
    <cellStyle name="SAPBEXresItem 5 4" xfId="17755"/>
    <cellStyle name="SAPBEXresDataEmph 5 4" xfId="17756"/>
    <cellStyle name="SAPBEXresData 5 4" xfId="17757"/>
    <cellStyle name="SAPBEXHLevel3X 7 4" xfId="17758"/>
    <cellStyle name="SAPBEXHLevel3 7 4" xfId="17759"/>
    <cellStyle name="SAPBEXHLevel2X 7 4" xfId="17760"/>
    <cellStyle name="SAPBEXHLevel2 7 4" xfId="17761"/>
    <cellStyle name="SAPBEXHLevel1X 7 4" xfId="17762"/>
    <cellStyle name="SAPBEXHLevel1 7 4" xfId="17763"/>
    <cellStyle name="SAPBEXHLevel0X 7 4" xfId="17764"/>
    <cellStyle name="SAPBEXHLevel0 7 4" xfId="17765"/>
    <cellStyle name="SAPBEXformats 5 4" xfId="17766"/>
    <cellStyle name="SAPBEXexcGood3 5 4" xfId="17767"/>
    <cellStyle name="SAPBEXexcGood2 5 4" xfId="17768"/>
    <cellStyle name="SAPBEXexcGood1 5 4" xfId="17769"/>
    <cellStyle name="SAPBEXexcCritical6 5 4" xfId="17770"/>
    <cellStyle name="SAPBEXexcCritical5 5 4" xfId="17771"/>
    <cellStyle name="SAPBEXexcCritical4 5 4" xfId="17772"/>
    <cellStyle name="SAPBEXexcBad9 5 4" xfId="17773"/>
    <cellStyle name="SAPBEXexcBad8 5 4" xfId="17774"/>
    <cellStyle name="SAPBEXexcBad7 5 4" xfId="17775"/>
    <cellStyle name="SAPBEXaggItemX 7 4" xfId="17776"/>
    <cellStyle name="SAPBEXaggItem 5 4" xfId="17777"/>
    <cellStyle name="SAPBEXaggDataEmph 5 4" xfId="17778"/>
    <cellStyle name="SAPBEXaggData 5 4" xfId="17779"/>
    <cellStyle name="Date [mm-d-yyyy] 2 2 2 9" xfId="17780"/>
    <cellStyle name="Outputs 8 8" xfId="17781"/>
    <cellStyle name="SAPBEXHLevel1 11" xfId="17782"/>
    <cellStyle name="Millions 12 4" xfId="17783"/>
    <cellStyle name="Main 7 4" xfId="17784"/>
    <cellStyle name="Magic 6 8" xfId="17785"/>
    <cellStyle name="ItemTypeClass 8 4" xfId="17786"/>
    <cellStyle name="Heading [Palat] 8 8" xfId="17787"/>
    <cellStyle name="Heading [Helv] 8 8" xfId="17788"/>
    <cellStyle name="Magic 2 2 4 10" xfId="17789"/>
    <cellStyle name="Title [Palat] 2 2 3 3 10" xfId="17790"/>
    <cellStyle name="Format text as bold, black on yellow 8 4" xfId="17791"/>
    <cellStyle name="Format a row of totals 8 4" xfId="17792"/>
    <cellStyle name="Draw shadow and lines within range 8 4" xfId="17793"/>
    <cellStyle name="Draw lines around data in range 8 4" xfId="17794"/>
    <cellStyle name="dp*ThinLineAbove 6 4" xfId="17795"/>
    <cellStyle name="dp*SheetSubTitle 6 8" xfId="17796"/>
    <cellStyle name="dp*NumberLineEPS 6 8" xfId="17797"/>
    <cellStyle name="dp*NumberLine 6 8" xfId="17798"/>
    <cellStyle name="dp*Number%ItalicsLineAbove 6 4" xfId="17799"/>
    <cellStyle name="DateYearWholeEstimate 8 4" xfId="17800"/>
    <cellStyle name="DateYearEstimate 8 4" xfId="17801"/>
    <cellStyle name="COL HEADINGS 8 8" xfId="17802"/>
    <cellStyle name="Border 6 4" xfId="17803"/>
    <cellStyle name="Bold/Border 8 8" xfId="17804"/>
    <cellStyle name="ArialNormal 8 4" xfId="17805"/>
    <cellStyle name="Arial8Italic 8 4" xfId="17806"/>
    <cellStyle name="Arial8Bold 8 4" xfId="17807"/>
    <cellStyle name="Arial6Bold 8 4" xfId="17808"/>
    <cellStyle name="Afjusted 9 8" xfId="17809"/>
    <cellStyle name="ac 8 8" xfId="17810"/>
    <cellStyle name="UNLOCKED 32 4" xfId="17811"/>
    <cellStyle name="PB Table Standard Row 4 10" xfId="17812"/>
    <cellStyle name="Date [mmm-yyyy] 6 8" xfId="17813"/>
    <cellStyle name="dp*ThinLineBelow 4 10" xfId="17814"/>
    <cellStyle name="UNLOCKED 35 4" xfId="17815"/>
    <cellStyle name="Title [Palat] 8 8" xfId="17816"/>
    <cellStyle name="Title [Helv] 7 8" xfId="17817"/>
    <cellStyle name="Table Head Green 9 8" xfId="17818"/>
    <cellStyle name="Table Head Aligned 7 8" xfId="17819"/>
    <cellStyle name="dp*SubTitle 2 3 8" xfId="17820"/>
    <cellStyle name="Outputs 9 8" xfId="17821"/>
    <cellStyle name="Millions 13 4" xfId="17822"/>
    <cellStyle name="Magic 7 8" xfId="17823"/>
    <cellStyle name="Heading [Palat] 9 8" xfId="17824"/>
    <cellStyle name="Heading [Helv] 9 8" xfId="17825"/>
    <cellStyle name="dp*SheetSubTitle 7 8" xfId="17826"/>
    <cellStyle name="dp*NumberLineEPS 7 8" xfId="17827"/>
    <cellStyle name="dp*NumberLine 7 8" xfId="17828"/>
    <cellStyle name="Date [mmm-yyyy] 7 8" xfId="17829"/>
    <cellStyle name="Date [mm-d-yyyy] 3 5 9" xfId="17830"/>
    <cellStyle name="COL HEADINGS 9 8" xfId="17831"/>
    <cellStyle name="Bold/Border 9 8" xfId="17832"/>
    <cellStyle name="Afjusted 10 8" xfId="17833"/>
    <cellStyle name="ac 9 8" xfId="17834"/>
    <cellStyle name="UNLOCKED 34 4" xfId="17835"/>
    <cellStyle name="dp*SubTitle 4 10" xfId="17836"/>
    <cellStyle name="SAPBEXexcBad9 2 5" xfId="17837"/>
    <cellStyle name="Style 25 8" xfId="17838"/>
    <cellStyle name="Style 35 10" xfId="17839"/>
    <cellStyle name="Style 40 10" xfId="17840"/>
    <cellStyle name="Style 52 10" xfId="17841"/>
    <cellStyle name="P-Green Rule 6 5 4" xfId="17842"/>
    <cellStyle name="PB Table Standard Row 6 5 4" xfId="17843"/>
    <cellStyle name="Millions 2 3" xfId="17844"/>
    <cellStyle name="Outputs 5 5 4" xfId="17845"/>
    <cellStyle name="ArialNormal 2 3" xfId="17846"/>
    <cellStyle name="dp*Number%ItalicsLineAbove 2 3" xfId="17847"/>
    <cellStyle name="SAPBEXaggItem 2 3" xfId="17848"/>
    <cellStyle name="SAPBEXexcBad8 2 3" xfId="17849"/>
    <cellStyle name="SAPBEXexcGood2 2 3" xfId="17850"/>
    <cellStyle name="SAPBEXHLevel0X 2 3" xfId="17851"/>
    <cellStyle name="SAPBEXHLevel2 2 3" xfId="17852"/>
    <cellStyle name="SAPBEXHLevel3X 2 3" xfId="17853"/>
    <cellStyle name="Table Head Green 2 2 4 8" xfId="17854"/>
    <cellStyle name="P-Green Rule 3 3 3 8" xfId="17855"/>
    <cellStyle name="Style 49 4 4 8" xfId="17856"/>
    <cellStyle name="P-Green Rule 3 4 5" xfId="17857"/>
    <cellStyle name="dp*SubTitle 3 4 5" xfId="17858"/>
    <cellStyle name="Style 44 4 3 4 8" xfId="17859"/>
    <cellStyle name="PB Table Standard Row 3 3 4 8" xfId="17860"/>
    <cellStyle name="Afjusted 3 3 10" xfId="17861"/>
    <cellStyle name="Note 2 6" xfId="17862"/>
    <cellStyle name="Afjusted 4 2 10" xfId="17863"/>
    <cellStyle name="Heading [Helv] 2 2 2 10" xfId="17864"/>
    <cellStyle name="Table Head Green 2 2 3 2 8" xfId="17865"/>
    <cellStyle name="Afjusted 2 2 3 2 8" xfId="17866"/>
    <cellStyle name="Style 45 4 3 2 8" xfId="17867"/>
    <cellStyle name="Heading [Helv] 5 5 4" xfId="17868"/>
    <cellStyle name="Heading [Palat] 2 2 2 2 8" xfId="17869"/>
    <cellStyle name="Table Head Green 2 2 2 2 8" xfId="17870"/>
    <cellStyle name="Afjusted 3 2 3 8" xfId="17871"/>
    <cellStyle name="Style 49 4 2 3 8" xfId="17872"/>
    <cellStyle name="dp*NumberLine 2 2 2 3 8" xfId="17873"/>
    <cellStyle name="Outputs 2 2 2 3 8" xfId="17874"/>
    <cellStyle name="Border Thin 3 2 4 8" xfId="17875"/>
    <cellStyle name="Date [mmm-yyyy] 2 2 2 4 8" xfId="17876"/>
    <cellStyle name="Table Head Aligned 2 2 2 4 8" xfId="17877"/>
    <cellStyle name="Style 44 5 8" xfId="17878"/>
    <cellStyle name="UNLOCKED 14 3" xfId="17879"/>
    <cellStyle name="WingdingsWhite 3 3" xfId="17880"/>
    <cellStyle name="Style 48 3 3" xfId="17881"/>
    <cellStyle name="UNLOCKED 15 3" xfId="17882"/>
    <cellStyle name="Format text as bold, black on yellow 4 3" xfId="17883"/>
    <cellStyle name="dp*SubTitle 2 5 8" xfId="17884"/>
    <cellStyle name="COL HEADINGS 5 5 4" xfId="17885"/>
    <cellStyle name="dp*NumberLineEPS 2 5 8" xfId="17886"/>
    <cellStyle name="Style 44 3 5 8" xfId="17887"/>
    <cellStyle name="Style 45 2 5 8" xfId="17888"/>
    <cellStyle name="Bold/Border 5 5 4" xfId="17889"/>
    <cellStyle name="ac 5 8" xfId="17890"/>
    <cellStyle name="Style 21 4 3" xfId="17891"/>
    <cellStyle name="Style 36 2 3" xfId="17892"/>
    <cellStyle name="Style 45 2 5 5 4" xfId="17893"/>
    <cellStyle name="Date [mmm-yyyy] 2 5 5 4" xfId="17894"/>
    <cellStyle name="Bold/Border 2 5 5 4" xfId="17895"/>
    <cellStyle name="Afjusted 2 4 5 4" xfId="17896"/>
    <cellStyle name="ac 2 5 5 4" xfId="17897"/>
    <cellStyle name="dp*SubTitle 3 3 3 8" xfId="17898"/>
    <cellStyle name="COL HEADINGS 2 3 8" xfId="17899"/>
    <cellStyle name="Style 51 6 5 4" xfId="17900"/>
    <cellStyle name="PB Table Standard Row 5 5 4" xfId="17901"/>
    <cellStyle name="Millions 4 3" xfId="17902"/>
    <cellStyle name="COL HEADINGS 2 2 2 10" xfId="17903"/>
    <cellStyle name="Table Head Aligned 2 2 2 10" xfId="17904"/>
    <cellStyle name="Style 51 4 3 2 10" xfId="17905"/>
    <cellStyle name="dp*SheetSubTitle 2 2 3 2 8" xfId="17906"/>
    <cellStyle name="Date [mmm-yyyy] 2 2 3 2 8" xfId="17907"/>
    <cellStyle name="ac 2 2 3 2 8" xfId="17908"/>
    <cellStyle name="Style 49 4 3 2 8" xfId="17909"/>
    <cellStyle name="Heading [Palat] 4 5 4" xfId="17910"/>
    <cellStyle name="COL HEADINGS 2 2 2 3 10" xfId="17911"/>
    <cellStyle name="ac 3 8" xfId="17912"/>
    <cellStyle name="dp*SheetSubTitle 2 5 8" xfId="17913"/>
    <cellStyle name="Style 45 3 5 8" xfId="17914"/>
    <cellStyle name="Bold/Border 4 5 4" xfId="17915"/>
    <cellStyle name="COL HEADINGS 5 8" xfId="17916"/>
    <cellStyle name="ac 4 5 4" xfId="17917"/>
    <cellStyle name="Outputs 5 8" xfId="17918"/>
    <cellStyle name="SAPBEXHLevel0X 4 3" xfId="17919"/>
    <cellStyle name="Title [Palat] 2 2 3 3 8" xfId="17920"/>
    <cellStyle name="Afjusted 3 3 3 8" xfId="17921"/>
    <cellStyle name="Title [Helv] 2 4 5 4" xfId="17922"/>
    <cellStyle name="Table Head Green 2 4 5 4" xfId="17923"/>
    <cellStyle name="Table Head Aligned 2 4 5 4" xfId="17924"/>
    <cellStyle name="Style 51 2 4 5 4" xfId="17925"/>
    <cellStyle name="Style 49 2 4 5 4" xfId="17926"/>
    <cellStyle name="Style 45 2 4 5 4" xfId="17927"/>
    <cellStyle name="Style 44 2 4 5 4" xfId="17928"/>
    <cellStyle name="Style 51 3 4 5 4" xfId="17929"/>
    <cellStyle name="Style 49 3 4 5 4" xfId="17930"/>
    <cellStyle name="Style 45 3 4 5 4" xfId="17931"/>
    <cellStyle name="Style 44 3 4 5 4" xfId="17932"/>
    <cellStyle name="P-Green Rule 2 4 5 4" xfId="17933"/>
    <cellStyle name="PB Table Standard Row 2 4 5 4" xfId="17934"/>
    <cellStyle name="Outputs 2 4 5 4" xfId="17935"/>
    <cellStyle name="Magic 2 4 5 4" xfId="17936"/>
    <cellStyle name="Heading [Palat] 2 4 5 4" xfId="17937"/>
    <cellStyle name="Heading [Helv] 2 4 5 4" xfId="17938"/>
    <cellStyle name="COL HEADINGS 2 4 5 4" xfId="17939"/>
    <cellStyle name="Style 45 4 3 3 8" xfId="17940"/>
    <cellStyle name="Date [mmm-yyyy] 3 5 4" xfId="17941"/>
    <cellStyle name="Afjusted 5 5 4" xfId="17942"/>
    <cellStyle name="Bold/Border 3 5 4" xfId="17943"/>
    <cellStyle name="COL HEADINGS 3 5 4" xfId="17944"/>
    <cellStyle name="dp*NumberLine 3 5 4" xfId="17945"/>
    <cellStyle name="dp*NumberLineEPS 3 5 4" xfId="17946"/>
    <cellStyle name="dp*NumberLineEPS 2 2 2 4 8" xfId="17947"/>
    <cellStyle name="Heading [Palat] 3 5 4" xfId="17948"/>
    <cellStyle name="Magic 3 5 4" xfId="17949"/>
    <cellStyle name="Title [Helv] 3 5 4" xfId="17950"/>
    <cellStyle name="Style 36 4 3" xfId="17951"/>
    <cellStyle name="Style 40 4 3" xfId="17952"/>
    <cellStyle name="WingdingsWhite 10" xfId="17953"/>
    <cellStyle name="Date [mm-d-yyyy] 4 5 4" xfId="17954"/>
    <cellStyle name="Title [Palat] 2 2 2 4 5 4" xfId="17955"/>
    <cellStyle name="Title [Helv] 2 2 2 4 5 4" xfId="17956"/>
    <cellStyle name="Heading [Palat] 2 2 2 4 5 4" xfId="17957"/>
    <cellStyle name="dp*NumberLineEPS 2 2 2 4 5 4" xfId="17958"/>
    <cellStyle name="dp*NumberLine 2 2 2 4 5 4" xfId="17959"/>
    <cellStyle name="Bold/Border 2 2 2 4 5 4" xfId="17960"/>
    <cellStyle name="Afjusted 2 2 2 4 5 4" xfId="17961"/>
    <cellStyle name="ac 2 2 2 4 5 4" xfId="17962"/>
    <cellStyle name="dp*SubTitle 3 2 4 5 4" xfId="17963"/>
    <cellStyle name="P-Green Rule 3 2 4 5 4" xfId="17964"/>
    <cellStyle name="Style 49 4 2 4 5 4" xfId="17965"/>
    <cellStyle name="Afjusted 3 2 4 5 4" xfId="17966"/>
    <cellStyle name="Table Head Green 2 2 2 3 5 4" xfId="17967"/>
    <cellStyle name="Magic 2 2 2 3 5 4" xfId="17968"/>
    <cellStyle name="dp*SheetSubTitle 2 2 2 3 5 4" xfId="17969"/>
    <cellStyle name="Date [mmm-yyyy] 2 2 2 3 5 4" xfId="17970"/>
    <cellStyle name="Afjusted 2 2 2 3 5 4" xfId="17971"/>
    <cellStyle name="Border Thin 3 2 3 5 4" xfId="17972"/>
    <cellStyle name="PB Table Standard Row 3 2 3 5 4" xfId="17973"/>
    <cellStyle name="Date [mm-d-yyyy] 2 2 3 5 4" xfId="17974"/>
    <cellStyle name="Heading [Palat] 2 2 2 2 5 4" xfId="17975"/>
    <cellStyle name="dp*NumberLineEPS 2 2 2 2 5 4" xfId="17976"/>
    <cellStyle name="dp*NumberLine 2 2 2 2 5 4" xfId="17977"/>
    <cellStyle name="Date [mmm-yyyy] 2 2 2 2 5 4" xfId="17978"/>
    <cellStyle name="COL HEADINGS 2 2 2 2 5 4" xfId="17979"/>
    <cellStyle name="Bold/Border 2 2 2 2 5 4" xfId="17980"/>
    <cellStyle name="Afjusted 2 2 2 2 5 4" xfId="17981"/>
    <cellStyle name="Style 51 4 5 5 4" xfId="17982"/>
    <cellStyle name="dp*SubTitle 3 2 2 5 4" xfId="17983"/>
    <cellStyle name="dp*ThinLineBelow 3 2 2 5 4" xfId="17984"/>
    <cellStyle name="PB Table Standard Row 3 2 2 5 4" xfId="17985"/>
    <cellStyle name="Style 44 4 2 2 5 4" xfId="17986"/>
    <cellStyle name="Style 49 4 2 2 5 4" xfId="17987"/>
    <cellStyle name="Style 51 4 2 2 5 4" xfId="17988"/>
    <cellStyle name="Afjusted 3 2 2 5 4" xfId="17989"/>
    <cellStyle name="Date [mm-d-yyyy] 2 2 2 5 4" xfId="17990"/>
    <cellStyle name="Afjusted 3 3 2 5 4" xfId="17991"/>
    <cellStyle name="Style 49 4 3 2 5 4" xfId="17992"/>
    <cellStyle name="Style 44 4 3 2 5 4" xfId="17993"/>
    <cellStyle name="P-Green Rule 3 3 2 5 4" xfId="17994"/>
    <cellStyle name="dp*SubTitle 3 3 2 5 4" xfId="17995"/>
    <cellStyle name="ac 2 2 3 2 5 4" xfId="17996"/>
    <cellStyle name="dp*NumberLineEPS 2 2 3 2 5 4" xfId="17997"/>
    <cellStyle name="Heading [Palat] 2 2 3 2 5 4" xfId="17998"/>
    <cellStyle name="Magic 2 2 3 2 5 4" xfId="17999"/>
    <cellStyle name="Outputs 2 2 3 2 5 4" xfId="18000"/>
    <cellStyle name="Style 49 6 8" xfId="18001"/>
    <cellStyle name="Style 48 4 3" xfId="18002"/>
    <cellStyle name="Style 50 4 3" xfId="18003"/>
    <cellStyle name="Afjusted 2 2 2 8 4" xfId="18004"/>
    <cellStyle name="PB Table Standard Row 3 2 6 4" xfId="18005"/>
    <cellStyle name="P-Green Rule 3 2 7 4" xfId="18006"/>
    <cellStyle name="Style 49 4 2 7 4" xfId="18007"/>
    <cellStyle name="Afjusted 4 4 7" xfId="18008"/>
    <cellStyle name="Date [mm-d-yyyy] 2 2 7 4" xfId="18009"/>
    <cellStyle name="Style 45 6 8" xfId="18010"/>
    <cellStyle name="Style 51 2 3 8" xfId="18011"/>
    <cellStyle name="Table Head Green 2 2 3 4 8" xfId="18012"/>
    <cellStyle name="Style 53 4 3" xfId="18013"/>
    <cellStyle name="Date [mm-d-yyyy] 3 2 4 8" xfId="18014"/>
    <cellStyle name="Magic 2 5 8" xfId="18015"/>
    <cellStyle name="DateYearWholeEstimate 5 3" xfId="18016"/>
    <cellStyle name="Date [mmm-yyyy] 2 4 8" xfId="18017"/>
    <cellStyle name="Bold/Border 2 2 3 8 4" xfId="18018"/>
    <cellStyle name="dp*NumberLine 2 2 3 8 4" xfId="18019"/>
    <cellStyle name="dp*NumberLineEPS 2 2 3 8 4" xfId="18020"/>
    <cellStyle name="dp*SheetSubTitle 2 2 3 8 4" xfId="18021"/>
    <cellStyle name="Magic 2 2 3 8 4" xfId="18022"/>
    <cellStyle name="Outputs 2 2 3 8 4" xfId="18023"/>
    <cellStyle name="Table Head Aligned 2 2 3 8 4" xfId="18024"/>
    <cellStyle name="Table Head Green 2 2 3 8 4" xfId="18025"/>
    <cellStyle name="Title [Helv] 2 2 3 8 4" xfId="18026"/>
    <cellStyle name="Title [Palat] 2 2 3 8 4" xfId="18027"/>
    <cellStyle name="Border Thin 3 4 4 4" xfId="18028"/>
    <cellStyle name="dp*SubTitle 3 3 4 5 4" xfId="18029"/>
    <cellStyle name="dp*SubTitle 3 4 4 4" xfId="18030"/>
    <cellStyle name="dp*ThinLineBelow 3 4 4 4" xfId="18031"/>
    <cellStyle name="PB Table Standard Row 3 4 3 4" xfId="18032"/>
    <cellStyle name="Style 44 4 4 5 4" xfId="18033"/>
    <cellStyle name="Style 45 4 4 5 4" xfId="18034"/>
    <cellStyle name="ac 2 2 2 4 4 4" xfId="18035"/>
    <cellStyle name="Date [mm-d-yyyy] 3 4 5 4" xfId="18036"/>
    <cellStyle name="Date [mm-d-yyyy] 3 3 3 5 4" xfId="18037"/>
    <cellStyle name="P-Green Rule 3 3 3 5 4" xfId="18038"/>
    <cellStyle name="dp*SheetSubTitle 2 2 3 3 5 4" xfId="18039"/>
    <cellStyle name="Heading [Palat] 2 2 3 3 5 4" xfId="18040"/>
    <cellStyle name="Table Head Aligned 2 2 4 5 4" xfId="18041"/>
    <cellStyle name="Afjusted 3 4 5 4" xfId="18042"/>
    <cellStyle name="Style 45 4 3 4 5 4" xfId="18043"/>
    <cellStyle name="Title [Helv] 2 3 5 4" xfId="18044"/>
    <cellStyle name="Style 45 4 3 3 5 4" xfId="18045"/>
    <cellStyle name="dp*SubTitle 3 3 3 5 4" xfId="18046"/>
    <cellStyle name="Style 49 4 3 3 5 4" xfId="18047"/>
    <cellStyle name="dp*ThinLineBelow 3 3 3 5 4" xfId="18048"/>
    <cellStyle name="Afjusted 2 2 3 3 5 4" xfId="18049"/>
    <cellStyle name="Date [mmm-yyyy] 2 2 3 3 5 4" xfId="18050"/>
    <cellStyle name="Magic 2 3 5 4" xfId="18051"/>
    <cellStyle name="Heading [Palat] 2 3 5 4" xfId="18052"/>
    <cellStyle name="SAPBEXexcGood2 2 5" xfId="18053"/>
    <cellStyle name="Style 51 3 3 5 4" xfId="18054"/>
    <cellStyle name="Afjusted 4 5 8" xfId="18055"/>
    <cellStyle name="Border Thin 2 5 8" xfId="18056"/>
    <cellStyle name="Style 35 3 3" xfId="18057"/>
    <cellStyle name="Heading [Palat] 2 4 8" xfId="18058"/>
    <cellStyle name="SAPBEXHLevel2 3 3" xfId="18059"/>
    <cellStyle name="UNLOCKED 11 3" xfId="18060"/>
    <cellStyle name="Outputs 2 2 3 3 8" xfId="18061"/>
    <cellStyle name="SAPBEXHLevel2X 3 3" xfId="18062"/>
    <cellStyle name="Heading [Helv] 2 3 8" xfId="18063"/>
    <cellStyle name="Table Head Green 2 3 8" xfId="18064"/>
    <cellStyle name="Style 43 2 3" xfId="18065"/>
    <cellStyle name="Style 45 2 8 4" xfId="18066"/>
    <cellStyle name="Style 44 2 8 4" xfId="18067"/>
    <cellStyle name="Style 51 3 8 4" xfId="18068"/>
    <cellStyle name="P-Green Rule 2 8 4" xfId="18069"/>
    <cellStyle name="PB Table Standard Row 2 7 4" xfId="18070"/>
    <cellStyle name="Afjusted 4 2 2 8" xfId="18071"/>
    <cellStyle name="Style 49 4 2 4 8" xfId="18072"/>
    <cellStyle name="dp*SubTitle 2 6 4" xfId="18073"/>
    <cellStyle name="Border Thin 2 7 4" xfId="18074"/>
    <cellStyle name="Draw shadow and lines within range 5 3" xfId="18075"/>
    <cellStyle name="Style 45 4 3 4 8" xfId="18076"/>
    <cellStyle name="Date [mmm-yyyy] 3 4 4" xfId="18077"/>
    <cellStyle name="Style 49 3 4 4 4" xfId="18078"/>
    <cellStyle name="Arial8Italic 10" xfId="18079"/>
    <cellStyle name="Draw lines around data in range 10" xfId="18080"/>
    <cellStyle name="ItemTypeClass 10" xfId="18081"/>
    <cellStyle name="SAPBEXaggItem 7" xfId="18082"/>
    <cellStyle name="Style 42 10" xfId="18083"/>
    <cellStyle name="Header2 2 4" xfId="18084"/>
    <cellStyle name="DateYearEstimate 2 3" xfId="18085"/>
    <cellStyle name="SAPBEXaggData 2 3" xfId="18086"/>
    <cellStyle name="SAPBEXexcCritical6 2 3" xfId="18087"/>
    <cellStyle name="SAPBEXresDataEmph 2 3" xfId="18088"/>
    <cellStyle name="dp*SheetSubTitle 2 2 3 3 8" xfId="18089"/>
    <cellStyle name="dp*ThinLineBelow 3 3 4 8" xfId="18090"/>
    <cellStyle name="dp*ThinLineBelow 3 4 5" xfId="18091"/>
    <cellStyle name="Input 2 5" xfId="18092"/>
    <cellStyle name="Output 2 2 3" xfId="18093"/>
    <cellStyle name="dp*SheetSubTitle 2 2 2 10" xfId="18094"/>
    <cellStyle name="Title [Palat] 2 2 3 2 8" xfId="18095"/>
    <cellStyle name="Outputs 2 2 3 2 8" xfId="18096"/>
    <cellStyle name="Magic 2 2 3 2 8" xfId="18097"/>
    <cellStyle name="dp*NumberLineEPS 2 2 3 2 8" xfId="18098"/>
    <cellStyle name="COL HEADINGS 2 2 3 2 8" xfId="18099"/>
    <cellStyle name="Bold/Border 2 2 3 2 8" xfId="18100"/>
    <cellStyle name="Style 44 4 3 2 8" xfId="18101"/>
    <cellStyle name="Afjusted 3 3 2 8" xfId="18102"/>
    <cellStyle name="Heading [Helv] 2 2 2 2 8" xfId="18103"/>
    <cellStyle name="Style 51 4 2 3 8" xfId="18104"/>
    <cellStyle name="dp*ThinLineBelow 3 2 3 8" xfId="18105"/>
    <cellStyle name="COL HEADINGS 2 2 2 3 8" xfId="18106"/>
    <cellStyle name="Heading [Helv] 2 2 2 3 8" xfId="18107"/>
    <cellStyle name="Title [Helv] 2 2 2 3 8" xfId="18108"/>
    <cellStyle name="dp*SubTitle 3 2 4 8" xfId="18109"/>
    <cellStyle name="Table Head Green 3 8" xfId="18110"/>
    <cellStyle name="Style 25 3 3" xfId="18111"/>
    <cellStyle name="dp*Number%ItalicsLineAbove 3 3" xfId="18112"/>
    <cellStyle name="Arial6Bold 3 3" xfId="18113"/>
    <cellStyle name="ac 2 4 8" xfId="18114"/>
    <cellStyle name="Afjusted 2 3 8" xfId="18115"/>
    <cellStyle name="Bold/Border 2 4 8" xfId="18116"/>
    <cellStyle name="PB Table Standard Row 2 4 8" xfId="18117"/>
    <cellStyle name="Arial8Italic 4 3" xfId="18118"/>
    <cellStyle name="Bold/Border 4 8" xfId="18119"/>
    <cellStyle name="SAPBEXHLevel0 3 3" xfId="18120"/>
    <cellStyle name="Heading [Helv] 2 5 8" xfId="18121"/>
    <cellStyle name="Heading [Palat] 2 5 8" xfId="18122"/>
    <cellStyle name="Style 49 3 5 8" xfId="18123"/>
    <cellStyle name="Style 51 2 5 8" xfId="18124"/>
    <cellStyle name="Table Head Aligned 2 5 8" xfId="18125"/>
    <cellStyle name="Title [Palat] 2 5 8" xfId="18126"/>
    <cellStyle name="PB Table Standard Row 6 8" xfId="18127"/>
    <cellStyle name="SAPBEXHLevel1X 4 3" xfId="18128"/>
    <cellStyle name="SAPBEXHLevel3 4 3" xfId="18129"/>
    <cellStyle name="SAPBEXstdItemX 4 3" xfId="18130"/>
    <cellStyle name="Style 22 5 3" xfId="18131"/>
    <cellStyle name="Style 42 5 3" xfId="18132"/>
    <cellStyle name="Style 49 7 8" xfId="18133"/>
    <cellStyle name="Style 52 5 3" xfId="18134"/>
    <cellStyle name="Style 53 5 3" xfId="18135"/>
    <cellStyle name="UNLOCKED 25 3" xfId="18136"/>
    <cellStyle name="ac 2 6 8" xfId="18137"/>
    <cellStyle name="Bold/Border 2 6 8" xfId="18138"/>
    <cellStyle name="Border Thin 2 6 8" xfId="18139"/>
    <cellStyle name="COL HEADINGS 2 6 8" xfId="18140"/>
    <cellStyle name="Date [mm-d-yyyy] 2 3 6" xfId="18141"/>
    <cellStyle name="Header2 2 2 3" xfId="18142"/>
    <cellStyle name="Heading [Helv] 2 6 8" xfId="18143"/>
    <cellStyle name="Style 35 2 3" xfId="18144"/>
    <cellStyle name="dp*SheetSubTitle 2 4 4 5" xfId="18145"/>
    <cellStyle name="Style 44 3 4 4 5" xfId="18146"/>
    <cellStyle name="Style 49 2 4 4 5" xfId="18147"/>
    <cellStyle name="Bold/Border 2 4 4 5" xfId="18148"/>
    <cellStyle name="Heading [Helv] 2 4 4 5" xfId="18149"/>
    <cellStyle name="Style 49 3 4 4 5" xfId="18150"/>
    <cellStyle name="Date [mmm-yyyy] 3 4 5" xfId="18151"/>
    <cellStyle name="PB Table Standard Row 2 4 4 5" xfId="18152"/>
    <cellStyle name="Table Head Aligned 2 2 2 7 5" xfId="18153"/>
    <cellStyle name="Style 44 2 4 4 5" xfId="18154"/>
    <cellStyle name="Table Head Aligned 2 2 2 3 4 5" xfId="18155"/>
    <cellStyle name="ac 2 2 2 4 4 5" xfId="18156"/>
    <cellStyle name="Style 24 2 5" xfId="18157"/>
    <cellStyle name="dp*SheetSubTitle 2 2 7 5" xfId="18158"/>
    <cellStyle name="ItemTypeClass 5 3" xfId="18159"/>
    <cellStyle name="Format a row of totals 2 3" xfId="18160"/>
    <cellStyle name="Style 51 4 2 4 8" xfId="18161"/>
    <cellStyle name="SAPBEXHLevel3X 3 3" xfId="18162"/>
    <cellStyle name="Millions 8 3" xfId="18163"/>
    <cellStyle name="Date [mmm-yyyy] 2 3 8" xfId="18164"/>
    <cellStyle name="SAPBEXaggItemX 4 3" xfId="18165"/>
    <cellStyle name="COL HEADINGS 2 2 3 3 5 4" xfId="18166"/>
    <cellStyle name="ItemTypeClass 3 3" xfId="18167"/>
    <cellStyle name="Date [mmm-yyyy] 2 3 5 4" xfId="18168"/>
    <cellStyle name="Outputs 2 5 5 4" xfId="18169"/>
    <cellStyle name="dp*ThinLineBelow 2 5 5 4" xfId="18170"/>
    <cellStyle name="Afjusted 3 2 2 8" xfId="18171"/>
    <cellStyle name="dp*NumberLineEPS 2 3 5 4" xfId="18172"/>
    <cellStyle name="Style 44 2 4 4 4" xfId="18173"/>
    <cellStyle name="Format a row of totals 10" xfId="18174"/>
    <cellStyle name="Style 48 2 3" xfId="18175"/>
    <cellStyle name="Table Head Aligned 2 3 8" xfId="18176"/>
    <cellStyle name="Title [Helv] 2 2 2 2 8" xfId="18177"/>
    <cellStyle name="Style 45 4 2 2 5 4" xfId="18178"/>
    <cellStyle name="SAPBEXHLevel0 2 3" xfId="18179"/>
    <cellStyle name="Title [Helv] 2 3 8" xfId="18180"/>
    <cellStyle name="UNLOCKED 10 3" xfId="18181"/>
    <cellStyle name="Afjusted 4 5 5 4" xfId="18182"/>
    <cellStyle name="COL HEADINGS 2 3 5 4" xfId="18183"/>
    <cellStyle name="Heading [Helv] 2 2 3 4 5 4" xfId="18184"/>
    <cellStyle name="Outputs 2 3 8" xfId="18185"/>
    <cellStyle name="ArialNormal 4 3" xfId="18186"/>
    <cellStyle name="Afjusted 3 6 8" xfId="18187"/>
    <cellStyle name="Outputs 4 8" xfId="18188"/>
    <cellStyle name="Bold/Border 2 2 3 4 8" xfId="18189"/>
    <cellStyle name="Magic 2 4 4 4" xfId="18190"/>
    <cellStyle name="SSFixed2 7" xfId="18191"/>
    <cellStyle name="ac 2 7 8" xfId="18192"/>
    <cellStyle name="Afjusted 2 5 8" xfId="18193"/>
    <cellStyle name="Bold/Border 2 7 8" xfId="18194"/>
    <cellStyle name="COL HEADINGS 2 7 8" xfId="18195"/>
    <cellStyle name="Date [mmm-yyyy] 2 6 8" xfId="18196"/>
    <cellStyle name="dp*ThinLineBelow 2 4 5 4" xfId="18197"/>
    <cellStyle name="Border Thin 2 4 5 4" xfId="18198"/>
    <cellStyle name="dp*NumberLine 2 6 8" xfId="18199"/>
    <cellStyle name="dp*NumberLineEPS 2 6 8" xfId="18200"/>
    <cellStyle name="dp*SheetSubTitle 2 6 8" xfId="18201"/>
    <cellStyle name="Heading [Helv] 3 5 4" xfId="18202"/>
    <cellStyle name="ac 2 2 2 2 5 4" xfId="18203"/>
    <cellStyle name="Afjusted 2 2 3 2 5 4" xfId="18204"/>
    <cellStyle name="Heading [Helv] 2 7 8" xfId="18205"/>
    <cellStyle name="Heading [Palat] 2 7 8" xfId="18206"/>
    <cellStyle name="Afjusted 2 2 4 5 4" xfId="18207"/>
    <cellStyle name="Magic 2 6 8" xfId="18208"/>
    <cellStyle name="Style 44 4 3 4 5 4" xfId="18209"/>
    <cellStyle name="WingdingsBlack 10" xfId="18210"/>
    <cellStyle name="ac 2 4 5 4" xfId="18211"/>
    <cellStyle name="dp*SheetSubTitle 2 4 5 4" xfId="18212"/>
    <cellStyle name="Outputs 2 7 8" xfId="18213"/>
    <cellStyle name="Afjusted 3 9 4" xfId="18214"/>
    <cellStyle name="Heading [Palat] 4 8" xfId="18215"/>
    <cellStyle name="SAPBEXaggItemX 3 3" xfId="18216"/>
    <cellStyle name="Heading [Helv] 4 8" xfId="18217"/>
    <cellStyle name="Table Head Aligned 2 6 8" xfId="18218"/>
    <cellStyle name="Table Head Green 2 7 8" xfId="18219"/>
    <cellStyle name="Title [Helv] 2 6 8" xfId="18220"/>
    <cellStyle name="Title [Palat] 2 7 8" xfId="18221"/>
    <cellStyle name="dp*NumberLine 2 4 8" xfId="18222"/>
    <cellStyle name="Table Head Aligned 2 2 2 3 4 4" xfId="18223"/>
    <cellStyle name="Bold/Border 2 4 4 4" xfId="18224"/>
    <cellStyle name="WingdingsBlack 2 3" xfId="18225"/>
    <cellStyle name="PB Table Standard Row 3 3 3 5 4" xfId="18226"/>
    <cellStyle name="Heading [Helv] 2 2 4 8" xfId="18227"/>
    <cellStyle name="Afjusted 4 4 5 4" xfId="18228"/>
    <cellStyle name="Draw shadow and lines within range 4 3" xfId="18229"/>
    <cellStyle name="dp*SubTitle 3 5 5 4" xfId="18230"/>
    <cellStyle name="SAPBEXaggItemX 2 3" xfId="18231"/>
    <cellStyle name="Table Head Aligned 2 2 3 3 5 4" xfId="18232"/>
    <cellStyle name="Style 22 4 3" xfId="18233"/>
    <cellStyle name="Style 44 2 5 5 4" xfId="18234"/>
    <cellStyle name="dp*SheetSubTitle 3 5 4" xfId="18235"/>
    <cellStyle name="Outputs 3 5 4" xfId="18236"/>
    <cellStyle name="Table Head Green 2 2 2 4 5 4" xfId="18237"/>
    <cellStyle name="P-Green Rule 3 2 3 5 4" xfId="18238"/>
    <cellStyle name="dp*ThinLineBelow 3 5 5 4" xfId="18239"/>
    <cellStyle name="SAPBEXexcBad9 7" xfId="18240"/>
    <cellStyle name="SAPBEXHLevel0 9" xfId="18241"/>
    <cellStyle name="SSDecs3 7" xfId="18242"/>
    <cellStyle name="Style 21 10" xfId="18243"/>
    <cellStyle name="Style 43 10" xfId="18244"/>
    <cellStyle name="Arial6Bold 2 3" xfId="18245"/>
    <cellStyle name="DateYearWholeEstimate 2 3" xfId="18246"/>
    <cellStyle name="SAPBEXaggDataEmph 2 3" xfId="18247"/>
    <cellStyle name="SAPBEXexcGood1 2 3" xfId="18248"/>
    <cellStyle name="Magic 2 2 2 10" xfId="18249"/>
    <cellStyle name="Total 2 5" xfId="18250"/>
    <cellStyle name="Title [Palat] 2 2 2 3 8" xfId="18251"/>
    <cellStyle name="ac 2 2 2 4 8" xfId="18252"/>
    <cellStyle name="Table Head Aligned 3 8" xfId="18253"/>
    <cellStyle name="Style 24 3 3" xfId="18254"/>
    <cellStyle name="DateYearWholeEstimate 3 3" xfId="18255"/>
    <cellStyle name="ac 4 8" xfId="18256"/>
    <cellStyle name="SAPBEXHLevel0X 3 3" xfId="18257"/>
    <cellStyle name="UNLOCKED 24 3" xfId="18258"/>
    <cellStyle name="Date [mm-d-yyyy] 6 6" xfId="18259"/>
    <cellStyle name="DateYearEstimate 5 3" xfId="18260"/>
    <cellStyle name="Magic 2 2 4 5 4" xfId="18261"/>
    <cellStyle name="Date [mm-d-yyyy] 3 6 8" xfId="18262"/>
    <cellStyle name="Style 51 4 6 8" xfId="18263"/>
    <cellStyle name="Style 49 4 6 8" xfId="18264"/>
    <cellStyle name="Style 45 4 6 8" xfId="18265"/>
    <cellStyle name="Style 44 4 6 8" xfId="18266"/>
    <cellStyle name="P-Green Rule 3 6 8" xfId="18267"/>
    <cellStyle name="PB Table Standard Row 3 6 8" xfId="18268"/>
    <cellStyle name="Border Thin 3 3 4 5 4" xfId="18269"/>
    <cellStyle name="dp*ThinLineBelow 3 6 8" xfId="18270"/>
    <cellStyle name="dp*SubTitle 3 6 8" xfId="18271"/>
    <cellStyle name="dp*NumberLineEPS 2 4 5 4" xfId="18272"/>
    <cellStyle name="Afjusted 6 8" xfId="18273"/>
    <cellStyle name="Border Thin 3 6 8" xfId="18274"/>
    <cellStyle name="dp*SheetSubTitle 2 2 4 5 4" xfId="18275"/>
    <cellStyle name="dp*ThinLineBelow 2 5 8" xfId="18276"/>
    <cellStyle name="UNLOCKED 8 3" xfId="18277"/>
    <cellStyle name="Afjusted 4 6 8" xfId="18278"/>
    <cellStyle name="dp*NumberLineEPS 2 2 2 3 8" xfId="18279"/>
    <cellStyle name="ac 2 2 5 8" xfId="18280"/>
    <cellStyle name="Afjusted 2 2 6 8" xfId="18281"/>
    <cellStyle name="Bold/Border 2 2 5 8" xfId="18282"/>
    <cellStyle name="COL HEADINGS 2 2 5 8" xfId="18283"/>
    <cellStyle name="Date [mmm-yyyy] 2 2 5 8" xfId="18284"/>
    <cellStyle name="dp*SubTitle 2 4 5 4" xfId="18285"/>
    <cellStyle name="Bold/Border 2 4 5 4" xfId="18286"/>
    <cellStyle name="Style 35 4 3" xfId="18287"/>
    <cellStyle name="dp*NumberLine 2 2 5 8" xfId="18288"/>
    <cellStyle name="dp*NumberLineEPS 2 2 5 8" xfId="18289"/>
    <cellStyle name="dp*SheetSubTitle 2 2 5 8" xfId="18290"/>
    <cellStyle name="Heading [Helv] 2 2 5 8" xfId="18291"/>
    <cellStyle name="Heading [Palat] 2 2 5 8" xfId="18292"/>
    <cellStyle name="Magic 2 2 5 8" xfId="18293"/>
    <cellStyle name="Outputs 2 2 5 8" xfId="18294"/>
    <cellStyle name="Table Head Aligned 2 2 5 8" xfId="18295"/>
    <cellStyle name="Table Head Green 2 2 5 8" xfId="18296"/>
    <cellStyle name="Title [Helv] 2 2 5 8" xfId="18297"/>
    <cellStyle name="Title [Palat] 2 2 5 8" xfId="18298"/>
    <cellStyle name="Heading [Palat] 2 2 4 5 4" xfId="18299"/>
    <cellStyle name="dp*NumberLine 2 2 4 5 4" xfId="18300"/>
    <cellStyle name="Date [mmm-yyyy] 2 2 4 5 4" xfId="18301"/>
    <cellStyle name="COL HEADINGS 2 2 4 5 4" xfId="18302"/>
    <cellStyle name="Bold/Border 2 2 4 5 4" xfId="18303"/>
    <cellStyle name="Afjusted 2 2 5 5 4" xfId="18304"/>
    <cellStyle name="ac 2 2 4 5 4" xfId="18305"/>
    <cellStyle name="Outputs 3 8" xfId="18306"/>
    <cellStyle name="Style 49 4 3 3 8" xfId="18307"/>
    <cellStyle name="Style 53 10" xfId="18308"/>
    <cellStyle name="dp*SubTitle 2 2 5 4" xfId="18309"/>
    <cellStyle name="Afjusted 4 2 4 8" xfId="18310"/>
    <cellStyle name="Border Thin 3 3 3 8" xfId="18311"/>
    <cellStyle name="Style 26 8" xfId="18312"/>
    <cellStyle name="Border Thin 2 3 7" xfId="18313"/>
    <cellStyle name="dp*NumberLine 2 2 2 4 8" xfId="18314"/>
    <cellStyle name="Bold/Border 2 2 3 4 5 4" xfId="18315"/>
    <cellStyle name="Style 44 4 5 5 4" xfId="18316"/>
    <cellStyle name="dp*ThinLineBelow 4 5 4" xfId="18317"/>
    <cellStyle name="Style 51 5 5 4" xfId="18318"/>
    <cellStyle name="PB Table Standard Row 4 5 4" xfId="18319"/>
    <cellStyle name="ac 2 2 3 3 5 4" xfId="18320"/>
    <cellStyle name="P-Green Rule 3 5 5 4" xfId="18321"/>
    <cellStyle name="dp*SubTitle 4 5 4" xfId="18322"/>
    <cellStyle name="Style 44 5 5 4" xfId="18323"/>
    <cellStyle name="Style 49 5 5 4" xfId="18324"/>
    <cellStyle name="Style 45 5 5 4" xfId="18325"/>
    <cellStyle name="P-Green Rule 4 5 4" xfId="18326"/>
    <cellStyle name="Outputs 2 2 3 4 5 4" xfId="18327"/>
    <cellStyle name="Table Head Aligned 2 2 3 2 5 4" xfId="18328"/>
    <cellStyle name="Title [Helv] 2 2 3 2 5 4" xfId="18329"/>
    <cellStyle name="P-Green Rule 2 3 5 4" xfId="18330"/>
    <cellStyle name="Heading [Palat] 2 2 3 4 5 4" xfId="18331"/>
    <cellStyle name="Afjusted 4 2 2 5 4" xfId="18332"/>
    <cellStyle name="COL HEADINGS 2 5 5 4" xfId="18333"/>
    <cellStyle name="Draw lines around data in range 3 3" xfId="18334"/>
    <cellStyle name="Style 49 6 5 4" xfId="18335"/>
    <cellStyle name="Title [Palat] 2 9 5" xfId="18336"/>
    <cellStyle name="Style 42 2 3" xfId="18337"/>
    <cellStyle name="Style 37 4 3" xfId="18338"/>
    <cellStyle name="Style 51 4 3 3 8" xfId="18339"/>
    <cellStyle name="SAPBEXHLevel0 4 3" xfId="18340"/>
    <cellStyle name="Input 2 2 3" xfId="18341"/>
    <cellStyle name="SymbolBlue 2 3" xfId="18342"/>
    <cellStyle name="Afjusted 4 3 4 5 4" xfId="18343"/>
    <cellStyle name="dp*NumberLine 2 2 3 4 5 4" xfId="18344"/>
    <cellStyle name="dp*SubTitle 2 2 2 8" xfId="18345"/>
    <cellStyle name="Border Thin 2 2 2 8" xfId="18346"/>
    <cellStyle name="SAPBEXexcBad9 2 3" xfId="18347"/>
    <cellStyle name="Style 44 3 2 5 4" xfId="18348"/>
    <cellStyle name="Border Thin 2 3 5 4" xfId="18349"/>
    <cellStyle name="Style 40 5 3" xfId="18350"/>
    <cellStyle name="WingdingsWhite 5 3" xfId="18351"/>
    <cellStyle name="Style 49 2 6 8" xfId="18352"/>
    <cellStyle name="Style 26 3 3" xfId="18353"/>
    <cellStyle name="Style 51 4 3 3 5 4" xfId="18354"/>
    <cellStyle name="UNLOCKED 7 3" xfId="18355"/>
    <cellStyle name="Magic 2 2 4 8" xfId="18356"/>
    <cellStyle name="Bold/Border 2 2 3 4 2 8" xfId="18357"/>
    <cellStyle name="Date [mm-d-yyyy] 4 8" xfId="18358"/>
    <cellStyle name="Magic 2 2 3 4 2 8" xfId="18359"/>
    <cellStyle name="Title [Helv] 2 2 3 4 2 8" xfId="18360"/>
    <cellStyle name="Style 51 2 2 2 8" xfId="18361"/>
    <cellStyle name="Style 45 2 2 2 8" xfId="18362"/>
    <cellStyle name="Style 49 2 2 2 8" xfId="18363"/>
    <cellStyle name="Style 44 2 2 2 8" xfId="18364"/>
    <cellStyle name="Style 51 3 2 2 8" xfId="18365"/>
    <cellStyle name="Style 49 3 2 2 8" xfId="18366"/>
    <cellStyle name="Style 45 3 2 2 8" xfId="18367"/>
    <cellStyle name="Style 44 3 2 2 8" xfId="18368"/>
    <cellStyle name="P-Green Rule 2 2 2 8" xfId="18369"/>
    <cellStyle name="PB Table Standard Row 2 2 2 8" xfId="18370"/>
    <cellStyle name="dp*ThinLineBelow 2 2 2 8" xfId="18371"/>
    <cellStyle name="ArialNormal 3 3" xfId="18372"/>
    <cellStyle name="dp*ThinLineBelow 2 3 2 8" xfId="18373"/>
    <cellStyle name="Style 44 3 3 2 8" xfId="18374"/>
    <cellStyle name="COL HEADINGS 2 2 3 4 2 8" xfId="18375"/>
    <cellStyle name="Style 49 4 3 4 2 8" xfId="18376"/>
    <cellStyle name="Table Head Green 2 2 2 4 8" xfId="18377"/>
    <cellStyle name="Afjusted 3 3 4 2 8" xfId="18378"/>
    <cellStyle name="Date [mm-d-yyyy] 3 3 4 2 8" xfId="18379"/>
    <cellStyle name="Afjusted 4 3 4 2 8" xfId="18380"/>
    <cellStyle name="ac 2 2 3 4 2 8" xfId="18381"/>
    <cellStyle name="Afjusted 2 2 3 4 2 8" xfId="18382"/>
    <cellStyle name="Date [mmm-yyyy] 2 2 3 4 2 8" xfId="18383"/>
    <cellStyle name="dp*NumberLine 2 2 3 4 2 8" xfId="18384"/>
    <cellStyle name="dp*NumberLineEPS 2 2 3 4 2 8" xfId="18385"/>
    <cellStyle name="dp*SheetSubTitle 2 2 3 4 2 8" xfId="18386"/>
    <cellStyle name="Heading [Helv] 2 2 3 4 2 8" xfId="18387"/>
    <cellStyle name="Outputs 2 2 3 4 2 8" xfId="18388"/>
    <cellStyle name="Table Head Aligned 2 2 3 4 2 8" xfId="18389"/>
    <cellStyle name="Title [Palat] 2 2 3 4 2 8" xfId="18390"/>
    <cellStyle name="Outputs 2 6 8" xfId="18391"/>
    <cellStyle name="Afjusted 2 2 4 7" xfId="18392"/>
    <cellStyle name="Table Head Aligned 2 4 8" xfId="18393"/>
    <cellStyle name="Afjusted 3 5 2 8" xfId="18394"/>
    <cellStyle name="Style 45 3 3 2 8" xfId="18395"/>
    <cellStyle name="Style 51 3 3 2 8" xfId="18396"/>
    <cellStyle name="Style 44 2 3 2 8" xfId="18397"/>
    <cellStyle name="Style 45 2 3 2 8" xfId="18398"/>
    <cellStyle name="Style 49 2 3 2 8" xfId="18399"/>
    <cellStyle name="Border Thin 3 5 2 8" xfId="18400"/>
    <cellStyle name="ac 2 2 4 2 8" xfId="18401"/>
    <cellStyle name="Afjusted 2 2 5 2 8" xfId="18402"/>
    <cellStyle name="Bold/Border 2 2 4 2 8" xfId="18403"/>
    <cellStyle name="COL HEADINGS 2 2 4 2 8" xfId="18404"/>
    <cellStyle name="Date [mmm-yyyy] 2 2 4 2 8" xfId="18405"/>
    <cellStyle name="dp*NumberLine 2 2 4 2 8" xfId="18406"/>
    <cellStyle name="dp*NumberLineEPS 2 2 4 2 8" xfId="18407"/>
    <cellStyle name="dp*SheetSubTitle 2 2 4 2 8" xfId="18408"/>
    <cellStyle name="Heading [Palat] 2 2 4 2 8" xfId="18409"/>
    <cellStyle name="Outputs 2 2 4 2 8" xfId="18410"/>
    <cellStyle name="Magic 2 2 4 2 8" xfId="18411"/>
    <cellStyle name="Title [Helv] 2 2 4 2 8" xfId="18412"/>
    <cellStyle name="Title [Palat] 2 2 4 2 8" xfId="18413"/>
    <cellStyle name="Title [Palat] 2 2 3 3 2 8" xfId="18414"/>
    <cellStyle name="Title [Helv] 2 2 3 3 2 8" xfId="18415"/>
    <cellStyle name="Table Head Aligned 2 2 3 3 2 8" xfId="18416"/>
    <cellStyle name="Magic 2 2 3 3 2 8" xfId="18417"/>
    <cellStyle name="Heading [Helv] 2 2 3 3 2 8" xfId="18418"/>
    <cellStyle name="dp*NumberLineEPS 2 2 3 3 2 8" xfId="18419"/>
    <cellStyle name="COL HEADINGS 2 2 3 3 2 8" xfId="18420"/>
    <cellStyle name="ac 2 2 3 3 2 8" xfId="18421"/>
    <cellStyle name="Afjusted 4 3 3 2 8" xfId="18422"/>
    <cellStyle name="Border Thin 3 3 3 2 8" xfId="18423"/>
    <cellStyle name="PB Table Standard Row 3 3 3 2 8" xfId="18424"/>
    <cellStyle name="Style 44 4 3 3 2 8" xfId="18425"/>
    <cellStyle name="Style 51 4 3 3 2 8" xfId="18426"/>
    <cellStyle name="Afjusted 3 3 3 2 8" xfId="18427"/>
    <cellStyle name="Style 21 3 3" xfId="18428"/>
    <cellStyle name="Style 49 4 5 2 8" xfId="18429"/>
    <cellStyle name="SSDfltPct 2 3" xfId="18430"/>
    <cellStyle name="Style 44 4 5 2 8" xfId="18431"/>
    <cellStyle name="P-Green Rule 3 5 2 8" xfId="18432"/>
    <cellStyle name="dp*SubTitle 3 5 2 8" xfId="18433"/>
    <cellStyle name="Afjusted 4 5 2 8" xfId="18434"/>
    <cellStyle name="Afjusted 2 2 3 4 5 4" xfId="18435"/>
    <cellStyle name="dp*ThinLineBelow 2 2 5 4" xfId="18436"/>
    <cellStyle name="Heading [Helv] 2 4 4 4" xfId="18437"/>
    <cellStyle name="Afjusted 3 3 3 5 4" xfId="18438"/>
    <cellStyle name="ac 2 3 2 8" xfId="18439"/>
    <cellStyle name="Bold/Border 2 3 2 8" xfId="18440"/>
    <cellStyle name="COL HEADINGS 2 3 2 8" xfId="18441"/>
    <cellStyle name="Date [mmm-yyyy] 2 3 2 8" xfId="18442"/>
    <cellStyle name="dp*NumberLine 2 3 2 8" xfId="18443"/>
    <cellStyle name="dp*NumberLineEPS 2 3 2 8" xfId="18444"/>
    <cellStyle name="dp*SheetSubTitle 2 3 2 8" xfId="18445"/>
    <cellStyle name="Heading [Helv] 2 3 2 8" xfId="18446"/>
    <cellStyle name="Heading [Palat] 2 3 2 8" xfId="18447"/>
    <cellStyle name="Magic 2 3 2 8" xfId="18448"/>
    <cellStyle name="Outputs 2 3 2 8" xfId="18449"/>
    <cellStyle name="Afjusted 6 5 4" xfId="18450"/>
    <cellStyle name="Date [mmm-yyyy] 2 2 3 3 2 8" xfId="18451"/>
    <cellStyle name="Afjusted 2 2 3 3 2 8" xfId="18452"/>
    <cellStyle name="dp*ThinLineBelow 3 3 3 2 8" xfId="18453"/>
    <cellStyle name="Style 49 4 3 3 2 8" xfId="18454"/>
    <cellStyle name="Outputs 2 2 3 3 2 8" xfId="18455"/>
    <cellStyle name="dp*NumberLine 2 2 3 3 2 8" xfId="18456"/>
    <cellStyle name="Bold/Border 2 2 3 3 2 8" xfId="18457"/>
    <cellStyle name="dp*SubTitle 3 3 3 2 8" xfId="18458"/>
    <cellStyle name="Style 45 4 3 3 2 8" xfId="18459"/>
    <cellStyle name="Table Head Aligned 2 3 2 8" xfId="18460"/>
    <cellStyle name="Table Head Green 2 3 2 8" xfId="18461"/>
    <cellStyle name="Title [Helv] 2 3 2 8" xfId="18462"/>
    <cellStyle name="Title [Palat] 2 3 2 8" xfId="18463"/>
    <cellStyle name="Border Thin 3 3 3 5 4" xfId="18464"/>
    <cellStyle name="Style 45 4 3 4 2 8" xfId="18465"/>
    <cellStyle name="Heading [Palat] 2 6 8" xfId="18466"/>
    <cellStyle name="Style 51 4 3 4 2 8" xfId="18467"/>
    <cellStyle name="Title [Helv] 2 2 3 3 5 4" xfId="18468"/>
    <cellStyle name="Afjusted 3 4 2 8" xfId="18469"/>
    <cellStyle name="P-Green Rule 3 3 4 2 8" xfId="18470"/>
    <cellStyle name="Border Thin 2 3 2 8" xfId="18471"/>
    <cellStyle name="Style 49 3 3 2 8" xfId="18472"/>
    <cellStyle name="Style 51 2 3 2 8" xfId="18473"/>
    <cellStyle name="Heading [Helv] 2 2 4 2 8" xfId="18474"/>
    <cellStyle name="Table Head Aligned 2 2 4 2 8" xfId="18475"/>
    <cellStyle name="Table Head Green 2 2 4 2 8" xfId="18476"/>
    <cellStyle name="Table Head Green 2 2 3 3 2 8" xfId="18477"/>
    <cellStyle name="Heading [Palat] 2 2 3 3 2 8" xfId="18478"/>
    <cellStyle name="dp*SheetSubTitle 2 2 3 3 2 8" xfId="18479"/>
    <cellStyle name="P-Green Rule 3 3 3 2 8" xfId="18480"/>
    <cellStyle name="Date [mm-d-yyyy] 3 3 3 2 8" xfId="18481"/>
    <cellStyle name="Outputs 2 2 4 5 4" xfId="18482"/>
    <cellStyle name="Date [mm-d-yyyy] 3 4 2 8" xfId="18483"/>
    <cellStyle name="Style 51 4 4 2 8" xfId="18484"/>
    <cellStyle name="Style 49 4 4 2 8" xfId="18485"/>
    <cellStyle name="Style 45 4 4 2 8" xfId="18486"/>
    <cellStyle name="Style 44 4 4 2 8" xfId="18487"/>
    <cellStyle name="dp*ThinLineBelow 3 3 4 2 8" xfId="18488"/>
    <cellStyle name="Afjusted 4 3 11" xfId="18489"/>
    <cellStyle name="Style 51 4 3 11" xfId="18490"/>
    <cellStyle name="dp*SubTitle 3 3 4 2 8" xfId="18491"/>
    <cellStyle name="dp*NumberLineEPS 2 2 4 5 4" xfId="18492"/>
    <cellStyle name="Border Thin 3 3 4 2 8" xfId="18493"/>
    <cellStyle name="Border Thin 2 2 5 4" xfId="18494"/>
    <cellStyle name="Afjusted 4 4 2 8" xfId="18495"/>
    <cellStyle name="Afjusted 2 2 4 2 8" xfId="18496"/>
    <cellStyle name="dp*NumberLine 2 2 2 2 8" xfId="18497"/>
    <cellStyle name="Style 44 4 3 4 2 8" xfId="18498"/>
    <cellStyle name="dp*NumberLineEPS 2 2 4 8" xfId="18499"/>
    <cellStyle name="Bold/Border 2 2 4 8" xfId="18500"/>
    <cellStyle name="PB Table Standard Row 3 3 4 2 8" xfId="18501"/>
    <cellStyle name="PB Table Standard Row 4 8" xfId="18502"/>
    <cellStyle name="Title [Palat] 2 2 3 5 8" xfId="18503"/>
    <cellStyle name="Title [Helv] 2 2 3 5 8" xfId="18504"/>
    <cellStyle name="Table Head Green 2 2 3 5 8" xfId="18505"/>
    <cellStyle name="Table Head Aligned 2 2 3 5 8" xfId="18506"/>
    <cellStyle name="Outputs 2 2 3 5 8" xfId="18507"/>
    <cellStyle name="Magic 2 2 3 5 8" xfId="18508"/>
    <cellStyle name="Heading [Palat] 2 2 3 5 8" xfId="18509"/>
    <cellStyle name="Heading [Helv] 2 2 3 5 8" xfId="18510"/>
    <cellStyle name="dp*SheetSubTitle 2 2 3 5 8" xfId="18511"/>
    <cellStyle name="dp*NumberLineEPS 2 2 3 5 8" xfId="18512"/>
    <cellStyle name="dp*NumberLine 2 2 3 5 8" xfId="18513"/>
    <cellStyle name="Date [mmm-yyyy] 2 2 3 5 8" xfId="18514"/>
    <cellStyle name="COL HEADINGS 2 2 3 5 8" xfId="18515"/>
    <cellStyle name="Bold/Border 2 2 3 5 8" xfId="18516"/>
    <cellStyle name="Afjusted 2 2 3 5 8" xfId="18517"/>
    <cellStyle name="ac 2 2 3 5 8" xfId="18518"/>
    <cellStyle name="Afjusted 2 2 5 4 5" xfId="18519"/>
    <cellStyle name="Afjusted 4 3 5 8" xfId="18520"/>
    <cellStyle name="Border Thin 3 3 5 8" xfId="18521"/>
    <cellStyle name="dp*SubTitle 3 3 5 8" xfId="18522"/>
    <cellStyle name="dp*ThinLineBelow 3 3 5 8" xfId="18523"/>
    <cellStyle name="PB Table Standard Row 3 3 5 8" xfId="18524"/>
    <cellStyle name="P-Green Rule 3 3 5 8" xfId="18525"/>
    <cellStyle name="Style 44 4 3 5 8" xfId="18526"/>
    <cellStyle name="Style 45 4 3 5 8" xfId="18527"/>
    <cellStyle name="Style 49 4 3 5 8" xfId="18528"/>
    <cellStyle name="Style 51 4 3 5 8" xfId="18529"/>
    <cellStyle name="Title [Palat] 2 2 3 2 5 4" xfId="18530"/>
    <cellStyle name="Date [mm-d-yyyy] 3 3 5 8" xfId="18531"/>
    <cellStyle name="Magic 2 5 5 4" xfId="18532"/>
    <cellStyle name="dp*SubTitle 2 5 5 4" xfId="18533"/>
    <cellStyle name="Afjusted 3 3 5 8" xfId="18534"/>
    <cellStyle name="Magic 2 2 2 2 8" xfId="18535"/>
    <cellStyle name="Style 53 3 3" xfId="18536"/>
    <cellStyle name="ac 5 5 4" xfId="18537"/>
    <cellStyle name="Title [Palat] 2 6 8" xfId="18538"/>
    <cellStyle name="Border Thin 2 5 5 4" xfId="18539"/>
    <cellStyle name="Border Thin 3 2 2 5 4" xfId="18540"/>
    <cellStyle name="Table Head Green 2 2 3 2 5 4" xfId="18541"/>
    <cellStyle name="Table Head Green 2 2 3 4 5 4" xfId="18542"/>
    <cellStyle name="dp*SubTitle 3 2 7 4" xfId="18543"/>
    <cellStyle name="Heading [Helv] 2 2 3 3 8" xfId="18544"/>
    <cellStyle name="COL HEADINGS 2 2 3 3 8" xfId="18545"/>
    <cellStyle name="SAPBEXstdItem 2 3" xfId="18546"/>
    <cellStyle name="dp*ThinLineBelow 3 2 7 4" xfId="18547"/>
    <cellStyle name="dp*NumberLine 2 3 5 4" xfId="18548"/>
    <cellStyle name="ac 2 2 3 3 8" xfId="18549"/>
    <cellStyle name="UNLOCKED 9 3" xfId="18550"/>
    <cellStyle name="Table Head Green 5 8" xfId="18551"/>
    <cellStyle name="Style 43 3 3" xfId="18552"/>
    <cellStyle name="Date [mm-d-yyyy] 2 2 4 8" xfId="18553"/>
    <cellStyle name="Afjusted 3 2 5 8" xfId="18554"/>
    <cellStyle name="P-Green Rule 3 3 4 5 4" xfId="18555"/>
    <cellStyle name="PB Table Standard Row 2 3 4 4" xfId="18556"/>
    <cellStyle name="Style 36 10" xfId="18557"/>
    <cellStyle name="Date [mm-d-yyyy] 3 2 5 8" xfId="18558"/>
    <cellStyle name="Style 51 4 2 5 8" xfId="18559"/>
    <cellStyle name="Style 49 4 2 5 8" xfId="18560"/>
    <cellStyle name="Style 45 4 2 5 8" xfId="18561"/>
    <cellStyle name="Style 44 4 2 5 8" xfId="18562"/>
    <cellStyle name="P-Green Rule 3 2 5 8" xfId="18563"/>
    <cellStyle name="dp*ThinLineBelow 3 2 5 8" xfId="18564"/>
    <cellStyle name="dp*SubTitle 3 2 5 8" xfId="18565"/>
    <cellStyle name="Border Thin 3 2 5 8" xfId="18566"/>
    <cellStyle name="Style 43 5 3" xfId="18567"/>
    <cellStyle name="Afjusted 4 2 5 8" xfId="18568"/>
    <cellStyle name="ac 2 2 2 5 8" xfId="18569"/>
    <cellStyle name="Afjusted 2 2 2 5 8" xfId="18570"/>
    <cellStyle name="Bold/Border 2 2 2 5 8" xfId="18571"/>
    <cellStyle name="COL HEADINGS 2 2 2 5 8" xfId="18572"/>
    <cellStyle name="Date [mmm-yyyy] 2 2 2 5 8" xfId="18573"/>
    <cellStyle name="dp*NumberLine 2 2 2 5 8" xfId="18574"/>
    <cellStyle name="dp*NumberLineEPS 2 2 2 5 8" xfId="18575"/>
    <cellStyle name="dp*SheetSubTitle 2 2 2 5 8" xfId="18576"/>
    <cellStyle name="Heading [Helv] 2 2 2 5 8" xfId="18577"/>
    <cellStyle name="Heading [Palat] 2 2 2 5 8" xfId="18578"/>
    <cellStyle name="Magic 2 2 2 5 8" xfId="18579"/>
    <cellStyle name="Outputs 2 2 2 5 8" xfId="18580"/>
    <cellStyle name="Table Head Aligned 2 2 2 5 8" xfId="18581"/>
    <cellStyle name="Table Head Green 2 2 2 5 8" xfId="18582"/>
    <cellStyle name="Title [Helv] 2 2 2 5 8" xfId="18583"/>
    <cellStyle name="Title [Palat] 2 2 2 5 8" xfId="18584"/>
    <cellStyle name="SymbolBlue 5 3" xfId="18585"/>
    <cellStyle name="Table Head Green 2 2 3 4 2 8" xfId="18586"/>
    <cellStyle name="Heading [Palat] 2 2 3 4 2 8" xfId="18587"/>
    <cellStyle name="PB Table Standard Row 2 3 2 8" xfId="18588"/>
    <cellStyle name="P-Green Rule 2 3 2 8" xfId="18589"/>
    <cellStyle name="Title [Palat] 2 2 3 2 2 8" xfId="18590"/>
    <cellStyle name="Title [Helv] 2 2 3 2 2 8" xfId="18591"/>
    <cellStyle name="Table Head Green 2 2 3 2 2 8" xfId="18592"/>
    <cellStyle name="Table Head Aligned 2 2 3 2 2 8" xfId="18593"/>
    <cellStyle name="Outputs 2 2 3 2 2 8" xfId="18594"/>
    <cellStyle name="Magic 2 2 3 2 2 8" xfId="18595"/>
    <cellStyle name="Heading [Palat] 2 2 3 2 2 8" xfId="18596"/>
    <cellStyle name="Heading [Helv] 2 2 3 2 2 8" xfId="18597"/>
    <cellStyle name="dp*SheetSubTitle 2 2 3 2 2 8" xfId="18598"/>
    <cellStyle name="dp*NumberLineEPS 2 2 3 2 2 8" xfId="18599"/>
    <cellStyle name="dp*NumberLine 2 2 3 2 2 8" xfId="18600"/>
    <cellStyle name="Date [mmm-yyyy] 2 2 3 2 2 8" xfId="18601"/>
    <cellStyle name="COL HEADINGS 2 2 3 2 2 8" xfId="18602"/>
    <cellStyle name="Bold/Border 2 2 3 2 2 8" xfId="18603"/>
    <cellStyle name="Afjusted 2 2 3 2 2 8" xfId="18604"/>
    <cellStyle name="ac 2 2 3 2 2 8" xfId="18605"/>
    <cellStyle name="Afjusted 4 3 2 2 8" xfId="18606"/>
    <cellStyle name="Border Thin 3 3 2 2 8" xfId="18607"/>
    <cellStyle name="dp*SubTitle 3 3 2 2 8" xfId="18608"/>
    <cellStyle name="dp*ThinLineBelow 3 3 2 2 8" xfId="18609"/>
    <cellStyle name="PB Table Standard Row 3 3 2 2 8" xfId="18610"/>
    <cellStyle name="P-Green Rule 3 3 2 2 8" xfId="18611"/>
    <cellStyle name="Style 44 4 3 2 2 8" xfId="18612"/>
    <cellStyle name="Style 45 4 3 2 2 8" xfId="18613"/>
    <cellStyle name="Style 49 4 3 2 2 8" xfId="18614"/>
    <cellStyle name="Style 51 4 3 2 2 8" xfId="18615"/>
    <cellStyle name="Date [mm-d-yyyy] 3 3 2 2 8" xfId="18616"/>
    <cellStyle name="Afjusted 3 3 2 2 8" xfId="18617"/>
    <cellStyle name="Date [mm-d-yyyy] 3 5 2 8" xfId="18618"/>
    <cellStyle name="dp*SubTitle 2 3 2 8" xfId="18619"/>
    <cellStyle name="COL HEADINGS 3 8" xfId="18620"/>
    <cellStyle name="Date [mm-d-yyyy] 2 2 2 2 8" xfId="18621"/>
    <cellStyle name="Afjusted 3 2 2 2 8" xfId="18622"/>
    <cellStyle name="PB Table Standard Row 3 5 2 8" xfId="18623"/>
    <cellStyle name="Date [mm-d-yyyy] 3 2 2 2 8" xfId="18624"/>
    <cellStyle name="Style 51 4 2 2 2 8" xfId="18625"/>
    <cellStyle name="Style 49 4 2 2 2 8" xfId="18626"/>
    <cellStyle name="Style 45 4 2 2 2 8" xfId="18627"/>
    <cellStyle name="Style 44 4 2 2 2 8" xfId="18628"/>
    <cellStyle name="Style 45 4 5 2 8" xfId="18629"/>
    <cellStyle name="P-Green Rule 3 2 2 2 8" xfId="18630"/>
    <cellStyle name="PB Table Standard Row 3 2 2 2 8" xfId="18631"/>
    <cellStyle name="dp*ThinLineBelow 3 2 2 2 8" xfId="18632"/>
    <cellStyle name="dp*SubTitle 3 2 2 2 8" xfId="18633"/>
    <cellStyle name="Style 51 4 5 2 8" xfId="18634"/>
    <cellStyle name="Border Thin 3 2 2 2 8" xfId="18635"/>
    <cellStyle name="Afjusted 4 2 2 2 8" xfId="18636"/>
    <cellStyle name="ac 2 2 2 2 2 8" xfId="18637"/>
    <cellStyle name="Afjusted 2 2 2 2 2 8" xfId="18638"/>
    <cellStyle name="Bold/Border 2 2 2 2 2 8" xfId="18639"/>
    <cellStyle name="COL HEADINGS 2 2 2 2 2 8" xfId="18640"/>
    <cellStyle name="Date [mmm-yyyy] 2 2 2 2 2 8" xfId="18641"/>
    <cellStyle name="dp*NumberLine 2 2 2 2 2 8" xfId="18642"/>
    <cellStyle name="dp*NumberLineEPS 2 2 2 2 2 8" xfId="18643"/>
    <cellStyle name="dp*SheetSubTitle 2 2 2 2 2 8" xfId="18644"/>
    <cellStyle name="Heading [Helv] 2 2 2 2 2 8" xfId="18645"/>
    <cellStyle name="Heading [Palat] 2 2 2 2 2 8" xfId="18646"/>
    <cellStyle name="Magic 2 2 2 2 2 8" xfId="18647"/>
    <cellStyle name="Outputs 2 2 2 2 2 8" xfId="18648"/>
    <cellStyle name="Table Head Aligned 2 2 2 2 2 8" xfId="18649"/>
    <cellStyle name="Table Head Green 2 2 2 2 2 8" xfId="18650"/>
    <cellStyle name="Title [Helv] 2 2 2 2 2 8" xfId="18651"/>
    <cellStyle name="Title [Palat] 2 2 2 2 2 8" xfId="18652"/>
    <cellStyle name="dp*ThinLineBelow 3 5 2 8" xfId="18653"/>
    <cellStyle name="Date [mm-d-yyyy] 2 2 3 2 8" xfId="18654"/>
    <cellStyle name="Afjusted 3 2 3 2 8" xfId="18655"/>
    <cellStyle name="Date [mm-d-yyyy] 3 2 3 2 8" xfId="18656"/>
    <cellStyle name="Style 51 4 2 3 2 8" xfId="18657"/>
    <cellStyle name="Style 49 4 2 3 2 8" xfId="18658"/>
    <cellStyle name="Style 45 4 2 3 2 8" xfId="18659"/>
    <cellStyle name="Style 44 4 2 3 2 8" xfId="18660"/>
    <cellStyle name="P-Green Rule 3 2 3 2 8" xfId="18661"/>
    <cellStyle name="PB Table Standard Row 3 2 3 2 8" xfId="18662"/>
    <cellStyle name="dp*ThinLineBelow 3 2 3 2 8" xfId="18663"/>
    <cellStyle name="dp*SubTitle 3 2 3 2 8" xfId="18664"/>
    <cellStyle name="Border Thin 3 2 3 2 8" xfId="18665"/>
    <cellStyle name="Afjusted 4 2 3 2 8" xfId="18666"/>
    <cellStyle name="ac 2 2 2 3 2 8" xfId="18667"/>
    <cellStyle name="Afjusted 2 2 2 3 2 8" xfId="18668"/>
    <cellStyle name="Bold/Border 2 2 2 3 2 8" xfId="18669"/>
    <cellStyle name="COL HEADINGS 2 2 2 3 2 8" xfId="18670"/>
    <cellStyle name="Date [mmm-yyyy] 2 2 2 3 2 8" xfId="18671"/>
    <cellStyle name="dp*NumberLine 2 2 2 3 2 8" xfId="18672"/>
    <cellStyle name="dp*NumberLineEPS 2 2 2 3 2 8" xfId="18673"/>
    <cellStyle name="dp*SheetSubTitle 2 2 2 3 2 8" xfId="18674"/>
    <cellStyle name="Heading [Helv] 2 2 2 3 2 8" xfId="18675"/>
    <cellStyle name="Heading [Palat] 2 2 2 3 2 8" xfId="18676"/>
    <cellStyle name="Magic 2 2 2 3 2 8" xfId="18677"/>
    <cellStyle name="Outputs 2 2 2 3 2 8" xfId="18678"/>
    <cellStyle name="Table Head Aligned 2 2 2 3 2 8" xfId="18679"/>
    <cellStyle name="Table Head Green 2 2 2 3 2 8" xfId="18680"/>
    <cellStyle name="Title [Helv] 2 2 2 3 2 8" xfId="18681"/>
    <cellStyle name="Title [Palat] 2 2 2 3 2 8" xfId="18682"/>
    <cellStyle name="Afjusted 3 2 4 2 8" xfId="18683"/>
    <cellStyle name="Date [mm-d-yyyy] 3 2 4 2 8" xfId="18684"/>
    <cellStyle name="Style 51 4 2 4 2 8" xfId="18685"/>
    <cellStyle name="Style 49 4 2 4 2 8" xfId="18686"/>
    <cellStyle name="Style 45 4 2 4 2 8" xfId="18687"/>
    <cellStyle name="Style 44 4 2 4 2 8" xfId="18688"/>
    <cellStyle name="P-Green Rule 3 2 4 2 8" xfId="18689"/>
    <cellStyle name="PB Table Standard Row 3 2 4 2 8" xfId="18690"/>
    <cellStyle name="dp*ThinLineBelow 3 2 4 2 8" xfId="18691"/>
    <cellStyle name="dp*SubTitle 3 2 4 2 8" xfId="18692"/>
    <cellStyle name="Border Thin 3 2 4 2 8" xfId="18693"/>
    <cellStyle name="Afjusted 4 2 4 2 8" xfId="18694"/>
    <cellStyle name="ac 2 2 2 4 2 8" xfId="18695"/>
    <cellStyle name="Afjusted 2 2 2 4 2 8" xfId="18696"/>
    <cellStyle name="Bold/Border 2 2 2 4 2 8" xfId="18697"/>
    <cellStyle name="COL HEADINGS 2 2 2 4 2 8" xfId="18698"/>
    <cellStyle name="Date [mmm-yyyy] 2 2 2 4 2 8" xfId="18699"/>
    <cellStyle name="dp*NumberLine 2 2 2 4 2 8" xfId="18700"/>
    <cellStyle name="dp*NumberLineEPS 2 2 2 4 2 8" xfId="18701"/>
    <cellStyle name="dp*SheetSubTitle 2 2 2 4 2 8" xfId="18702"/>
    <cellStyle name="Heading [Helv] 2 2 2 4 2 8" xfId="18703"/>
    <cellStyle name="Heading [Palat] 2 2 2 4 2 8" xfId="18704"/>
    <cellStyle name="Magic 2 2 2 4 2 8" xfId="18705"/>
    <cellStyle name="Outputs 2 2 2 4 2 8" xfId="18706"/>
    <cellStyle name="Table Head Aligned 2 2 2 4 2 8" xfId="18707"/>
    <cellStyle name="Table Head Green 2 2 2 4 2 8" xfId="18708"/>
    <cellStyle name="Title [Helv] 2 2 2 4 2 8" xfId="18709"/>
    <cellStyle name="Title [Palat] 2 2 2 4 2 8" xfId="18710"/>
    <cellStyle name="Border Thin 4 2 8" xfId="18711"/>
    <cellStyle name="Style 45 5 8" xfId="18712"/>
    <cellStyle name="Date [mm-d-yyyy] 4 2 8" xfId="18713"/>
    <cellStyle name="dp*SubTitle 4 2 8" xfId="18714"/>
    <cellStyle name="dp*ThinLineBelow 4 2 8" xfId="18715"/>
    <cellStyle name="PB Table Standard Row 4 2 8" xfId="18716"/>
    <cellStyle name="P-Green Rule 4 2 8" xfId="18717"/>
    <cellStyle name="Style 44 5 2 8" xfId="18718"/>
    <cellStyle name="Style 45 5 2 8" xfId="18719"/>
    <cellStyle name="Style 49 5 2 8" xfId="18720"/>
    <cellStyle name="Style 51 5 2 8" xfId="18721"/>
    <cellStyle name="PB Table Standard Row 2 6 8" xfId="18722"/>
    <cellStyle name="UNLOCKED 13 3" xfId="18723"/>
    <cellStyle name="P-Green Rule 2 6 8" xfId="18724"/>
    <cellStyle name="Millions 3 3" xfId="18725"/>
    <cellStyle name="dp*ThinLineBelow 3 3 3 8" xfId="18726"/>
    <cellStyle name="Style 49 2 3 5 4" xfId="18727"/>
    <cellStyle name="Outputs 4 5 4" xfId="18728"/>
    <cellStyle name="Border Thin 4 4 4" xfId="18729"/>
    <cellStyle name="Table Head Aligned 2 2 2 4 5 4" xfId="18730"/>
    <cellStyle name="Outputs 2 5 8" xfId="18731"/>
    <cellStyle name="Style 45 3 6 8" xfId="18732"/>
    <cellStyle name="Title [Palat] 3 2 8" xfId="18733"/>
    <cellStyle name="Title [Helv] 3 2 8" xfId="18734"/>
    <cellStyle name="Table Head Green 3 2 8" xfId="18735"/>
    <cellStyle name="Table Head Aligned 3 2 8" xfId="18736"/>
    <cellStyle name="Style 44 4 3 2 10" xfId="18737"/>
    <cellStyle name="DateYearEstimate 4 3" xfId="18738"/>
    <cellStyle name="Style 52 3 3" xfId="18739"/>
    <cellStyle name="DateYearEstimate 3 3" xfId="18740"/>
    <cellStyle name="Heading [Helv] 2 2 2 4 8" xfId="18741"/>
    <cellStyle name="Afjusted 3 2 4 8" xfId="18742"/>
    <cellStyle name="Outputs 3 2 8" xfId="18743"/>
    <cellStyle name="Magic 3 2 8" xfId="18744"/>
    <cellStyle name="Style 52 4 3" xfId="18745"/>
    <cellStyle name="Heading [Palat] 3 2 8" xfId="18746"/>
    <cellStyle name="Heading [Helv] 3 2 8" xfId="18747"/>
    <cellStyle name="Title [Palat] 2 2 2 2 5 4" xfId="18748"/>
    <cellStyle name="Style 44 4 2 3 5 4" xfId="18749"/>
    <cellStyle name="Heading [Helv] 2 4 8" xfId="18750"/>
    <cellStyle name="dp*SheetSubTitle 3 2 8" xfId="18751"/>
    <cellStyle name="dp*NumberLineEPS 3 2 8" xfId="18752"/>
    <cellStyle name="dp*NumberLine 3 2 8" xfId="18753"/>
    <cellStyle name="Style 21 5 3" xfId="18754"/>
    <cellStyle name="Date [mmm-yyyy] 3 8" xfId="18755"/>
    <cellStyle name="COL HEADINGS 3 2 8" xfId="18756"/>
    <cellStyle name="Bold/Border 3 2 8" xfId="18757"/>
    <cellStyle name="Style 51 3 5 5 4" xfId="18758"/>
    <cellStyle name="Title [Palat] 2 5 5 4" xfId="18759"/>
    <cellStyle name="Afjusted 5 2 8" xfId="18760"/>
    <cellStyle name="ac 3 2 8" xfId="18761"/>
    <cellStyle name="Style 44 3 6 8" xfId="18762"/>
    <cellStyle name="dp*SheetSubTitle 2 2 7 4" xfId="18763"/>
    <cellStyle name="Date [mmm-yyyy] 3 2 8" xfId="18764"/>
    <cellStyle name="Afjusted 2 2 5 4 4" xfId="18765"/>
    <cellStyle name="Style 49 3 6 8" xfId="18766"/>
    <cellStyle name="Time Strip 2 3" xfId="18767"/>
    <cellStyle name="Title [Palat] 2 9 4" xfId="18768"/>
    <cellStyle name="Style 51 3 6 8" xfId="18769"/>
    <cellStyle name="Bold/Border 2 5 8" xfId="18770"/>
    <cellStyle name="ac 2 4 2 8" xfId="18771"/>
    <cellStyle name="Afjusted 2 3 2 8" xfId="18772"/>
    <cellStyle name="Bold/Border 2 4 2 8" xfId="18773"/>
    <cellStyle name="Border Thin 2 4 2 8" xfId="18774"/>
    <cellStyle name="COL HEADINGS 2 4 2 8" xfId="18775"/>
    <cellStyle name="Date [mmm-yyyy] 2 4 2 8" xfId="18776"/>
    <cellStyle name="dp*NumberLine 2 4 2 8" xfId="18777"/>
    <cellStyle name="dp*NumberLineEPS 2 4 2 8" xfId="18778"/>
    <cellStyle name="dp*SheetSubTitle 2 4 2 8" xfId="18779"/>
    <cellStyle name="dp*SubTitle 2 4 2 8" xfId="18780"/>
    <cellStyle name="dp*ThinLineBelow 2 4 2 8" xfId="18781"/>
    <cellStyle name="Heading [Helv] 2 4 2 8" xfId="18782"/>
    <cellStyle name="Heading [Palat] 2 4 2 8" xfId="18783"/>
    <cellStyle name="Magic 2 4 2 8" xfId="18784"/>
    <cellStyle name="Outputs 2 4 2 8" xfId="18785"/>
    <cellStyle name="PB Table Standard Row 2 4 2 8" xfId="18786"/>
    <cellStyle name="P-Green Rule 2 4 2 8" xfId="18787"/>
    <cellStyle name="Style 44 3 4 2 8" xfId="18788"/>
    <cellStyle name="Style 45 3 4 2 8" xfId="18789"/>
    <cellStyle name="Style 49 3 4 2 8" xfId="18790"/>
    <cellStyle name="Style 51 3 4 2 8" xfId="18791"/>
    <cellStyle name="Style 44 2 4 2 8" xfId="18792"/>
    <cellStyle name="Style 45 2 4 2 8" xfId="18793"/>
    <cellStyle name="Style 49 2 4 2 8" xfId="18794"/>
    <cellStyle name="Style 51 2 4 2 8" xfId="18795"/>
    <cellStyle name="Table Head Aligned 2 4 2 8" xfId="18796"/>
    <cellStyle name="Table Head Green 2 4 2 8" xfId="18797"/>
    <cellStyle name="Title [Helv] 2 4 2 8" xfId="18798"/>
    <cellStyle name="Title [Palat] 2 4 2 8" xfId="18799"/>
    <cellStyle name="Style 44 3 4 4 4" xfId="18800"/>
    <cellStyle name="Table Head Green 2 6 8" xfId="18801"/>
    <cellStyle name="Style 45 2 3 5 4" xfId="18802"/>
    <cellStyle name="Style 44 7 5 4" xfId="18803"/>
    <cellStyle name="Style 28 8" xfId="18804"/>
    <cellStyle name="Calculation 2 5" xfId="18805"/>
    <cellStyle name="Bold/Border 2 2 2 10" xfId="18806"/>
    <cellStyle name="Outputs 2 2 2 10" xfId="18807"/>
    <cellStyle name="Heading [Helv] 2 2 3 2 8" xfId="18808"/>
    <cellStyle name="Border Thin 3 3 2 7" xfId="18809"/>
    <cellStyle name="Style 51 5 8" xfId="18810"/>
    <cellStyle name="UNLOCKED 16 3" xfId="18811"/>
    <cellStyle name="Style 27 3 3" xfId="18812"/>
    <cellStyle name="Bold/Border 3 8" xfId="18813"/>
    <cellStyle name="WingdingsRed 4 3" xfId="18814"/>
    <cellStyle name="Table Head Green 2 5 8" xfId="18815"/>
    <cellStyle name="ArialNormal 5 3" xfId="18816"/>
    <cellStyle name="ac 4 2 8" xfId="18817"/>
    <cellStyle name="SSDfltPct0 2 3" xfId="18818"/>
    <cellStyle name="Title [Helv] 2 5 5 4" xfId="18819"/>
    <cellStyle name="Style 49 3 5 5 4" xfId="18820"/>
    <cellStyle name="Heading [Palat] 2 5 5 4" xfId="18821"/>
    <cellStyle name="dp*SheetSubTitle 2 5 5 4" xfId="18822"/>
    <cellStyle name="SSComma2 2 3" xfId="18823"/>
    <cellStyle name="Bold/Border 4 2 8" xfId="18824"/>
    <cellStyle name="Border Thin 5 2 8" xfId="18825"/>
    <cellStyle name="Table Head Green 4 5 4" xfId="18826"/>
    <cellStyle name="Style 45 6 5 4" xfId="18827"/>
    <cellStyle name="COL HEADINGS 4 2 8" xfId="18828"/>
    <cellStyle name="dp*NumberLineEPS 2 2 2 10" xfId="18829"/>
    <cellStyle name="dp*SubTitle 3 3 2 7" xfId="18830"/>
    <cellStyle name="Style 49 2 5 8" xfId="18831"/>
    <cellStyle name="Border Thin 5 5 4" xfId="18832"/>
    <cellStyle name="Date [mm-d-yyyy] 5 2 8" xfId="18833"/>
    <cellStyle name="Style 45 2 6 8" xfId="18834"/>
    <cellStyle name="Table Head Aligned 3 5 4" xfId="18835"/>
    <cellStyle name="Title [Palat] 3 5 4" xfId="18836"/>
    <cellStyle name="Style 36 3 3" xfId="18837"/>
    <cellStyle name="Heading [Helv] 2 2 2 4 5 4" xfId="18838"/>
    <cellStyle name="Date [mmm-yyyy] 2 2 2 4 5 4" xfId="18839"/>
    <cellStyle name="Afjusted 4 2 4 5 4" xfId="18840"/>
    <cellStyle name="dp*ThinLineBelow 3 2 4 5 4" xfId="18841"/>
    <cellStyle name="Style 44 4 2 4 5 4" xfId="18842"/>
    <cellStyle name="Style 51 4 2 4 5 4" xfId="18843"/>
    <cellStyle name="Title [Palat] 2 2 2 3 5 4" xfId="18844"/>
    <cellStyle name="Table Head Aligned 2 2 2 3 5 4" xfId="18845"/>
    <cellStyle name="Heading [Palat] 2 2 2 3 5 4" xfId="18846"/>
    <cellStyle name="dp*NumberLineEPS 2 2 2 3 5 4" xfId="18847"/>
    <cellStyle name="COL HEADINGS 2 2 2 3 5 4" xfId="18848"/>
    <cellStyle name="ac 2 2 2 3 5 4" xfId="18849"/>
    <cellStyle name="dp*SubTitle 3 2 3 5 4" xfId="18850"/>
    <cellStyle name="Style 45 4 2 3 5 4" xfId="18851"/>
    <cellStyle name="Title [Helv] 2 2 2 2 5 4" xfId="18852"/>
    <cellStyle name="Heading [Helv] 2 2 2 2 5 4" xfId="18853"/>
    <cellStyle name="P-Green Rule 3 2 2 5 4" xfId="18854"/>
    <cellStyle name="Date [mm-d-yyyy] 3 2 2 5 4" xfId="18855"/>
    <cellStyle name="PB Table Standard Row 3 3 2 4 4" xfId="18856"/>
    <cellStyle name="Border Thin 3 3 2 5 4" xfId="18857"/>
    <cellStyle name="COL HEADINGS 2 2 3 2 5 4" xfId="18858"/>
    <cellStyle name="dp*SheetSubTitle 2 2 3 2 5 4" xfId="18859"/>
    <cellStyle name="Style 44 6 8" xfId="18860"/>
    <cellStyle name="Heading [Helv] 4 2 8" xfId="18861"/>
    <cellStyle name="Heading [Palat] 4 2 8" xfId="18862"/>
    <cellStyle name="Date [mmm-yyyy] 2 2 2 2 8" xfId="18863"/>
    <cellStyle name="Style 44 4 2 7 4" xfId="18864"/>
    <cellStyle name="Style 51 4 2 7 4" xfId="18865"/>
    <cellStyle name="FieldName 2 3" xfId="18866"/>
    <cellStyle name="Afjusted 3 3 8 4" xfId="18867"/>
    <cellStyle name="Style 44 3 4 8" xfId="18868"/>
    <cellStyle name="ac 2 2 3 8 4" xfId="18869"/>
    <cellStyle name="COL HEADINGS 2 2 3 8 4" xfId="18870"/>
    <cellStyle name="Heading [Helv] 2 2 3 8 4" xfId="18871"/>
    <cellStyle name="P-Green Rule 3 4 4 4" xfId="18872"/>
    <cellStyle name="Style 49 4 4 5 4" xfId="18873"/>
    <cellStyle name="Table Head Green 2 2 3 3 5 4" xfId="18874"/>
    <cellStyle name="Heading [Helv] 2 2 4 5 4" xfId="18875"/>
    <cellStyle name="Style 51 4 3 4 5 4" xfId="18876"/>
    <cellStyle name="dp*SheetSubTitle 2 3 8" xfId="18877"/>
    <cellStyle name="Table Head Green 2 3 5 4" xfId="18878"/>
    <cellStyle name="Bold/Border 2 2 3 3 5 4" xfId="18879"/>
    <cellStyle name="Heading [Helv] 2 3 5 4" xfId="18880"/>
    <cellStyle name="Style 49 4 3 4 5 4" xfId="18881"/>
    <cellStyle name="Style 28 2 3" xfId="18882"/>
    <cellStyle name="UNLOCKED 3 3" xfId="18883"/>
    <cellStyle name="Style 51 2 8 4" xfId="18884"/>
    <cellStyle name="Style 49 3 9 4" xfId="18885"/>
    <cellStyle name="dp*NumberLineEPS 2 2 2 2 8" xfId="18886"/>
    <cellStyle name="Table Head Green 2 4 8" xfId="18887"/>
    <cellStyle name="Outputs 4 2 8" xfId="18888"/>
    <cellStyle name="Style 42 4 3" xfId="18889"/>
    <cellStyle name="PB Table Standard Row 5 2 8" xfId="18890"/>
    <cellStyle name="Outputs 2 2 4 8" xfId="18891"/>
    <cellStyle name="SAPBEXstdItemX 3 3" xfId="18892"/>
    <cellStyle name="Heading [Palat] 2 2 2 3 8" xfId="18893"/>
    <cellStyle name="P-Green Rule 5 2 8" xfId="18894"/>
    <cellStyle name="Draw lines around data in range 2 3" xfId="18895"/>
    <cellStyle name="Calculation 2 2 3" xfId="18896"/>
    <cellStyle name="Afjusted 4 3 2 8" xfId="18897"/>
    <cellStyle name="Style 51 4 3 2 8" xfId="18898"/>
    <cellStyle name="ac 2 2 2 2 8" xfId="18899"/>
    <cellStyle name="Outputs 2 2 2 2 8" xfId="18900"/>
    <cellStyle name="Style 44 4 2 3 8" xfId="18901"/>
    <cellStyle name="Afjusted 4 2 3 8" xfId="18902"/>
    <cellStyle name="Date [mmm-yyyy] 2 2 2 3 8" xfId="18903"/>
    <cellStyle name="Magic 2 2 2 3 8" xfId="18904"/>
    <cellStyle name="Style 45 4 2 4 8" xfId="18905"/>
    <cellStyle name="Border Thin 2 4 8" xfId="18906"/>
    <cellStyle name="Style 49 3 4 8" xfId="18907"/>
    <cellStyle name="DateYearWholeEstimate 4 3" xfId="18908"/>
    <cellStyle name="Style 44 6 2 8" xfId="18909"/>
    <cellStyle name="Style 45 6 2 8" xfId="18910"/>
    <cellStyle name="Style 49 6 2 8" xfId="18911"/>
    <cellStyle name="Style 43 4 3" xfId="18912"/>
    <cellStyle name="Style 51 6 2 8" xfId="18913"/>
    <cellStyle name="PB Table Standard Row 2 5 8" xfId="18914"/>
    <cellStyle name="Table Head Green 4 2 8" xfId="18915"/>
    <cellStyle name="SAPBEXHLevel2 4 3" xfId="18916"/>
    <cellStyle name="Style 45 7 8" xfId="18917"/>
    <cellStyle name="Style 50 5 3" xfId="18918"/>
    <cellStyle name="Title [Palat] 4 8" xfId="18919"/>
    <cellStyle name="WingdingsBlack 5 3" xfId="18920"/>
    <cellStyle name="Magic 2 4 4 5" xfId="18921"/>
    <cellStyle name="Border Thin 4 4 5" xfId="18922"/>
    <cellStyle name="Heading [Helv] 5 8" xfId="18923"/>
    <cellStyle name="Style 49 3 2 5 4" xfId="18924"/>
    <cellStyle name="SAPBEXHLevel1 4 3" xfId="18925"/>
    <cellStyle name="dp*NumberLineEPS 2 2 3 3 5 4" xfId="18926"/>
    <cellStyle name="Afjusted 6 2 8" xfId="18927"/>
    <cellStyle name="ac 2 5 2 8" xfId="18928"/>
    <cellStyle name="Afjusted 2 4 2 8" xfId="18929"/>
    <cellStyle name="Bold/Border 2 5 2 8" xfId="18930"/>
    <cellStyle name="Border Thin 2 5 2 8" xfId="18931"/>
    <cellStyle name="COL HEADINGS 2 5 2 8" xfId="18932"/>
    <cellStyle name="Date [mmm-yyyy] 2 5 2 8" xfId="18933"/>
    <cellStyle name="dp*NumberLine 2 5 2 8" xfId="18934"/>
    <cellStyle name="dp*NumberLineEPS 2 5 2 8" xfId="18935"/>
    <cellStyle name="dp*SheetSubTitle 2 5 2 8" xfId="18936"/>
    <cellStyle name="dp*SubTitle 2 5 2 8" xfId="18937"/>
    <cellStyle name="dp*ThinLineBelow 2 5 2 8" xfId="18938"/>
    <cellStyle name="Heading [Helv] 2 5 2 8" xfId="18939"/>
    <cellStyle name="Heading [Palat] 2 5 2 8" xfId="18940"/>
    <cellStyle name="Magic 2 5 2 8" xfId="18941"/>
    <cellStyle name="Outputs 2 5 2 8" xfId="18942"/>
    <cellStyle name="PB Table Standard Row 2 5 2 8" xfId="18943"/>
    <cellStyle name="P-Green Rule 2 5 2 8" xfId="18944"/>
    <cellStyle name="Style 44 3 5 2 8" xfId="18945"/>
    <cellStyle name="Style 45 3 5 2 8" xfId="18946"/>
    <cellStyle name="Style 49 3 5 2 8" xfId="18947"/>
    <cellStyle name="Style 51 3 5 2 8" xfId="18948"/>
    <cellStyle name="Style 44 2 5 2 8" xfId="18949"/>
    <cellStyle name="Style 45 2 5 2 8" xfId="18950"/>
    <cellStyle name="Style 49 2 5 2 8" xfId="18951"/>
    <cellStyle name="Style 51 2 5 2 8" xfId="18952"/>
    <cellStyle name="Table Head Aligned 2 5 2 8" xfId="18953"/>
    <cellStyle name="Table Head Green 2 5 2 8" xfId="18954"/>
    <cellStyle name="Title [Helv] 2 5 2 8" xfId="18955"/>
    <cellStyle name="Title [Palat] 2 5 2 8" xfId="18956"/>
    <cellStyle name="Date [mmm-yyyy] 2 4 5 4" xfId="18957"/>
    <cellStyle name="Heading [Palat] 2 2 3 2 8" xfId="18958"/>
    <cellStyle name="ac 3 5 4" xfId="18959"/>
    <cellStyle name="dp*NumberLine 2 2 3 2 5 4" xfId="18960"/>
    <cellStyle name="Style 49 2 4 4 4" xfId="18961"/>
    <cellStyle name="Style 45 3 4 8" xfId="18962"/>
    <cellStyle name="SAPBEXHLevel1 3 3" xfId="18963"/>
    <cellStyle name="COL HEADINGS 4 8" xfId="18964"/>
    <cellStyle name="SAPBEXHLevel1 2 3" xfId="18965"/>
    <cellStyle name="P-Green Rule 2 5 8" xfId="18966"/>
    <cellStyle name="Style 44 2 3 5 4" xfId="18967"/>
    <cellStyle name="Style 49 7 5 4" xfId="18968"/>
    <cellStyle name="dp*ThinLineAbove 8" xfId="18969"/>
    <cellStyle name="Style 22 10" xfId="18970"/>
    <cellStyle name="dp*NumberLine 2 2 2 10" xfId="18971"/>
    <cellStyle name="Title [Palat] 2 2 2 10" xfId="18972"/>
    <cellStyle name="dp*NumberLine 2 2 3 2 8" xfId="18973"/>
    <cellStyle name="PB Table Standard Row 3 3 2 6" xfId="18974"/>
    <cellStyle name="dp*ThinLineBelow 4 8" xfId="18975"/>
    <cellStyle name="SymbolBlue 3 3" xfId="18976"/>
    <cellStyle name="Style 22 3 3" xfId="18977"/>
    <cellStyle name="Afjusted 5 8" xfId="18978"/>
    <cellStyle name="P-Green Rule 5 8" xfId="18979"/>
    <cellStyle name="UNLOCKED 21 3" xfId="18980"/>
    <cellStyle name="Border Thin 6 5 4" xfId="18981"/>
    <cellStyle name="Border Thin 6 8" xfId="18982"/>
    <cellStyle name="ac 5 2 8" xfId="18983"/>
    <cellStyle name="Table Head Green 2 5 5 4" xfId="18984"/>
    <cellStyle name="Style 45 3 5 5 4" xfId="18985"/>
    <cellStyle name="Heading [Helv] 2 5 5 4" xfId="18986"/>
    <cellStyle name="dp*NumberLineEPS 2 5 5 4" xfId="18987"/>
    <cellStyle name="Style 25 2 3" xfId="18988"/>
    <cellStyle name="Style 53 2 3" xfId="18989"/>
    <cellStyle name="Bold/Border 5 2 8" xfId="18990"/>
    <cellStyle name="Border Thin 6 2 8" xfId="18991"/>
    <cellStyle name="Arial8Bold 10" xfId="18992"/>
    <cellStyle name="Border 8" xfId="18993"/>
    <cellStyle name="Style 44 6 5 4" xfId="18994"/>
    <cellStyle name="COL HEADINGS 5 2 8" xfId="18995"/>
    <cellStyle name="Total 2 2 3" xfId="18996"/>
    <cellStyle name="ac 2 2 2 10" xfId="18997"/>
    <cellStyle name="Heading [Palat] 2 2 2 10" xfId="18998"/>
    <cellStyle name="Table Head Aligned 2 2 3 2 8" xfId="18999"/>
    <cellStyle name="P-Green Rule 3 3 2 8" xfId="19000"/>
    <cellStyle name="Title [Helv] 2 5 8" xfId="19001"/>
    <cellStyle name="Style 35 5 3" xfId="19002"/>
    <cellStyle name="Style 51 2 6 8" xfId="19003"/>
    <cellStyle name="Title [Palat] 2 4 5 4" xfId="19004"/>
    <cellStyle name="Table Head Green 3 5 4" xfId="19005"/>
    <cellStyle name="WingdingsRed 10" xfId="19006"/>
    <cellStyle name="Border Thin 4 5 4" xfId="19007"/>
    <cellStyle name="dp*SheetSubTitle 2 2 2 4 5 4" xfId="19008"/>
    <cellStyle name="COL HEADINGS 2 2 2 4 5 4" xfId="19009"/>
    <cellStyle name="Border Thin 3 2 4 5 4" xfId="19010"/>
    <cellStyle name="PB Table Standard Row 3 2 4 5 4" xfId="19011"/>
    <cellStyle name="Style 45 4 2 4 5 4" xfId="19012"/>
    <cellStyle name="Date [mm-d-yyyy] 3 2 4 5 4" xfId="19013"/>
    <cellStyle name="Title [Helv] 2 2 2 3 5 4" xfId="19014"/>
    <cellStyle name="Outputs 2 2 2 3 5 4" xfId="19015"/>
    <cellStyle name="Heading [Helv] 2 2 2 3 5 4" xfId="19016"/>
    <cellStyle name="dp*NumberLine 2 2 2 3 5 4" xfId="19017"/>
    <cellStyle name="Bold/Border 2 2 2 3 5 4" xfId="19018"/>
    <cellStyle name="Afjusted 4 2 3 5 4" xfId="19019"/>
    <cellStyle name="dp*ThinLineBelow 3 2 3 5 4" xfId="19020"/>
    <cellStyle name="Style 49 4 2 3 5 4" xfId="19021"/>
    <cellStyle name="Table Head Green 2 2 2 2 5 4" xfId="19022"/>
    <cellStyle name="dp*SheetSubTitle 2 2 2 2 5 4" xfId="19023"/>
    <cellStyle name="Style 45 4 5 5 4" xfId="19024"/>
    <cellStyle name="PB Table Standard Row 3 5 5 4" xfId="19025"/>
    <cellStyle name="dp*ThinLineBelow 3 3 2 5 4" xfId="19026"/>
    <cellStyle name="Afjusted 4 3 2 5 4" xfId="19027"/>
    <cellStyle name="Date [mmm-yyyy] 2 2 3 2 5 4" xfId="19028"/>
    <cellStyle name="Heading [Helv] 2 2 3 2 5 4" xfId="19029"/>
    <cellStyle name="Heading [Helv] 5 2 8" xfId="19030"/>
    <cellStyle name="Heading [Palat] 5 2 8" xfId="19031"/>
    <cellStyle name="Style 51 2 4 8" xfId="19032"/>
    <cellStyle name="Draw lines around data in range 4 3" xfId="19033"/>
    <cellStyle name="Afjusted 4 2 8 4" xfId="19034"/>
    <cellStyle name="Style 45 4 2 7 4" xfId="19035"/>
    <cellStyle name="Date [mm-d-yyyy] 3 2 8 4" xfId="19036"/>
    <cellStyle name="Afjusted 3 2 8 4" xfId="19037"/>
    <cellStyle name="Style 37 10" xfId="19038"/>
    <cellStyle name="Style 51 6 8" xfId="19039"/>
    <cellStyle name="Heading [Palat] 2 2 3 4 8" xfId="19040"/>
    <cellStyle name="Date [mmm-yyyy] 2 2 3 8 4" xfId="19041"/>
    <cellStyle name="Heading [Palat] 2 2 3 8 4" xfId="19042"/>
    <cellStyle name="dp*ThinLineBelow 3 3 4 5 4" xfId="19043"/>
    <cellStyle name="Style 51 4 4 5 4" xfId="19044"/>
    <cellStyle name="Table Head Green 2 2 4 5 4" xfId="19045"/>
    <cellStyle name="Style 51 2 3 5 4" xfId="19046"/>
    <cellStyle name="Title [Palat] 2 3 5 4" xfId="19047"/>
    <cellStyle name="Table Head Aligned 2 3 5 4" xfId="19048"/>
    <cellStyle name="dp*NumberLine 2 2 3 3 5 4" xfId="19049"/>
    <cellStyle name="Outputs 2 3 5 4" xfId="19050"/>
    <cellStyle name="dp*SheetSubTitle 2 3 5 4" xfId="19051"/>
    <cellStyle name="Style 49 2 9 4" xfId="19052"/>
    <cellStyle name="Style 45 3 8 4" xfId="19053"/>
    <cellStyle name="dp*ThinLineBelow 2 7 4" xfId="19054"/>
    <cellStyle name="Outputs 5 2 8" xfId="19055"/>
    <cellStyle name="COL HEADINGS 2 5 8" xfId="19056"/>
    <cellStyle name="SAPBEXtitle 2 3" xfId="19057"/>
    <cellStyle name="Afjusted 4 3 3 8" xfId="19058"/>
    <cellStyle name="PB Table Standard Row 6 2 8" xfId="19059"/>
    <cellStyle name="P-Green Rule 3 3 4 8" xfId="19060"/>
    <cellStyle name="dp*NumberLine 2 2 3 3 8" xfId="19061"/>
    <cellStyle name="Style 50 10" xfId="19062"/>
    <cellStyle name="P-Green Rule 6 2 8" xfId="19063"/>
    <cellStyle name="Currency-- 46" xfId="19064"/>
    <cellStyle name="Format text as bold, black on yellow 2 3" xfId="19065"/>
    <cellStyle name="Date [mm-d-yyyy] 3 4 8" xfId="19066"/>
    <cellStyle name="dp*ThinLineBelow 3 3 2 8" xfId="19067"/>
    <cellStyle name="Date [mm-d-yyyy] 3 3 2 8" xfId="19068"/>
    <cellStyle name="dp*SubTitle 2 3 7" xfId="19069"/>
    <cellStyle name="dp*SheetSubTitle 2 2 2 2 8" xfId="19070"/>
    <cellStyle name="Date [mm-d-yyyy] 2 2 3 8" xfId="19071"/>
    <cellStyle name="P-Green Rule 3 2 3 8" xfId="19072"/>
    <cellStyle name="Bold/Border 2 2 2 3 8" xfId="19073"/>
    <cellStyle name="dp*SheetSubTitle 2 2 2 3 8" xfId="19074"/>
    <cellStyle name="Style 44 4 2 4 8" xfId="19075"/>
    <cellStyle name="Border Thin 4 8" xfId="19076"/>
    <cellStyle name="dp*NumberLineEPS 2 4 8" xfId="19077"/>
    <cellStyle name="Style 51 3 4 8" xfId="19078"/>
    <cellStyle name="Border Thin 5 8" xfId="19079"/>
    <cellStyle name="Date [mm-d-yyyy] 5 8" xfId="19080"/>
    <cellStyle name="Style 44 7 2 8" xfId="19081"/>
    <cellStyle name="Style 45 7 2 8" xfId="19082"/>
    <cellStyle name="Style 49 7 2 8" xfId="19083"/>
    <cellStyle name="Style 51 7 2 8" xfId="19084"/>
    <cellStyle name="WingdingsBlack 4 3" xfId="19085"/>
    <cellStyle name="Table Head Green 5 2 8" xfId="19086"/>
    <cellStyle name="Main 4 3" xfId="19087"/>
    <cellStyle name="SAPBEXHLevel2X 4 3" xfId="19088"/>
    <cellStyle name="Style 36 5 3" xfId="19089"/>
    <cellStyle name="Style 48 5 3" xfId="19090"/>
    <cellStyle name="Style 51 7 8" xfId="19091"/>
    <cellStyle name="Title [Palat] 4 2 8" xfId="19092"/>
    <cellStyle name="WingdingsRed 5 3" xfId="19093"/>
    <cellStyle name="Date [mmm-yyyy] 2 4 4 5" xfId="19094"/>
    <cellStyle name="Style 44 4 3 3 8" xfId="19095"/>
    <cellStyle name="Style 44 3 3 5 4" xfId="19096"/>
    <cellStyle name="Table Head Green 2 2 2 3 8" xfId="19097"/>
    <cellStyle name="Style 44 2 2 5 4" xfId="19098"/>
    <cellStyle name="Table Head Aligned 2 2 3 4 5 4" xfId="19099"/>
    <cellStyle name="Table Head Green 5 5 4" xfId="19100"/>
    <cellStyle name="Heading [Helv] 3 8" xfId="19101"/>
    <cellStyle name="SAPBEXHLevel2 9" xfId="19102"/>
    <cellStyle name="dp*SheetSubTitle 2 2 2 4 8" xfId="19103"/>
    <cellStyle name="ac 2 6 2 8" xfId="19104"/>
    <cellStyle name="Bold/Border 2 6 2 8" xfId="19105"/>
    <cellStyle name="Border Thin 2 6 2 8" xfId="19106"/>
    <cellStyle name="COL HEADINGS 2 6 2 8" xfId="19107"/>
    <cellStyle name="Afjusted 2 3 5 4" xfId="19108"/>
    <cellStyle name="Bold/Border 2 2 3 2 5 4" xfId="19109"/>
    <cellStyle name="Heading [Helv] 2 6 2 8" xfId="19110"/>
    <cellStyle name="Heading [Palat] 2 6 2 8" xfId="19111"/>
    <cellStyle name="Outputs 2 6 2 8" xfId="19112"/>
    <cellStyle name="PB Table Standard Row 2 6 2 8" xfId="19113"/>
    <cellStyle name="P-Green Rule 2 6 2 8" xfId="19114"/>
    <cellStyle name="Style 44 3 6 2 8" xfId="19115"/>
    <cellStyle name="Style 45 3 6 2 8" xfId="19116"/>
    <cellStyle name="Style 49 3 6 2 8" xfId="19117"/>
    <cellStyle name="Style 51 3 6 2 8" xfId="19118"/>
    <cellStyle name="Style 44 2 6 2 8" xfId="19119"/>
    <cellStyle name="Style 45 2 6 2 8" xfId="19120"/>
    <cellStyle name="Style 49 2 6 2 8" xfId="19121"/>
    <cellStyle name="Style 51 2 6 2 8" xfId="19122"/>
    <cellStyle name="Table Head Green 2 6 2 8" xfId="19123"/>
    <cellStyle name="Title [Palat] 2 6 2 8" xfId="19124"/>
    <cellStyle name="Bold/Border 2 3 5 4" xfId="19125"/>
    <cellStyle name="SAPBEXHLevel2X 2 3" xfId="19126"/>
    <cellStyle name="SSComma2 7" xfId="19127"/>
    <cellStyle name="Style 49 3 3 5 4" xfId="19128"/>
    <cellStyle name="Style 37 5 3" xfId="19129"/>
    <cellStyle name="Style 44 2 6 8" xfId="19130"/>
    <cellStyle name="SAPBEXresData 2 3" xfId="19131"/>
    <cellStyle name="dp*NumberLine 2 5 5 4" xfId="19132"/>
    <cellStyle name="Title [Palat] 2 2 2 4 8" xfId="19133"/>
    <cellStyle name="Style 45 3 3 5 4" xfId="19134"/>
    <cellStyle name="Format a row of totals 3 3" xfId="19135"/>
    <cellStyle name="Title [Palat] 2 2 3 4 5 4" xfId="19136"/>
    <cellStyle name="ac 2 2 3 4 5 4" xfId="19137"/>
    <cellStyle name="Date [mm-d-yyyy] 3 3 4 5 4" xfId="19138"/>
    <cellStyle name="Magic 2 2 3 4 5 4" xfId="19139"/>
    <cellStyle name="Title [Palat] 2 2 4 5 4" xfId="19140"/>
    <cellStyle name="Afjusted 4 3 3 5 4" xfId="19141"/>
    <cellStyle name="SAPBEXstdDataEmph 2 3" xfId="19142"/>
    <cellStyle name="PB Table Standard Row 2 2 5 4" xfId="19143"/>
    <cellStyle name="Magic 2 3 8" xfId="19144"/>
    <cellStyle name="Style 45 3 2 5 4" xfId="19145"/>
    <cellStyle name="Style 51 3 2 5 4" xfId="19146"/>
    <cellStyle name="Title [Helv] 2 2 3 4 5 4" xfId="19147"/>
    <cellStyle name="dp*ThinLineAbove 2 3" xfId="19148"/>
    <cellStyle name="dp*SubTitle 3 3 4 8" xfId="19149"/>
    <cellStyle name="SAPBEXexcBad8 7" xfId="19150"/>
    <cellStyle name="dp*SheetSubTitle 2 2 3 4 5 4" xfId="19151"/>
    <cellStyle name="PB Table Standard Row 3 4 4" xfId="19152"/>
    <cellStyle name="Style 49 2 3 8" xfId="19153"/>
    <cellStyle name="Table Head Aligned 2 2 3 3 8" xfId="19154"/>
    <cellStyle name="Date [mmm-yyyy] 2 2 3 4 8" xfId="19155"/>
    <cellStyle name="Date [mmm-yyyy] 2 4 4 4" xfId="19156"/>
    <cellStyle name="WingdingsRed 3 3" xfId="19157"/>
    <cellStyle name="Draw shadow and lines within range 3 3" xfId="19158"/>
    <cellStyle name="SAPBEXstdItem 7" xfId="19159"/>
    <cellStyle name="SAPBEXresDataEmph 7" xfId="19160"/>
    <cellStyle name="SAPBEXstdData 2 3" xfId="19161"/>
    <cellStyle name="Style 49 2 2 5 4" xfId="19162"/>
    <cellStyle name="Style 45 2 2 5 4" xfId="19163"/>
    <cellStyle name="Heading [Palat] 3 8" xfId="19164"/>
    <cellStyle name="Date [mmm-yyyy] 2 2 3 4 5 4" xfId="19165"/>
    <cellStyle name="ac 2 3 5 4" xfId="19166"/>
    <cellStyle name="Date [mm-d-yyyy] 5 5 4" xfId="19167"/>
    <cellStyle name="Format text as bold, black on yellow 5 3" xfId="19168"/>
    <cellStyle name="Style 51 2 2 5 4" xfId="19169"/>
    <cellStyle name="Format text as bold, black on yellow 3 3" xfId="19170"/>
    <cellStyle name="Afjusted 2 2 3 3 8" xfId="19171"/>
    <cellStyle name="Style 49 4 3 4 8" xfId="19172"/>
    <cellStyle name="COL HEADINGS 2 2 3 4 5 4" xfId="19173"/>
    <cellStyle name="Afjusted 3 3 4 5 4" xfId="19174"/>
    <cellStyle name="dp*ThinLineBelow 2 3 5 4" xfId="19175"/>
    <cellStyle name="Date [mmm-yyyy] 2 2 4 8" xfId="19176"/>
    <cellStyle name="Style 49 4 5 5 4" xfId="19177"/>
    <cellStyle name="WingdingsWhite 4 3" xfId="19178"/>
    <cellStyle name="Millions 7 3" xfId="19179"/>
    <cellStyle name="Outputs 2 2 2 4 5 4" xfId="19180"/>
    <cellStyle name="Title [Palat] 5 2 8" xfId="19181"/>
    <cellStyle name="Title [Helv] 4 2 8" xfId="19182"/>
    <cellStyle name="SAPBEXHLevel3X 4 3" xfId="19183"/>
    <cellStyle name="Table Head Green 6 2 8" xfId="19184"/>
    <cellStyle name="Table Head Aligned 4 2 8" xfId="19185"/>
    <cellStyle name="Style 51 9 2 8" xfId="19186"/>
    <cellStyle name="Magic 3 10" xfId="19187"/>
    <cellStyle name="Style 49 9 2 8" xfId="19188"/>
    <cellStyle name="Style 45 9 2 8" xfId="19189"/>
    <cellStyle name="Style 44 9 2 8" xfId="19190"/>
    <cellStyle name="Format a row of totals 4 3" xfId="19191"/>
    <cellStyle name="Title [Helv] 2 4 8" xfId="19192"/>
    <cellStyle name="Magic 2 4 8" xfId="19193"/>
    <cellStyle name="Border 3 3" xfId="19194"/>
    <cellStyle name="FieldName 3 3" xfId="19195"/>
    <cellStyle name="dp*SheetSubTitle 3 8" xfId="19196"/>
    <cellStyle name="Style 50 3 3" xfId="19197"/>
    <cellStyle name="dp*SubTitle 4 8" xfId="19198"/>
    <cellStyle name="P-Green Rule 3 2 4 8" xfId="19199"/>
    <cellStyle name="Table Head Green 2 2 2 10" xfId="19200"/>
    <cellStyle name="Border Thin 3 4 5" xfId="19201"/>
    <cellStyle name="Table Head Aligned 2 2 4 8" xfId="19202"/>
    <cellStyle name="SAPBEXformats 2 3" xfId="19203"/>
    <cellStyle name="SAPBEXexcBad7 2 3" xfId="19204"/>
    <cellStyle name="ItemTypeClass 2 3" xfId="19205"/>
    <cellStyle name="Arial8Bold 2 3" xfId="19206"/>
    <cellStyle name="Style 24 8" xfId="19207"/>
    <cellStyle name="SAPBEXHLevel2X 9" xfId="19208"/>
    <cellStyle name="SAPBEXexcCritical4 7" xfId="19209"/>
    <cellStyle name="Style 51 2 5 5 4" xfId="19210"/>
    <cellStyle name="P-Green Rule 2 5 5 4" xfId="19211"/>
    <cellStyle name="P-Green Rule 7 2 8" xfId="19212"/>
    <cellStyle name="PB Table Standard Row 7 2 8" xfId="19213"/>
    <cellStyle name="Outputs 6 2 8" xfId="19214"/>
    <cellStyle name="Style 44 3 8 4" xfId="19215"/>
    <cellStyle name="Magic 4 2 8" xfId="19216"/>
    <cellStyle name="Date [mm-d-yyyy] 3 2 3 5 4" xfId="19217"/>
    <cellStyle name="Outputs 2 2 2 2 5 4" xfId="19218"/>
    <cellStyle name="Border Thin 3 2 7 4" xfId="19219"/>
    <cellStyle name="Heading [Palat] 6 2 8" xfId="19220"/>
    <cellStyle name="Heading [Helv] 6 2 8" xfId="19221"/>
    <cellStyle name="Date [mm-d-yyyy] 3 3 2 5 4" xfId="19222"/>
    <cellStyle name="dp*SubTitle 2 3 5 4" xfId="19223"/>
    <cellStyle name="Table Head Aligned 2 2 2 2 5 4" xfId="19224"/>
    <cellStyle name="Style 51 4 2 3 5 4" xfId="19225"/>
    <cellStyle name="EYCurrency 2 3" xfId="19226"/>
    <cellStyle name="Heading [Palat] 5 8" xfId="19227"/>
    <cellStyle name="dp*ThinLineBelow 5 2 8" xfId="19228"/>
    <cellStyle name="UNLOCKED 19 3" xfId="19229"/>
    <cellStyle name="dp*SubTitle 5 2 8" xfId="19230"/>
    <cellStyle name="dp*SheetSubTitle 4 2 8" xfId="19231"/>
    <cellStyle name="dp*NumberLineEPS 4 2 8" xfId="19232"/>
    <cellStyle name="dp*NumberLine 4 2 8" xfId="19233"/>
    <cellStyle name="dp*NumberLine 2 4 5 4" xfId="19234"/>
    <cellStyle name="Date [mmm-yyyy] 4 2 8" xfId="19235"/>
    <cellStyle name="Date [mm-d-yyyy] 7 2 8" xfId="19236"/>
    <cellStyle name="COL HEADINGS 6 2 8" xfId="19237"/>
    <cellStyle name="Border Thin 7 2 8" xfId="19238"/>
    <cellStyle name="Bold/Border 6 2 8" xfId="19239"/>
    <cellStyle name="Style 44 3 5 5 4" xfId="19240"/>
    <cellStyle name="Table Head Aligned 2 5 5 4" xfId="19241"/>
    <cellStyle name="Table Head Aligned 2 2 2 2 8" xfId="19242"/>
    <cellStyle name="Afjusted 7 2 8" xfId="19243"/>
    <cellStyle name="ac 6 2 8" xfId="19244"/>
    <cellStyle name="SAPBEXaggData 7" xfId="19245"/>
    <cellStyle name="SAPBEXexcCritical5 7" xfId="19246"/>
    <cellStyle name="SAPBEXresItem 7" xfId="19247"/>
    <cellStyle name="Style 27 8" xfId="19248"/>
    <cellStyle name="Afjusted 3 11" xfId="19249"/>
    <cellStyle name="Arial8Italic 2 3" xfId="19250"/>
    <cellStyle name="Main 2 3" xfId="19251"/>
    <cellStyle name="SAPBEXexcCritical4 2 3" xfId="19252"/>
    <cellStyle name="SAPBEXHLevel1X 2 3" xfId="19253"/>
    <cellStyle name="Style 44 8 2 8" xfId="19254"/>
    <cellStyle name="Style 45 8 2 8" xfId="19255"/>
    <cellStyle name="Style 49 8 2 8" xfId="19256"/>
    <cellStyle name="Style 51 8 2 8" xfId="19257"/>
    <cellStyle name="Afjusted 2 2 2 10" xfId="19258"/>
    <cellStyle name="Title [Helv] 2 2 2 10" xfId="19259"/>
    <cellStyle name="P-Green Rule 4 8" xfId="19260"/>
    <cellStyle name="WingdingsBlack 3 3" xfId="19261"/>
    <cellStyle name="Style 42 3 3" xfId="19262"/>
    <cellStyle name="dp*NumberLineEPS 3 8" xfId="19263"/>
    <cellStyle name="Arial8Italic 3 3" xfId="19264"/>
    <cellStyle name="Arial6Bold 4 3" xfId="19265"/>
    <cellStyle name="Date [mmm-yyyy] 2 5 8" xfId="19266"/>
    <cellStyle name="PB Table Standard Row 3 2 4 8" xfId="19267"/>
    <cellStyle name="COL HEADINGS 4 5 4" xfId="19268"/>
    <cellStyle name="Heading [Helv] 2 2 3 3 5 4" xfId="19269"/>
    <cellStyle name="P-Green Rule 5 5 4" xfId="19270"/>
    <cellStyle name="Magic 2 2 3 4 8" xfId="19271"/>
    <cellStyle name="Heading [Palat] 5 5 4" xfId="19272"/>
    <cellStyle name="SAPBEXexcGood3 2 3" xfId="19273"/>
    <cellStyle name="Heading [Helv] 4 5 4" xfId="19274"/>
    <cellStyle name="Date [mm-d-yyyy] 3 2 3 8" xfId="19275"/>
    <cellStyle name="Title [Palat] 3 8" xfId="19276"/>
    <cellStyle name="Style 45 4 3 2 5 4" xfId="19277"/>
    <cellStyle name="Style 44 4 3 3 5 4" xfId="19278"/>
    <cellStyle name="Magic 2 2 3 3 5 4" xfId="19279"/>
    <cellStyle name="Title [Palat] 2 2 3 3 5 4" xfId="19280"/>
    <cellStyle name="dp*NumberLineEPS 2 2 3 4 5 4" xfId="19281"/>
    <cellStyle name="P-Green Rule 2 2 5 4" xfId="19282"/>
    <cellStyle name="dp*NumberLine 2 3 8" xfId="19283"/>
    <cellStyle name="Draw lines around data in range 5 3" xfId="19284"/>
    <cellStyle name="Title [Helv] 2 2 4 5 4" xfId="19285"/>
    <cellStyle name="Table Head Green 2 2 3 3 8" xfId="19286"/>
    <cellStyle name="Style 45 4 2 3 8" xfId="19287"/>
    <cellStyle name="UNLOCKED 26 3" xfId="19288"/>
    <cellStyle name="Title [Helv] 2 2 3 2 8" xfId="19289"/>
    <cellStyle name="Table Head Aligned 2 2 2 3 8" xfId="19290"/>
    <cellStyle name="Title [Palat] 6 2 8" xfId="19291"/>
    <cellStyle name="Title [Helv] 5 2 8" xfId="19292"/>
    <cellStyle name="Table Head Green 7 2 8" xfId="19293"/>
    <cellStyle name="Table Head Aligned 5 2 8" xfId="19294"/>
    <cellStyle name="Outputs 7 2 8" xfId="19295"/>
    <cellStyle name="PB Table Standard Row 3 3 4 5 4" xfId="19296"/>
    <cellStyle name="Magic 5 2 8" xfId="19297"/>
    <cellStyle name="Heading [Palat] 7 2 8" xfId="19298"/>
    <cellStyle name="Heading [Helv] 7 2 8" xfId="19299"/>
    <cellStyle name="dp*SheetSubTitle 5 2 8" xfId="19300"/>
    <cellStyle name="dp*NumberLineEPS 5 2 8" xfId="19301"/>
    <cellStyle name="dp*NumberLine 5 2 8" xfId="19302"/>
    <cellStyle name="Date [mmm-yyyy] 5 2 8" xfId="19303"/>
    <cellStyle name="COL HEADINGS 7 2 8" xfId="19304"/>
    <cellStyle name="Bold/Border 7 2 8" xfId="19305"/>
    <cellStyle name="Afjusted 8 2 8" xfId="19306"/>
    <cellStyle name="ac 7 2 8" xfId="19307"/>
    <cellStyle name="Style 51 3 3 8" xfId="19308"/>
    <cellStyle name="Date [mm-d-yyyy] 3 3 3 8" xfId="19309"/>
    <cellStyle name="Magic 2 2 2 4 5 4" xfId="19310"/>
    <cellStyle name="dp*ThinLineAbove 3 3" xfId="19311"/>
    <cellStyle name="Title [Palat] 7 2 8" xfId="19312"/>
    <cellStyle name="Title [Helv] 6 2 8" xfId="19313"/>
    <cellStyle name="SAPBEXresItemX 4 3" xfId="19314"/>
    <cellStyle name="Table Head Green 8 2 8" xfId="19315"/>
    <cellStyle name="Table Head Aligned 6 2 8" xfId="19316"/>
    <cellStyle name="dp*NumberLine 2 5 8" xfId="19317"/>
    <cellStyle name="Arial8Bold 4 3" xfId="19318"/>
    <cellStyle name="Title [Palat] 2 4 8" xfId="19319"/>
    <cellStyle name="Outputs 2 4 8" xfId="19320"/>
    <cellStyle name="dp*NumberLine 3 8" xfId="19321"/>
    <cellStyle name="Arial8Bold 3 3" xfId="19322"/>
    <cellStyle name="Style 28 3 3" xfId="19323"/>
    <cellStyle name="Title [Helv] 3 8" xfId="19324"/>
    <cellStyle name="Style 49 5 8" xfId="19325"/>
    <cellStyle name="dp*ThinLineBelow 3 2 4 8" xfId="19326"/>
    <cellStyle name="Output 2 5" xfId="19327"/>
    <cellStyle name="Date [mmm-yyyy] 2 2 2 10" xfId="19328"/>
    <cellStyle name="Afjusted 3 2 10" xfId="19329"/>
    <cellStyle name="Border Thin 3 3 4 8" xfId="19330"/>
    <cellStyle name="Heading [Palat] 2 2 3 3 8" xfId="19331"/>
    <cellStyle name="SAPBEXHLevel3 2 3" xfId="19332"/>
    <cellStyle name="SAPBEXexcCritical5 2 3" xfId="19333"/>
    <cellStyle name="Millions 6 3" xfId="19334"/>
    <cellStyle name="Millions 5 3" xfId="19335"/>
    <cellStyle name="Global 2 3" xfId="19336"/>
    <cellStyle name="SymbolBlue 10" xfId="19337"/>
    <cellStyle name="SAPBEXstdItemX 9" xfId="19338"/>
    <cellStyle name="SAPBEXexcCritical6 7" xfId="19339"/>
    <cellStyle name="SAPBEXaggDataEmph 7" xfId="19340"/>
    <cellStyle name="Outputs 8 2 8" xfId="19341"/>
    <cellStyle name="Magic 6 2 8" xfId="19342"/>
    <cellStyle name="Format a row of totals 5 3" xfId="19343"/>
    <cellStyle name="Heading [Palat] 8 2 8" xfId="19344"/>
    <cellStyle name="Heading [Helv] 8 2 8" xfId="19345"/>
    <cellStyle name="Style 51 4 3 2 5 4" xfId="19346"/>
    <cellStyle name="Date [mm-d-yyyy] 3 5 5 4" xfId="19347"/>
    <cellStyle name="Magic 2 2 2 2 5 4" xfId="19348"/>
    <cellStyle name="Afjusted 3 2 3 5 4" xfId="19349"/>
    <cellStyle name="Title [Helv] 2 2 2 4 8" xfId="19350"/>
    <cellStyle name="dp*SheetSubTitle 6 2 8" xfId="19351"/>
    <cellStyle name="dp*NumberLineEPS 6 2 8" xfId="19352"/>
    <cellStyle name="dp*NumberLine 6 2 8" xfId="19353"/>
    <cellStyle name="Style 44 7 8" xfId="19354"/>
    <cellStyle name="COL HEADINGS 8 2 8" xfId="19355"/>
    <cellStyle name="Bold/Border 8 2 8" xfId="19356"/>
    <cellStyle name="PB Table Standard Row 2 5 5 4" xfId="19357"/>
    <cellStyle name="Style 49 2 5 5 4" xfId="19358"/>
    <cellStyle name="Afjusted 9 2 8" xfId="19359"/>
    <cellStyle name="ac 8 2 8" xfId="19360"/>
    <cellStyle name="Date [mmm-yyyy] 6 2 8" xfId="19361"/>
    <cellStyle name="Magic 3 8" xfId="19362"/>
    <cellStyle name="Title [Palat] 8 2 8" xfId="19363"/>
    <cellStyle name="Title [Helv] 7 2 8" xfId="19364"/>
    <cellStyle name="Table Head Green 9 2 8" xfId="19365"/>
    <cellStyle name="Table Head Aligned 7 2 8" xfId="19366"/>
    <cellStyle name="Outputs 9 2 8" xfId="19367"/>
    <cellStyle name="Title [Helv] 2 2 3 4 8" xfId="19368"/>
    <cellStyle name="Magic 7 2 8" xfId="19369"/>
    <cellStyle name="Heading [Palat] 9 2 8" xfId="19370"/>
    <cellStyle name="Heading [Helv] 9 2 8" xfId="19371"/>
    <cellStyle name="dp*SheetSubTitle 7 2 8" xfId="19372"/>
    <cellStyle name="dp*NumberLineEPS 7 2 8" xfId="19373"/>
    <cellStyle name="dp*NumberLine 7 2 8" xfId="19374"/>
    <cellStyle name="Date [mmm-yyyy] 7 2 8" xfId="19375"/>
    <cellStyle name="COL HEADINGS 9 2 8" xfId="19376"/>
    <cellStyle name="Bold/Border 9 2 8" xfId="19377"/>
    <cellStyle name="Afjusted 10 2 8" xfId="19378"/>
    <cellStyle name="ac 9 2 8" xfId="19379"/>
    <cellStyle name="Title [Palat] 4 5 4" xfId="19380"/>
    <cellStyle name="Afjusted 3 5 8" xfId="19381"/>
    <cellStyle name="Title [Palat] 2 2 3 4 8" xfId="19382"/>
    <cellStyle name="Title [Helv] 2 2 4 8" xfId="19383"/>
    <cellStyle name="UNLOCKED 5 3" xfId="19384"/>
    <cellStyle name="Style 52 2 3" xfId="19385"/>
    <cellStyle name="Style 22 2 3" xfId="19386"/>
    <cellStyle name="SAPBEXresItemX 2 3" xfId="19387"/>
    <cellStyle name="P-Green Rule 6 8" xfId="19388"/>
    <cellStyle name="ac 2 6 5 4" xfId="19389"/>
    <cellStyle name="Bold/Border 2 6 5 4" xfId="19390"/>
    <cellStyle name="Border Thin 2 6 5 4" xfId="19391"/>
    <cellStyle name="COL HEADINGS 2 6 5 4" xfId="19392"/>
    <cellStyle name="Title [Palat] 2 2 2 2 8" xfId="19393"/>
    <cellStyle name="Heading [Helv] 2 6 5 4" xfId="19394"/>
    <cellStyle name="Heading [Palat] 2 6 5 4" xfId="19395"/>
    <cellStyle name="Output 2 2 5" xfId="19396"/>
    <cellStyle name="Outputs 2 6 5 4" xfId="19397"/>
    <cellStyle name="PB Table Standard Row 2 6 5 4" xfId="19398"/>
    <cellStyle name="P-Green Rule 2 6 5 4" xfId="19399"/>
    <cellStyle name="Style 44 3 6 5 4" xfId="19400"/>
    <cellStyle name="Style 45 3 6 5 4" xfId="19401"/>
    <cellStyle name="Style 49 3 6 5 4" xfId="19402"/>
    <cellStyle name="Style 51 3 6 5 4" xfId="19403"/>
    <cellStyle name="Style 44 2 6 5 4" xfId="19404"/>
    <cellStyle name="Style 45 2 6 5 4" xfId="19405"/>
    <cellStyle name="Style 49 2 6 5 4" xfId="19406"/>
    <cellStyle name="Style 51 2 6 5 4" xfId="19407"/>
    <cellStyle name="Table Head Green 2 6 5 4" xfId="19408"/>
    <cellStyle name="Title [Palat] 2 6 5 4" xfId="19409"/>
    <cellStyle name="Afjusted 3 4 8" xfId="19410"/>
    <cellStyle name="UNLOCKED 6 3" xfId="19411"/>
    <cellStyle name="Style 37 2 3" xfId="19412"/>
    <cellStyle name="SAPBEXundefined 2 3" xfId="19413"/>
    <cellStyle name="SAPBEXresItem 2 3" xfId="19414"/>
    <cellStyle name="SAPBEXresItemX 3 3" xfId="19415"/>
    <cellStyle name="PB Table Standard Row 3 3 3 8" xfId="19416"/>
    <cellStyle name="EYColumnHeading 10 3" xfId="19417"/>
    <cellStyle name="Title [Palat] 2 2 4 8" xfId="19418"/>
    <cellStyle name="COL HEADINGS 2 2 4 8" xfId="19419"/>
    <cellStyle name="Afjusted 2 2 5 8" xfId="19420"/>
    <cellStyle name="dp*NumberLineEPS 2 2 3 4 8" xfId="19421"/>
    <cellStyle name="dp*NumberLineEPS 2 3 8" xfId="19422"/>
    <cellStyle name="Draw shadow and lines within range 2 3" xfId="19423"/>
    <cellStyle name="SAPBEXHLevel3 3 3" xfId="19424"/>
    <cellStyle name="ItemTypeClass 4 3" xfId="19425"/>
    <cellStyle name="dp*NumberLine 2 2 3 4 8" xfId="19426"/>
    <cellStyle name="Afjusted 4 3 4 8" xfId="19427"/>
    <cellStyle name="UNLOCKED 12 3" xfId="19428"/>
    <cellStyle name="dp*SheetSubTitle 2 2 3 4 8" xfId="19429"/>
    <cellStyle name="Title [Helv] 2 2 3 3 8" xfId="19430"/>
    <cellStyle name="COL HEADINGS 2 2 3 4 8" xfId="19431"/>
    <cellStyle name="Afjusted 2 2 3 4 8" xfId="19432"/>
    <cellStyle name="Style 26 2 3" xfId="19433"/>
    <cellStyle name="UNLOCKED 2 3" xfId="19434"/>
    <cellStyle name="Heading [Palat] 2 2 4 8" xfId="19435"/>
    <cellStyle name="dp*NumberLineEPS 2 2 3 3 8" xfId="19436"/>
    <cellStyle name="ac 2 2 3 4 8" xfId="19437"/>
    <cellStyle name="Style 40 2 3" xfId="19438"/>
    <cellStyle name="SAPBEXstdItemX 2 3" xfId="19439"/>
    <cellStyle name="Style 27 2 3" xfId="19440"/>
    <cellStyle name="SSFixed2 2 3" xfId="19441"/>
    <cellStyle name="Date [mm-d-yyyy] 3 3 4 8" xfId="19442"/>
    <cellStyle name="Style 24 2 3" xfId="19443"/>
    <cellStyle name="Style 21 2 3" xfId="19444"/>
    <cellStyle name="Style 44 3 3 8" xfId="19445"/>
    <cellStyle name="Table Head Aligned 2 2 3 4 8" xfId="19446"/>
    <cellStyle name="SSComma0 2 3" xfId="19447"/>
    <cellStyle name="dp*ThinLineBelow 2 3 8" xfId="19448"/>
    <cellStyle name="Outputs 2 2 3 4 8" xfId="19449"/>
    <cellStyle name="dp*NumberLine 2 2 4 8" xfId="19450"/>
    <cellStyle name="Table Head Green 4 8" xfId="19451"/>
    <cellStyle name="Heading [Helv] 2 2 3 4 8" xfId="19452"/>
    <cellStyle name="WingdingsWhite 2 3" xfId="19453"/>
    <cellStyle name="Title [Palat] 2 3 8" xfId="19454"/>
    <cellStyle name="Magic 2 2 3 3 8" xfId="19455"/>
    <cellStyle name="Style 44 2 3 8" xfId="19456"/>
    <cellStyle name="Style 45 2 3 8" xfId="19457"/>
    <cellStyle name="Style 45 3 3 8" xfId="19458"/>
    <cellStyle name="ac 2 2 4 8" xfId="19459"/>
    <cellStyle name="Bold/Border 2 2 3 3 8" xfId="19460"/>
    <cellStyle name="Date [mmm-yyyy] 2 2 3 3 8" xfId="19461"/>
    <cellStyle name="SAPBEXHLevel1X 3 3" xfId="19462"/>
    <cellStyle name="Style 37 3 3" xfId="19463"/>
    <cellStyle name="Title [Palat] 5 5 4" xfId="19464"/>
    <cellStyle name="Title [Helv] 4 5 4" xfId="19465"/>
    <cellStyle name="Table Head Green 6 5 4" xfId="19466"/>
    <cellStyle name="Table Head Aligned 4 5 4" xfId="19467"/>
    <cellStyle name="dp*Number%ItalicsLineAbove 8" xfId="19468"/>
    <cellStyle name="SAPBEXexcBad7 7" xfId="19469"/>
    <cellStyle name="SAPBEXexcGood3 7" xfId="19470"/>
    <cellStyle name="SAPBEXHLevel1X 9" xfId="19471"/>
    <cellStyle name="SAPBEXresData 7" xfId="19472"/>
    <cellStyle name="SAPBEXstdDataEmph 7" xfId="19473"/>
    <cellStyle name="SSComma0 7" xfId="19474"/>
    <cellStyle name="SSDfltPct0 7" xfId="19475"/>
    <cellStyle name="Bold/Border 5 8" xfId="19476"/>
    <cellStyle name="Arial8Bold 5 3" xfId="19477"/>
    <cellStyle name="Outputs 6 5 4" xfId="19478"/>
    <cellStyle name="dp*SubTitle 2 4 8" xfId="19479"/>
    <cellStyle name="Magic 4 5 4" xfId="19480"/>
    <cellStyle name="Magic 2 2 2 4 8" xfId="19481"/>
    <cellStyle name="Bold/Border 2 2 2 4 8" xfId="19482"/>
    <cellStyle name="P-Green Rule 2 3 8" xfId="19483"/>
    <cellStyle name="Heading [Palat] 6 5 4" xfId="19484"/>
    <cellStyle name="Heading [Helv] 6 5 4" xfId="19485"/>
    <cellStyle name="Border Thin 3 2 3 8" xfId="19486"/>
    <cellStyle name="Afjusted 2 2 2 3 8" xfId="19487"/>
    <cellStyle name="COL HEADINGS 2 2 2 4 8" xfId="19488"/>
    <cellStyle name="Outputs 2 2 2 4 8" xfId="19489"/>
    <cellStyle name="UNLOCKED 17 3" xfId="19490"/>
    <cellStyle name="COL HEADINGS 2 4 8" xfId="19491"/>
    <cellStyle name="dp*ThinLineBelow 2 4 8" xfId="19492"/>
    <cellStyle name="P-Green Rule 2 4 8" xfId="19493"/>
    <cellStyle name="dp*SheetSubTitle 4 5 4" xfId="19494"/>
    <cellStyle name="dp*NumberLineEPS 4 5 4" xfId="19495"/>
    <cellStyle name="dp*NumberLine 4 5 4" xfId="19496"/>
    <cellStyle name="Date [mmm-yyyy] 4 5 4" xfId="19497"/>
    <cellStyle name="COL HEADINGS 6 5 4" xfId="19498"/>
    <cellStyle name="Style 44 2 5 8" xfId="19499"/>
    <cellStyle name="Bold/Border 6 5 4" xfId="19500"/>
    <cellStyle name="Arial8Italic 5 3" xfId="19501"/>
    <cellStyle name="Afjusted 7 5 4" xfId="19502"/>
    <cellStyle name="ac 6 5 4" xfId="19503"/>
    <cellStyle name="SSDfltPct 7" xfId="19504"/>
    <cellStyle name="SAPBEXundefined 7" xfId="19505"/>
    <cellStyle name="SAPBEXstdData 7" xfId="19506"/>
    <cellStyle name="SAPBEXHLevel3X 9" xfId="19507"/>
    <cellStyle name="SAPBEXformats 7" xfId="19508"/>
    <cellStyle name="SAPBEXHLevel1 9" xfId="19509"/>
    <cellStyle name="SAPBEXexcGood2 7" xfId="19510"/>
    <cellStyle name="Style 44 8 5 4" xfId="19511"/>
    <cellStyle name="Style 45 8 5 4" xfId="19512"/>
    <cellStyle name="Style 49 8 5 4" xfId="19513"/>
    <cellStyle name="Style 51 8 5 4" xfId="19514"/>
    <cellStyle name="DateYearWholeEstimate 10" xfId="19515"/>
    <cellStyle name="Bold/Border 2 3 8" xfId="19516"/>
    <cellStyle name="Afjusted 3 3 4 8" xfId="19517"/>
    <cellStyle name="Style 50 2 3" xfId="19518"/>
    <cellStyle name="WingdingsRed 2 3" xfId="19519"/>
    <cellStyle name="PB Table Standard Row 5 8" xfId="19520"/>
    <cellStyle name="PB Table Standard Row 3 2 3 8" xfId="19521"/>
    <cellStyle name="Heading [Palat] 2 3 8" xfId="19522"/>
    <cellStyle name="ac 2 3 8" xfId="19523"/>
    <cellStyle name="dp*SheetSubTitle 2 2 4 8" xfId="19524"/>
    <cellStyle name="SymbolBlue 4 3" xfId="19525"/>
    <cellStyle name="COL HEADINGS 2 2 2 2 8" xfId="19526"/>
    <cellStyle name="Style 49 2 4 8" xfId="19527"/>
    <cellStyle name="UNLOCKED 20 3" xfId="19528"/>
    <cellStyle name="Afjusted 2 4 8" xfId="19529"/>
    <cellStyle name="UNLOCKED 4 3" xfId="19530"/>
    <cellStyle name="Style 40 3 3" xfId="19531"/>
    <cellStyle name="DateYearEstimate 10" xfId="19532"/>
    <cellStyle name="Draw shadow and lines within range 10" xfId="19533"/>
    <cellStyle name="Format text as bold, black on yellow 10" xfId="19534"/>
    <cellStyle name="Main 9" xfId="19535"/>
    <cellStyle name="SAPBEXaggItemX 9" xfId="19536"/>
    <cellStyle name="SAPBEXexcGood1 7" xfId="19537"/>
    <cellStyle name="SAPBEXHLevel0X 9" xfId="19538"/>
    <cellStyle name="SAPBEXHLevel3 9" xfId="19539"/>
    <cellStyle name="SAPBEXresItemX 9" xfId="19540"/>
    <cellStyle name="SAPBEXtitle 7" xfId="19541"/>
    <cellStyle name="Main 3 3" xfId="19542"/>
    <cellStyle name="PB Table Standard Row 2 3 6" xfId="19543"/>
    <cellStyle name="Bold/Border 2 2 2 2 8" xfId="19544"/>
    <cellStyle name="dp*SubTitle 3 2 3 8" xfId="19545"/>
    <cellStyle name="ac 2 2 2 3 8" xfId="19546"/>
    <cellStyle name="Afjusted 2 2 2 4 8" xfId="19547"/>
    <cellStyle name="Heading [Palat] 2 2 2 4 8" xfId="19548"/>
    <cellStyle name="UNLOCKED 18 3" xfId="19549"/>
    <cellStyle name="dp*SheetSubTitle 2 4 8" xfId="19550"/>
    <cellStyle name="Style 45 2 4 8" xfId="19551"/>
    <cellStyle name="ac 2 5 8" xfId="19552"/>
    <cellStyle name="Style 51 3 5 8" xfId="19553"/>
    <cellStyle name="UNLOCKED 23 3" xfId="19554"/>
    <cellStyle name="Arial6Bold 5 3" xfId="19555"/>
    <cellStyle name="dp*SheetSubTitle 2 4 4 4" xfId="19556"/>
    <cellStyle name="ArialNormal 10" xfId="19557"/>
    <cellStyle name="Afjusted 2 2 2 2 8" xfId="19558"/>
    <cellStyle name="Style 44 2 4 8" xfId="19559"/>
    <cellStyle name="UNLOCKED 22 3" xfId="19560"/>
    <cellStyle name="UNLOCKED 39" xfId="19561"/>
    <cellStyle name="Style 51 4 3 4 8" xfId="19562"/>
    <cellStyle name="Style 49 3 3 8" xfId="19563"/>
    <cellStyle name="Style 48 10" xfId="19564"/>
    <cellStyle name="Afjusted 3 6 4 4" xfId="19565"/>
    <cellStyle name="ac 2 7 4 4" xfId="19566"/>
    <cellStyle name="Afjusted 2 5 4 4" xfId="19567"/>
    <cellStyle name="Bold/Border 2 7 4 4" xfId="19568"/>
    <cellStyle name="COL HEADINGS 2 7 4 4" xfId="19569"/>
    <cellStyle name="Date [mmm-yyyy] 2 6 4 4" xfId="19570"/>
    <cellStyle name="dp*NumberLine 2 6 4 4" xfId="19571"/>
    <cellStyle name="dp*NumberLineEPS 2 6 4 4" xfId="19572"/>
    <cellStyle name="dp*SheetSubTitle 2 6 4 4" xfId="19573"/>
    <cellStyle name="Heading [Helv] 2 7 4 4" xfId="19574"/>
    <cellStyle name="Heading [Palat] 2 7 4 4" xfId="19575"/>
    <cellStyle name="Magic 2 6 4 4" xfId="19576"/>
    <cellStyle name="Outputs 2 7 4 4" xfId="19577"/>
    <cellStyle name="Table Head Aligned 2 6 4 4" xfId="19578"/>
    <cellStyle name="Table Head Green 2 7 4 4" xfId="19579"/>
    <cellStyle name="Title [Helv] 2 6 4 4" xfId="19580"/>
    <cellStyle name="Title [Palat] 2 7 4 4" xfId="19581"/>
    <cellStyle name="Date [mm-d-yyyy] 3 6 4 4" xfId="19582"/>
    <cellStyle name="Style 51 4 6 4 4" xfId="19583"/>
    <cellStyle name="Style 49 4 6 4 4" xfId="19584"/>
    <cellStyle name="Style 45 4 6 4 4" xfId="19585"/>
    <cellStyle name="Style 44 4 6 4 4" xfId="19586"/>
    <cellStyle name="P-Green Rule 3 6 4 4" xfId="19587"/>
    <cellStyle name="PB Table Standard Row 3 6 4 4" xfId="19588"/>
    <cellStyle name="dp*ThinLineBelow 3 6 4 4" xfId="19589"/>
    <cellStyle name="dp*SubTitle 3 6 4 4" xfId="19590"/>
    <cellStyle name="Border Thin 3 6 4 4" xfId="19591"/>
    <cellStyle name="Afjusted 4 6 4 4" xfId="19592"/>
    <cellStyle name="ac 2 2 5 4 4" xfId="19593"/>
    <cellStyle name="Afjusted 2 2 6 4 4" xfId="19594"/>
    <cellStyle name="Bold/Border 2 2 5 4 4" xfId="19595"/>
    <cellStyle name="COL HEADINGS 2 2 5 4 4" xfId="19596"/>
    <cellStyle name="Date [mmm-yyyy] 2 2 5 4 4" xfId="19597"/>
    <cellStyle name="dp*NumberLine 2 2 5 4 4" xfId="19598"/>
    <cellStyle name="dp*NumberLineEPS 2 2 5 4 4" xfId="19599"/>
    <cellStyle name="dp*SheetSubTitle 2 2 5 4 4" xfId="19600"/>
    <cellStyle name="Heading [Helv] 2 2 5 4 4" xfId="19601"/>
    <cellStyle name="Heading [Palat] 2 2 5 4 4" xfId="19602"/>
    <cellStyle name="Magic 2 2 5 4 4" xfId="19603"/>
    <cellStyle name="Outputs 2 2 5 4 4" xfId="19604"/>
    <cellStyle name="Table Head Aligned 2 2 5 4 4" xfId="19605"/>
    <cellStyle name="Table Head Green 2 2 5 4 4" xfId="19606"/>
    <cellStyle name="Title [Helv] 2 2 5 4 4" xfId="19607"/>
    <cellStyle name="Title [Palat] 2 2 5 4 4" xfId="19608"/>
    <cellStyle name="dp*SubTitle 2 2 2 4 4" xfId="19609"/>
    <cellStyle name="Border Thin 2 2 2 4 4" xfId="19610"/>
    <cellStyle name="Bold/Border 2 2 3 4 2 4 4" xfId="19611"/>
    <cellStyle name="Magic 2 2 3 4 2 4 4" xfId="19612"/>
    <cellStyle name="Title [Helv] 2 2 3 4 2 4 4" xfId="19613"/>
    <cellStyle name="Style 51 2 2 2 4 4" xfId="19614"/>
    <cellStyle name="Style 45 2 2 2 4 4" xfId="19615"/>
    <cellStyle name="Style 49 2 2 2 4 4" xfId="19616"/>
    <cellStyle name="Style 44 2 2 2 4 4" xfId="19617"/>
    <cellStyle name="Style 51 3 2 2 4 4" xfId="19618"/>
    <cellStyle name="Style 49 3 2 2 4 4" xfId="19619"/>
    <cellStyle name="Style 45 3 2 2 4 4" xfId="19620"/>
    <cellStyle name="Style 44 3 2 2 4 4" xfId="19621"/>
    <cellStyle name="P-Green Rule 2 2 2 4 4" xfId="19622"/>
    <cellStyle name="PB Table Standard Row 2 2 2 4 4" xfId="19623"/>
    <cellStyle name="dp*ThinLineBelow 2 2 2 4 4" xfId="19624"/>
    <cellStyle name="dp*ThinLineBelow 2 3 2 4 4" xfId="19625"/>
    <cellStyle name="Style 44 3 3 2 4 4" xfId="19626"/>
    <cellStyle name="COL HEADINGS 2 2 3 4 2 4 4" xfId="19627"/>
    <cellStyle name="Style 49 4 3 4 2 4 4" xfId="19628"/>
    <cellStyle name="Afjusted 3 3 4 2 4 4" xfId="19629"/>
    <cellStyle name="Date [mm-d-yyyy] 3 3 4 2 4 4" xfId="19630"/>
    <cellStyle name="Afjusted 4 3 4 2 4 4" xfId="19631"/>
    <cellStyle name="ac 2 2 3 4 2 4 4" xfId="19632"/>
    <cellStyle name="Afjusted 2 2 3 4 2 4 4" xfId="19633"/>
    <cellStyle name="Date [mmm-yyyy] 2 2 3 4 2 4 4" xfId="19634"/>
    <cellStyle name="dp*NumberLine 2 2 3 4 2 4 4" xfId="19635"/>
    <cellStyle name="dp*NumberLineEPS 2 2 3 4 2 4 4" xfId="19636"/>
    <cellStyle name="dp*SheetSubTitle 2 2 3 4 2 4 4" xfId="19637"/>
    <cellStyle name="Heading [Helv] 2 2 3 4 2 4 4" xfId="19638"/>
    <cellStyle name="Outputs 2 2 3 4 2 4 4" xfId="19639"/>
    <cellStyle name="Table Head Aligned 2 2 3 4 2 4 4" xfId="19640"/>
    <cellStyle name="Title [Palat] 2 2 3 4 2 4 4" xfId="19641"/>
    <cellStyle name="Afjusted 3 5 2 4 4" xfId="19642"/>
    <cellStyle name="Style 45 3 3 2 4 4" xfId="19643"/>
    <cellStyle name="Style 51 3 3 2 4 4" xfId="19644"/>
    <cellStyle name="Style 44 2 3 2 4 4" xfId="19645"/>
    <cellStyle name="Style 45 2 3 2 4 4" xfId="19646"/>
    <cellStyle name="Style 49 2 3 2 4 4" xfId="19647"/>
    <cellStyle name="Border Thin 3 5 2 4 4" xfId="19648"/>
    <cellStyle name="ac 2 2 4 2 4 4" xfId="19649"/>
    <cellStyle name="Afjusted 2 2 5 2 4 4" xfId="19650"/>
    <cellStyle name="Bold/Border 2 2 4 2 4 4" xfId="19651"/>
    <cellStyle name="COL HEADINGS 2 2 4 2 4 4" xfId="19652"/>
    <cellStyle name="Date [mmm-yyyy] 2 2 4 2 4 4" xfId="19653"/>
    <cellStyle name="dp*NumberLine 2 2 4 2 4 4" xfId="19654"/>
    <cellStyle name="dp*NumberLineEPS 2 2 4 2 4 4" xfId="19655"/>
    <cellStyle name="dp*SheetSubTitle 2 2 4 2 4 4" xfId="19656"/>
    <cellStyle name="Heading [Palat] 2 2 4 2 4 4" xfId="19657"/>
    <cellStyle name="Outputs 2 2 4 2 4 4" xfId="19658"/>
    <cellStyle name="Magic 2 2 4 2 4 4" xfId="19659"/>
    <cellStyle name="Title [Helv] 2 2 4 2 4 4" xfId="19660"/>
    <cellStyle name="Title [Palat] 2 2 4 2 4 4" xfId="19661"/>
    <cellStyle name="Title [Palat] 2 2 3 3 2 4 4" xfId="19662"/>
    <cellStyle name="Title [Helv] 2 2 3 3 2 4 4" xfId="19663"/>
    <cellStyle name="Table Head Aligned 2 2 3 3 2 4 4" xfId="19664"/>
    <cellStyle name="Magic 2 2 3 3 2 4 4" xfId="19665"/>
    <cellStyle name="Heading [Helv] 2 2 3 3 2 4 4" xfId="19666"/>
    <cellStyle name="dp*NumberLineEPS 2 2 3 3 2 4 4" xfId="19667"/>
    <cellStyle name="COL HEADINGS 2 2 3 3 2 4 4" xfId="19668"/>
    <cellStyle name="ac 2 2 3 3 2 4 4" xfId="19669"/>
    <cellStyle name="Afjusted 4 3 3 2 4 4" xfId="19670"/>
    <cellStyle name="Border Thin 3 3 3 2 4 4" xfId="19671"/>
    <cellStyle name="PB Table Standard Row 3 3 3 2 4 4" xfId="19672"/>
    <cellStyle name="Style 44 4 3 3 2 4 4" xfId="19673"/>
    <cellStyle name="Style 51 4 3 3 2 4 4" xfId="19674"/>
    <cellStyle name="Afjusted 3 3 3 2 4 4" xfId="19675"/>
    <cellStyle name="Style 49 4 5 2 4 4" xfId="19676"/>
    <cellStyle name="Style 44 4 5 2 4 4" xfId="19677"/>
    <cellStyle name="P-Green Rule 3 5 2 4 4" xfId="19678"/>
    <cellStyle name="dp*SubTitle 3 5 2 4 4" xfId="19679"/>
    <cellStyle name="Afjusted 4 5 2 4 4" xfId="19680"/>
    <cellStyle name="ac 2 3 2 4 4" xfId="19681"/>
    <cellStyle name="Bold/Border 2 3 2 4 4" xfId="19682"/>
    <cellStyle name="COL HEADINGS 2 3 2 4 4" xfId="19683"/>
    <cellStyle name="Date [mmm-yyyy] 2 3 2 4 4" xfId="19684"/>
    <cellStyle name="dp*NumberLine 2 3 2 4 4" xfId="19685"/>
    <cellStyle name="dp*NumberLineEPS 2 3 2 4 4" xfId="19686"/>
    <cellStyle name="dp*SheetSubTitle 2 3 2 4 4" xfId="19687"/>
    <cellStyle name="Heading [Helv] 2 3 2 4 4" xfId="19688"/>
    <cellStyle name="Heading [Palat] 2 3 2 4 4" xfId="19689"/>
    <cellStyle name="Magic 2 3 2 4 4" xfId="19690"/>
    <cellStyle name="Outputs 2 3 2 4 4" xfId="19691"/>
    <cellStyle name="Date [mmm-yyyy] 2 2 3 3 2 4 4" xfId="19692"/>
    <cellStyle name="Afjusted 2 2 3 3 2 4 4" xfId="19693"/>
    <cellStyle name="dp*ThinLineBelow 3 3 3 2 4 4" xfId="19694"/>
    <cellStyle name="Style 49 4 3 3 2 4 4" xfId="19695"/>
    <cellStyle name="Outputs 2 2 3 3 2 4 4" xfId="19696"/>
    <cellStyle name="dp*NumberLine 2 2 3 3 2 4 4" xfId="19697"/>
    <cellStyle name="Bold/Border 2 2 3 3 2 4 4" xfId="19698"/>
    <cellStyle name="dp*SubTitle 3 3 3 2 4 4" xfId="19699"/>
    <cellStyle name="Style 45 4 3 3 2 4 4" xfId="19700"/>
    <cellStyle name="Table Head Aligned 2 3 2 4 4" xfId="19701"/>
    <cellStyle name="Table Head Green 2 3 2 4 4" xfId="19702"/>
    <cellStyle name="Title [Helv] 2 3 2 4 4" xfId="19703"/>
    <cellStyle name="Title [Palat] 2 3 2 4 4" xfId="19704"/>
    <cellStyle name="Style 45 4 3 4 2 4 4" xfId="19705"/>
    <cellStyle name="Style 51 4 3 4 2 4 4" xfId="19706"/>
    <cellStyle name="Afjusted 3 4 2 4 4" xfId="19707"/>
    <cellStyle name="P-Green Rule 3 3 4 2 4 4" xfId="19708"/>
    <cellStyle name="Border Thin 2 3 2 4 4" xfId="19709"/>
    <cellStyle name="Style 49 3 3 2 4 4" xfId="19710"/>
    <cellStyle name="Style 51 2 3 2 4 4" xfId="19711"/>
    <cellStyle name="Heading [Helv] 2 2 4 2 4 4" xfId="19712"/>
    <cellStyle name="Table Head Aligned 2 2 4 2 4 4" xfId="19713"/>
    <cellStyle name="Table Head Green 2 2 4 2 4 4" xfId="19714"/>
    <cellStyle name="Table Head Green 2 2 3 3 2 4 4" xfId="19715"/>
    <cellStyle name="Heading [Palat] 2 2 3 3 2 4 4" xfId="19716"/>
    <cellStyle name="dp*SheetSubTitle 2 2 3 3 2 4 4" xfId="19717"/>
    <cellStyle name="P-Green Rule 3 3 3 2 4 4" xfId="19718"/>
    <cellStyle name="Date [mm-d-yyyy] 3 3 3 2 4 4" xfId="19719"/>
    <cellStyle name="Date [mm-d-yyyy] 3 4 2 4 4" xfId="19720"/>
    <cellStyle name="Style 51 4 4 2 4 4" xfId="19721"/>
    <cellStyle name="Style 49 4 4 2 4 4" xfId="19722"/>
    <cellStyle name="Style 45 4 4 2 4 4" xfId="19723"/>
    <cellStyle name="Style 44 4 4 2 4 4" xfId="19724"/>
    <cellStyle name="dp*ThinLineBelow 3 3 4 2 4 4" xfId="19725"/>
    <cellStyle name="P-Green Rule 3 4 2 4 4" xfId="19726"/>
    <cellStyle name="PB Table Standard Row 3 4 2 3 4" xfId="19727"/>
    <cellStyle name="dp*ThinLineBelow 3 4 2 4 4" xfId="19728"/>
    <cellStyle name="dp*SubTitle 3 4 2 4 4" xfId="19729"/>
    <cellStyle name="dp*SubTitle 3 3 4 2 4 4" xfId="19730"/>
    <cellStyle name="Border Thin 3 4 2 4 4" xfId="19731"/>
    <cellStyle name="Border Thin 3 3 4 2 4 4" xfId="19732"/>
    <cellStyle name="Afjusted 4 4 2 4 4" xfId="19733"/>
    <cellStyle name="Afjusted 2 2 4 2 4 4" xfId="19734"/>
    <cellStyle name="Style 44 4 3 4 2 4 4" xfId="19735"/>
    <cellStyle name="PB Table Standard Row 3 3 4 2 4 4" xfId="19736"/>
    <cellStyle name="Title [Palat] 2 2 3 5 4 4" xfId="19737"/>
    <cellStyle name="Title [Helv] 2 2 3 5 4 4" xfId="19738"/>
    <cellStyle name="Table Head Green 2 2 3 5 4 4" xfId="19739"/>
    <cellStyle name="Table Head Aligned 2 2 3 5 4 4" xfId="19740"/>
    <cellStyle name="Outputs 2 2 3 5 4 4" xfId="19741"/>
    <cellStyle name="Magic 2 2 3 5 4 4" xfId="19742"/>
    <cellStyle name="Heading [Palat] 2 2 3 5 4 4" xfId="19743"/>
    <cellStyle name="Heading [Helv] 2 2 3 5 4 4" xfId="19744"/>
    <cellStyle name="dp*SheetSubTitle 2 2 3 5 4 4" xfId="19745"/>
    <cellStyle name="dp*NumberLineEPS 2 2 3 5 4 4" xfId="19746"/>
    <cellStyle name="dp*NumberLine 2 2 3 5 4 4" xfId="19747"/>
    <cellStyle name="Date [mmm-yyyy] 2 2 3 5 4 4" xfId="19748"/>
    <cellStyle name="COL HEADINGS 2 2 3 5 4 4" xfId="19749"/>
    <cellStyle name="Bold/Border 2 2 3 5 4 4" xfId="19750"/>
    <cellStyle name="Afjusted 2 2 3 5 4 4" xfId="19751"/>
    <cellStyle name="ac 2 2 3 5 4 4" xfId="19752"/>
    <cellStyle name="Afjusted 4 3 5 4 4" xfId="19753"/>
    <cellStyle name="Border Thin 3 3 5 4 4" xfId="19754"/>
    <cellStyle name="dp*SubTitle 3 3 5 4 4" xfId="19755"/>
    <cellStyle name="dp*ThinLineBelow 3 3 5 4 4" xfId="19756"/>
    <cellStyle name="PB Table Standard Row 3 3 5 4 4" xfId="19757"/>
    <cellStyle name="P-Green Rule 3 3 5 4 4" xfId="19758"/>
    <cellStyle name="Style 44 4 3 5 4 4" xfId="19759"/>
    <cellStyle name="Style 45 4 3 5 4 4" xfId="19760"/>
    <cellStyle name="Style 49 4 3 5 4 4" xfId="19761"/>
    <cellStyle name="Style 51 4 3 5 4 4" xfId="19762"/>
    <cellStyle name="Date [mm-d-yyyy] 3 3 5 4 4" xfId="19763"/>
    <cellStyle name="Afjusted 3 3 5 4 4" xfId="19764"/>
    <cellStyle name="Date [mm-d-yyyy] 2 2 4 4 4" xfId="19765"/>
    <cellStyle name="Afjusted 3 2 5 4 4" xfId="19766"/>
    <cellStyle name="Date [mm-d-yyyy] 3 2 5 4 4" xfId="19767"/>
    <cellStyle name="Style 51 4 2 5 4 4" xfId="19768"/>
    <cellStyle name="Style 49 4 2 5 4 4" xfId="19769"/>
    <cellStyle name="Style 45 4 2 5 4 4" xfId="19770"/>
    <cellStyle name="Style 44 4 2 5 4 4" xfId="19771"/>
    <cellStyle name="P-Green Rule 3 2 5 4 4" xfId="19772"/>
    <cellStyle name="PB Table Standard Row 3 2 5 3 4" xfId="19773"/>
    <cellStyle name="dp*ThinLineBelow 3 2 5 4 4" xfId="19774"/>
    <cellStyle name="dp*SubTitle 3 2 5 4 4" xfId="19775"/>
    <cellStyle name="Border Thin 3 2 5 4 4" xfId="19776"/>
    <cellStyle name="Afjusted 4 2 5 4 4" xfId="19777"/>
    <cellStyle name="ac 2 2 2 5 4 4" xfId="19778"/>
    <cellStyle name="Afjusted 2 2 2 5 4 4" xfId="19779"/>
    <cellStyle name="Bold/Border 2 2 2 5 4 4" xfId="19780"/>
    <cellStyle name="COL HEADINGS 2 2 2 5 4 4" xfId="19781"/>
    <cellStyle name="Date [mmm-yyyy] 2 2 2 5 4 4" xfId="19782"/>
    <cellStyle name="dp*NumberLine 2 2 2 5 4 4" xfId="19783"/>
    <cellStyle name="dp*NumberLineEPS 2 2 2 5 4 4" xfId="19784"/>
    <cellStyle name="dp*SheetSubTitle 2 2 2 5 4 4" xfId="19785"/>
    <cellStyle name="Heading [Helv] 2 2 2 5 4 4" xfId="19786"/>
    <cellStyle name="Heading [Palat] 2 2 2 5 4 4" xfId="19787"/>
    <cellStyle name="Magic 2 2 2 5 4 4" xfId="19788"/>
    <cellStyle name="Outputs 2 2 2 5 4 4" xfId="19789"/>
    <cellStyle name="Table Head Aligned 2 2 2 5 4 4" xfId="19790"/>
    <cellStyle name="Table Head Green 2 2 2 5 4 4" xfId="19791"/>
    <cellStyle name="Title [Helv] 2 2 2 5 4 4" xfId="19792"/>
    <cellStyle name="Title [Palat] 2 2 2 5 4 4" xfId="19793"/>
    <cellStyle name="Table Head Green 2 2 3 4 2 4 4" xfId="19794"/>
    <cellStyle name="Heading [Palat] 2 2 3 4 2 4 4" xfId="19795"/>
    <cellStyle name="PB Table Standard Row 2 3 2 4 4" xfId="19796"/>
    <cellStyle name="P-Green Rule 2 3 2 4 4" xfId="19797"/>
    <cellStyle name="Title [Palat] 2 2 3 2 2 4 4" xfId="19798"/>
    <cellStyle name="Title [Helv] 2 2 3 2 2 4 4" xfId="19799"/>
    <cellStyle name="Table Head Green 2 2 3 2 2 4 4" xfId="19800"/>
    <cellStyle name="Table Head Aligned 2 2 3 2 2 4 4" xfId="19801"/>
    <cellStyle name="Outputs 2 2 3 2 2 4 4" xfId="19802"/>
    <cellStyle name="Magic 2 2 3 2 2 4 4" xfId="19803"/>
    <cellStyle name="Heading [Palat] 2 2 3 2 2 4 4" xfId="19804"/>
    <cellStyle name="Heading [Helv] 2 2 3 2 2 4 4" xfId="19805"/>
    <cellStyle name="dp*SheetSubTitle 2 2 3 2 2 4 4" xfId="19806"/>
    <cellStyle name="dp*NumberLineEPS 2 2 3 2 2 4 4" xfId="19807"/>
    <cellStyle name="dp*NumberLine 2 2 3 2 2 4 4" xfId="19808"/>
    <cellStyle name="Date [mmm-yyyy] 2 2 3 2 2 4 4" xfId="19809"/>
    <cellStyle name="COL HEADINGS 2 2 3 2 2 4 4" xfId="19810"/>
    <cellStyle name="Bold/Border 2 2 3 2 2 4 4" xfId="19811"/>
    <cellStyle name="Afjusted 2 2 3 2 2 4 4" xfId="19812"/>
    <cellStyle name="ac 2 2 3 2 2 4 4" xfId="19813"/>
    <cellStyle name="Afjusted 4 3 2 2 4 4" xfId="19814"/>
    <cellStyle name="Border Thin 3 3 2 2 4 4" xfId="19815"/>
    <cellStyle name="dp*SubTitle 3 3 2 2 4 4" xfId="19816"/>
    <cellStyle name="dp*ThinLineBelow 3 3 2 2 4 4" xfId="19817"/>
    <cellStyle name="PB Table Standard Row 3 3 2 2 4 4" xfId="19818"/>
    <cellStyle name="P-Green Rule 3 3 2 2 4 4" xfId="19819"/>
    <cellStyle name="Style 44 4 3 2 2 4 4" xfId="19820"/>
    <cellStyle name="Style 45 4 3 2 2 4 4" xfId="19821"/>
    <cellStyle name="Style 49 4 3 2 2 4 4" xfId="19822"/>
    <cellStyle name="Style 51 4 3 2 2 4 4" xfId="19823"/>
    <cellStyle name="Date [mm-d-yyyy] 3 3 2 2 4 4" xfId="19824"/>
    <cellStyle name="Afjusted 3 3 2 2 4 4" xfId="19825"/>
    <cellStyle name="Date [mm-d-yyyy] 3 5 2 4 4" xfId="19826"/>
    <cellStyle name="dp*SubTitle 2 3 2 4 4" xfId="19827"/>
    <cellStyle name="Date [mm-d-yyyy] 2 2 2 2 4 4" xfId="19828"/>
    <cellStyle name="Afjusted 3 2 2 2 4 4" xfId="19829"/>
    <cellStyle name="PB Table Standard Row 3 5 2 4 4" xfId="19830"/>
    <cellStyle name="Date [mm-d-yyyy] 3 2 2 2 4 4" xfId="19831"/>
    <cellStyle name="Style 51 4 2 2 2 4 4" xfId="19832"/>
    <cellStyle name="Style 49 4 2 2 2 4 4" xfId="19833"/>
    <cellStyle name="Style 45 4 2 2 2 4 4" xfId="19834"/>
    <cellStyle name="Style 44 4 2 2 2 4 4" xfId="19835"/>
    <cellStyle name="Style 45 4 5 2 4 4" xfId="19836"/>
    <cellStyle name="P-Green Rule 3 2 2 2 4 4" xfId="19837"/>
    <cellStyle name="PB Table Standard Row 3 2 2 2 4 4" xfId="19838"/>
    <cellStyle name="dp*ThinLineBelow 3 2 2 2 4 4" xfId="19839"/>
    <cellStyle name="dp*SubTitle 3 2 2 2 4 4" xfId="19840"/>
    <cellStyle name="Style 51 4 5 2 4 4" xfId="19841"/>
    <cellStyle name="Border Thin 3 2 2 2 4 4" xfId="19842"/>
    <cellStyle name="Afjusted 4 2 2 2 4 4" xfId="19843"/>
    <cellStyle name="ac 2 2 2 2 2 4 4" xfId="19844"/>
    <cellStyle name="Afjusted 2 2 2 2 2 4 4" xfId="19845"/>
    <cellStyle name="Bold/Border 2 2 2 2 2 4 4" xfId="19846"/>
    <cellStyle name="COL HEADINGS 2 2 2 2 2 4 4" xfId="19847"/>
    <cellStyle name="Date [mmm-yyyy] 2 2 2 2 2 4 4" xfId="19848"/>
    <cellStyle name="dp*NumberLine 2 2 2 2 2 4 4" xfId="19849"/>
    <cellStyle name="dp*NumberLineEPS 2 2 2 2 2 4 4" xfId="19850"/>
    <cellStyle name="dp*SheetSubTitle 2 2 2 2 2 4 4" xfId="19851"/>
    <cellStyle name="Heading [Helv] 2 2 2 2 2 4 4" xfId="19852"/>
    <cellStyle name="Heading [Palat] 2 2 2 2 2 4 4" xfId="19853"/>
    <cellStyle name="Magic 2 2 2 2 2 4 4" xfId="19854"/>
    <cellStyle name="Outputs 2 2 2 2 2 4 4" xfId="19855"/>
    <cellStyle name="Table Head Aligned 2 2 2 2 2 4 4" xfId="19856"/>
    <cellStyle name="Table Head Green 2 2 2 2 2 4 4" xfId="19857"/>
    <cellStyle name="Title [Helv] 2 2 2 2 2 4 4" xfId="19858"/>
    <cellStyle name="Title [Palat] 2 2 2 2 2 4 4" xfId="19859"/>
    <cellStyle name="dp*ThinLineBelow 3 5 2 4 4" xfId="19860"/>
    <cellStyle name="Date [mm-d-yyyy] 2 2 3 2 4 4" xfId="19861"/>
    <cellStyle name="Afjusted 3 2 3 2 4 4" xfId="19862"/>
    <cellStyle name="Date [mm-d-yyyy] 3 2 3 2 4 4" xfId="19863"/>
    <cellStyle name="Style 51 4 2 3 2 4 4" xfId="19864"/>
    <cellStyle name="Style 49 4 2 3 2 4 4" xfId="19865"/>
    <cellStyle name="Style 45 4 2 3 2 4 4" xfId="19866"/>
    <cellStyle name="Style 44 4 2 3 2 4 4" xfId="19867"/>
    <cellStyle name="P-Green Rule 3 2 3 2 4 4" xfId="19868"/>
    <cellStyle name="PB Table Standard Row 3 2 3 2 4 4" xfId="19869"/>
    <cellStyle name="dp*ThinLineBelow 3 2 3 2 4 4" xfId="19870"/>
    <cellStyle name="dp*SubTitle 3 2 3 2 4 4" xfId="19871"/>
    <cellStyle name="Border Thin 3 2 3 2 4 4" xfId="19872"/>
    <cellStyle name="Afjusted 4 2 3 2 4 4" xfId="19873"/>
    <cellStyle name="ac 2 2 2 3 2 4 4" xfId="19874"/>
    <cellStyle name="Afjusted 2 2 2 3 2 4 4" xfId="19875"/>
    <cellStyle name="Bold/Border 2 2 2 3 2 4 4" xfId="19876"/>
    <cellStyle name="COL HEADINGS 2 2 2 3 2 4 4" xfId="19877"/>
    <cellStyle name="Date [mmm-yyyy] 2 2 2 3 2 4 4" xfId="19878"/>
    <cellStyle name="dp*NumberLine 2 2 2 3 2 4 4" xfId="19879"/>
    <cellStyle name="dp*NumberLineEPS 2 2 2 3 2 4 4" xfId="19880"/>
    <cellStyle name="dp*SheetSubTitle 2 2 2 3 2 4 4" xfId="19881"/>
    <cellStyle name="Heading [Helv] 2 2 2 3 2 4 4" xfId="19882"/>
    <cellStyle name="Heading [Palat] 2 2 2 3 2 4 4" xfId="19883"/>
    <cellStyle name="Magic 2 2 2 3 2 4 4" xfId="19884"/>
    <cellStyle name="Outputs 2 2 2 3 2 4 4" xfId="19885"/>
    <cellStyle name="Table Head Aligned 2 2 2 3 2 4 4" xfId="19886"/>
    <cellStyle name="Table Head Green 2 2 2 3 2 4 4" xfId="19887"/>
    <cellStyle name="Title [Helv] 2 2 2 3 2 4 4" xfId="19888"/>
    <cellStyle name="Title [Palat] 2 2 2 3 2 4 4" xfId="19889"/>
    <cellStyle name="Afjusted 3 2 4 2 4 4" xfId="19890"/>
    <cellStyle name="Date [mm-d-yyyy] 3 2 4 2 4 4" xfId="19891"/>
    <cellStyle name="Style 51 4 2 4 2 4 4" xfId="19892"/>
    <cellStyle name="Style 49 4 2 4 2 4 4" xfId="19893"/>
    <cellStyle name="Style 45 4 2 4 2 4 4" xfId="19894"/>
    <cellStyle name="Style 44 4 2 4 2 4 4" xfId="19895"/>
    <cellStyle name="P-Green Rule 3 2 4 2 4 4" xfId="19896"/>
    <cellStyle name="PB Table Standard Row 3 2 4 2 4 4" xfId="19897"/>
    <cellStyle name="dp*ThinLineBelow 3 2 4 2 4 4" xfId="19898"/>
    <cellStyle name="dp*SubTitle 3 2 4 2 4 4" xfId="19899"/>
    <cellStyle name="Border Thin 3 2 4 2 4 4" xfId="19900"/>
    <cellStyle name="Afjusted 4 2 4 2 4 4" xfId="19901"/>
    <cellStyle name="ac 2 2 2 4 2 4 4" xfId="19902"/>
    <cellStyle name="Afjusted 2 2 2 4 2 4 4" xfId="19903"/>
    <cellStyle name="Bold/Border 2 2 2 4 2 4 4" xfId="19904"/>
    <cellStyle name="COL HEADINGS 2 2 2 4 2 4 4" xfId="19905"/>
    <cellStyle name="Date [mmm-yyyy] 2 2 2 4 2 4 4" xfId="19906"/>
    <cellStyle name="dp*NumberLine 2 2 2 4 2 4 4" xfId="19907"/>
    <cellStyle name="dp*NumberLineEPS 2 2 2 4 2 4 4" xfId="19908"/>
    <cellStyle name="dp*SheetSubTitle 2 2 2 4 2 4 4" xfId="19909"/>
    <cellStyle name="Heading [Helv] 2 2 2 4 2 4 4" xfId="19910"/>
    <cellStyle name="Heading [Palat] 2 2 2 4 2 4 4" xfId="19911"/>
    <cellStyle name="Magic 2 2 2 4 2 4 4" xfId="19912"/>
    <cellStyle name="Outputs 2 2 2 4 2 4 4" xfId="19913"/>
    <cellStyle name="Table Head Aligned 2 2 2 4 2 4 4" xfId="19914"/>
    <cellStyle name="Table Head Green 2 2 2 4 2 4 4" xfId="19915"/>
    <cellStyle name="Title [Helv] 2 2 2 4 2 4 4" xfId="19916"/>
    <cellStyle name="Title [Palat] 2 2 2 4 2 4 4" xfId="19917"/>
    <cellStyle name="Border Thin 4 2 4 4" xfId="19918"/>
    <cellStyle name="Date [mm-d-yyyy] 4 2 4 4" xfId="19919"/>
    <cellStyle name="dp*SubTitle 4 2 4 4" xfId="19920"/>
    <cellStyle name="dp*ThinLineBelow 4 2 4 4" xfId="19921"/>
    <cellStyle name="PB Table Standard Row 4 2 4 4" xfId="19922"/>
    <cellStyle name="P-Green Rule 4 2 4 4" xfId="19923"/>
    <cellStyle name="Style 44 5 2 4 4" xfId="19924"/>
    <cellStyle name="Style 45 5 2 4 4" xfId="19925"/>
    <cellStyle name="Style 49 5 2 4 4" xfId="19926"/>
    <cellStyle name="Style 51 5 2 4 4" xfId="19927"/>
    <cellStyle name="Title [Palat] 3 2 4 4" xfId="19928"/>
    <cellStyle name="Title [Helv] 3 2 4 4" xfId="19929"/>
    <cellStyle name="Table Head Green 3 2 4 4" xfId="19930"/>
    <cellStyle name="Table Head Aligned 3 2 4 4" xfId="19931"/>
    <cellStyle name="Outputs 3 2 4 4" xfId="19932"/>
    <cellStyle name="Magic 3 2 4 4" xfId="19933"/>
    <cellStyle name="Heading [Palat] 3 2 4 4" xfId="19934"/>
    <cellStyle name="Heading [Helv] 3 2 4 4" xfId="19935"/>
    <cellStyle name="dp*SheetSubTitle 3 2 4 4" xfId="19936"/>
    <cellStyle name="dp*NumberLineEPS 3 2 4 4" xfId="19937"/>
    <cellStyle name="dp*NumberLine 3 2 4 4" xfId="19938"/>
    <cellStyle name="COL HEADINGS 3 2 4 4" xfId="19939"/>
    <cellStyle name="Bold/Border 3 2 4 4" xfId="19940"/>
    <cellStyle name="Afjusted 5 2 4 4" xfId="19941"/>
    <cellStyle name="ac 3 2 4 4" xfId="19942"/>
    <cellStyle name="Date [mmm-yyyy] 3 2 4 4" xfId="19943"/>
    <cellStyle name="ac 2 4 2 4 4" xfId="19944"/>
    <cellStyle name="Afjusted 2 3 2 4 4" xfId="19945"/>
    <cellStyle name="Bold/Border 2 4 2 4 4" xfId="19946"/>
    <cellStyle name="Border Thin 2 4 2 4 4" xfId="19947"/>
    <cellStyle name="COL HEADINGS 2 4 2 4 4" xfId="19948"/>
    <cellStyle name="Date [mmm-yyyy] 2 4 2 4 4" xfId="19949"/>
    <cellStyle name="dp*NumberLine 2 4 2 4 4" xfId="19950"/>
    <cellStyle name="dp*NumberLineEPS 2 4 2 4 4" xfId="19951"/>
    <cellStyle name="dp*SheetSubTitle 2 4 2 4 4" xfId="19952"/>
    <cellStyle name="dp*SubTitle 2 4 2 4 4" xfId="19953"/>
    <cellStyle name="dp*ThinLineBelow 2 4 2 4 4" xfId="19954"/>
    <cellStyle name="Heading [Helv] 2 4 2 4 4" xfId="19955"/>
    <cellStyle name="Heading [Palat] 2 4 2 4 4" xfId="19956"/>
    <cellStyle name="Magic 2 4 2 4 4" xfId="19957"/>
    <cellStyle name="Outputs 2 4 2 4 4" xfId="19958"/>
    <cellStyle name="PB Table Standard Row 2 4 2 4 4" xfId="19959"/>
    <cellStyle name="P-Green Rule 2 4 2 4 4" xfId="19960"/>
    <cellStyle name="Style 44 3 4 2 4 4" xfId="19961"/>
    <cellStyle name="Style 45 3 4 2 4 4" xfId="19962"/>
    <cellStyle name="Style 49 3 4 2 4 4" xfId="19963"/>
    <cellStyle name="Style 51 3 4 2 4 4" xfId="19964"/>
    <cellStyle name="Style 44 2 4 2 4 4" xfId="19965"/>
    <cellStyle name="Style 45 2 4 2 4 4" xfId="19966"/>
    <cellStyle name="Style 49 2 4 2 4 4" xfId="19967"/>
    <cellStyle name="Style 51 2 4 2 4 4" xfId="19968"/>
    <cellStyle name="Table Head Aligned 2 4 2 4 4" xfId="19969"/>
    <cellStyle name="Table Head Green 2 4 2 4 4" xfId="19970"/>
    <cellStyle name="Title [Helv] 2 4 2 4 4" xfId="19971"/>
    <cellStyle name="Title [Palat] 2 4 2 4 4" xfId="19972"/>
    <cellStyle name="ac 4 2 4 4" xfId="19973"/>
    <cellStyle name="Bold/Border 4 2 4 4" xfId="19974"/>
    <cellStyle name="Border Thin 5 2 4 4" xfId="19975"/>
    <cellStyle name="COL HEADINGS 4 2 4 4" xfId="19976"/>
    <cellStyle name="Date [mm-d-yyyy] 5 2 4 4" xfId="19977"/>
    <cellStyle name="Heading [Helv] 4 2 4 4" xfId="19978"/>
    <cellStyle name="Heading [Palat] 4 2 4 4" xfId="19979"/>
    <cellStyle name="Outputs 4 2 4 4" xfId="19980"/>
    <cellStyle name="PB Table Standard Row 5 2 4 4" xfId="19981"/>
    <cellStyle name="P-Green Rule 5 2 4 4" xfId="19982"/>
    <cellStyle name="Style 44 6 2 4 4" xfId="19983"/>
    <cellStyle name="Style 45 6 2 4 4" xfId="19984"/>
    <cellStyle name="Style 49 6 2 4 4" xfId="19985"/>
    <cellStyle name="Style 51 6 2 4 4" xfId="19986"/>
    <cellStyle name="Table Head Green 4 2 4 4" xfId="19987"/>
    <cellStyle name="Afjusted 6 2 4 4" xfId="19988"/>
    <cellStyle name="ac 2 5 2 4 4" xfId="19989"/>
    <cellStyle name="Afjusted 2 4 2 4 4" xfId="19990"/>
    <cellStyle name="Bold/Border 2 5 2 4 4" xfId="19991"/>
    <cellStyle name="Border Thin 2 5 2 4 4" xfId="19992"/>
    <cellStyle name="COL HEADINGS 2 5 2 4 4" xfId="19993"/>
    <cellStyle name="Date [mmm-yyyy] 2 5 2 4 4" xfId="19994"/>
    <cellStyle name="dp*NumberLine 2 5 2 4 4" xfId="19995"/>
    <cellStyle name="dp*NumberLineEPS 2 5 2 4 4" xfId="19996"/>
    <cellStyle name="dp*SheetSubTitle 2 5 2 4 4" xfId="19997"/>
    <cellStyle name="dp*SubTitle 2 5 2 4 4" xfId="19998"/>
    <cellStyle name="dp*ThinLineBelow 2 5 2 4 4" xfId="19999"/>
    <cellStyle name="Heading [Helv] 2 5 2 4 4" xfId="20000"/>
    <cellStyle name="Heading [Palat] 2 5 2 4 4" xfId="20001"/>
    <cellStyle name="Magic 2 5 2 4 4" xfId="20002"/>
    <cellStyle name="Outputs 2 5 2 4 4" xfId="20003"/>
    <cellStyle name="PB Table Standard Row 2 5 2 4 4" xfId="20004"/>
    <cellStyle name="P-Green Rule 2 5 2 4 4" xfId="20005"/>
    <cellStyle name="Style 44 3 5 2 4 4" xfId="20006"/>
    <cellStyle name="Style 45 3 5 2 4 4" xfId="20007"/>
    <cellStyle name="Style 49 3 5 2 4 4" xfId="20008"/>
    <cellStyle name="Style 51 3 5 2 4 4" xfId="20009"/>
    <cellStyle name="Style 44 2 5 2 4 4" xfId="20010"/>
    <cellStyle name="Style 45 2 5 2 4 4" xfId="20011"/>
    <cellStyle name="Style 49 2 5 2 4 4" xfId="20012"/>
    <cellStyle name="Style 51 2 5 2 4 4" xfId="20013"/>
    <cellStyle name="Table Head Aligned 2 5 2 4 4" xfId="20014"/>
    <cellStyle name="Table Head Green 2 5 2 4 4" xfId="20015"/>
    <cellStyle name="Title [Helv] 2 5 2 4 4" xfId="20016"/>
    <cellStyle name="Title [Palat] 2 5 2 4 4" xfId="20017"/>
    <cellStyle name="ac 5 2 4 4" xfId="20018"/>
    <cellStyle name="Bold/Border 5 2 4 4" xfId="20019"/>
    <cellStyle name="Border Thin 6 2 4 4" xfId="20020"/>
    <cellStyle name="COL HEADINGS 5 2 4 4" xfId="20021"/>
    <cellStyle name="Heading [Helv] 5 2 4 4" xfId="20022"/>
    <cellStyle name="Heading [Palat] 5 2 4 4" xfId="20023"/>
    <cellStyle name="Outputs 5 2 4 4" xfId="20024"/>
    <cellStyle name="PB Table Standard Row 6 2 4 4" xfId="20025"/>
    <cellStyle name="P-Green Rule 6 2 4 4" xfId="20026"/>
    <cellStyle name="Style 44 7 2 4 4" xfId="20027"/>
    <cellStyle name="Style 45 7 2 4 4" xfId="20028"/>
    <cellStyle name="Style 49 7 2 4 4" xfId="20029"/>
    <cellStyle name="Style 51 7 2 4 4" xfId="20030"/>
    <cellStyle name="Table Head Green 5 2 4 4" xfId="20031"/>
    <cellStyle name="Title [Palat] 4 2 4 4" xfId="20032"/>
    <cellStyle name="ac 2 6 2 4 4" xfId="20033"/>
    <cellStyle name="Bold/Border 2 6 2 4 4" xfId="20034"/>
    <cellStyle name="Border Thin 2 6 2 4 4" xfId="20035"/>
    <cellStyle name="COL HEADINGS 2 6 2 4 4" xfId="20036"/>
    <cellStyle name="Heading [Helv] 2 6 2 4 4" xfId="20037"/>
    <cellStyle name="Heading [Palat] 2 6 2 4 4" xfId="20038"/>
    <cellStyle name="Outputs 2 6 2 4 4" xfId="20039"/>
    <cellStyle name="PB Table Standard Row 2 6 2 4 4" xfId="20040"/>
    <cellStyle name="P-Green Rule 2 6 2 4 4" xfId="20041"/>
    <cellStyle name="Style 44 3 6 2 4 4" xfId="20042"/>
    <cellStyle name="Style 45 3 6 2 4 4" xfId="20043"/>
    <cellStyle name="Style 49 3 6 2 4 4" xfId="20044"/>
    <cellStyle name="Style 51 3 6 2 4 4" xfId="20045"/>
    <cellStyle name="Style 44 2 6 2 4 4" xfId="20046"/>
    <cellStyle name="Style 45 2 6 2 4 4" xfId="20047"/>
    <cellStyle name="Style 49 2 6 2 4 4" xfId="20048"/>
    <cellStyle name="Style 51 2 6 2 4 4" xfId="20049"/>
    <cellStyle name="Table Head Green 2 6 2 4 4" xfId="20050"/>
    <cellStyle name="Title [Palat] 2 6 2 4 4" xfId="20051"/>
    <cellStyle name="Title [Palat] 5 2 4 4" xfId="20052"/>
    <cellStyle name="Title [Helv] 4 2 4 4" xfId="20053"/>
    <cellStyle name="Table Head Green 6 2 4 4" xfId="20054"/>
    <cellStyle name="Table Head Aligned 4 2 4 4" xfId="20055"/>
    <cellStyle name="Style 51 9 2 4 4" xfId="20056"/>
    <cellStyle name="Style 49 9 2 4 4" xfId="20057"/>
    <cellStyle name="Style 45 9 2 4 4" xfId="20058"/>
    <cellStyle name="Style 44 9 2 4 4" xfId="20059"/>
    <cellStyle name="P-Green Rule 7 2 4 4" xfId="20060"/>
    <cellStyle name="PB Table Standard Row 7 2 4 4" xfId="20061"/>
    <cellStyle name="Outputs 6 2 4 4" xfId="20062"/>
    <cellStyle name="Magic 4 2 4 4" xfId="20063"/>
    <cellStyle name="Heading [Palat] 6 2 4 4" xfId="20064"/>
    <cellStyle name="Heading [Helv] 6 2 4 4" xfId="20065"/>
    <cellStyle name="dp*ThinLineBelow 5 2 4 4" xfId="20066"/>
    <cellStyle name="dp*SubTitle 5 2 4 4" xfId="20067"/>
    <cellStyle name="dp*SheetSubTitle 4 2 4 4" xfId="20068"/>
    <cellStyle name="dp*NumberLineEPS 4 2 4 4" xfId="20069"/>
    <cellStyle name="dp*NumberLine 4 2 4 4" xfId="20070"/>
    <cellStyle name="Date [mmm-yyyy] 4 2 4 4" xfId="20071"/>
    <cellStyle name="Date [mm-d-yyyy] 7 2 4 4" xfId="20072"/>
    <cellStyle name="COL HEADINGS 6 2 4 4" xfId="20073"/>
    <cellStyle name="Border Thin 7 2 4 4" xfId="20074"/>
    <cellStyle name="Bold/Border 6 2 4 4" xfId="20075"/>
    <cellStyle name="Afjusted 7 2 4 4" xfId="20076"/>
    <cellStyle name="ac 6 2 4 4" xfId="20077"/>
    <cellStyle name="Style 44 8 2 4 4" xfId="20078"/>
    <cellStyle name="Style 45 8 2 4 4" xfId="20079"/>
    <cellStyle name="Style 49 8 2 4 4" xfId="20080"/>
    <cellStyle name="Style 51 8 2 4 4" xfId="20081"/>
    <cellStyle name="Title [Palat] 6 2 4 4" xfId="20082"/>
    <cellStyle name="Title [Helv] 5 2 4 4" xfId="20083"/>
    <cellStyle name="Table Head Green 7 2 4 4" xfId="20084"/>
    <cellStyle name="Table Head Aligned 5 2 4 4" xfId="20085"/>
    <cellStyle name="Outputs 7 2 4 4" xfId="20086"/>
    <cellStyle name="Magic 5 2 4 4" xfId="20087"/>
    <cellStyle name="Heading [Palat] 7 2 4 4" xfId="20088"/>
    <cellStyle name="Heading [Helv] 7 2 4 4" xfId="20089"/>
    <cellStyle name="dp*SheetSubTitle 5 2 4 4" xfId="20090"/>
    <cellStyle name="dp*NumberLineEPS 5 2 4 4" xfId="20091"/>
    <cellStyle name="dp*NumberLine 5 2 4 4" xfId="20092"/>
    <cellStyle name="Date [mmm-yyyy] 5 2 4 4" xfId="20093"/>
    <cellStyle name="COL HEADINGS 7 2 4 4" xfId="20094"/>
    <cellStyle name="Bold/Border 7 2 4 4" xfId="20095"/>
    <cellStyle name="Afjusted 8 2 4 4" xfId="20096"/>
    <cellStyle name="ac 7 2 4 4" xfId="20097"/>
    <cellStyle name="Title [Palat] 7 2 4 4" xfId="20098"/>
    <cellStyle name="Title [Helv] 6 2 4 4" xfId="20099"/>
    <cellStyle name="Table Head Green 8 2 4 4" xfId="20100"/>
    <cellStyle name="Table Head Aligned 6 2 4 4" xfId="20101"/>
    <cellStyle name="Outputs 8 2 4 4" xfId="20102"/>
    <cellStyle name="Magic 6 2 4 4" xfId="20103"/>
    <cellStyle name="Heading [Palat] 8 2 4 4" xfId="20104"/>
    <cellStyle name="Heading [Helv] 8 2 4 4" xfId="20105"/>
    <cellStyle name="dp*SheetSubTitle 6 2 4 4" xfId="20106"/>
    <cellStyle name="dp*NumberLineEPS 6 2 4 4" xfId="20107"/>
    <cellStyle name="dp*NumberLine 6 2 4 4" xfId="20108"/>
    <cellStyle name="COL HEADINGS 8 2 4 4" xfId="20109"/>
    <cellStyle name="Bold/Border 8 2 4 4" xfId="20110"/>
    <cellStyle name="Afjusted 9 2 4 4" xfId="20111"/>
    <cellStyle name="ac 8 2 4 4" xfId="20112"/>
    <cellStyle name="Date [mmm-yyyy] 6 2 4 4" xfId="20113"/>
    <cellStyle name="Title [Palat] 8 2 4 4" xfId="20114"/>
    <cellStyle name="Title [Helv] 7 2 4 4" xfId="20115"/>
    <cellStyle name="Table Head Green 9 2 4 4" xfId="20116"/>
    <cellStyle name="Table Head Aligned 7 2 4 4" xfId="20117"/>
    <cellStyle name="Outputs 9 2 4 4" xfId="20118"/>
    <cellStyle name="Magic 7 2 4 4" xfId="20119"/>
    <cellStyle name="Heading [Palat] 9 2 4 4" xfId="20120"/>
    <cellStyle name="Heading [Helv] 9 2 4 4" xfId="20121"/>
    <cellStyle name="dp*SheetSubTitle 7 2 4 4" xfId="20122"/>
    <cellStyle name="dp*NumberLineEPS 7 2 4 4" xfId="20123"/>
    <cellStyle name="dp*NumberLine 7 2 4 4" xfId="20124"/>
    <cellStyle name="Date [mmm-yyyy] 7 2 4 4" xfId="20125"/>
    <cellStyle name="COL HEADINGS 9 2 4 4" xfId="20126"/>
    <cellStyle name="Bold/Border 9 2 4 4" xfId="20127"/>
    <cellStyle name="Afjusted 10 2 4 4" xfId="20128"/>
    <cellStyle name="ac 9 2 4 4" xfId="20129"/>
    <cellStyle name="Afjusted 3 8 5" xfId="20130"/>
    <cellStyle name="Bold/Border 2 2 2 2 4 5" xfId="20131"/>
    <cellStyle name="Outputs 2 9 5" xfId="20132"/>
    <cellStyle name="Table Head Green 2 2 3 2 4 5" xfId="20133"/>
    <cellStyle name="Style 44 4 5 9" xfId="20134"/>
    <cellStyle name="PB Table Standard Row 5 4 5" xfId="20135"/>
    <cellStyle name="Outputs 4 4 5" xfId="20136"/>
    <cellStyle name="Heading [Palat] 4 4 5" xfId="20137"/>
    <cellStyle name="Heading [Helv] 4 4 5" xfId="20138"/>
    <cellStyle name="COL HEADINGS 4 4 5" xfId="20139"/>
    <cellStyle name="Border Thin 5 4 5" xfId="20140"/>
    <cellStyle name="Title [Helv] 2 4 4 5" xfId="20141"/>
    <cellStyle name="Style 51 2 4 4 5" xfId="20142"/>
    <cellStyle name="ac 3 4 5" xfId="20143"/>
    <cellStyle name="Afjusted 5 4 5" xfId="20144"/>
    <cellStyle name="COL HEADINGS 3 4 5" xfId="20145"/>
    <cellStyle name="Arial6Bold 9 4" xfId="20146"/>
    <cellStyle name="Arial8Bold 9 4" xfId="20147"/>
    <cellStyle name="Arial8Italic 9 4" xfId="20148"/>
    <cellStyle name="ArialNormal 9 4" xfId="20149"/>
    <cellStyle name="Table Head Green 3 4 5" xfId="20150"/>
    <cellStyle name="Border 7 4" xfId="20151"/>
    <cellStyle name="Style 51 5 4 5" xfId="20152"/>
    <cellStyle name="Style 49 5 4 5" xfId="20153"/>
    <cellStyle name="Style 45 5 4 5" xfId="20154"/>
    <cellStyle name="Style 44 5 4 5" xfId="20155"/>
    <cellStyle name="dp*ThinLineBelow 4 4 5" xfId="20156"/>
    <cellStyle name="Title [Helv] 2 2 2 4 4 5" xfId="20157"/>
    <cellStyle name="Outputs 2 2 2 4 4 5" xfId="20158"/>
    <cellStyle name="Magic 2 2 2 4 4 5" xfId="20159"/>
    <cellStyle name="dp*NumberLine 2 2 2 4 4 5" xfId="20160"/>
    <cellStyle name="Bold/Border 2 2 2 4 4 5" xfId="20161"/>
    <cellStyle name="Afjusted 2 2 2 4 4 5" xfId="20162"/>
    <cellStyle name="Border Thin 3 2 4 4 5" xfId="20163"/>
    <cellStyle name="dp*SubTitle 3 2 4 4 5" xfId="20164"/>
    <cellStyle name="Style 45 4 2 4 4 5" xfId="20165"/>
    <cellStyle name="Style 49 4 2 4 4 5" xfId="20166"/>
    <cellStyle name="Style 51 4 2 4 4 5" xfId="20167"/>
    <cellStyle name="Title [Palat] 2 2 2 3 4 5" xfId="20168"/>
    <cellStyle name="Title [Helv] 2 2 2 3 4 5" xfId="20169"/>
    <cellStyle name="Table Head Green 2 2 2 3 4 5" xfId="20170"/>
    <cellStyle name="Outputs 2 2 2 3 4 5" xfId="20171"/>
    <cellStyle name="Heading [Helv] 2 2 2 3 4 5" xfId="20172"/>
    <cellStyle name="dp*NumberLine 2 2 2 3 4 5" xfId="20173"/>
    <cellStyle name="Bold/Border 2 2 2 3 4 5" xfId="20174"/>
    <cellStyle name="Afjusted 4 2 3 4 5" xfId="20175"/>
    <cellStyle name="dp*ThinLineBelow 3 2 3 4 5" xfId="20176"/>
    <cellStyle name="Style 44 4 2 3 4 5" xfId="20177"/>
    <cellStyle name="Style 51 4 2 3 4 5" xfId="20178"/>
    <cellStyle name="Date [mm-d-yyyy] 2 2 3 4 5" xfId="20179"/>
    <cellStyle name="dp*ThinLineBelow 3 5 4 5" xfId="20180"/>
    <cellStyle name="Table Head Green 2 2 2 2 4 5" xfId="20181"/>
    <cellStyle name="Table Head Aligned 2 2 2 2 4 5" xfId="20182"/>
    <cellStyle name="Outputs 2 2 2 2 4 5" xfId="20183"/>
    <cellStyle name="Magic 2 2 2 2 4 5" xfId="20184"/>
    <cellStyle name="dp*ThinLineBelow 3 2 2 4 5" xfId="20185"/>
    <cellStyle name="dp*SubTitle 3 3 2 4 5" xfId="20186"/>
    <cellStyle name="Afjusted 2 2 3 2 4 5" xfId="20187"/>
    <cellStyle name="dp*NumberLineEPS 2 2 2 7 5" xfId="20188"/>
    <cellStyle name="dp*NumberLine 2 2 2 7 5" xfId="20189"/>
    <cellStyle name="Date [mmm-yyyy] 2 2 2 7 5" xfId="20190"/>
    <cellStyle name="COL HEADINGS 2 2 2 7 5" xfId="20191"/>
    <cellStyle name="ac 2 2 2 7 5" xfId="20192"/>
    <cellStyle name="Afjusted 4 2 7 5" xfId="20193"/>
    <cellStyle name="Style 49 4 3 2 10" xfId="20194"/>
    <cellStyle name="Date [mm-d-yyyy] 3 2 7 5" xfId="20195"/>
    <cellStyle name="Afjusted 3 3 7 5" xfId="20196"/>
    <cellStyle name="Style 49 4 3 7 5" xfId="20197"/>
    <cellStyle name="P-Green Rule 3 3 7 5" xfId="20198"/>
    <cellStyle name="dp*SubTitle 3 3 7 5" xfId="20199"/>
    <cellStyle name="Border Thin 3 3 7 5" xfId="20200"/>
    <cellStyle name="Draw shadow and lines within range 4 5" xfId="20201"/>
    <cellStyle name="Afjusted 2 2 3 7 5" xfId="20202"/>
    <cellStyle name="Date [mmm-yyyy] 2 2 3 7 5" xfId="20203"/>
    <cellStyle name="dp*NumberLine 2 2 3 7 5" xfId="20204"/>
    <cellStyle name="dp*NumberLineEPS 2 2 3 7 5" xfId="20205"/>
    <cellStyle name="dp*SheetSubTitle 2 2 3 7 5" xfId="20206"/>
    <cellStyle name="Heading [Helv] 2 2 3 7 5" xfId="20207"/>
    <cellStyle name="Heading [Palat] 2 2 3 7 5" xfId="20208"/>
    <cellStyle name="Magic 2 2 3 7 5" xfId="20209"/>
    <cellStyle name="Outputs 2 2 3 7 5" xfId="20210"/>
    <cellStyle name="Table Head Aligned 2 2 3 7 5" xfId="20211"/>
    <cellStyle name="Table Head Green 2 2 3 7 5" xfId="20212"/>
    <cellStyle name="PB Table Standard Row 3 3 4 4 5" xfId="20213"/>
    <cellStyle name="DateYearEstimate 9 4" xfId="20214"/>
    <cellStyle name="DateYearWholeEstimate 9 4" xfId="20215"/>
    <cellStyle name="Style 44 4 3 4 4 5" xfId="20216"/>
    <cellStyle name="Afjusted 4 4 4 5" xfId="20217"/>
    <cellStyle name="dp*SubTitle 3 3 4 4 5" xfId="20218"/>
    <cellStyle name="dp*ThinLineBelow 3 3 4 4 5" xfId="20219"/>
    <cellStyle name="Style 44 4 4 4 5" xfId="20220"/>
    <cellStyle name="Style 51 4 4 4 5" xfId="20221"/>
    <cellStyle name="Date [mm-d-yyyy] 3 4 4 5" xfId="20222"/>
    <cellStyle name="Date [mm-d-yyyy] 3 3 3 4 5" xfId="20223"/>
    <cellStyle name="P-Green Rule 3 3 3 4 5" xfId="20224"/>
    <cellStyle name="dp*SheetSubTitle 2 2 3 3 4 5" xfId="20225"/>
    <cellStyle name="Heading [Palat] 2 2 3 3 4 5" xfId="20226"/>
    <cellStyle name="Table Head Green 2 2 3 3 4 5" xfId="20227"/>
    <cellStyle name="Table Head Green 2 2 4 4 5" xfId="20228"/>
    <cellStyle name="Table Head Aligned 2 2 4 4 5" xfId="20229"/>
    <cellStyle name="Heading [Helv] 2 2 4 4 5" xfId="20230"/>
    <cellStyle name="Style 51 2 3 4 5" xfId="20231"/>
    <cellStyle name="Style 49 3 3 4 5" xfId="20232"/>
    <cellStyle name="Border Thin 2 3 4 5" xfId="20233"/>
    <cellStyle name="P-Green Rule 3 3 4 4 5" xfId="20234"/>
    <cellStyle name="Afjusted 3 4 4 5" xfId="20235"/>
    <cellStyle name="Style 51 4 3 4 4 5" xfId="20236"/>
    <cellStyle name="Table Head Aligned 2 3 4 5" xfId="20237"/>
    <cellStyle name="Outputs 2 3 4 5" xfId="20238"/>
    <cellStyle name="Magic 2 3 4 5" xfId="20239"/>
    <cellStyle name="Heading [Palat] 2 3 4 5" xfId="20240"/>
    <cellStyle name="Heading [Helv] 2 3 4 5" xfId="20241"/>
    <cellStyle name="dp*SheetSubTitle 2 3 4 5" xfId="20242"/>
    <cellStyle name="dp*Number%ItalicsLineAbove 7 4" xfId="20243"/>
    <cellStyle name="dp*NumberLineEPS 2 3 4 5" xfId="20244"/>
    <cellStyle name="dp*SubTitle 3 5 4 5" xfId="20245"/>
    <cellStyle name="P-Green Rule 3 5 4 5" xfId="20246"/>
    <cellStyle name="dp*ThinLineAbove 7 4" xfId="20247"/>
    <cellStyle name="Style 44 4 5 4 5" xfId="20248"/>
    <cellStyle name="Style 49 4 5 4 5" xfId="20249"/>
    <cellStyle name="Afjusted 3 3 3 4 5" xfId="20250"/>
    <cellStyle name="Draw lines around data in range 9 4" xfId="20251"/>
    <cellStyle name="Draw shadow and lines within range 9 4" xfId="20252"/>
    <cellStyle name="Style 51 4 3 3 4 5" xfId="20253"/>
    <cellStyle name="Style 44 4 3 3 4 5" xfId="20254"/>
    <cellStyle name="Afjusted 4 3 3 4 5" xfId="20255"/>
    <cellStyle name="dp*NumberLineEPS 2 2 3 3 4 5" xfId="20256"/>
    <cellStyle name="Table Head Aligned 2 2 3 3 4 5" xfId="20257"/>
    <cellStyle name="Title [Helv] 2 2 3 3 4 5" xfId="20258"/>
    <cellStyle name="Title [Palat] 2 2 3 3 4 5" xfId="20259"/>
    <cellStyle name="Magic 2 2 4 4 5" xfId="20260"/>
    <cellStyle name="dp*SheetSubTitle 2 2 4 4 5" xfId="20261"/>
    <cellStyle name="dp*NumberLineEPS 2 2 4 4 5" xfId="20262"/>
    <cellStyle name="dp*NumberLine 2 2 4 4 5" xfId="20263"/>
    <cellStyle name="Date [mmm-yyyy] 2 2 4 4 5" xfId="20264"/>
    <cellStyle name="COL HEADINGS 2 2 4 4 5" xfId="20265"/>
    <cellStyle name="Bold/Border 2 2 4 4 5" xfId="20266"/>
    <cellStyle name="Outputs 2 2 3 4 4 5" xfId="20267"/>
    <cellStyle name="Heading [Helv] 2 2 3 4 4 5" xfId="20268"/>
    <cellStyle name="dp*NumberLine 2 2 3 4 4 5" xfId="20269"/>
    <cellStyle name="Date [mmm-yyyy] 2 2 3 4 4 5" xfId="20270"/>
    <cellStyle name="Afjusted 2 2 3 4 4 5" xfId="20271"/>
    <cellStyle name="Date [mm-d-yyyy] 3 3 4 4 5" xfId="20272"/>
    <cellStyle name="Style 49 4 3 4 4 5" xfId="20273"/>
    <cellStyle name="dp*ThinLineBelow 2 3 4 5" xfId="20274"/>
    <cellStyle name="PB Table Standard Row 2 2 4 5" xfId="20275"/>
    <cellStyle name="Style 45 3 2 4 5" xfId="20276"/>
    <cellStyle name="Style 44 2 2 4 5" xfId="20277"/>
    <cellStyle name="Style 51 2 2 4 5" xfId="20278"/>
    <cellStyle name="Format a row of totals 9 4" xfId="20279"/>
    <cellStyle name="Format text as bold, black on yellow 9 4" xfId="20280"/>
    <cellStyle name="Border Thin 2 2 4 5" xfId="20281"/>
    <cellStyle name="dp*SubTitle 2 2 4 5" xfId="20282"/>
    <cellStyle name="Title [Palat] 2 2 7 5" xfId="20283"/>
    <cellStyle name="Outputs 2 2 7 5" xfId="20284"/>
    <cellStyle name="Magic 2 2 7 5" xfId="20285"/>
    <cellStyle name="dp*NumberLineEPS 2 2 7 5" xfId="20286"/>
    <cellStyle name="Date [mmm-yyyy] 2 2 7 5" xfId="20287"/>
    <cellStyle name="SAPBEXexcBad8 2 5" xfId="20288"/>
    <cellStyle name="dp*NumberLine 2 2 3 4 10" xfId="20289"/>
    <cellStyle name="ItemTypeClass 9 4" xfId="20290"/>
    <cellStyle name="SAPBEXexcGood2 9" xfId="20291"/>
    <cellStyle name="Main 8 4" xfId="20292"/>
    <cellStyle name="Title [Helv] 2 8 5" xfId="20293"/>
    <cellStyle name="Table Head Green 2 9 5" xfId="20294"/>
    <cellStyle name="Table Head Aligned 2 8 5" xfId="20295"/>
    <cellStyle name="P-Green Rule 3 5 9" xfId="20296"/>
    <cellStyle name="SAPBEXaggData 6 4" xfId="20297"/>
    <cellStyle name="SAPBEXaggDataEmph 6 4" xfId="20298"/>
    <cellStyle name="SAPBEXaggItem 6 4" xfId="20299"/>
    <cellStyle name="SAPBEXaggItemX 8 4" xfId="20300"/>
    <cellStyle name="SAPBEXexcBad7 6 4" xfId="20301"/>
    <cellStyle name="SAPBEXexcBad8 6 4" xfId="20302"/>
    <cellStyle name="SAPBEXexcBad9 6 4" xfId="20303"/>
    <cellStyle name="SAPBEXexcCritical4 6 4" xfId="20304"/>
    <cellStyle name="SAPBEXexcCritical5 6 4" xfId="20305"/>
    <cellStyle name="SAPBEXexcCritical6 6 4" xfId="20306"/>
    <cellStyle name="SAPBEXexcGood1 6 4" xfId="20307"/>
    <cellStyle name="SAPBEXexcGood2 6 4" xfId="20308"/>
    <cellStyle name="SAPBEXexcGood3 6 4" xfId="20309"/>
    <cellStyle name="SAPBEXformats 6 4" xfId="20310"/>
    <cellStyle name="SAPBEXHLevel0 8 4" xfId="20311"/>
    <cellStyle name="SAPBEXHLevel0X 8 4" xfId="20312"/>
    <cellStyle name="SAPBEXHLevel1 8 4" xfId="20313"/>
    <cellStyle name="SAPBEXHLevel1X 8 4" xfId="20314"/>
    <cellStyle name="SAPBEXHLevel2 8 4" xfId="20315"/>
    <cellStyle name="SAPBEXHLevel2X 8 4" xfId="20316"/>
    <cellStyle name="SAPBEXHLevel3 8 4" xfId="20317"/>
    <cellStyle name="SAPBEXHLevel3X 8 4" xfId="20318"/>
    <cellStyle name="SAPBEXresData 6 4" xfId="20319"/>
    <cellStyle name="SAPBEXresDataEmph 6 4" xfId="20320"/>
    <cellStyle name="SAPBEXresItem 6 4" xfId="20321"/>
    <cellStyle name="SAPBEXresItemX 8 4" xfId="20322"/>
    <cellStyle name="SAPBEXstdData 6 4" xfId="20323"/>
    <cellStyle name="SAPBEXstdDataEmph 6 4" xfId="20324"/>
    <cellStyle name="SAPBEXstdItem 6 4" xfId="20325"/>
    <cellStyle name="SAPBEXstdItemX 8 4" xfId="20326"/>
    <cellStyle name="SAPBEXtitle 6 4" xfId="20327"/>
    <cellStyle name="SAPBEXundefined 6 4" xfId="20328"/>
    <cellStyle name="SSComma0 6 4" xfId="20329"/>
    <cellStyle name="SSComma2 6 4" xfId="20330"/>
    <cellStyle name="SSDecs3 6 4" xfId="20331"/>
    <cellStyle name="SSDfltPct 6 4" xfId="20332"/>
    <cellStyle name="SSDfltPct0 6 4" xfId="20333"/>
    <cellStyle name="SSFixed2 6 4" xfId="20334"/>
    <cellStyle name="Style 21 9 4" xfId="20335"/>
    <cellStyle name="Style 22 9 4" xfId="20336"/>
    <cellStyle name="Style 24 7 4" xfId="20337"/>
    <cellStyle name="Style 25 7 4" xfId="20338"/>
    <cellStyle name="Style 26 7 4" xfId="20339"/>
    <cellStyle name="Style 27 7 4" xfId="20340"/>
    <cellStyle name="Style 28 7 4" xfId="20341"/>
    <cellStyle name="Style 35 9 4" xfId="20342"/>
    <cellStyle name="Style 36 9 4" xfId="20343"/>
    <cellStyle name="Style 37 9 4" xfId="20344"/>
    <cellStyle name="Style 40 9 4" xfId="20345"/>
    <cellStyle name="Style 42 9 4" xfId="20346"/>
    <cellStyle name="Style 43 9 4" xfId="20347"/>
    <cellStyle name="Style 48 9 4" xfId="20348"/>
    <cellStyle name="Style 50 9 4" xfId="20349"/>
    <cellStyle name="Style 52 9 4" xfId="20350"/>
    <cellStyle name="Style 53 9 4" xfId="20351"/>
    <cellStyle name="SymbolBlue 9 4" xfId="20352"/>
    <cellStyle name="UNLOCKED 36 4" xfId="20353"/>
    <cellStyle name="WingdingsBlack 9 4" xfId="20354"/>
    <cellStyle name="WingdingsRed 9 4" xfId="20355"/>
    <cellStyle name="WingdingsWhite 9 4" xfId="20356"/>
    <cellStyle name="COL HEADINGS 2 9 5" xfId="20357"/>
    <cellStyle name="UNLOCKED 12 5" xfId="20358"/>
    <cellStyle name="Table Head Aligned 2 2 3 2 4 5" xfId="20359"/>
    <cellStyle name="Magic 3 4 5" xfId="20360"/>
    <cellStyle name="Style 49 3 8 5" xfId="20361"/>
    <cellStyle name="Table Head Aligned 3 4 5" xfId="20362"/>
    <cellStyle name="Heading [Palat] 2 2 2 2 4 5" xfId="20363"/>
    <cellStyle name="dp*SubTitle 2 3 4 5" xfId="20364"/>
    <cellStyle name="Date [mm-d-yyyy] 2 2 6 5" xfId="20365"/>
    <cellStyle name="Title [Helv] 2 2 2 7 5" xfId="20366"/>
    <cellStyle name="Date [mm-d-yyyy] 2 4 5" xfId="20367"/>
    <cellStyle name="dp*NumberLine 2 8 5" xfId="20368"/>
    <cellStyle name="Afjusted 3 7 5" xfId="20369"/>
    <cellStyle name="ac 2 8 5" xfId="20370"/>
    <cellStyle name="Afjusted 2 6 5" xfId="20371"/>
    <cellStyle name="Bold/Border 2 8 5" xfId="20372"/>
    <cellStyle name="COL HEADINGS 2 8 5" xfId="20373"/>
    <cellStyle name="Border Thin 3 3 2 4 5" xfId="20374"/>
    <cellStyle name="Date [mmm-yyyy] 2 7 5" xfId="20375"/>
    <cellStyle name="Style 45 4 3 3 4 5" xfId="20376"/>
    <cellStyle name="dp*NumberLine 2 3 4 5" xfId="20377"/>
    <cellStyle name="dp*NumberLine 2 7 5" xfId="20378"/>
    <cellStyle name="dp*NumberLineEPS 2 7 5" xfId="20379"/>
    <cellStyle name="dp*SheetSubTitle 2 7 5" xfId="20380"/>
    <cellStyle name="Afjusted 4 5 4 5" xfId="20381"/>
    <cellStyle name="dp*ThinLineBelow 2 6 5" xfId="20382"/>
    <cellStyle name="Millions 3 2 4" xfId="20383"/>
    <cellStyle name="Global 2 2 4" xfId="20384"/>
    <cellStyle name="Header2 2 3 4" xfId="20385"/>
    <cellStyle name="Heading [Helv] 2 8 5" xfId="20386"/>
    <cellStyle name="Heading [Palat] 2 8 5" xfId="20387"/>
    <cellStyle name="Millions 4 2 4" xfId="20388"/>
    <cellStyle name="Magic 2 7 5" xfId="20389"/>
    <cellStyle name="Millions 2 2 4" xfId="20390"/>
    <cellStyle name="COL HEADINGS 2 3 4 5" xfId="20391"/>
    <cellStyle name="dp*NumberLine 2 2 3 3 4 5" xfId="20392"/>
    <cellStyle name="Outputs 2 8 5" xfId="20393"/>
    <cellStyle name="P-Green Rule 2 7 5" xfId="20394"/>
    <cellStyle name="Style 44 3 7 5" xfId="20395"/>
    <cellStyle name="Style 45 3 7 5" xfId="20396"/>
    <cellStyle name="Style 49 3 7 5" xfId="20397"/>
    <cellStyle name="Style 51 3 7 5" xfId="20398"/>
    <cellStyle name="Style 44 2 7 5" xfId="20399"/>
    <cellStyle name="Style 45 2 7 5" xfId="20400"/>
    <cellStyle name="Style 49 2 7 5" xfId="20401"/>
    <cellStyle name="Style 51 2 7 5" xfId="20402"/>
    <cellStyle name="Table Head Aligned 2 7 5" xfId="20403"/>
    <cellStyle name="Table Head Green 2 8 5" xfId="20404"/>
    <cellStyle name="Time Strip 2 2 4" xfId="20405"/>
    <cellStyle name="Title [Helv] 2 7 5" xfId="20406"/>
    <cellStyle name="Title [Palat] 2 8 5" xfId="20407"/>
    <cellStyle name="Magic 2 8 5" xfId="20408"/>
    <cellStyle name="Date [mmm-yyyy] 2 8 5" xfId="20409"/>
    <cellStyle name="Millions 5 2 4" xfId="20410"/>
    <cellStyle name="Magic 2 2 2 7 5" xfId="20411"/>
    <cellStyle name="Title [Palat] 2 2 3 2 4 5" xfId="20412"/>
    <cellStyle name="ac 2 9 5" xfId="20413"/>
    <cellStyle name="Heading [Palat] 2 2 2 7 5" xfId="20414"/>
    <cellStyle name="Arial6Bold 2 2 4" xfId="20415"/>
    <cellStyle name="Arial8Bold 2 2 4" xfId="20416"/>
    <cellStyle name="Arial8Italic 2 2 4" xfId="20417"/>
    <cellStyle name="ArialNormal 2 2 4" xfId="20418"/>
    <cellStyle name="Border 2 2 4" xfId="20419"/>
    <cellStyle name="DateYearEstimate 2 2 4" xfId="20420"/>
    <cellStyle name="DateYearWholeEstimate 2 2 4" xfId="20421"/>
    <cellStyle name="dp*Number%ItalicsLineAbove 2 2 4" xfId="20422"/>
    <cellStyle name="dp*ThinLineAbove 2 2 4" xfId="20423"/>
    <cellStyle name="Draw lines around data in range 2 2 4" xfId="20424"/>
    <cellStyle name="Draw shadow and lines within range 2 2 4" xfId="20425"/>
    <cellStyle name="FieldName 2 2 4" xfId="20426"/>
    <cellStyle name="Format a row of totals 2 2 4" xfId="20427"/>
    <cellStyle name="Format text as bold, black on yellow 2 2 4" xfId="20428"/>
    <cellStyle name="ItemTypeClass 2 2 4" xfId="20429"/>
    <cellStyle name="Main 2 2 4" xfId="20430"/>
    <cellStyle name="Millions 6 2 4" xfId="20431"/>
    <cellStyle name="SAPBEXaggData 2 2 4" xfId="20432"/>
    <cellStyle name="SAPBEXaggDataEmph 2 2 4" xfId="20433"/>
    <cellStyle name="SAPBEXaggItem 2 2 4" xfId="20434"/>
    <cellStyle name="SAPBEXaggItemX 2 2 4" xfId="20435"/>
    <cellStyle name="SAPBEXexcBad7 2 2 4" xfId="20436"/>
    <cellStyle name="SAPBEXexcBad8 2 2 4" xfId="20437"/>
    <cellStyle name="SAPBEXexcBad9 2 2 4" xfId="20438"/>
    <cellStyle name="SAPBEXexcCritical4 2 2 4" xfId="20439"/>
    <cellStyle name="SAPBEXexcCritical5 2 2 4" xfId="20440"/>
    <cellStyle name="SAPBEXexcCritical6 2 2 4" xfId="20441"/>
    <cellStyle name="SAPBEXexcGood1 2 2 4" xfId="20442"/>
    <cellStyle name="SAPBEXexcGood2 2 2 4" xfId="20443"/>
    <cellStyle name="SAPBEXexcGood3 2 2 4" xfId="20444"/>
    <cellStyle name="SAPBEXformats 2 2 4" xfId="20445"/>
    <cellStyle name="SAPBEXHLevel0 2 2 4" xfId="20446"/>
    <cellStyle name="SAPBEXHLevel0X 2 2 4" xfId="20447"/>
    <cellStyle name="SAPBEXHLevel1 2 2 4" xfId="20448"/>
    <cellStyle name="SAPBEXHLevel1X 2 2 4" xfId="20449"/>
    <cellStyle name="SAPBEXHLevel2 2 2 4" xfId="20450"/>
    <cellStyle name="SAPBEXHLevel2X 2 2 4" xfId="20451"/>
    <cellStyle name="SAPBEXHLevel3 2 2 4" xfId="20452"/>
    <cellStyle name="SAPBEXHLevel3X 2 2 4" xfId="20453"/>
    <cellStyle name="SAPBEXresData 2 2 4" xfId="20454"/>
    <cellStyle name="SAPBEXresDataEmph 2 2 4" xfId="20455"/>
    <cellStyle name="SAPBEXresItem 2 2 4" xfId="20456"/>
    <cellStyle name="SAPBEXresItemX 2 2 4" xfId="20457"/>
    <cellStyle name="SAPBEXstdData 2 2 4" xfId="20458"/>
    <cellStyle name="SAPBEXstdDataEmph 2 2 4" xfId="20459"/>
    <cellStyle name="SAPBEXstdItem 2 2 4" xfId="20460"/>
    <cellStyle name="SAPBEXstdItemX 2 2 4" xfId="20461"/>
    <cellStyle name="SAPBEXtitle 2 2 4" xfId="20462"/>
    <cellStyle name="SAPBEXundefined 2 2 4" xfId="20463"/>
    <cellStyle name="SSComma0 2 2 4" xfId="20464"/>
    <cellStyle name="SSComma2 2 2 4" xfId="20465"/>
    <cellStyle name="SSDecs3 2 2 4" xfId="20466"/>
    <cellStyle name="SSDfltPct 2 2 4" xfId="20467"/>
    <cellStyle name="SSDfltPct0 2 2 4" xfId="20468"/>
    <cellStyle name="SSFixed2 2 2 4" xfId="20469"/>
    <cellStyle name="Style 21 2 2 4" xfId="20470"/>
    <cellStyle name="Style 22 2 2 4" xfId="20471"/>
    <cellStyle name="Style 24 2 2 4" xfId="20472"/>
    <cellStyle name="Style 25 2 2 4" xfId="20473"/>
    <cellStyle name="Style 26 2 2 4" xfId="20474"/>
    <cellStyle name="Style 27 2 2 4" xfId="20475"/>
    <cellStyle name="Style 28 2 2 4" xfId="20476"/>
    <cellStyle name="Style 35 2 2 4" xfId="20477"/>
    <cellStyle name="Style 36 2 2 4" xfId="20478"/>
    <cellStyle name="Style 37 2 2 4" xfId="20479"/>
    <cellStyle name="Style 40 2 2 4" xfId="20480"/>
    <cellStyle name="Style 42 2 2 4" xfId="20481"/>
    <cellStyle name="Style 43 2 2 4" xfId="20482"/>
    <cellStyle name="Style 48 2 2 4" xfId="20483"/>
    <cellStyle name="Style 50 2 2 4" xfId="20484"/>
    <cellStyle name="Style 52 2 2 4" xfId="20485"/>
    <cellStyle name="Style 53 2 2 4" xfId="20486"/>
    <cellStyle name="SymbolBlue 2 2 4" xfId="20487"/>
    <cellStyle name="UNLOCKED 2 2 4" xfId="20488"/>
    <cellStyle name="WingdingsBlack 2 2 4" xfId="20489"/>
    <cellStyle name="WingdingsRed 2 2 4" xfId="20490"/>
    <cellStyle name="WingdingsWhite 2 2 4" xfId="20491"/>
    <cellStyle name="dp*SheetSubTitle 2 2 2 7 5" xfId="20492"/>
    <cellStyle name="ac 2 2 3 7 5" xfId="20493"/>
    <cellStyle name="UNLOCKED 4 2 4" xfId="20494"/>
    <cellStyle name="Millions 7 2 4" xfId="20495"/>
    <cellStyle name="dp*SubTitle 3 7 5" xfId="20496"/>
    <cellStyle name="Bold/Border 2 3 4 5" xfId="20497"/>
    <cellStyle name="Style 49 4 3 3 4 5" xfId="20498"/>
    <cellStyle name="Title [Palat] 2 3 4 5" xfId="20499"/>
    <cellStyle name="Border Thin 3 7 5" xfId="20500"/>
    <cellStyle name="UNLOCKED 3 2 4" xfId="20501"/>
    <cellStyle name="dp*SheetSubTitle 2 2 2 2 4 5" xfId="20502"/>
    <cellStyle name="Format a row of totals 4 5" xfId="20503"/>
    <cellStyle name="dp*NumberLineEPS 2 2 2 2 4 5" xfId="20504"/>
    <cellStyle name="UNLOCKED 5 2 4" xfId="20505"/>
    <cellStyle name="Afjusted 4 7 5" xfId="20506"/>
    <cellStyle name="UNLOCKED 6 2 4" xfId="20507"/>
    <cellStyle name="Bold/Border 4 4 5" xfId="20508"/>
    <cellStyle name="ac 2 2 6 5" xfId="20509"/>
    <cellStyle name="Afjusted 2 2 7 5" xfId="20510"/>
    <cellStyle name="Bold/Border 2 2 6 5" xfId="20511"/>
    <cellStyle name="COL HEADINGS 2 2 6 5" xfId="20512"/>
    <cellStyle name="Date [mmm-yyyy] 2 2 6 5" xfId="20513"/>
    <cellStyle name="Style 45 4 3 4 4 5" xfId="20514"/>
    <cellStyle name="dp*SubTitle 3 3 3 4 5" xfId="20515"/>
    <cellStyle name="Date [mmm-yyyy] 2 3 4 5" xfId="20516"/>
    <cellStyle name="dp*NumberLine 2 2 6 5" xfId="20517"/>
    <cellStyle name="dp*NumberLineEPS 2 2 6 5" xfId="20518"/>
    <cellStyle name="dp*SheetSubTitle 2 2 6 5" xfId="20519"/>
    <cellStyle name="Heading [Helv] 2 2 6 5" xfId="20520"/>
    <cellStyle name="Heading [Palat] 2 2 6 5" xfId="20521"/>
    <cellStyle name="Magic 2 2 6 5" xfId="20522"/>
    <cellStyle name="Outputs 2 2 6 5" xfId="20523"/>
    <cellStyle name="Table Head Aligned 2 2 6 5" xfId="20524"/>
    <cellStyle name="Table Head Green 2 2 6 5" xfId="20525"/>
    <cellStyle name="Title [Helv] 2 2 6 5" xfId="20526"/>
    <cellStyle name="Title [Palat] 2 2 6 5" xfId="20527"/>
    <cellStyle name="Date [mmm-yyyy] 2 2 2 2 4 5" xfId="20528"/>
    <cellStyle name="COL HEADINGS 2 2 2 2 4 5" xfId="20529"/>
    <cellStyle name="dp*NumberLine 2 2 2 2 4 5" xfId="20530"/>
    <cellStyle name="Date [mm-d-yyyy] 2 5 5" xfId="20531"/>
    <cellStyle name="Border Thin 4 10" xfId="20532"/>
    <cellStyle name="Afjusted 4 3 4 10" xfId="20533"/>
    <cellStyle name="PB Table Standard Row 3 2 2 4 5" xfId="20534"/>
    <cellStyle name="Afjusted 2 2 2 2 4 5" xfId="20535"/>
    <cellStyle name="UNLOCKED 7 2 4" xfId="20536"/>
    <cellStyle name="ac 2 2 2 2 4 5" xfId="20537"/>
    <cellStyle name="UNLOCKED 8 2 4" xfId="20538"/>
    <cellStyle name="Afjusted 4 2 2 4 5" xfId="20539"/>
    <cellStyle name="Style 45 3 3 4 5" xfId="20540"/>
    <cellStyle name="Style 49 2 3 4 5" xfId="20541"/>
    <cellStyle name="Style 51 3 3 4 5" xfId="20542"/>
    <cellStyle name="Border Thin 3 5 4 5" xfId="20543"/>
    <cellStyle name="Afjusted 3 5 4 5" xfId="20544"/>
    <cellStyle name="EYCurrency 2 2 4" xfId="20545"/>
    <cellStyle name="Style 45 2 3 4 5" xfId="20546"/>
    <cellStyle name="EYColumnHeading 10 2 4" xfId="20547"/>
    <cellStyle name="Style 44 2 3 4 5" xfId="20548"/>
    <cellStyle name="Style 45 4 2 2 4 5" xfId="20549"/>
    <cellStyle name="Style 44 2 5 10" xfId="20550"/>
    <cellStyle name="dp*SubTitle 2 2 3 5" xfId="20551"/>
    <cellStyle name="Border Thin 2 2 3 5" xfId="20552"/>
    <cellStyle name="P-Green Rule 2 3 4 5" xfId="20553"/>
    <cellStyle name="Date [mm-d-yyyy] 2 2 2 4 5" xfId="20554"/>
    <cellStyle name="dp*ThinLineBelow 2 4 4 5" xfId="20555"/>
    <cellStyle name="dp*NumberLineEPS 2 4 4 5" xfId="20556"/>
    <cellStyle name="COL HEADINGS 2 4 4 5" xfId="20557"/>
    <cellStyle name="Afjusted 2 3 4 5" xfId="20558"/>
    <cellStyle name="SAPBEXexcGood3 9" xfId="20559"/>
    <cellStyle name="Bold/Border 2 2 3 4 3 5" xfId="20560"/>
    <cellStyle name="Magic 2 2 3 4 3 5" xfId="20561"/>
    <cellStyle name="Title [Helv] 2 2 3 4 3 5" xfId="20562"/>
    <cellStyle name="Style 51 2 2 3 5" xfId="20563"/>
    <cellStyle name="Style 45 2 2 3 5" xfId="20564"/>
    <cellStyle name="Style 49 2 2 3 5" xfId="20565"/>
    <cellStyle name="Style 44 2 2 3 5" xfId="20566"/>
    <cellStyle name="Style 51 3 2 3 5" xfId="20567"/>
    <cellStyle name="Style 49 3 2 3 5" xfId="20568"/>
    <cellStyle name="Style 45 3 2 3 5" xfId="20569"/>
    <cellStyle name="Style 44 3 2 3 5" xfId="20570"/>
    <cellStyle name="P-Green Rule 2 2 3 5" xfId="20571"/>
    <cellStyle name="PB Table Standard Row 2 2 3 5" xfId="20572"/>
    <cellStyle name="dp*ThinLineBelow 2 2 3 5" xfId="20573"/>
    <cellStyle name="dp*ThinLineBelow 2 3 3 5" xfId="20574"/>
    <cellStyle name="Style 44 3 3 3 5" xfId="20575"/>
    <cellStyle name="COL HEADINGS 2 2 3 4 3 5" xfId="20576"/>
    <cellStyle name="Style 49 4 3 4 3 5" xfId="20577"/>
    <cellStyle name="Date [mm-d-yyyy] 3 2 2 4 5" xfId="20578"/>
    <cellStyle name="Afjusted 3 3 4 3 5" xfId="20579"/>
    <cellStyle name="Date [mm-d-yyyy] 3 3 4 3 5" xfId="20580"/>
    <cellStyle name="Afjusted 4 3 4 3 5" xfId="20581"/>
    <cellStyle name="ac 2 2 3 4 3 5" xfId="20582"/>
    <cellStyle name="Afjusted 2 2 3 4 3 5" xfId="20583"/>
    <cellStyle name="Date [mmm-yyyy] 2 2 3 4 3 5" xfId="20584"/>
    <cellStyle name="dp*NumberLine 2 2 3 4 3 5" xfId="20585"/>
    <cellStyle name="dp*NumberLineEPS 2 2 3 4 3 5" xfId="20586"/>
    <cellStyle name="dp*SheetSubTitle 2 2 3 4 3 5" xfId="20587"/>
    <cellStyle name="Heading [Helv] 2 2 3 4 3 5" xfId="20588"/>
    <cellStyle name="Outputs 2 2 3 4 3 5" xfId="20589"/>
    <cellStyle name="Table Head Aligned 2 2 3 4 3 5" xfId="20590"/>
    <cellStyle name="Title [Palat] 2 2 3 4 3 5" xfId="20591"/>
    <cellStyle name="UNLOCKED 12 2 4" xfId="20592"/>
    <cellStyle name="Afjusted 3 5 3 5" xfId="20593"/>
    <cellStyle name="Style 45 3 3 3 5" xfId="20594"/>
    <cellStyle name="Style 51 3 3 3 5" xfId="20595"/>
    <cellStyle name="Style 44 2 3 3 5" xfId="20596"/>
    <cellStyle name="Style 45 2 3 3 5" xfId="20597"/>
    <cellStyle name="Style 49 2 3 3 5" xfId="20598"/>
    <cellStyle name="Border Thin 3 5 3 5" xfId="20599"/>
    <cellStyle name="ac 2 2 4 3 5" xfId="20600"/>
    <cellStyle name="Afjusted 2 2 5 3 5" xfId="20601"/>
    <cellStyle name="Bold/Border 2 2 4 3 5" xfId="20602"/>
    <cellStyle name="COL HEADINGS 2 2 4 3 5" xfId="20603"/>
    <cellStyle name="Date [mmm-yyyy] 2 2 4 3 5" xfId="20604"/>
    <cellStyle name="dp*NumberLine 2 2 4 3 5" xfId="20605"/>
    <cellStyle name="dp*NumberLineEPS 2 2 4 3 5" xfId="20606"/>
    <cellStyle name="dp*SheetSubTitle 2 2 4 3 5" xfId="20607"/>
    <cellStyle name="Heading [Palat] 2 2 4 3 5" xfId="20608"/>
    <cellStyle name="Outputs 2 2 4 3 5" xfId="20609"/>
    <cellStyle name="Magic 2 2 4 3 5" xfId="20610"/>
    <cellStyle name="Title [Helv] 2 2 4 3 5" xfId="20611"/>
    <cellStyle name="Title [Palat] 2 2 4 3 5" xfId="20612"/>
    <cellStyle name="Title [Palat] 2 2 3 3 3 5" xfId="20613"/>
    <cellStyle name="Title [Helv] 2 2 3 3 3 5" xfId="20614"/>
    <cellStyle name="Table Head Aligned 2 2 3 3 3 5" xfId="20615"/>
    <cellStyle name="Magic 2 2 3 3 3 5" xfId="20616"/>
    <cellStyle name="Heading [Helv] 2 2 3 3 3 5" xfId="20617"/>
    <cellStyle name="dp*NumberLineEPS 2 2 3 3 3 5" xfId="20618"/>
    <cellStyle name="COL HEADINGS 2 2 3 3 3 5" xfId="20619"/>
    <cellStyle name="ac 2 2 3 3 3 5" xfId="20620"/>
    <cellStyle name="Afjusted 4 3 3 3 5" xfId="20621"/>
    <cellStyle name="Border Thin 3 3 3 3 5" xfId="20622"/>
    <cellStyle name="PB Table Standard Row 3 3 3 3 5" xfId="20623"/>
    <cellStyle name="Style 44 4 3 3 3 5" xfId="20624"/>
    <cellStyle name="Style 51 4 3 3 3 5" xfId="20625"/>
    <cellStyle name="Afjusted 3 3 3 3 5" xfId="20626"/>
    <cellStyle name="Style 49 4 5 3 5" xfId="20627"/>
    <cellStyle name="UNLOCKED 9 2 4" xfId="20628"/>
    <cellStyle name="Style 44 4 5 3 5" xfId="20629"/>
    <cellStyle name="P-Green Rule 3 5 3 5" xfId="20630"/>
    <cellStyle name="dp*SubTitle 3 5 3 5" xfId="20631"/>
    <cellStyle name="Afjusted 4 5 3 5" xfId="20632"/>
    <cellStyle name="Style 49 3 5 10" xfId="20633"/>
    <cellStyle name="dp*SheetSubTitle 2 8 5" xfId="20634"/>
    <cellStyle name="UNLOCKED 11 2 4" xfId="20635"/>
    <cellStyle name="ac 2 3 3 5" xfId="20636"/>
    <cellStyle name="Bold/Border 2 3 3 5" xfId="20637"/>
    <cellStyle name="COL HEADINGS 2 3 3 5" xfId="20638"/>
    <cellStyle name="Date [mmm-yyyy] 2 3 3 5" xfId="20639"/>
    <cellStyle name="dp*NumberLine 2 3 3 5" xfId="20640"/>
    <cellStyle name="dp*NumberLineEPS 2 3 3 5" xfId="20641"/>
    <cellStyle name="dp*SheetSubTitle 2 3 3 5" xfId="20642"/>
    <cellStyle name="Heading [Helv] 2 3 3 5" xfId="20643"/>
    <cellStyle name="Heading [Palat] 2 3 3 5" xfId="20644"/>
    <cellStyle name="Magic 2 3 3 5" xfId="20645"/>
    <cellStyle name="Outputs 2 3 3 5" xfId="20646"/>
    <cellStyle name="Date [mmm-yyyy] 2 2 3 3 3 5" xfId="20647"/>
    <cellStyle name="Afjusted 2 2 3 3 3 5" xfId="20648"/>
    <cellStyle name="dp*ThinLineBelow 3 3 3 3 5" xfId="20649"/>
    <cellStyle name="Style 49 4 3 3 3 5" xfId="20650"/>
    <cellStyle name="Outputs 2 2 3 3 3 5" xfId="20651"/>
    <cellStyle name="dp*NumberLine 2 2 3 3 3 5" xfId="20652"/>
    <cellStyle name="Bold/Border 2 2 3 3 3 5" xfId="20653"/>
    <cellStyle name="dp*SubTitle 3 3 3 3 5" xfId="20654"/>
    <cellStyle name="Style 45 4 3 3 3 5" xfId="20655"/>
    <cellStyle name="Table Head Aligned 2 3 3 5" xfId="20656"/>
    <cellStyle name="Table Head Green 2 3 3 5" xfId="20657"/>
    <cellStyle name="Title [Helv] 2 3 3 5" xfId="20658"/>
    <cellStyle name="Title [Palat] 2 3 3 5" xfId="20659"/>
    <cellStyle name="Style 45 4 3 4 3 5" xfId="20660"/>
    <cellStyle name="UNLOCKED 10 2 4" xfId="20661"/>
    <cellStyle name="Style 51 4 3 4 3 5" xfId="20662"/>
    <cellStyle name="Afjusted 3 4 3 5" xfId="20663"/>
    <cellStyle name="P-Green Rule 3 3 4 3 5" xfId="20664"/>
    <cellStyle name="Border Thin 2 3 3 5" xfId="20665"/>
    <cellStyle name="Style 49 3 3 3 5" xfId="20666"/>
    <cellStyle name="Style 51 2 3 3 5" xfId="20667"/>
    <cellStyle name="Heading [Helv] 2 2 4 3 5" xfId="20668"/>
    <cellStyle name="Table Head Aligned 2 2 4 3 5" xfId="20669"/>
    <cellStyle name="Table Head Green 2 2 4 3 5" xfId="20670"/>
    <cellStyle name="Table Head Green 2 2 3 3 3 5" xfId="20671"/>
    <cellStyle name="Heading [Palat] 2 2 3 3 3 5" xfId="20672"/>
    <cellStyle name="dp*SheetSubTitle 2 2 3 3 3 5" xfId="20673"/>
    <cellStyle name="P-Green Rule 3 3 3 3 5" xfId="20674"/>
    <cellStyle name="Date [mm-d-yyyy] 3 3 3 3 5" xfId="20675"/>
    <cellStyle name="Date [mm-d-yyyy] 3 4 3 5" xfId="20676"/>
    <cellStyle name="Style 51 4 4 3 5" xfId="20677"/>
    <cellStyle name="Style 49 4 4 3 5" xfId="20678"/>
    <cellStyle name="Style 45 4 4 3 5" xfId="20679"/>
    <cellStyle name="Style 44 4 4 3 5" xfId="20680"/>
    <cellStyle name="dp*ThinLineBelow 3 3 4 3 5" xfId="20681"/>
    <cellStyle name="P-Green Rule 3 4 3 5" xfId="20682"/>
    <cellStyle name="dp*ThinLineBelow 3 4 3 5" xfId="20683"/>
    <cellStyle name="dp*SubTitle 3 4 3 5" xfId="20684"/>
    <cellStyle name="dp*SubTitle 3 3 4 3 5" xfId="20685"/>
    <cellStyle name="Border Thin 3 4 3 5" xfId="20686"/>
    <cellStyle name="Border Thin 3 3 4 3 5" xfId="20687"/>
    <cellStyle name="Afjusted 4 4 3 5" xfId="20688"/>
    <cellStyle name="Afjusted 2 2 4 3 5" xfId="20689"/>
    <cellStyle name="Style 44 4 3 4 3 5" xfId="20690"/>
    <cellStyle name="PB Table Standard Row 3 3 4 3 5" xfId="20691"/>
    <cellStyle name="Title [Palat] 2 2 3 6 5" xfId="20692"/>
    <cellStyle name="Title [Helv] 2 2 3 6 5" xfId="20693"/>
    <cellStyle name="Table Head Green 2 2 3 6 5" xfId="20694"/>
    <cellStyle name="Table Head Aligned 2 2 3 6 5" xfId="20695"/>
    <cellStyle name="Outputs 2 2 3 6 5" xfId="20696"/>
    <cellStyle name="Magic 2 2 3 6 5" xfId="20697"/>
    <cellStyle name="Heading [Palat] 2 2 3 6 5" xfId="20698"/>
    <cellStyle name="Heading [Helv] 2 2 3 6 5" xfId="20699"/>
    <cellStyle name="dp*SheetSubTitle 2 2 3 6 5" xfId="20700"/>
    <cellStyle name="dp*NumberLineEPS 2 2 3 6 5" xfId="20701"/>
    <cellStyle name="dp*NumberLine 2 2 3 6 5" xfId="20702"/>
    <cellStyle name="Date [mmm-yyyy] 2 2 3 6 5" xfId="20703"/>
    <cellStyle name="COL HEADINGS 2 2 3 6 5" xfId="20704"/>
    <cellStyle name="Bold/Border 2 2 3 6 5" xfId="20705"/>
    <cellStyle name="Afjusted 2 2 3 6 5" xfId="20706"/>
    <cellStyle name="ac 2 2 3 6 5" xfId="20707"/>
    <cellStyle name="Afjusted 4 3 6 5" xfId="20708"/>
    <cellStyle name="Border Thin 3 3 6 5" xfId="20709"/>
    <cellStyle name="dp*SubTitle 3 3 6 5" xfId="20710"/>
    <cellStyle name="dp*ThinLineBelow 3 3 6 5" xfId="20711"/>
    <cellStyle name="PB Table Standard Row 3 3 6 5" xfId="20712"/>
    <cellStyle name="P-Green Rule 3 3 6 5" xfId="20713"/>
    <cellStyle name="Style 44 4 3 6 5" xfId="20714"/>
    <cellStyle name="Style 45 4 3 6 5" xfId="20715"/>
    <cellStyle name="Style 49 4 3 6 5" xfId="20716"/>
    <cellStyle name="Style 51 4 3 6 5" xfId="20717"/>
    <cellStyle name="Date [mm-d-yyyy] 3 3 6 5" xfId="20718"/>
    <cellStyle name="Title [Palat] 2 4 4 5" xfId="20719"/>
    <cellStyle name="Style 51 3 4 4 5" xfId="20720"/>
    <cellStyle name="Afjusted 3 3 6 5" xfId="20721"/>
    <cellStyle name="Border Thin 2 4 4 5" xfId="20722"/>
    <cellStyle name="Calculation 2 3 4" xfId="20723"/>
    <cellStyle name="Afjusted 4 2 4 4 5" xfId="20724"/>
    <cellStyle name="ac 2 2 4 4 5" xfId="20725"/>
    <cellStyle name="Input 2 3 4" xfId="20726"/>
    <cellStyle name="Note 2 3 5" xfId="20727"/>
    <cellStyle name="Date [mm-d-yyyy] 3 5 4 5" xfId="20728"/>
    <cellStyle name="dp*SubTitle 3 3 4 10" xfId="20729"/>
    <cellStyle name="Output 2 2 2 4" xfId="20730"/>
    <cellStyle name="Input 2 2 2 4" xfId="20731"/>
    <cellStyle name="Afjusted 3 3 2 4 5" xfId="20732"/>
    <cellStyle name="Total 2 2 2 4" xfId="20733"/>
    <cellStyle name="Calculation 2 2 2 4" xfId="20734"/>
    <cellStyle name="PB Table Standard Row 3 3 2 3 5" xfId="20735"/>
    <cellStyle name="P-Green Rule 3 3 2 4 5" xfId="20736"/>
    <cellStyle name="Date [mm-d-yyyy] 3 3 2 4 5" xfId="20737"/>
    <cellStyle name="Date [mm-d-yyyy] 4 10" xfId="20738"/>
    <cellStyle name="ac 2 4 4 5" xfId="20739"/>
    <cellStyle name="Date [mm-d-yyyy] 2 2 5 5" xfId="20740"/>
    <cellStyle name="Afjusted 3 2 6 5" xfId="20741"/>
    <cellStyle name="dp*SubTitle 3 2 2 4 5" xfId="20742"/>
    <cellStyle name="Style 45 2 4 4 5" xfId="20743"/>
    <cellStyle name="P-Green Rule 2 4 4 5" xfId="20744"/>
    <cellStyle name="Style 51 4 5 4 5" xfId="20745"/>
    <cellStyle name="Date [mm-d-yyyy] 3 2 6 5" xfId="20746"/>
    <cellStyle name="Style 51 4 2 6 5" xfId="20747"/>
    <cellStyle name="Style 49 4 2 6 5" xfId="20748"/>
    <cellStyle name="Style 45 4 2 6 5" xfId="20749"/>
    <cellStyle name="Style 44 4 2 6 5" xfId="20750"/>
    <cellStyle name="Heading [Palat] 2 4 4 5" xfId="20751"/>
    <cellStyle name="P-Green Rule 3 2 6 5" xfId="20752"/>
    <cellStyle name="dp*ThinLineBelow 3 2 6 5" xfId="20753"/>
    <cellStyle name="dp*SubTitle 3 2 6 5" xfId="20754"/>
    <cellStyle name="dp*SubTitle 2 4 4 5" xfId="20755"/>
    <cellStyle name="Border Thin 3 2 6 5" xfId="20756"/>
    <cellStyle name="dp*NumberLine 2 4 4 5" xfId="20757"/>
    <cellStyle name="Afjusted 4 2 6 5" xfId="20758"/>
    <cellStyle name="ac 2 2 2 6 5" xfId="20759"/>
    <cellStyle name="Afjusted 2 2 2 6 5" xfId="20760"/>
    <cellStyle name="Bold/Border 2 2 2 6 5" xfId="20761"/>
    <cellStyle name="COL HEADINGS 2 2 2 6 5" xfId="20762"/>
    <cellStyle name="Date [mmm-yyyy] 2 2 2 6 5" xfId="20763"/>
    <cellStyle name="dp*NumberLine 2 2 2 6 5" xfId="20764"/>
    <cellStyle name="dp*NumberLineEPS 2 2 2 6 5" xfId="20765"/>
    <cellStyle name="dp*SheetSubTitle 2 2 2 6 5" xfId="20766"/>
    <cellStyle name="Heading [Helv] 2 2 2 6 5" xfId="20767"/>
    <cellStyle name="Heading [Palat] 2 2 2 6 5" xfId="20768"/>
    <cellStyle name="Magic 2 2 2 6 5" xfId="20769"/>
    <cellStyle name="Outputs 2 2 2 6 5" xfId="20770"/>
    <cellStyle name="Table Head Aligned 2 2 2 6 5" xfId="20771"/>
    <cellStyle name="Table Head Green 2 2 2 6 5" xfId="20772"/>
    <cellStyle name="Title [Helv] 2 2 2 6 5" xfId="20773"/>
    <cellStyle name="Title [Palat] 2 2 2 6 5" xfId="20774"/>
    <cellStyle name="Style 45 3 4 4 5" xfId="20775"/>
    <cellStyle name="Output 2 3 4" xfId="20776"/>
    <cellStyle name="dp*SubTitle 3 4 6" xfId="20777"/>
    <cellStyle name="Border Thin 3 2 2 4 5" xfId="20778"/>
    <cellStyle name="Outputs 2 4 4 5" xfId="20779"/>
    <cellStyle name="Total 2 3 4" xfId="20780"/>
    <cellStyle name="Style 51 4 3 2 4 5" xfId="20781"/>
    <cellStyle name="Style 45 4 3 2 4 5" xfId="20782"/>
    <cellStyle name="Style 49 4 3 2 4 5" xfId="20783"/>
    <cellStyle name="Style 44 4 3 2 4 5" xfId="20784"/>
    <cellStyle name="dp*ThinLineBelow 3 3 2 4 5" xfId="20785"/>
    <cellStyle name="Table Head Green 2 2 3 4 3 5" xfId="20786"/>
    <cellStyle name="Heading [Palat] 2 2 3 4 3 5" xfId="20787"/>
    <cellStyle name="P-Green Rule 2 3 3 5" xfId="20788"/>
    <cellStyle name="Title [Palat] 2 2 3 2 3 5" xfId="20789"/>
    <cellStyle name="Title [Helv] 2 2 3 2 3 5" xfId="20790"/>
    <cellStyle name="Table Head Green 2 2 3 2 3 5" xfId="20791"/>
    <cellStyle name="Table Head Aligned 2 2 3 2 3 5" xfId="20792"/>
    <cellStyle name="Outputs 2 2 3 2 3 5" xfId="20793"/>
    <cellStyle name="Magic 2 2 3 2 3 5" xfId="20794"/>
    <cellStyle name="Heading [Palat] 2 2 3 2 3 5" xfId="20795"/>
    <cellStyle name="Heading [Helv] 2 2 3 2 3 5" xfId="20796"/>
    <cellStyle name="dp*SheetSubTitle 2 2 3 2 3 5" xfId="20797"/>
    <cellStyle name="dp*NumberLineEPS 2 2 3 2 3 5" xfId="20798"/>
    <cellStyle name="dp*NumberLine 2 2 3 2 3 5" xfId="20799"/>
    <cellStyle name="Date [mmm-yyyy] 2 2 3 2 3 5" xfId="20800"/>
    <cellStyle name="COL HEADINGS 2 2 3 2 3 5" xfId="20801"/>
    <cellStyle name="Bold/Border 2 2 3 2 3 5" xfId="20802"/>
    <cellStyle name="Afjusted 2 2 3 2 3 5" xfId="20803"/>
    <cellStyle name="ac 2 2 3 2 3 5" xfId="20804"/>
    <cellStyle name="Afjusted 4 3 2 3 5" xfId="20805"/>
    <cellStyle name="Border Thin 3 3 2 3 5" xfId="20806"/>
    <cellStyle name="dp*SubTitle 3 3 2 3 5" xfId="20807"/>
    <cellStyle name="dp*ThinLineBelow 3 3 2 3 5" xfId="20808"/>
    <cellStyle name="P-Green Rule 3 3 2 3 5" xfId="20809"/>
    <cellStyle name="Style 44 4 3 2 3 5" xfId="20810"/>
    <cellStyle name="Style 45 4 3 2 3 5" xfId="20811"/>
    <cellStyle name="Style 49 4 3 2 3 5" xfId="20812"/>
    <cellStyle name="Style 51 4 3 2 3 5" xfId="20813"/>
    <cellStyle name="Date [mm-d-yyyy] 3 3 2 3 5" xfId="20814"/>
    <cellStyle name="Afjusted 3 3 2 3 5" xfId="20815"/>
    <cellStyle name="Date [mm-d-yyyy] 3 5 3 5" xfId="20816"/>
    <cellStyle name="dp*SubTitle 2 3 3 5" xfId="20817"/>
    <cellStyle name="Date [mm-d-yyyy] 2 2 2 3 5" xfId="20818"/>
    <cellStyle name="Afjusted 3 2 2 3 5" xfId="20819"/>
    <cellStyle name="PB Table Standard Row 3 5 3 5" xfId="20820"/>
    <cellStyle name="Date [mm-d-yyyy] 3 2 2 3 5" xfId="20821"/>
    <cellStyle name="Style 51 4 2 2 3 5" xfId="20822"/>
    <cellStyle name="Style 49 4 2 2 3 5" xfId="20823"/>
    <cellStyle name="Style 45 4 2 2 3 5" xfId="20824"/>
    <cellStyle name="Style 44 4 2 2 3 5" xfId="20825"/>
    <cellStyle name="Style 45 4 5 3 5" xfId="20826"/>
    <cellStyle name="P-Green Rule 3 2 2 3 5" xfId="20827"/>
    <cellStyle name="PB Table Standard Row 3 2 2 3 5" xfId="20828"/>
    <cellStyle name="dp*ThinLineBelow 3 2 2 3 5" xfId="20829"/>
    <cellStyle name="dp*SubTitle 3 2 2 3 5" xfId="20830"/>
    <cellStyle name="Style 51 4 5 3 5" xfId="20831"/>
    <cellStyle name="Border Thin 3 2 2 3 5" xfId="20832"/>
    <cellStyle name="Afjusted 4 2 2 3 5" xfId="20833"/>
    <cellStyle name="ac 2 2 2 2 3 5" xfId="20834"/>
    <cellStyle name="Afjusted 2 2 2 2 3 5" xfId="20835"/>
    <cellStyle name="Bold/Border 2 2 2 2 3 5" xfId="20836"/>
    <cellStyle name="COL HEADINGS 2 2 2 2 3 5" xfId="20837"/>
    <cellStyle name="Date [mmm-yyyy] 2 2 2 2 3 5" xfId="20838"/>
    <cellStyle name="dp*NumberLine 2 2 2 2 3 5" xfId="20839"/>
    <cellStyle name="dp*NumberLineEPS 2 2 2 2 3 5" xfId="20840"/>
    <cellStyle name="dp*SheetSubTitle 2 2 2 2 3 5" xfId="20841"/>
    <cellStyle name="Heading [Helv] 2 2 2 2 3 5" xfId="20842"/>
    <cellStyle name="Heading [Palat] 2 2 2 2 3 5" xfId="20843"/>
    <cellStyle name="Magic 2 2 2 2 3 5" xfId="20844"/>
    <cellStyle name="Outputs 2 2 2 2 3 5" xfId="20845"/>
    <cellStyle name="Table Head Aligned 2 2 2 2 3 5" xfId="20846"/>
    <cellStyle name="Table Head Green 2 2 2 2 3 5" xfId="20847"/>
    <cellStyle name="Title [Helv] 2 2 2 2 3 5" xfId="20848"/>
    <cellStyle name="Title [Palat] 2 2 2 2 3 5" xfId="20849"/>
    <cellStyle name="dp*ThinLineBelow 3 5 3 5" xfId="20850"/>
    <cellStyle name="Date [mm-d-yyyy] 2 2 3 3 5" xfId="20851"/>
    <cellStyle name="Afjusted 3 2 3 3 5" xfId="20852"/>
    <cellStyle name="Date [mm-d-yyyy] 3 2 3 3 5" xfId="20853"/>
    <cellStyle name="Style 51 4 2 3 3 5" xfId="20854"/>
    <cellStyle name="Style 49 4 2 3 3 5" xfId="20855"/>
    <cellStyle name="Style 45 4 2 3 3 5" xfId="20856"/>
    <cellStyle name="Style 44 4 2 3 3 5" xfId="20857"/>
    <cellStyle name="P-Green Rule 3 2 3 3 5" xfId="20858"/>
    <cellStyle name="PB Table Standard Row 3 2 3 3 5" xfId="20859"/>
    <cellStyle name="dp*ThinLineBelow 3 2 3 3 5" xfId="20860"/>
    <cellStyle name="dp*SubTitle 3 2 3 3 5" xfId="20861"/>
    <cellStyle name="Border Thin 3 2 3 3 5" xfId="20862"/>
    <cellStyle name="Afjusted 4 2 3 3 5" xfId="20863"/>
    <cellStyle name="ac 2 2 2 3 3 5" xfId="20864"/>
    <cellStyle name="Afjusted 2 2 2 3 3 5" xfId="20865"/>
    <cellStyle name="Bold/Border 2 2 2 3 3 5" xfId="20866"/>
    <cellStyle name="COL HEADINGS 2 2 2 3 3 5" xfId="20867"/>
    <cellStyle name="Date [mmm-yyyy] 2 2 2 3 3 5" xfId="20868"/>
    <cellStyle name="dp*NumberLine 2 2 2 3 3 5" xfId="20869"/>
    <cellStyle name="dp*NumberLineEPS 2 2 2 3 3 5" xfId="20870"/>
    <cellStyle name="dp*SheetSubTitle 2 2 2 3 3 5" xfId="20871"/>
    <cellStyle name="Heading [Helv] 2 2 2 3 3 5" xfId="20872"/>
    <cellStyle name="Heading [Palat] 2 2 2 3 3 5" xfId="20873"/>
    <cellStyle name="Magic 2 2 2 3 3 5" xfId="20874"/>
    <cellStyle name="Outputs 2 2 2 3 3 5" xfId="20875"/>
    <cellStyle name="Table Head Aligned 2 2 2 3 3 5" xfId="20876"/>
    <cellStyle name="Table Head Green 2 2 2 3 3 5" xfId="20877"/>
    <cellStyle name="Title [Helv] 2 2 2 3 3 5" xfId="20878"/>
    <cellStyle name="Title [Palat] 2 2 2 3 3 5" xfId="20879"/>
    <cellStyle name="Afjusted 3 2 4 3 5" xfId="20880"/>
    <cellStyle name="Date [mm-d-yyyy] 3 2 4 3 5" xfId="20881"/>
    <cellStyle name="Style 51 4 2 4 3 5" xfId="20882"/>
    <cellStyle name="Style 49 4 2 4 3 5" xfId="20883"/>
    <cellStyle name="Style 45 4 2 4 3 5" xfId="20884"/>
    <cellStyle name="Style 44 4 2 4 3 5" xfId="20885"/>
    <cellStyle name="P-Green Rule 3 2 4 3 5" xfId="20886"/>
    <cellStyle name="PB Table Standard Row 3 2 4 3 5" xfId="20887"/>
    <cellStyle name="dp*ThinLineBelow 3 2 4 3 5" xfId="20888"/>
    <cellStyle name="dp*SubTitle 3 2 4 3 5" xfId="20889"/>
    <cellStyle name="Border Thin 3 2 4 3 5" xfId="20890"/>
    <cellStyle name="Afjusted 4 2 4 3 5" xfId="20891"/>
    <cellStyle name="ac 2 2 2 4 3 5" xfId="20892"/>
    <cellStyle name="Afjusted 2 2 2 4 3 5" xfId="20893"/>
    <cellStyle name="Bold/Border 2 2 2 4 3 5" xfId="20894"/>
    <cellStyle name="COL HEADINGS 2 2 2 4 3 5" xfId="20895"/>
    <cellStyle name="Date [mmm-yyyy] 2 2 2 4 3 5" xfId="20896"/>
    <cellStyle name="dp*NumberLine 2 2 2 4 3 5" xfId="20897"/>
    <cellStyle name="dp*NumberLineEPS 2 2 2 4 3 5" xfId="20898"/>
    <cellStyle name="dp*SheetSubTitle 2 2 2 4 3 5" xfId="20899"/>
    <cellStyle name="Heading [Helv] 2 2 2 4 3 5" xfId="20900"/>
    <cellStyle name="Heading [Palat] 2 2 2 4 3 5" xfId="20901"/>
    <cellStyle name="Magic 2 2 2 4 3 5" xfId="20902"/>
    <cellStyle name="Outputs 2 2 2 4 3 5" xfId="20903"/>
    <cellStyle name="Table Head Aligned 2 2 2 4 3 5" xfId="20904"/>
    <cellStyle name="Table Head Green 2 2 2 4 3 5" xfId="20905"/>
    <cellStyle name="Title [Helv] 2 2 2 4 3 5" xfId="20906"/>
    <cellStyle name="Title [Palat] 2 2 2 4 3 5" xfId="20907"/>
    <cellStyle name="Bold/Border 2 2 3 2 4 5" xfId="20908"/>
    <cellStyle name="Border Thin 4 3 5" xfId="20909"/>
    <cellStyle name="Date [mm-d-yyyy] 4 3 5" xfId="20910"/>
    <cellStyle name="dp*SubTitle 4 3 5" xfId="20911"/>
    <cellStyle name="dp*ThinLineBelow 4 3 5" xfId="20912"/>
    <cellStyle name="PB Table Standard Row 4 3 5" xfId="20913"/>
    <cellStyle name="P-Green Rule 4 3 5" xfId="20914"/>
    <cellStyle name="Style 44 5 3 5" xfId="20915"/>
    <cellStyle name="Style 45 5 3 5" xfId="20916"/>
    <cellStyle name="Style 49 5 3 5" xfId="20917"/>
    <cellStyle name="Style 51 5 3 5" xfId="20918"/>
    <cellStyle name="UNLOCKED 13 2 4" xfId="20919"/>
    <cellStyle name="COL HEADINGS 2 2 3 2 4 5" xfId="20920"/>
    <cellStyle name="UNLOCKED 14 2 4" xfId="20921"/>
    <cellStyle name="ac 2 2 3 2 4 5" xfId="20922"/>
    <cellStyle name="Date [mmm-yyyy] 2 2 3 2 4 5" xfId="20923"/>
    <cellStyle name="FieldName 3 2 4" xfId="20924"/>
    <cellStyle name="WingdingsWhite 3 2 4" xfId="20925"/>
    <cellStyle name="WingdingsRed 3 2 4" xfId="20926"/>
    <cellStyle name="WingdingsBlack 3 2 4" xfId="20927"/>
    <cellStyle name="UNLOCKED 16 2 4" xfId="20928"/>
    <cellStyle name="Title [Palat] 3 3 5" xfId="20929"/>
    <cellStyle name="Title [Helv] 3 3 5" xfId="20930"/>
    <cellStyle name="Table Head Green 3 3 5" xfId="20931"/>
    <cellStyle name="Table Head Aligned 3 3 5" xfId="20932"/>
    <cellStyle name="SymbolBlue 3 2 4" xfId="20933"/>
    <cellStyle name="Style 53 3 2 4" xfId="20934"/>
    <cellStyle name="Style 52 3 2 4" xfId="20935"/>
    <cellStyle name="Style 50 3 2 4" xfId="20936"/>
    <cellStyle name="Style 48 3 2 4" xfId="20937"/>
    <cellStyle name="Style 43 3 2 4" xfId="20938"/>
    <cellStyle name="Style 42 3 2 4" xfId="20939"/>
    <cellStyle name="Style 40 3 2 4" xfId="20940"/>
    <cellStyle name="Style 37 3 2 4" xfId="20941"/>
    <cellStyle name="Style 36 3 2 4" xfId="20942"/>
    <cellStyle name="Style 35 3 2 4" xfId="20943"/>
    <cellStyle name="Style 28 3 2 4" xfId="20944"/>
    <cellStyle name="Style 25 3 2 4" xfId="20945"/>
    <cellStyle name="Style 27 3 2 4" xfId="20946"/>
    <cellStyle name="Style 26 3 2 4" xfId="20947"/>
    <cellStyle name="Style 24 3 2 4" xfId="20948"/>
    <cellStyle name="Style 22 3 2 4" xfId="20949"/>
    <cellStyle name="Style 21 3 2 4" xfId="20950"/>
    <cellStyle name="Outputs 3 3 5" xfId="20951"/>
    <cellStyle name="Millions 8 2 4" xfId="20952"/>
    <cellStyle name="Magic 3 3 5" xfId="20953"/>
    <cellStyle name="ItemTypeClass 3 2 4" xfId="20954"/>
    <cellStyle name="Heading [Palat] 3 3 5" xfId="20955"/>
    <cellStyle name="Heading [Helv] 3 3 5" xfId="20956"/>
    <cellStyle name="Format text as bold, black on yellow 3 2 4" xfId="20957"/>
    <cellStyle name="Format a row of totals 3 2 4" xfId="20958"/>
    <cellStyle name="Draw shadow and lines within range 3 2 4" xfId="20959"/>
    <cellStyle name="Draw lines around data in range 3 2 4" xfId="20960"/>
    <cellStyle name="dp*ThinLineAbove 3 2 4" xfId="20961"/>
    <cellStyle name="dp*SheetSubTitle 3 3 5" xfId="20962"/>
    <cellStyle name="dp*NumberLineEPS 3 3 5" xfId="20963"/>
    <cellStyle name="dp*NumberLine 3 3 5" xfId="20964"/>
    <cellStyle name="dp*Number%ItalicsLineAbove 3 2 4" xfId="20965"/>
    <cellStyle name="DateYearWholeEstimate 3 2 4" xfId="20966"/>
    <cellStyle name="DateYearEstimate 3 2 4" xfId="20967"/>
    <cellStyle name="COL HEADINGS 3 3 5" xfId="20968"/>
    <cellStyle name="Border 3 2 4" xfId="20969"/>
    <cellStyle name="Bold/Border 3 3 5" xfId="20970"/>
    <cellStyle name="ArialNormal 3 2 4" xfId="20971"/>
    <cellStyle name="Arial8Italic 3 2 4" xfId="20972"/>
    <cellStyle name="Arial8Bold 3 2 4" xfId="20973"/>
    <cellStyle name="Arial6Bold 3 2 4" xfId="20974"/>
    <cellStyle name="Afjusted 5 3 5" xfId="20975"/>
    <cellStyle name="ac 3 3 5" xfId="20976"/>
    <cellStyle name="UNLOCKED 15 2 4" xfId="20977"/>
    <cellStyle name="dp*NumberLine 2 2 3 2 4 5" xfId="20978"/>
    <cellStyle name="Date [mmm-yyyy] 3 3 5" xfId="20979"/>
    <cellStyle name="dp*NumberLineEPS 2 2 3 2 4 5" xfId="20980"/>
    <cellStyle name="UNLOCKED 17 2 4" xfId="20981"/>
    <cellStyle name="Heading [Palat] 2 9 5" xfId="20982"/>
    <cellStyle name="dp*SheetSubTitle 2 2 3 2 4 5" xfId="20983"/>
    <cellStyle name="UNLOCKED 18 2 4" xfId="20984"/>
    <cellStyle name="Table Head Aligned 2 2 7 5" xfId="20985"/>
    <cellStyle name="UNLOCKED 19 2 4" xfId="20986"/>
    <cellStyle name="ac 2 4 3 5" xfId="20987"/>
    <cellStyle name="Afjusted 2 3 3 5" xfId="20988"/>
    <cellStyle name="Bold/Border 2 4 3 5" xfId="20989"/>
    <cellStyle name="Border Thin 2 4 3 5" xfId="20990"/>
    <cellStyle name="COL HEADINGS 2 4 3 5" xfId="20991"/>
    <cellStyle name="Date [mmm-yyyy] 2 4 3 5" xfId="20992"/>
    <cellStyle name="dp*NumberLine 2 4 3 5" xfId="20993"/>
    <cellStyle name="dp*NumberLineEPS 2 4 3 5" xfId="20994"/>
    <cellStyle name="dp*SheetSubTitle 2 4 3 5" xfId="20995"/>
    <cellStyle name="dp*SubTitle 2 4 3 5" xfId="20996"/>
    <cellStyle name="dp*ThinLineBelow 2 4 3 5" xfId="20997"/>
    <cellStyle name="Heading [Helv] 2 4 3 5" xfId="20998"/>
    <cellStyle name="Heading [Palat] 2 4 3 5" xfId="20999"/>
    <cellStyle name="Magic 2 4 3 5" xfId="21000"/>
    <cellStyle name="Outputs 2 4 3 5" xfId="21001"/>
    <cellStyle name="PB Table Standard Row 2 4 3 5" xfId="21002"/>
    <cellStyle name="P-Green Rule 2 4 3 5" xfId="21003"/>
    <cellStyle name="Style 44 3 4 3 5" xfId="21004"/>
    <cellStyle name="Style 45 3 4 3 5" xfId="21005"/>
    <cellStyle name="Style 49 3 4 3 5" xfId="21006"/>
    <cellStyle name="Style 51 3 4 3 5" xfId="21007"/>
    <cellStyle name="Style 44 2 4 3 5" xfId="21008"/>
    <cellStyle name="Style 45 2 4 3 5" xfId="21009"/>
    <cellStyle name="Style 49 2 4 3 5" xfId="21010"/>
    <cellStyle name="Style 51 2 4 3 5" xfId="21011"/>
    <cellStyle name="Table Head Aligned 2 4 3 5" xfId="21012"/>
    <cellStyle name="Table Head Green 2 4 3 5" xfId="21013"/>
    <cellStyle name="Title [Helv] 2 4 3 5" xfId="21014"/>
    <cellStyle name="Title [Palat] 2 4 3 5" xfId="21015"/>
    <cellStyle name="Heading [Helv] 2 2 3 2 4 5" xfId="21016"/>
    <cellStyle name="UNLOCKED 20 2 4" xfId="21017"/>
    <cellStyle name="Heading [Palat] 2 2 3 2 4 5" xfId="21018"/>
    <cellStyle name="Table Head Green 2 4 4 5" xfId="21019"/>
    <cellStyle name="ac 4 3 5" xfId="21020"/>
    <cellStyle name="dp*SheetSubTitle 3 4 5" xfId="21021"/>
    <cellStyle name="dp*NumberLine 3 4 5" xfId="21022"/>
    <cellStyle name="Arial6Bold 4 2 4" xfId="21023"/>
    <cellStyle name="Arial8Bold 4 2 4" xfId="21024"/>
    <cellStyle name="Arial8Italic 4 2 4" xfId="21025"/>
    <cellStyle name="ArialNormal 4 2 4" xfId="21026"/>
    <cellStyle name="Outputs 3 4 5" xfId="21027"/>
    <cellStyle name="Title [Helv] 3 4 5" xfId="21028"/>
    <cellStyle name="Bold/Border 4 3 5" xfId="21029"/>
    <cellStyle name="Border Thin 5 3 5" xfId="21030"/>
    <cellStyle name="P-Green Rule 4 4 5" xfId="21031"/>
    <cellStyle name="dp*SubTitle 4 4 5" xfId="21032"/>
    <cellStyle name="Table Head Green 2 2 2 4 4 5" xfId="21033"/>
    <cellStyle name="Heading [Palat] 2 2 2 4 4 5" xfId="21034"/>
    <cellStyle name="Date [mmm-yyyy] 2 2 2 4 4 5" xfId="21035"/>
    <cellStyle name="P-Green Rule 3 2 4 4 5" xfId="21036"/>
    <cellStyle name="dp*ThinLineBelow 3 2 4 4 5" xfId="21037"/>
    <cellStyle name="COL HEADINGS 4 3 5" xfId="21038"/>
    <cellStyle name="Date [mm-d-yyyy] 3 2 4 4 5" xfId="21039"/>
    <cellStyle name="Magic 2 2 2 3 4 5" xfId="21040"/>
    <cellStyle name="dp*SheetSubTitle 2 2 2 3 4 5" xfId="21041"/>
    <cellStyle name="Date [mmm-yyyy] 2 2 2 3 4 5" xfId="21042"/>
    <cellStyle name="Afjusted 2 2 2 3 4 5" xfId="21043"/>
    <cellStyle name="Border Thin 3 2 3 4 5" xfId="21044"/>
    <cellStyle name="PB Table Standard Row 3 2 3 4 5" xfId="21045"/>
    <cellStyle name="Style 45 4 2 3 4 5" xfId="21046"/>
    <cellStyle name="Date [mm-d-yyyy] 3 2 3 4 5" xfId="21047"/>
    <cellStyle name="Title [Palat] 2 2 2 2 4 5" xfId="21048"/>
    <cellStyle name="Bold/Border 2 2 2 7 5" xfId="21049"/>
    <cellStyle name="Style 45 4 3 7 5" xfId="21050"/>
    <cellStyle name="PB Table Standard Row 3 3 7 5" xfId="21051"/>
    <cellStyle name="Date [mm-d-yyyy] 5 3 5" xfId="21052"/>
    <cellStyle name="Bold/Border 2 2 3 7 5" xfId="21053"/>
    <cellStyle name="Title [Helv] 2 2 3 7 5" xfId="21054"/>
    <cellStyle name="DateYearEstimate 4 2 4" xfId="21055"/>
    <cellStyle name="DateYearWholeEstimate 4 2 4" xfId="21056"/>
    <cellStyle name="Style 45 4 4 4 5" xfId="21057"/>
    <cellStyle name="dp*ThinLineBelow 3 3 3 4 5" xfId="21058"/>
    <cellStyle name="Draw lines around data in range 4 2 4" xfId="21059"/>
    <cellStyle name="Draw shadow and lines within range 4 2 4" xfId="21060"/>
    <cellStyle name="PB Table Standard Row 3 3 3 4 5" xfId="21061"/>
    <cellStyle name="ac 2 2 3 3 4 5" xfId="21062"/>
    <cellStyle name="Heading [Helv] 2 2 3 3 4 5" xfId="21063"/>
    <cellStyle name="Title [Palat] 2 2 4 4 5" xfId="21064"/>
    <cellStyle name="Outputs 2 2 4 4 5" xfId="21065"/>
    <cellStyle name="Title [Palat] 2 2 3 4 4 5" xfId="21066"/>
    <cellStyle name="dp*SheetSubTitle 2 2 3 4 4 5" xfId="21067"/>
    <cellStyle name="ac 2 2 3 4 4 5" xfId="21068"/>
    <cellStyle name="Afjusted 3 3 4 4 5" xfId="21069"/>
    <cellStyle name="COL HEADINGS 2 2 3 4 4 5" xfId="21070"/>
    <cellStyle name="P-Green Rule 2 2 4 5" xfId="21071"/>
    <cellStyle name="Style 49 3 2 4 5" xfId="21072"/>
    <cellStyle name="Style 49 2 2 4 5" xfId="21073"/>
    <cellStyle name="Title [Helv] 2 2 3 4 4 5" xfId="21074"/>
    <cellStyle name="Bold/Border 2 2 3 4 4 5" xfId="21075"/>
    <cellStyle name="Format a row of totals 4 2 4" xfId="21076"/>
    <cellStyle name="Format text as bold, black on yellow 4 2 4" xfId="21077"/>
    <cellStyle name="Heading [Helv] 4 3 5" xfId="21078"/>
    <cellStyle name="Heading [Palat] 4 3 5" xfId="21079"/>
    <cellStyle name="Title [Helv] 2 2 7 5" xfId="21080"/>
    <cellStyle name="Heading [Palat] 2 2 7 5" xfId="21081"/>
    <cellStyle name="COL HEADINGS 2 2 7 5" xfId="21082"/>
    <cellStyle name="ac 2 2 7 5" xfId="21083"/>
    <cellStyle name="DateYearEstimate 2 5" xfId="21084"/>
    <cellStyle name="ItemTypeClass 4 2 4" xfId="21085"/>
    <cellStyle name="Main 3 2 4" xfId="21086"/>
    <cellStyle name="Outputs 4 3 5" xfId="21087"/>
    <cellStyle name="PB Table Standard Row 5 3 5" xfId="21088"/>
    <cellStyle name="P-Green Rule 5 3 5" xfId="21089"/>
    <cellStyle name="SAPBEXaggItemX 3 2 4" xfId="21090"/>
    <cellStyle name="SAPBEXHLevel0 3 2 4" xfId="21091"/>
    <cellStyle name="SAPBEXHLevel0X 3 2 4" xfId="21092"/>
    <cellStyle name="SAPBEXHLevel1 3 2 4" xfId="21093"/>
    <cellStyle name="SAPBEXHLevel1X 3 2 4" xfId="21094"/>
    <cellStyle name="SAPBEXHLevel2 3 2 4" xfId="21095"/>
    <cellStyle name="SAPBEXHLevel2X 3 2 4" xfId="21096"/>
    <cellStyle name="SAPBEXHLevel3 3 2 4" xfId="21097"/>
    <cellStyle name="SAPBEXHLevel3X 3 2 4" xfId="21098"/>
    <cellStyle name="SAPBEXresItemX 3 2 4" xfId="21099"/>
    <cellStyle name="SAPBEXstdItemX 3 2 4" xfId="21100"/>
    <cellStyle name="Style 45 4 3 2 10" xfId="21101"/>
    <cellStyle name="Style 21 4 2 4" xfId="21102"/>
    <cellStyle name="Style 22 4 2 4" xfId="21103"/>
    <cellStyle name="Style 35 4 2 4" xfId="21104"/>
    <cellStyle name="Style 36 4 2 4" xfId="21105"/>
    <cellStyle name="Style 37 4 2 4" xfId="21106"/>
    <cellStyle name="Style 40 4 2 4" xfId="21107"/>
    <cellStyle name="Style 42 4 2 4" xfId="21108"/>
    <cellStyle name="Style 43 4 2 4" xfId="21109"/>
    <cellStyle name="Style 44 6 3 5" xfId="21110"/>
    <cellStyle name="Style 45 6 3 5" xfId="21111"/>
    <cellStyle name="Style 48 4 2 4" xfId="21112"/>
    <cellStyle name="Style 49 6 3 5" xfId="21113"/>
    <cellStyle name="Style 50 4 2 4" xfId="21114"/>
    <cellStyle name="Style 51 6 3 5" xfId="21115"/>
    <cellStyle name="Style 52 4 2 4" xfId="21116"/>
    <cellStyle name="Style 53 4 2 4" xfId="21117"/>
    <cellStyle name="SymbolBlue 4 2 4" xfId="21118"/>
    <cellStyle name="Table Head Green 4 3 5" xfId="21119"/>
    <cellStyle name="UNLOCKED 21 2 4" xfId="21120"/>
    <cellStyle name="WingdingsBlack 4 2 4" xfId="21121"/>
    <cellStyle name="WingdingsRed 4 2 4" xfId="21122"/>
    <cellStyle name="WingdingsWhite 4 2 4" xfId="21123"/>
    <cellStyle name="Heading [Helv] 2 9 5" xfId="21124"/>
    <cellStyle name="Afjusted 6 3 5" xfId="21125"/>
    <cellStyle name="UNLOCKED 22 2 4" xfId="21126"/>
    <cellStyle name="ac 2 5 3 5" xfId="21127"/>
    <cellStyle name="Afjusted 2 4 3 5" xfId="21128"/>
    <cellStyle name="Bold/Border 2 5 3 5" xfId="21129"/>
    <cellStyle name="Border Thin 2 5 3 5" xfId="21130"/>
    <cellStyle name="COL HEADINGS 2 5 3 5" xfId="21131"/>
    <cellStyle name="Date [mmm-yyyy] 2 5 3 5" xfId="21132"/>
    <cellStyle name="dp*NumberLine 2 5 3 5" xfId="21133"/>
    <cellStyle name="dp*NumberLineEPS 2 5 3 5" xfId="21134"/>
    <cellStyle name="dp*SheetSubTitle 2 5 3 5" xfId="21135"/>
    <cellStyle name="dp*SubTitle 2 5 3 5" xfId="21136"/>
    <cellStyle name="dp*ThinLineBelow 2 5 3 5" xfId="21137"/>
    <cellStyle name="Heading [Helv] 2 5 3 5" xfId="21138"/>
    <cellStyle name="Heading [Palat] 2 5 3 5" xfId="21139"/>
    <cellStyle name="Magic 2 5 3 5" xfId="21140"/>
    <cellStyle name="Outputs 2 5 3 5" xfId="21141"/>
    <cellStyle name="PB Table Standard Row 2 5 3 5" xfId="21142"/>
    <cellStyle name="P-Green Rule 2 5 3 5" xfId="21143"/>
    <cellStyle name="Style 44 3 5 3 5" xfId="21144"/>
    <cellStyle name="Style 45 3 5 3 5" xfId="21145"/>
    <cellStyle name="Style 49 3 5 3 5" xfId="21146"/>
    <cellStyle name="Style 51 3 5 3 5" xfId="21147"/>
    <cellStyle name="Style 44 2 5 3 5" xfId="21148"/>
    <cellStyle name="Style 45 2 5 3 5" xfId="21149"/>
    <cellStyle name="Style 49 2 5 3 5" xfId="21150"/>
    <cellStyle name="Style 51 2 5 3 5" xfId="21151"/>
    <cellStyle name="Table Head Aligned 2 5 3 5" xfId="21152"/>
    <cellStyle name="Table Head Green 2 5 3 5" xfId="21153"/>
    <cellStyle name="Title [Helv] 2 5 3 5" xfId="21154"/>
    <cellStyle name="Title [Palat] 2 5 3 5" xfId="21155"/>
    <cellStyle name="Magic 2 2 3 2 4 5" xfId="21156"/>
    <cellStyle name="Table Head Green 2 3 4 5" xfId="21157"/>
    <cellStyle name="Outputs 2 2 3 2 4 5" xfId="21158"/>
    <cellStyle name="UNLOCKED 23 2 4" xfId="21159"/>
    <cellStyle name="Heading [Palat] 2 2 3 4 4 5" xfId="21160"/>
    <cellStyle name="UNLOCKED 24 2 4" xfId="21161"/>
    <cellStyle name="P-Green Rule 5 4 5" xfId="21162"/>
    <cellStyle name="Date [mm-d-yyyy] 5 4 5" xfId="21163"/>
    <cellStyle name="ac 4 4 5" xfId="21164"/>
    <cellStyle name="Table Head Aligned 2 4 4 5" xfId="21165"/>
    <cellStyle name="ac 5 3 5" xfId="21166"/>
    <cellStyle name="Bold/Border 3 4 5" xfId="21167"/>
    <cellStyle name="dp*NumberLineEPS 3 4 5" xfId="21168"/>
    <cellStyle name="Arial6Bold 5 2 4" xfId="21169"/>
    <cellStyle name="Arial8Bold 5 2 4" xfId="21170"/>
    <cellStyle name="Arial8Italic 5 2 4" xfId="21171"/>
    <cellStyle name="ArialNormal 5 2 4" xfId="21172"/>
    <cellStyle name="Heading [Helv] 3 4 5" xfId="21173"/>
    <cellStyle name="Title [Palat] 3 4 5" xfId="21174"/>
    <cellStyle name="Bold/Border 5 3 5" xfId="21175"/>
    <cellStyle name="Border Thin 6 3 5" xfId="21176"/>
    <cellStyle name="PB Table Standard Row 4 4 5" xfId="21177"/>
    <cellStyle name="Date [mm-d-yyyy] 4 4 5" xfId="21178"/>
    <cellStyle name="Title [Palat] 2 2 2 4 4 5" xfId="21179"/>
    <cellStyle name="Table Head Aligned 2 2 2 4 4 5" xfId="21180"/>
    <cellStyle name="Heading [Helv] 2 2 2 4 4 5" xfId="21181"/>
    <cellStyle name="COL HEADINGS 2 2 2 4 4 5" xfId="21182"/>
    <cellStyle name="Style 44 4 2 4 4 5" xfId="21183"/>
    <cellStyle name="PB Table Standard Row 3 2 4 4 5" xfId="21184"/>
    <cellStyle name="COL HEADINGS 5 3 5" xfId="21185"/>
    <cellStyle name="Afjusted 3 2 4 4 5" xfId="21186"/>
    <cellStyle name="Heading [Palat] 2 2 2 3 4 5" xfId="21187"/>
    <cellStyle name="dp*NumberLineEPS 2 2 2 3 4 5" xfId="21188"/>
    <cellStyle name="COL HEADINGS 2 2 2 3 4 5" xfId="21189"/>
    <cellStyle name="ac 2 2 2 3 4 5" xfId="21190"/>
    <cellStyle name="dp*SubTitle 3 2 3 4 5" xfId="21191"/>
    <cellStyle name="P-Green Rule 3 2 3 4 5" xfId="21192"/>
    <cellStyle name="Style 49 4 2 3 4 5" xfId="21193"/>
    <cellStyle name="Afjusted 3 2 3 4 5" xfId="21194"/>
    <cellStyle name="Title [Helv] 2 2 2 2 4 5" xfId="21195"/>
    <cellStyle name="Afjusted 2 2 2 7 5" xfId="21196"/>
    <cellStyle name="Date [mm-d-yyyy] 3 3 7 5" xfId="21197"/>
    <cellStyle name="Style 51 4 3 7 5" xfId="21198"/>
    <cellStyle name="Style 44 4 3 7 5" xfId="21199"/>
    <cellStyle name="dp*ThinLineBelow 3 3 7 5" xfId="21200"/>
    <cellStyle name="Afjusted 4 3 7 5" xfId="21201"/>
    <cellStyle name="Date [mm-d-yyyy] 6 2 5" xfId="21202"/>
    <cellStyle name="COL HEADINGS 2 2 3 7 5" xfId="21203"/>
    <cellStyle name="Title [Palat] 2 2 3 7 5" xfId="21204"/>
    <cellStyle name="DateYearEstimate 5 2 4" xfId="21205"/>
    <cellStyle name="DateYearWholeEstimate 5 2 4" xfId="21206"/>
    <cellStyle name="Afjusted 2 2 4 4 5" xfId="21207"/>
    <cellStyle name="Border Thin 3 3 4 4 5" xfId="21208"/>
    <cellStyle name="Style 49 4 4 4 5" xfId="21209"/>
    <cellStyle name="Date [mmm-yyyy] 2 2 3 4 10" xfId="21210"/>
    <cellStyle name="Afjusted 2 2 3 3 4 5" xfId="21211"/>
    <cellStyle name="Draw lines around data in range 5 2 4" xfId="21212"/>
    <cellStyle name="Draw shadow and lines within range 5 2 4" xfId="21213"/>
    <cellStyle name="Border Thin 3 3 3 4 5" xfId="21214"/>
    <cellStyle name="COL HEADINGS 2 2 3 3 4 5" xfId="21215"/>
    <cellStyle name="Magic 2 2 3 3 4 5" xfId="21216"/>
    <cellStyle name="Title [Helv] 2 2 4 4 5" xfId="21217"/>
    <cellStyle name="Heading [Palat] 2 2 4 4 5" xfId="21218"/>
    <cellStyle name="Table Head Aligned 2 2 3 4 4 5" xfId="21219"/>
    <cellStyle name="dp*NumberLineEPS 2 2 3 4 4 5" xfId="21220"/>
    <cellStyle name="Afjusted 4 3 4 4 5" xfId="21221"/>
    <cellStyle name="Style 44 3 3 4 5" xfId="21222"/>
    <cellStyle name="dp*ThinLineBelow 2 2 4 5" xfId="21223"/>
    <cellStyle name="Style 44 3 2 4 5" xfId="21224"/>
    <cellStyle name="Style 51 3 2 4 5" xfId="21225"/>
    <cellStyle name="Style 45 2 2 4 5" xfId="21226"/>
    <cellStyle name="Magic 2 2 3 4 4 5" xfId="21227"/>
    <cellStyle name="Format a row of totals 5 2 4" xfId="21228"/>
    <cellStyle name="Format text as bold, black on yellow 5 2 4" xfId="21229"/>
    <cellStyle name="Heading [Helv] 5 3 5" xfId="21230"/>
    <cellStyle name="Heading [Palat] 5 3 5" xfId="21231"/>
    <cellStyle name="Table Head Green 2 2 7 5" xfId="21232"/>
    <cellStyle name="Heading [Helv] 2 2 7 5" xfId="21233"/>
    <cellStyle name="Bold/Border 2 2 7 5" xfId="21234"/>
    <cellStyle name="Style 36 12" xfId="21235"/>
    <cellStyle name="ItemTypeClass 5 2 4" xfId="21236"/>
    <cellStyle name="Main 4 2 4" xfId="21237"/>
    <cellStyle name="Style 49 2 8 5" xfId="21238"/>
    <cellStyle name="Outputs 5 3 5" xfId="21239"/>
    <cellStyle name="PB Table Standard Row 6 3 5" xfId="21240"/>
    <cellStyle name="P-Green Rule 6 3 5" xfId="21241"/>
    <cellStyle name="SAPBEXaggItemX 4 2 4" xfId="21242"/>
    <cellStyle name="SAPBEXHLevel0 4 2 4" xfId="21243"/>
    <cellStyle name="SAPBEXHLevel0X 4 2 4" xfId="21244"/>
    <cellStyle name="SAPBEXHLevel1 4 2 4" xfId="21245"/>
    <cellStyle name="SAPBEXHLevel1X 4 2 4" xfId="21246"/>
    <cellStyle name="SAPBEXHLevel2 4 2 4" xfId="21247"/>
    <cellStyle name="SAPBEXHLevel2X 4 2 4" xfId="21248"/>
    <cellStyle name="SAPBEXHLevel3 4 2 4" xfId="21249"/>
    <cellStyle name="SAPBEXHLevel3X 4 2 4" xfId="21250"/>
    <cellStyle name="SAPBEXresItemX 4 2 4" xfId="21251"/>
    <cellStyle name="SAPBEXstdItemX 4 2 4" xfId="21252"/>
    <cellStyle name="Style 21 5 2 4" xfId="21253"/>
    <cellStyle name="Style 22 5 2 4" xfId="21254"/>
    <cellStyle name="Style 35 5 2 4" xfId="21255"/>
    <cellStyle name="Style 36 5 2 4" xfId="21256"/>
    <cellStyle name="Style 37 5 2 4" xfId="21257"/>
    <cellStyle name="Style 40 5 2 4" xfId="21258"/>
    <cellStyle name="Style 42 5 2 4" xfId="21259"/>
    <cellStyle name="Style 43 5 2 4" xfId="21260"/>
    <cellStyle name="Style 44 7 3 5" xfId="21261"/>
    <cellStyle name="Style 45 7 3 5" xfId="21262"/>
    <cellStyle name="Style 48 5 2 4" xfId="21263"/>
    <cellStyle name="Style 49 7 3 5" xfId="21264"/>
    <cellStyle name="Style 50 5 2 4" xfId="21265"/>
    <cellStyle name="Style 51 7 3 5" xfId="21266"/>
    <cellStyle name="Style 52 5 2 4" xfId="21267"/>
    <cellStyle name="Style 53 5 2 4" xfId="21268"/>
    <cellStyle name="SymbolBlue 5 2 4" xfId="21269"/>
    <cellStyle name="Table Head Green 5 3 5" xfId="21270"/>
    <cellStyle name="Title [Palat] 4 3 5" xfId="21271"/>
    <cellStyle name="UNLOCKED 25 2 4" xfId="21272"/>
    <cellStyle name="WingdingsBlack 5 2 4" xfId="21273"/>
    <cellStyle name="WingdingsRed 5 2 4" xfId="21274"/>
    <cellStyle name="WingdingsWhite 5 2 4" xfId="21275"/>
    <cellStyle name="ac 2 6 3 5" xfId="21276"/>
    <cellStyle name="Bold/Border 2 6 3 5" xfId="21277"/>
    <cellStyle name="Border Thin 2 6 3 5" xfId="21278"/>
    <cellStyle name="COL HEADINGS 2 6 3 5" xfId="21279"/>
    <cellStyle name="Date [mm-d-yyyy] 2 3 2 5" xfId="21280"/>
    <cellStyle name="Bold/Border 2 2 3 3 4 5" xfId="21281"/>
    <cellStyle name="Header2 2 2 2 4" xfId="21282"/>
    <cellStyle name="Heading [Helv] 2 6 3 5" xfId="21283"/>
    <cellStyle name="Heading [Palat] 2 6 3 5" xfId="21284"/>
    <cellStyle name="Outputs 2 2 3 3 4 5" xfId="21285"/>
    <cellStyle name="Outputs 2 6 3 5" xfId="21286"/>
    <cellStyle name="PB Table Standard Row 2 6 3 5" xfId="21287"/>
    <cellStyle name="P-Green Rule 2 6 3 5" xfId="21288"/>
    <cellStyle name="Style 44 3 6 3 5" xfId="21289"/>
    <cellStyle name="Style 45 3 6 3 5" xfId="21290"/>
    <cellStyle name="Style 49 3 6 3 5" xfId="21291"/>
    <cellStyle name="Style 51 3 6 3 5" xfId="21292"/>
    <cellStyle name="Style 44 2 6 3 5" xfId="21293"/>
    <cellStyle name="Style 45 2 6 3 5" xfId="21294"/>
    <cellStyle name="Style 49 2 6 3 5" xfId="21295"/>
    <cellStyle name="Style 51 2 6 3 5" xfId="21296"/>
    <cellStyle name="Table Head Green 2 6 3 5" xfId="21297"/>
    <cellStyle name="Title [Palat] 2 6 3 5" xfId="21298"/>
    <cellStyle name="Table Head Green 2 2 3 4 4 5" xfId="21299"/>
    <cellStyle name="UNLOCKED 26 2 4" xfId="21300"/>
    <cellStyle name="Table Head Green 2 2 2 7 5" xfId="21301"/>
    <cellStyle name="Heading [Helv] 4 10" xfId="21302"/>
    <cellStyle name="Outputs 2 2 2 7 5" xfId="21303"/>
    <cellStyle name="Style 51 3 5 10" xfId="21304"/>
    <cellStyle name="Style 44 6 10" xfId="21305"/>
    <cellStyle name="Title [Helv] 2 2 3 2 4 5" xfId="21306"/>
    <cellStyle name="Outputs 2 2 3 4 10" xfId="21307"/>
    <cellStyle name="PB Table Standard Row 3 5 4 5" xfId="21308"/>
    <cellStyle name="P-Green Rule 3 2 2 4 5" xfId="21309"/>
    <cellStyle name="Heading [Helv] 2 2 3 4 10" xfId="21310"/>
    <cellStyle name="Style 49 4 2 2 4 5" xfId="21311"/>
    <cellStyle name="Date [mm-d-yyyy] 3 3 4 10" xfId="21312"/>
    <cellStyle name="dp*NumberLineEPS 2 8 5" xfId="21313"/>
    <cellStyle name="Heading [Helv] 2 2 2 7 5" xfId="21314"/>
    <cellStyle name="FieldName 4 2 4" xfId="21315"/>
    <cellStyle name="WingdingsWhite 6 2 4" xfId="21316"/>
    <cellStyle name="WingdingsRed 6 2 4" xfId="21317"/>
    <cellStyle name="WingdingsBlack 6 2 4" xfId="21318"/>
    <cellStyle name="UNLOCKED 28 2 4" xfId="21319"/>
    <cellStyle name="Title [Palat] 5 3 5" xfId="21320"/>
    <cellStyle name="Title [Helv] 4 3 5" xfId="21321"/>
    <cellStyle name="Table Head Green 6 3 5" xfId="21322"/>
    <cellStyle name="Table Head Aligned 4 3 5" xfId="21323"/>
    <cellStyle name="SymbolBlue 6 2 4" xfId="21324"/>
    <cellStyle name="Style 53 6 2 4" xfId="21325"/>
    <cellStyle name="Style 52 6 2 4" xfId="21326"/>
    <cellStyle name="Style 50 6 2 4" xfId="21327"/>
    <cellStyle name="Style 48 6 2 4" xfId="21328"/>
    <cellStyle name="Style 43 6 2 4" xfId="21329"/>
    <cellStyle name="Style 42 6 2 4" xfId="21330"/>
    <cellStyle name="Style 40 6 2 4" xfId="21331"/>
    <cellStyle name="Style 37 6 2 4" xfId="21332"/>
    <cellStyle name="Style 36 6 2 4" xfId="21333"/>
    <cellStyle name="Style 35 6 2 4" xfId="21334"/>
    <cellStyle name="Style 28 4 2 4" xfId="21335"/>
    <cellStyle name="Style 27 4 2 4" xfId="21336"/>
    <cellStyle name="Style 24 4 2 4" xfId="21337"/>
    <cellStyle name="Style 26 4 2 4" xfId="21338"/>
    <cellStyle name="Style 25 4 2 4" xfId="21339"/>
    <cellStyle name="Style 22 6 2 4" xfId="21340"/>
    <cellStyle name="Style 21 6 2 4" xfId="21341"/>
    <cellStyle name="SSFixed2 3 2 4" xfId="21342"/>
    <cellStyle name="SSDfltPct0 3 2 4" xfId="21343"/>
    <cellStyle name="SSDfltPct 3 2 4" xfId="21344"/>
    <cellStyle name="SSDecs3 3 2 4" xfId="21345"/>
    <cellStyle name="SSComma2 3 2 4" xfId="21346"/>
    <cellStyle name="SSComma0 3 2 4" xfId="21347"/>
    <cellStyle name="SAPBEXundefined 3 2 4" xfId="21348"/>
    <cellStyle name="SAPBEXtitle 3 2 4" xfId="21349"/>
    <cellStyle name="SAPBEXstdItemX 5 2 4" xfId="21350"/>
    <cellStyle name="SAPBEXstdItem 3 2 4" xfId="21351"/>
    <cellStyle name="SAPBEXstdDataEmph 3 2 4" xfId="21352"/>
    <cellStyle name="SAPBEXstdData 3 2 4" xfId="21353"/>
    <cellStyle name="SAPBEXresItemX 5 2 4" xfId="21354"/>
    <cellStyle name="SAPBEXresItem 3 2 4" xfId="21355"/>
    <cellStyle name="SAPBEXresDataEmph 3 2 4" xfId="21356"/>
    <cellStyle name="SAPBEXresData 3 2 4" xfId="21357"/>
    <cellStyle name="SAPBEXHLevel3X 5 2 4" xfId="21358"/>
    <cellStyle name="SAPBEXHLevel3 5 2 4" xfId="21359"/>
    <cellStyle name="SAPBEXHLevel2X 5 2 4" xfId="21360"/>
    <cellStyle name="SAPBEXHLevel2 5 2 4" xfId="21361"/>
    <cellStyle name="SAPBEXHLevel1X 5 2 4" xfId="21362"/>
    <cellStyle name="SAPBEXHLevel1 5 2 4" xfId="21363"/>
    <cellStyle name="SAPBEXHLevel0X 5 2 4" xfId="21364"/>
    <cellStyle name="SAPBEXHLevel0 5 2 4" xfId="21365"/>
    <cellStyle name="SAPBEXformats 3 2 4" xfId="21366"/>
    <cellStyle name="SAPBEXexcGood3 3 2 4" xfId="21367"/>
    <cellStyle name="SAPBEXexcGood2 3 2 4" xfId="21368"/>
    <cellStyle name="SAPBEXexcGood1 3 2 4" xfId="21369"/>
    <cellStyle name="SAPBEXexcCritical6 3 2 4" xfId="21370"/>
    <cellStyle name="SAPBEXexcCritical5 3 2 4" xfId="21371"/>
    <cellStyle name="SAPBEXexcCritical4 3 2 4" xfId="21372"/>
    <cellStyle name="SAPBEXexcBad9 3 2 4" xfId="21373"/>
    <cellStyle name="SAPBEXexcBad8 3 2 4" xfId="21374"/>
    <cellStyle name="SAPBEXexcBad7 3 2 4" xfId="21375"/>
    <cellStyle name="SAPBEXaggItemX 5 2 4" xfId="21376"/>
    <cellStyle name="SAPBEXaggItem 3 2 4" xfId="21377"/>
    <cellStyle name="SAPBEXaggDataEmph 3 2 4" xfId="21378"/>
    <cellStyle name="SAPBEXaggData 3 2 4" xfId="21379"/>
    <cellStyle name="Arial6Bold 7 2 4" xfId="21380"/>
    <cellStyle name="Arial8Bold 7 2 4" xfId="21381"/>
    <cellStyle name="Arial8Italic 7 2 4" xfId="21382"/>
    <cellStyle name="ArialNormal 7 2 4" xfId="21383"/>
    <cellStyle name="Border 5 2 4" xfId="21384"/>
    <cellStyle name="Outputs 6 3 5" xfId="21385"/>
    <cellStyle name="dp*Number%ItalicsLineAbove 5 2 4" xfId="21386"/>
    <cellStyle name="dp*ThinLineAbove 5 2 4" xfId="21387"/>
    <cellStyle name="Draw lines around data in range 7 2 4" xfId="21388"/>
    <cellStyle name="Draw shadow and lines within range 7 2 4" xfId="21389"/>
    <cellStyle name="Millions 9 2 4" xfId="21390"/>
    <cellStyle name="Main 5 2 4" xfId="21391"/>
    <cellStyle name="Magic 4 3 5" xfId="21392"/>
    <cellStyle name="ItemTypeClass 6 2 4" xfId="21393"/>
    <cellStyle name="Format a row of totals 7 2 4" xfId="21394"/>
    <cellStyle name="Format text as bold, black on yellow 7 2 4" xfId="21395"/>
    <cellStyle name="dp*NumberLine 2 2 7 5" xfId="21396"/>
    <cellStyle name="Heading [Palat] 6 3 5" xfId="21397"/>
    <cellStyle name="Heading [Helv] 6 3 5" xfId="21398"/>
    <cellStyle name="Format text as bold, black on yellow 6 2 4" xfId="21399"/>
    <cellStyle name="Format a row of totals 6 2 4" xfId="21400"/>
    <cellStyle name="ItemTypeClass 7 2 4" xfId="21401"/>
    <cellStyle name="Main 6 2 4" xfId="21402"/>
    <cellStyle name="Draw shadow and lines within range 6 2 4" xfId="21403"/>
    <cellStyle name="Draw lines around data in range 6 2 4" xfId="21404"/>
    <cellStyle name="dp*ThinLineBelow 5 3 5" xfId="21405"/>
    <cellStyle name="dp*ThinLineAbove 4 2 4" xfId="21406"/>
    <cellStyle name="dp*SubTitle 5 3 5" xfId="21407"/>
    <cellStyle name="dp*SheetSubTitle 4 3 5" xfId="21408"/>
    <cellStyle name="dp*NumberLineEPS 4 3 5" xfId="21409"/>
    <cellStyle name="dp*NumberLine 4 3 5" xfId="21410"/>
    <cellStyle name="ac 2 3 4 5" xfId="21411"/>
    <cellStyle name="dp*Number%ItalicsLineAbove 4 2 4" xfId="21412"/>
    <cellStyle name="Millions 10 2 4" xfId="21413"/>
    <cellStyle name="Date [mmm-yyyy] 2 2 3 3 4 5" xfId="21414"/>
    <cellStyle name="Title [Helv] 2 3 4 5" xfId="21415"/>
    <cellStyle name="DateYearWholeEstimate 6 2 4" xfId="21416"/>
    <cellStyle name="DateYearEstimate 6 2 4" xfId="21417"/>
    <cellStyle name="Date [mmm-yyyy] 4 3 5" xfId="21418"/>
    <cellStyle name="Date [mm-d-yyyy] 7 3 5" xfId="21419"/>
    <cellStyle name="COL HEADINGS 6 3 5" xfId="21420"/>
    <cellStyle name="dp*SheetSubTitle 2 2 2 4 4 5" xfId="21421"/>
    <cellStyle name="Border Thin 7 3 5" xfId="21422"/>
    <cellStyle name="Border 4 2 4" xfId="21423"/>
    <cellStyle name="Bold/Border 6 3 5" xfId="21424"/>
    <cellStyle name="ArialNormal 6 2 4" xfId="21425"/>
    <cellStyle name="Arial8Italic 6 2 4" xfId="21426"/>
    <cellStyle name="Arial8Bold 6 2 4" xfId="21427"/>
    <cellStyle name="Arial6Bold 6 2 4" xfId="21428"/>
    <cellStyle name="Afjusted 7 3 5" xfId="21429"/>
    <cellStyle name="ac 6 3 5" xfId="21430"/>
    <cellStyle name="SAPBEXaggData 4 2 4" xfId="21431"/>
    <cellStyle name="SAPBEXaggDataEmph 4 2 4" xfId="21432"/>
    <cellStyle name="SAPBEXaggItem 4 2 4" xfId="21433"/>
    <cellStyle name="SAPBEXaggItemX 6 2 4" xfId="21434"/>
    <cellStyle name="SAPBEXexcBad7 4 2 4" xfId="21435"/>
    <cellStyle name="SAPBEXexcBad8 4 2 4" xfId="21436"/>
    <cellStyle name="SAPBEXexcBad9 4 2 4" xfId="21437"/>
    <cellStyle name="SAPBEXexcCritical4 4 2 4" xfId="21438"/>
    <cellStyle name="SAPBEXexcCritical5 4 2 4" xfId="21439"/>
    <cellStyle name="SAPBEXexcCritical6 4 2 4" xfId="21440"/>
    <cellStyle name="SAPBEXexcGood2 4 2 4" xfId="21441"/>
    <cellStyle name="SAPBEXexcGood1 4 2 4" xfId="21442"/>
    <cellStyle name="SAPBEXexcGood3 4 2 4" xfId="21443"/>
    <cellStyle name="SAPBEXformats 4 2 4" xfId="21444"/>
    <cellStyle name="SAPBEXHLevel0 6 2 4" xfId="21445"/>
    <cellStyle name="SAPBEXHLevel0X 6 2 4" xfId="21446"/>
    <cellStyle name="SAPBEXHLevel1 6 2 4" xfId="21447"/>
    <cellStyle name="SAPBEXHLevel1X 6 2 4" xfId="21448"/>
    <cellStyle name="SAPBEXHLevel2 6 2 4" xfId="21449"/>
    <cellStyle name="SAPBEXHLevel2X 6 2 4" xfId="21450"/>
    <cellStyle name="SAPBEXHLevel3 6 2 4" xfId="21451"/>
    <cellStyle name="SAPBEXHLevel3X 6 2 4" xfId="21452"/>
    <cellStyle name="SAPBEXresData 4 2 4" xfId="21453"/>
    <cellStyle name="SAPBEXresDataEmph 4 2 4" xfId="21454"/>
    <cellStyle name="SAPBEXresItem 4 2 4" xfId="21455"/>
    <cellStyle name="SAPBEXresItemX 6 2 4" xfId="21456"/>
    <cellStyle name="SAPBEXstdData 4 2 4" xfId="21457"/>
    <cellStyle name="SAPBEXstdDataEmph 4 2 4" xfId="21458"/>
    <cellStyle name="SAPBEXstdItem 4 2 4" xfId="21459"/>
    <cellStyle name="SAPBEXstdItemX 6 2 4" xfId="21460"/>
    <cellStyle name="SAPBEXtitle 4 2 4" xfId="21461"/>
    <cellStyle name="SAPBEXundefined 4 2 4" xfId="21462"/>
    <cellStyle name="Style 44 8 3 5" xfId="21463"/>
    <cellStyle name="Style 45 8 3 5" xfId="21464"/>
    <cellStyle name="Style 49 8 3 5" xfId="21465"/>
    <cellStyle name="Style 51 8 3 5" xfId="21466"/>
    <cellStyle name="SSComma0 4 2 4" xfId="21467"/>
    <cellStyle name="SSComma2 4 2 4" xfId="21468"/>
    <cellStyle name="SSDecs3 4 2 4" xfId="21469"/>
    <cellStyle name="SSDfltPct 4 2 4" xfId="21470"/>
    <cellStyle name="SSDfltPct0 4 2 4" xfId="21471"/>
    <cellStyle name="SSFixed2 4 2 4" xfId="21472"/>
    <cellStyle name="Style 22 7 2 4" xfId="21473"/>
    <cellStyle name="Style 24 5 2 4" xfId="21474"/>
    <cellStyle name="Style 25 5 2 4" xfId="21475"/>
    <cellStyle name="Style 26 5 2 4" xfId="21476"/>
    <cellStyle name="Style 27 5 2 4" xfId="21477"/>
    <cellStyle name="Style 28 5 2 4" xfId="21478"/>
    <cellStyle name="Style 35 7 2 4" xfId="21479"/>
    <cellStyle name="Style 36 7 2 4" xfId="21480"/>
    <cellStyle name="Style 37 7 2 4" xfId="21481"/>
    <cellStyle name="Style 40 7 2 4" xfId="21482"/>
    <cellStyle name="Style 42 7 2 4" xfId="21483"/>
    <cellStyle name="Style 43 7 2 4" xfId="21484"/>
    <cellStyle name="Style 48 7 2 4" xfId="21485"/>
    <cellStyle name="Style 50 7 2 4" xfId="21486"/>
    <cellStyle name="Style 52 7 2 4" xfId="21487"/>
    <cellStyle name="Style 53 7 2 4" xfId="21488"/>
    <cellStyle name="UNLOCKED 27 2 4" xfId="21489"/>
    <cellStyle name="SymbolBlue 7 2 4" xfId="21490"/>
    <cellStyle name="Style 21 7 2 4" xfId="21491"/>
    <cellStyle name="Bold/Border 2 9 5" xfId="21492"/>
    <cellStyle name="Afjusted 3 2 2 4 5" xfId="21493"/>
    <cellStyle name="Style 44 4 2 2 4 5" xfId="21494"/>
    <cellStyle name="Heading [Helv] 2 2 2 2 4 5" xfId="21495"/>
    <cellStyle name="Style 45 4 5 4 5" xfId="21496"/>
    <cellStyle name="Afjusted 4 3 2 4 5" xfId="21497"/>
    <cellStyle name="PB Table Standard Row 2 3 3 5" xfId="21498"/>
    <cellStyle name="Style 51 4 2 2 4 5" xfId="21499"/>
    <cellStyle name="DateYearWholeEstimate 7 2 4" xfId="21500"/>
    <cellStyle name="DateYearEstimate 7 2 4" xfId="21501"/>
    <cellStyle name="UNLOCKED 29 2 4" xfId="21502"/>
    <cellStyle name="WingdingsBlack 7 2 4" xfId="21503"/>
    <cellStyle name="WingdingsRed 7 2 4" xfId="21504"/>
    <cellStyle name="WingdingsWhite 7 2 4" xfId="21505"/>
    <cellStyle name="UNLOCKED 31 2 4" xfId="21506"/>
    <cellStyle name="Title [Palat] 6 3 5" xfId="21507"/>
    <cellStyle name="Title [Helv] 5 3 5" xfId="21508"/>
    <cellStyle name="Table Head Green 7 3 5" xfId="21509"/>
    <cellStyle name="Table Head Aligned 5 3 5" xfId="21510"/>
    <cellStyle name="Outputs 7 3 5" xfId="21511"/>
    <cellStyle name="Millions 11 2 4" xfId="21512"/>
    <cellStyle name="Magic 5 3 5" xfId="21513"/>
    <cellStyle name="Heading [Palat] 7 3 5" xfId="21514"/>
    <cellStyle name="Heading [Helv] 7 3 5" xfId="21515"/>
    <cellStyle name="dp*SheetSubTitle 5 3 5" xfId="21516"/>
    <cellStyle name="dp*NumberLineEPS 5 3 5" xfId="21517"/>
    <cellStyle name="dp*NumberLine 5 3 5" xfId="21518"/>
    <cellStyle name="Date [mmm-yyyy] 5 3 5" xfId="21519"/>
    <cellStyle name="COL HEADINGS 7 3 5" xfId="21520"/>
    <cellStyle name="Bold/Border 7 3 5" xfId="21521"/>
    <cellStyle name="Afjusted 8 3 5" xfId="21522"/>
    <cellStyle name="ac 7 3 5" xfId="21523"/>
    <cellStyle name="UNLOCKED 30 2 4" xfId="21524"/>
    <cellStyle name="FieldName 5 2 4" xfId="21525"/>
    <cellStyle name="WingdingsWhite 8 2 4" xfId="21526"/>
    <cellStyle name="WingdingsRed 8 2 4" xfId="21527"/>
    <cellStyle name="WingdingsBlack 8 2 4" xfId="21528"/>
    <cellStyle name="UNLOCKED 33 2 4" xfId="21529"/>
    <cellStyle name="Title [Palat] 7 3 5" xfId="21530"/>
    <cellStyle name="Title [Helv] 6 3 5" xfId="21531"/>
    <cellStyle name="Table Head Green 8 3 5" xfId="21532"/>
    <cellStyle name="Table Head Aligned 6 3 5" xfId="21533"/>
    <cellStyle name="SymbolBlue 8 2 4" xfId="21534"/>
    <cellStyle name="Style 53 8 2 4" xfId="21535"/>
    <cellStyle name="Style 52 8 2 4" xfId="21536"/>
    <cellStyle name="Style 50 8 2 4" xfId="21537"/>
    <cellStyle name="Style 48 8 2 4" xfId="21538"/>
    <cellStyle name="Style 43 8 2 4" xfId="21539"/>
    <cellStyle name="Style 42 8 2 4" xfId="21540"/>
    <cellStyle name="Style 40 8 2 4" xfId="21541"/>
    <cellStyle name="Style 37 8 2 4" xfId="21542"/>
    <cellStyle name="Style 36 8 2 4" xfId="21543"/>
    <cellStyle name="Style 35 8 2 4" xfId="21544"/>
    <cellStyle name="Style 28 6 2 4" xfId="21545"/>
    <cellStyle name="Style 26 6 2 4" xfId="21546"/>
    <cellStyle name="Style 27 6 2 4" xfId="21547"/>
    <cellStyle name="Style 25 6 2 4" xfId="21548"/>
    <cellStyle name="Style 24 6 2 4" xfId="21549"/>
    <cellStyle name="Style 22 8 2 4" xfId="21550"/>
    <cellStyle name="Style 21 8 2 4" xfId="21551"/>
    <cellStyle name="SSFixed2 5 2 4" xfId="21552"/>
    <cellStyle name="SSDfltPct0 5 2 4" xfId="21553"/>
    <cellStyle name="SSDfltPct 5 2 4" xfId="21554"/>
    <cellStyle name="SSDecs3 5 2 4" xfId="21555"/>
    <cellStyle name="SSComma2 5 2 4" xfId="21556"/>
    <cellStyle name="SSComma0 5 2 4" xfId="21557"/>
    <cellStyle name="SAPBEXundefined 5 2 4" xfId="21558"/>
    <cellStyle name="SAPBEXtitle 5 2 4" xfId="21559"/>
    <cellStyle name="SAPBEXstdItemX 7 2 4" xfId="21560"/>
    <cellStyle name="SAPBEXstdItem 5 2 4" xfId="21561"/>
    <cellStyle name="SAPBEXstdDataEmph 5 2 4" xfId="21562"/>
    <cellStyle name="SAPBEXstdData 5 2 4" xfId="21563"/>
    <cellStyle name="SAPBEXresItemX 7 2 4" xfId="21564"/>
    <cellStyle name="SAPBEXresItem 5 2 4" xfId="21565"/>
    <cellStyle name="SAPBEXresDataEmph 5 2 4" xfId="21566"/>
    <cellStyle name="SAPBEXresData 5 2 4" xfId="21567"/>
    <cellStyle name="SAPBEXHLevel3X 7 2 4" xfId="21568"/>
    <cellStyle name="SAPBEXHLevel3 7 2 4" xfId="21569"/>
    <cellStyle name="SAPBEXHLevel2X 7 2 4" xfId="21570"/>
    <cellStyle name="SAPBEXHLevel2 7 2 4" xfId="21571"/>
    <cellStyle name="SAPBEXHLevel1X 7 2 4" xfId="21572"/>
    <cellStyle name="SAPBEXHLevel1 7 2 4" xfId="21573"/>
    <cellStyle name="SAPBEXHLevel0X 7 2 4" xfId="21574"/>
    <cellStyle name="SAPBEXHLevel0 7 2 4" xfId="21575"/>
    <cellStyle name="SAPBEXformats 5 2 4" xfId="21576"/>
    <cellStyle name="SAPBEXexcGood3 5 2 4" xfId="21577"/>
    <cellStyle name="SAPBEXexcGood2 5 2 4" xfId="21578"/>
    <cellStyle name="SAPBEXexcGood1 5 2 4" xfId="21579"/>
    <cellStyle name="SAPBEXexcCritical6 5 2 4" xfId="21580"/>
    <cellStyle name="SAPBEXexcCritical5 5 2 4" xfId="21581"/>
    <cellStyle name="SAPBEXexcCritical4 5 2 4" xfId="21582"/>
    <cellStyle name="SAPBEXexcBad9 5 2 4" xfId="21583"/>
    <cellStyle name="SAPBEXexcBad8 5 2 4" xfId="21584"/>
    <cellStyle name="SAPBEXexcBad7 5 2 4" xfId="21585"/>
    <cellStyle name="SAPBEXaggItemX 7 2 4" xfId="21586"/>
    <cellStyle name="SAPBEXaggItem 5 2 4" xfId="21587"/>
    <cellStyle name="SAPBEXaggDataEmph 5 2 4" xfId="21588"/>
    <cellStyle name="SAPBEXaggData 5 2 4" xfId="21589"/>
    <cellStyle name="Outputs 8 3 5" xfId="21590"/>
    <cellStyle name="Millions 12 2 4" xfId="21591"/>
    <cellStyle name="Main 7 2 4" xfId="21592"/>
    <cellStyle name="Magic 6 3 5" xfId="21593"/>
    <cellStyle name="ItemTypeClass 8 2 4" xfId="21594"/>
    <cellStyle name="Heading [Palat] 8 3 5" xfId="21595"/>
    <cellStyle name="Heading [Helv] 8 3 5" xfId="21596"/>
    <cellStyle name="Format text as bold, black on yellow 8 2 4" xfId="21597"/>
    <cellStyle name="Format a row of totals 8 2 4" xfId="21598"/>
    <cellStyle name="Draw shadow and lines within range 8 2 4" xfId="21599"/>
    <cellStyle name="Draw lines around data in range 8 2 4" xfId="21600"/>
    <cellStyle name="dp*ThinLineAbove 6 2 4" xfId="21601"/>
    <cellStyle name="dp*SheetSubTitle 6 3 5" xfId="21602"/>
    <cellStyle name="dp*NumberLineEPS 6 3 5" xfId="21603"/>
    <cellStyle name="dp*NumberLine 6 3 5" xfId="21604"/>
    <cellStyle name="dp*Number%ItalicsLineAbove 6 2 4" xfId="21605"/>
    <cellStyle name="DateYearWholeEstimate 8 2 4" xfId="21606"/>
    <cellStyle name="DateYearEstimate 8 2 4" xfId="21607"/>
    <cellStyle name="COL HEADINGS 8 3 5" xfId="21608"/>
    <cellStyle name="dp*NumberLineEPS 2 2 2 4 4 5" xfId="21609"/>
    <cellStyle name="Border 6 2 4" xfId="21610"/>
    <cellStyle name="Bold/Border 8 3 5" xfId="21611"/>
    <cellStyle name="ArialNormal 8 2 4" xfId="21612"/>
    <cellStyle name="Arial8Italic 8 2 4" xfId="21613"/>
    <cellStyle name="Arial8Bold 8 2 4" xfId="21614"/>
    <cellStyle name="Arial6Bold 8 2 4" xfId="21615"/>
    <cellStyle name="Afjusted 9 3 5" xfId="21616"/>
    <cellStyle name="ac 8 3 5" xfId="21617"/>
    <cellStyle name="UNLOCKED 32 2 4" xfId="21618"/>
    <cellStyle name="Date [mmm-yyyy] 6 3 5" xfId="21619"/>
    <cellStyle name="UNLOCKED 37 4" xfId="21620"/>
    <cellStyle name="UNLOCKED 35 2 4" xfId="21621"/>
    <cellStyle name="Title [Palat] 8 3 5" xfId="21622"/>
    <cellStyle name="Title [Helv] 7 3 5" xfId="21623"/>
    <cellStyle name="Table Head Green 9 3 5" xfId="21624"/>
    <cellStyle name="Table Head Aligned 7 3 5" xfId="21625"/>
    <cellStyle name="Outputs 9 3 5" xfId="21626"/>
    <cellStyle name="Millions 13 2 4" xfId="21627"/>
    <cellStyle name="Magic 7 3 5" xfId="21628"/>
    <cellStyle name="Heading [Palat] 9 3 5" xfId="21629"/>
    <cellStyle name="Heading [Helv] 9 3 5" xfId="21630"/>
    <cellStyle name="dp*SheetSubTitle 7 3 5" xfId="21631"/>
    <cellStyle name="dp*NumberLineEPS 7 3 5" xfId="21632"/>
    <cellStyle name="dp*NumberLine 7 3 5" xfId="21633"/>
    <cellStyle name="Date [mmm-yyyy] 7 3 5" xfId="21634"/>
    <cellStyle name="COL HEADINGS 9 3 5" xfId="21635"/>
    <cellStyle name="Bold/Border 9 3 5" xfId="21636"/>
    <cellStyle name="Afjusted 10 3 5" xfId="21637"/>
    <cellStyle name="ac 9 3 5" xfId="21638"/>
    <cellStyle name="UNLOCKED 34 2 4" xfId="21639"/>
    <cellStyle name="Title [Palat] 2 2 2 7 5" xfId="21640"/>
    <cellStyle name="Heading [Palat] 3 4 5" xfId="21641"/>
    <cellStyle name="Afjusted 3 2 7 5" xfId="21642"/>
    <cellStyle name="Afjusted 3 6 2 5" xfId="21643"/>
    <cellStyle name="ac 2 7 2 5" xfId="21644"/>
    <cellStyle name="Afjusted 2 5 2 5" xfId="21645"/>
    <cellStyle name="Bold/Border 2 7 2 5" xfId="21646"/>
    <cellStyle name="COL HEADINGS 2 7 2 5" xfId="21647"/>
    <cellStyle name="Date [mmm-yyyy] 2 6 2 5" xfId="21648"/>
    <cellStyle name="dp*NumberLine 2 6 2 5" xfId="21649"/>
    <cellStyle name="dp*NumberLineEPS 2 6 2 5" xfId="21650"/>
    <cellStyle name="dp*SheetSubTitle 2 6 2 5" xfId="21651"/>
    <cellStyle name="Heading [Helv] 2 7 2 5" xfId="21652"/>
    <cellStyle name="Heading [Palat] 2 7 2 5" xfId="21653"/>
    <cellStyle name="Magic 2 6 2 5" xfId="21654"/>
    <cellStyle name="Outputs 2 7 2 5" xfId="21655"/>
    <cellStyle name="Table Head Aligned 2 6 2 5" xfId="21656"/>
    <cellStyle name="Table Head Green 2 7 2 5" xfId="21657"/>
    <cellStyle name="Title [Helv] 2 6 2 5" xfId="21658"/>
    <cellStyle name="Title [Palat] 2 7 2 5" xfId="21659"/>
    <cellStyle name="Date [mm-d-yyyy] 3 6 2 5" xfId="21660"/>
    <cellStyle name="Style 51 4 6 2 5" xfId="21661"/>
    <cellStyle name="Style 49 4 6 2 5" xfId="21662"/>
    <cellStyle name="Style 45 4 6 2 5" xfId="21663"/>
    <cellStyle name="Style 44 4 6 2 5" xfId="21664"/>
    <cellStyle name="P-Green Rule 3 6 2 5" xfId="21665"/>
    <cellStyle name="PB Table Standard Row 3 6 2 5" xfId="21666"/>
    <cellStyle name="dp*ThinLineBelow 3 6 2 5" xfId="21667"/>
    <cellStyle name="dp*SubTitle 3 6 2 5" xfId="21668"/>
    <cellStyle name="Border Thin 3 6 2 5" xfId="21669"/>
    <cellStyle name="Afjusted 4 6 2 5" xfId="21670"/>
    <cellStyle name="ac 2 2 5 2 5" xfId="21671"/>
    <cellStyle name="Afjusted 2 2 6 2 5" xfId="21672"/>
    <cellStyle name="Bold/Border 2 2 5 2 5" xfId="21673"/>
    <cellStyle name="COL HEADINGS 2 2 5 2 5" xfId="21674"/>
    <cellStyle name="Date [mmm-yyyy] 2 2 5 2 5" xfId="21675"/>
    <cellStyle name="dp*NumberLine 2 2 5 2 5" xfId="21676"/>
    <cellStyle name="dp*NumberLineEPS 2 2 5 2 5" xfId="21677"/>
    <cellStyle name="dp*SheetSubTitle 2 2 5 2 5" xfId="21678"/>
    <cellStyle name="Heading [Helv] 2 2 5 2 5" xfId="21679"/>
    <cellStyle name="Heading [Palat] 2 2 5 2 5" xfId="21680"/>
    <cellStyle name="Magic 2 2 5 2 5" xfId="21681"/>
    <cellStyle name="Outputs 2 2 5 2 5" xfId="21682"/>
    <cellStyle name="Table Head Aligned 2 2 5 2 5" xfId="21683"/>
    <cellStyle name="Table Head Green 2 2 5 2 5" xfId="21684"/>
    <cellStyle name="Title [Helv] 2 2 5 2 5" xfId="21685"/>
    <cellStyle name="Title [Palat] 2 2 5 2 5" xfId="21686"/>
    <cellStyle name="dp*SubTitle 2 2 2 2 5" xfId="21687"/>
    <cellStyle name="Border Thin 2 2 2 2 5" xfId="21688"/>
    <cellStyle name="Bold/Border 2 2 3 4 2 2 5" xfId="21689"/>
    <cellStyle name="Magic 2 2 3 4 2 2 5" xfId="21690"/>
    <cellStyle name="Title [Helv] 2 2 3 4 2 2 5" xfId="21691"/>
    <cellStyle name="Style 51 2 2 2 2 5" xfId="21692"/>
    <cellStyle name="Style 45 2 2 2 2 5" xfId="21693"/>
    <cellStyle name="Style 49 2 2 2 2 5" xfId="21694"/>
    <cellStyle name="Style 44 2 2 2 2 5" xfId="21695"/>
    <cellStyle name="Style 51 3 2 2 2 5" xfId="21696"/>
    <cellStyle name="Style 49 3 2 2 2 5" xfId="21697"/>
    <cellStyle name="Style 45 3 2 2 2 5" xfId="21698"/>
    <cellStyle name="Style 44 3 2 2 2 5" xfId="21699"/>
    <cellStyle name="P-Green Rule 2 2 2 2 5" xfId="21700"/>
    <cellStyle name="PB Table Standard Row 2 2 2 2 5" xfId="21701"/>
    <cellStyle name="dp*ThinLineBelow 2 2 2 2 5" xfId="21702"/>
    <cellStyle name="dp*ThinLineBelow 2 3 2 2 5" xfId="21703"/>
    <cellStyle name="Style 44 3 3 2 2 5" xfId="21704"/>
    <cellStyle name="COL HEADINGS 2 2 3 4 2 2 5" xfId="21705"/>
    <cellStyle name="Style 49 4 3 4 2 2 5" xfId="21706"/>
    <cellStyle name="Afjusted 3 3 4 2 2 5" xfId="21707"/>
    <cellStyle name="Date [mm-d-yyyy] 3 3 4 2 2 5" xfId="21708"/>
    <cellStyle name="Afjusted 4 3 4 2 2 5" xfId="21709"/>
    <cellStyle name="ac 2 2 3 4 2 2 5" xfId="21710"/>
    <cellStyle name="Afjusted 2 2 3 4 2 2 5" xfId="21711"/>
    <cellStyle name="Date [mmm-yyyy] 2 2 3 4 2 2 5" xfId="21712"/>
    <cellStyle name="dp*NumberLine 2 2 3 4 2 2 5" xfId="21713"/>
    <cellStyle name="dp*NumberLineEPS 2 2 3 4 2 2 5" xfId="21714"/>
    <cellStyle name="dp*SheetSubTitle 2 2 3 4 2 2 5" xfId="21715"/>
    <cellStyle name="Heading [Helv] 2 2 3 4 2 2 5" xfId="21716"/>
    <cellStyle name="Outputs 2 2 3 4 2 2 5" xfId="21717"/>
    <cellStyle name="Table Head Aligned 2 2 3 4 2 2 5" xfId="21718"/>
    <cellStyle name="Title [Palat] 2 2 3 4 2 2 5" xfId="21719"/>
    <cellStyle name="Afjusted 3 5 2 2 5" xfId="21720"/>
    <cellStyle name="Style 45 3 3 2 2 5" xfId="21721"/>
    <cellStyle name="Style 51 3 3 2 2 5" xfId="21722"/>
    <cellStyle name="Style 44 2 3 2 2 5" xfId="21723"/>
    <cellStyle name="Style 45 2 3 2 2 5" xfId="21724"/>
    <cellStyle name="Style 49 2 3 2 2 5" xfId="21725"/>
    <cellStyle name="Border Thin 3 5 2 2 5" xfId="21726"/>
    <cellStyle name="ac 2 2 4 2 2 5" xfId="21727"/>
    <cellStyle name="Afjusted 2 2 5 2 2 5" xfId="21728"/>
    <cellStyle name="Bold/Border 2 2 4 2 2 5" xfId="21729"/>
    <cellStyle name="COL HEADINGS 2 2 4 2 2 5" xfId="21730"/>
    <cellStyle name="Date [mmm-yyyy] 2 2 4 2 2 5" xfId="21731"/>
    <cellStyle name="dp*NumberLine 2 2 4 2 2 5" xfId="21732"/>
    <cellStyle name="dp*NumberLineEPS 2 2 4 2 2 5" xfId="21733"/>
    <cellStyle name="dp*SheetSubTitle 2 2 4 2 2 5" xfId="21734"/>
    <cellStyle name="Heading [Palat] 2 2 4 2 2 5" xfId="21735"/>
    <cellStyle name="Outputs 2 2 4 2 2 5" xfId="21736"/>
    <cellStyle name="Magic 2 2 4 2 2 5" xfId="21737"/>
    <cellStyle name="Title [Helv] 2 2 4 2 2 5" xfId="21738"/>
    <cellStyle name="Title [Palat] 2 2 4 2 2 5" xfId="21739"/>
    <cellStyle name="Title [Palat] 2 2 3 3 2 2 5" xfId="21740"/>
    <cellStyle name="Title [Helv] 2 2 3 3 2 2 5" xfId="21741"/>
    <cellStyle name="Table Head Aligned 2 2 3 3 2 2 5" xfId="21742"/>
    <cellStyle name="Magic 2 2 3 3 2 2 5" xfId="21743"/>
    <cellStyle name="Heading [Helv] 2 2 3 3 2 2 5" xfId="21744"/>
    <cellStyle name="dp*NumberLineEPS 2 2 3 3 2 2 5" xfId="21745"/>
    <cellStyle name="COL HEADINGS 2 2 3 3 2 2 5" xfId="21746"/>
    <cellStyle name="ac 2 2 3 3 2 2 5" xfId="21747"/>
    <cellStyle name="Afjusted 4 3 3 2 2 5" xfId="21748"/>
    <cellStyle name="Border Thin 3 3 3 2 2 5" xfId="21749"/>
    <cellStyle name="PB Table Standard Row 3 3 3 2 2 5" xfId="21750"/>
    <cellStyle name="Style 44 4 3 3 2 2 5" xfId="21751"/>
    <cellStyle name="Style 51 4 3 3 2 2 5" xfId="21752"/>
    <cellStyle name="Afjusted 3 3 3 2 2 5" xfId="21753"/>
    <cellStyle name="Style 49 4 5 2 2 5" xfId="21754"/>
    <cellStyle name="Style 44 4 5 2 2 5" xfId="21755"/>
    <cellStyle name="P-Green Rule 3 5 2 2 5" xfId="21756"/>
    <cellStyle name="dp*SubTitle 3 5 2 2 5" xfId="21757"/>
    <cellStyle name="Afjusted 4 5 2 2 5" xfId="21758"/>
    <cellStyle name="ac 2 3 2 2 5" xfId="21759"/>
    <cellStyle name="Bold/Border 2 3 2 2 5" xfId="21760"/>
    <cellStyle name="COL HEADINGS 2 3 2 2 5" xfId="21761"/>
    <cellStyle name="Date [mmm-yyyy] 2 3 2 2 5" xfId="21762"/>
    <cellStyle name="dp*NumberLine 2 3 2 2 5" xfId="21763"/>
    <cellStyle name="dp*NumberLineEPS 2 3 2 2 5" xfId="21764"/>
    <cellStyle name="dp*SheetSubTitle 2 3 2 2 5" xfId="21765"/>
    <cellStyle name="Heading [Helv] 2 3 2 2 5" xfId="21766"/>
    <cellStyle name="Heading [Palat] 2 3 2 2 5" xfId="21767"/>
    <cellStyle name="Magic 2 3 2 2 5" xfId="21768"/>
    <cellStyle name="Outputs 2 3 2 2 5" xfId="21769"/>
    <cellStyle name="Date [mmm-yyyy] 2 2 3 3 2 2 5" xfId="21770"/>
    <cellStyle name="Afjusted 2 2 3 3 2 2 5" xfId="21771"/>
    <cellStyle name="dp*ThinLineBelow 3 3 3 2 2 5" xfId="21772"/>
    <cellStyle name="Style 49 4 3 3 2 2 5" xfId="21773"/>
    <cellStyle name="Outputs 2 2 3 3 2 2 5" xfId="21774"/>
    <cellStyle name="dp*NumberLine 2 2 3 3 2 2 5" xfId="21775"/>
    <cellStyle name="Bold/Border 2 2 3 3 2 2 5" xfId="21776"/>
    <cellStyle name="dp*SubTitle 3 3 3 2 2 5" xfId="21777"/>
    <cellStyle name="Style 45 4 3 3 2 2 5" xfId="21778"/>
    <cellStyle name="Table Head Aligned 2 3 2 2 5" xfId="21779"/>
    <cellStyle name="Table Head Green 2 3 2 2 5" xfId="21780"/>
    <cellStyle name="Title [Helv] 2 3 2 2 5" xfId="21781"/>
    <cellStyle name="Title [Palat] 2 3 2 2 5" xfId="21782"/>
    <cellStyle name="Style 45 4 3 4 2 2 5" xfId="21783"/>
    <cellStyle name="Style 51 4 3 4 2 2 5" xfId="21784"/>
    <cellStyle name="Afjusted 3 4 2 2 5" xfId="21785"/>
    <cellStyle name="P-Green Rule 3 3 4 2 2 5" xfId="21786"/>
    <cellStyle name="Border Thin 2 3 2 2 5" xfId="21787"/>
    <cellStyle name="Style 49 3 3 2 2 5" xfId="21788"/>
    <cellStyle name="Style 51 2 3 2 2 5" xfId="21789"/>
    <cellStyle name="Heading [Helv] 2 2 4 2 2 5" xfId="21790"/>
    <cellStyle name="Table Head Aligned 2 2 4 2 2 5" xfId="21791"/>
    <cellStyle name="Table Head Green 2 2 4 2 2 5" xfId="21792"/>
    <cellStyle name="Table Head Green 2 2 3 3 2 2 5" xfId="21793"/>
    <cellStyle name="Heading [Palat] 2 2 3 3 2 2 5" xfId="21794"/>
    <cellStyle name="dp*SheetSubTitle 2 2 3 3 2 2 5" xfId="21795"/>
    <cellStyle name="P-Green Rule 3 3 3 2 2 5" xfId="21796"/>
    <cellStyle name="Date [mm-d-yyyy] 3 3 3 2 2 5" xfId="21797"/>
    <cellStyle name="Date [mm-d-yyyy] 3 4 2 2 5" xfId="21798"/>
    <cellStyle name="Style 51 4 4 2 2 5" xfId="21799"/>
    <cellStyle name="Style 49 4 4 2 2 5" xfId="21800"/>
    <cellStyle name="Style 45 4 4 2 2 5" xfId="21801"/>
    <cellStyle name="Style 44 4 4 2 2 5" xfId="21802"/>
    <cellStyle name="dp*ThinLineBelow 3 3 4 2 2 5" xfId="21803"/>
    <cellStyle name="P-Green Rule 3 4 2 2 5" xfId="21804"/>
    <cellStyle name="dp*ThinLineBelow 3 4 2 2 5" xfId="21805"/>
    <cellStyle name="dp*SubTitle 3 4 2 2 5" xfId="21806"/>
    <cellStyle name="dp*SubTitle 3 3 4 2 2 5" xfId="21807"/>
    <cellStyle name="Border Thin 3 4 2 2 5" xfId="21808"/>
    <cellStyle name="Border Thin 3 3 4 2 2 5" xfId="21809"/>
    <cellStyle name="Afjusted 4 4 2 2 5" xfId="21810"/>
    <cellStyle name="Afjusted 2 2 4 2 2 5" xfId="21811"/>
    <cellStyle name="Style 44 4 3 4 2 2 5" xfId="21812"/>
    <cellStyle name="PB Table Standard Row 3 3 4 2 2 5" xfId="21813"/>
    <cellStyle name="Title [Palat] 2 2 3 5 2 5" xfId="21814"/>
    <cellStyle name="Title [Helv] 2 2 3 5 2 5" xfId="21815"/>
    <cellStyle name="Table Head Green 2 2 3 5 2 5" xfId="21816"/>
    <cellStyle name="Table Head Aligned 2 2 3 5 2 5" xfId="21817"/>
    <cellStyle name="Outputs 2 2 3 5 2 5" xfId="21818"/>
    <cellStyle name="Magic 2 2 3 5 2 5" xfId="21819"/>
    <cellStyle name="Heading [Palat] 2 2 3 5 2 5" xfId="21820"/>
    <cellStyle name="Heading [Helv] 2 2 3 5 2 5" xfId="21821"/>
    <cellStyle name="dp*SheetSubTitle 2 2 3 5 2 5" xfId="21822"/>
    <cellStyle name="dp*NumberLineEPS 2 2 3 5 2 5" xfId="21823"/>
    <cellStyle name="dp*NumberLine 2 2 3 5 2 5" xfId="21824"/>
    <cellStyle name="Date [mmm-yyyy] 2 2 3 5 2 5" xfId="21825"/>
    <cellStyle name="COL HEADINGS 2 2 3 5 2 5" xfId="21826"/>
    <cellStyle name="Bold/Border 2 2 3 5 2 5" xfId="21827"/>
    <cellStyle name="Afjusted 2 2 3 5 2 5" xfId="21828"/>
    <cellStyle name="ac 2 2 3 5 2 5" xfId="21829"/>
    <cellStyle name="Afjusted 4 3 5 2 5" xfId="21830"/>
    <cellStyle name="Border Thin 3 3 5 2 5" xfId="21831"/>
    <cellStyle name="dp*SubTitle 3 3 5 2 5" xfId="21832"/>
    <cellStyle name="dp*ThinLineBelow 3 3 5 2 5" xfId="21833"/>
    <cellStyle name="PB Table Standard Row 3 3 5 2 5" xfId="21834"/>
    <cellStyle name="P-Green Rule 3 3 5 2 5" xfId="21835"/>
    <cellStyle name="Style 44 4 3 5 2 5" xfId="21836"/>
    <cellStyle name="Style 45 4 3 5 2 5" xfId="21837"/>
    <cellStyle name="Style 49 4 3 5 2 5" xfId="21838"/>
    <cellStyle name="Style 51 4 3 5 2 5" xfId="21839"/>
    <cellStyle name="Date [mm-d-yyyy] 3 3 5 2 5" xfId="21840"/>
    <cellStyle name="Afjusted 3 3 5 2 5" xfId="21841"/>
    <cellStyle name="Date [mm-d-yyyy] 2 2 4 2 5" xfId="21842"/>
    <cellStyle name="Afjusted 3 2 5 2 5" xfId="21843"/>
    <cellStyle name="Date [mm-d-yyyy] 3 2 5 2 5" xfId="21844"/>
    <cellStyle name="Style 51 4 2 5 2 5" xfId="21845"/>
    <cellStyle name="Style 49 4 2 5 2 5" xfId="21846"/>
    <cellStyle name="Style 45 4 2 5 2 5" xfId="21847"/>
    <cellStyle name="Style 44 4 2 5 2 5" xfId="21848"/>
    <cellStyle name="P-Green Rule 3 2 5 2 5" xfId="21849"/>
    <cellStyle name="dp*ThinLineBelow 3 2 5 2 5" xfId="21850"/>
    <cellStyle name="dp*SubTitle 3 2 5 2 5" xfId="21851"/>
    <cellStyle name="Border Thin 3 2 5 2 5" xfId="21852"/>
    <cellStyle name="Afjusted 4 2 5 2 5" xfId="21853"/>
    <cellStyle name="ac 2 2 2 5 2 5" xfId="21854"/>
    <cellStyle name="Afjusted 2 2 2 5 2 5" xfId="21855"/>
    <cellStyle name="Bold/Border 2 2 2 5 2 5" xfId="21856"/>
    <cellStyle name="COL HEADINGS 2 2 2 5 2 5" xfId="21857"/>
    <cellStyle name="Date [mmm-yyyy] 2 2 2 5 2 5" xfId="21858"/>
    <cellStyle name="dp*NumberLine 2 2 2 5 2 5" xfId="21859"/>
    <cellStyle name="dp*NumberLineEPS 2 2 2 5 2 5" xfId="21860"/>
    <cellStyle name="dp*SheetSubTitle 2 2 2 5 2 5" xfId="21861"/>
    <cellStyle name="Heading [Helv] 2 2 2 5 2 5" xfId="21862"/>
    <cellStyle name="Heading [Palat] 2 2 2 5 2 5" xfId="21863"/>
    <cellStyle name="Magic 2 2 2 5 2 5" xfId="21864"/>
    <cellStyle name="Outputs 2 2 2 5 2 5" xfId="21865"/>
    <cellStyle name="Table Head Aligned 2 2 2 5 2 5" xfId="21866"/>
    <cellStyle name="Table Head Green 2 2 2 5 2 5" xfId="21867"/>
    <cellStyle name="Title [Helv] 2 2 2 5 2 5" xfId="21868"/>
    <cellStyle name="Title [Palat] 2 2 2 5 2 5" xfId="21869"/>
    <cellStyle name="Table Head Green 2 2 3 4 2 2 5" xfId="21870"/>
    <cellStyle name="Heading [Palat] 2 2 3 4 2 2 5" xfId="21871"/>
    <cellStyle name="PB Table Standard Row 2 3 2 2 5" xfId="21872"/>
    <cellStyle name="P-Green Rule 2 3 2 2 5" xfId="21873"/>
    <cellStyle name="Title [Palat] 2 2 3 2 2 2 5" xfId="21874"/>
    <cellStyle name="Title [Helv] 2 2 3 2 2 2 5" xfId="21875"/>
    <cellStyle name="Table Head Green 2 2 3 2 2 2 5" xfId="21876"/>
    <cellStyle name="Table Head Aligned 2 2 3 2 2 2 5" xfId="21877"/>
    <cellStyle name="Outputs 2 2 3 2 2 2 5" xfId="21878"/>
    <cellStyle name="Magic 2 2 3 2 2 2 5" xfId="21879"/>
    <cellStyle name="Heading [Palat] 2 2 3 2 2 2 5" xfId="21880"/>
    <cellStyle name="Heading [Helv] 2 2 3 2 2 2 5" xfId="21881"/>
    <cellStyle name="dp*SheetSubTitle 2 2 3 2 2 2 5" xfId="21882"/>
    <cellStyle name="dp*NumberLineEPS 2 2 3 2 2 2 5" xfId="21883"/>
    <cellStyle name="dp*NumberLine 2 2 3 2 2 2 5" xfId="21884"/>
    <cellStyle name="Date [mmm-yyyy] 2 2 3 2 2 2 5" xfId="21885"/>
    <cellStyle name="COL HEADINGS 2 2 3 2 2 2 5" xfId="21886"/>
    <cellStyle name="Bold/Border 2 2 3 2 2 2 5" xfId="21887"/>
    <cellStyle name="Afjusted 2 2 3 2 2 2 5" xfId="21888"/>
    <cellStyle name="ac 2 2 3 2 2 2 5" xfId="21889"/>
    <cellStyle name="Afjusted 4 3 2 2 2 5" xfId="21890"/>
    <cellStyle name="Border Thin 3 3 2 2 2 5" xfId="21891"/>
    <cellStyle name="dp*SubTitle 3 3 2 2 2 5" xfId="21892"/>
    <cellStyle name="dp*ThinLineBelow 3 3 2 2 2 5" xfId="21893"/>
    <cellStyle name="PB Table Standard Row 3 3 2 2 2 5" xfId="21894"/>
    <cellStyle name="P-Green Rule 3 3 2 2 2 5" xfId="21895"/>
    <cellStyle name="Style 44 4 3 2 2 2 5" xfId="21896"/>
    <cellStyle name="Style 45 4 3 2 2 2 5" xfId="21897"/>
    <cellStyle name="Style 49 4 3 2 2 2 5" xfId="21898"/>
    <cellStyle name="Style 51 4 3 2 2 2 5" xfId="21899"/>
    <cellStyle name="Date [mm-d-yyyy] 3 3 2 2 2 5" xfId="21900"/>
    <cellStyle name="Afjusted 3 3 2 2 2 5" xfId="21901"/>
    <cellStyle name="Date [mm-d-yyyy] 3 5 2 2 5" xfId="21902"/>
    <cellStyle name="dp*SubTitle 2 3 2 2 5" xfId="21903"/>
    <cellStyle name="Date [mm-d-yyyy] 2 2 2 2 2 5" xfId="21904"/>
    <cellStyle name="Afjusted 3 2 2 2 2 5" xfId="21905"/>
    <cellStyle name="PB Table Standard Row 3 5 2 2 5" xfId="21906"/>
    <cellStyle name="Date [mm-d-yyyy] 3 2 2 2 2 5" xfId="21907"/>
    <cellStyle name="Style 51 4 2 2 2 2 5" xfId="21908"/>
    <cellStyle name="Style 49 4 2 2 2 2 5" xfId="21909"/>
    <cellStyle name="Style 45 4 2 2 2 2 5" xfId="21910"/>
    <cellStyle name="Style 44 4 2 2 2 2 5" xfId="21911"/>
    <cellStyle name="Style 45 4 5 2 2 5" xfId="21912"/>
    <cellStyle name="P-Green Rule 3 2 2 2 2 5" xfId="21913"/>
    <cellStyle name="PB Table Standard Row 3 2 2 2 2 5" xfId="21914"/>
    <cellStyle name="dp*ThinLineBelow 3 2 2 2 2 5" xfId="21915"/>
    <cellStyle name="dp*SubTitle 3 2 2 2 2 5" xfId="21916"/>
    <cellStyle name="Style 51 4 5 2 2 5" xfId="21917"/>
    <cellStyle name="Border Thin 3 2 2 2 2 5" xfId="21918"/>
    <cellStyle name="Afjusted 4 2 2 2 2 5" xfId="21919"/>
    <cellStyle name="ac 2 2 2 2 2 2 5" xfId="21920"/>
    <cellStyle name="Afjusted 2 2 2 2 2 2 5" xfId="21921"/>
    <cellStyle name="Bold/Border 2 2 2 2 2 2 5" xfId="21922"/>
    <cellStyle name="COL HEADINGS 2 2 2 2 2 2 5" xfId="21923"/>
    <cellStyle name="Date [mmm-yyyy] 2 2 2 2 2 2 5" xfId="21924"/>
    <cellStyle name="dp*NumberLine 2 2 2 2 2 2 5" xfId="21925"/>
    <cellStyle name="dp*NumberLineEPS 2 2 2 2 2 2 5" xfId="21926"/>
    <cellStyle name="dp*SheetSubTitle 2 2 2 2 2 2 5" xfId="21927"/>
    <cellStyle name="Heading [Helv] 2 2 2 2 2 2 5" xfId="21928"/>
    <cellStyle name="Heading [Palat] 2 2 2 2 2 2 5" xfId="21929"/>
    <cellStyle name="Magic 2 2 2 2 2 2 5" xfId="21930"/>
    <cellStyle name="Outputs 2 2 2 2 2 2 5" xfId="21931"/>
    <cellStyle name="Table Head Aligned 2 2 2 2 2 2 5" xfId="21932"/>
    <cellStyle name="Table Head Green 2 2 2 2 2 2 5" xfId="21933"/>
    <cellStyle name="Title [Helv] 2 2 2 2 2 2 5" xfId="21934"/>
    <cellStyle name="Title [Palat] 2 2 2 2 2 2 5" xfId="21935"/>
    <cellStyle name="dp*ThinLineBelow 3 5 2 2 5" xfId="21936"/>
    <cellStyle name="Date [mm-d-yyyy] 2 2 3 2 2 5" xfId="21937"/>
    <cellStyle name="Afjusted 3 2 3 2 2 5" xfId="21938"/>
    <cellStyle name="Date [mm-d-yyyy] 3 2 3 2 2 5" xfId="21939"/>
    <cellStyle name="Style 51 4 2 3 2 2 5" xfId="21940"/>
    <cellStyle name="Style 49 4 2 3 2 2 5" xfId="21941"/>
    <cellStyle name="Style 45 4 2 3 2 2 5" xfId="21942"/>
    <cellStyle name="Style 44 4 2 3 2 2 5" xfId="21943"/>
    <cellStyle name="P-Green Rule 3 2 3 2 2 5" xfId="21944"/>
    <cellStyle name="PB Table Standard Row 3 2 3 2 2 5" xfId="21945"/>
    <cellStyle name="dp*ThinLineBelow 3 2 3 2 2 5" xfId="21946"/>
    <cellStyle name="dp*SubTitle 3 2 3 2 2 5" xfId="21947"/>
    <cellStyle name="Border Thin 3 2 3 2 2 5" xfId="21948"/>
    <cellStyle name="Afjusted 4 2 3 2 2 5" xfId="21949"/>
    <cellStyle name="ac 2 2 2 3 2 2 5" xfId="21950"/>
    <cellStyle name="Afjusted 2 2 2 3 2 2 5" xfId="21951"/>
    <cellStyle name="Bold/Border 2 2 2 3 2 2 5" xfId="21952"/>
    <cellStyle name="COL HEADINGS 2 2 2 3 2 2 5" xfId="21953"/>
    <cellStyle name="Date [mmm-yyyy] 2 2 2 3 2 2 5" xfId="21954"/>
    <cellStyle name="dp*NumberLine 2 2 2 3 2 2 5" xfId="21955"/>
    <cellStyle name="dp*NumberLineEPS 2 2 2 3 2 2 5" xfId="21956"/>
    <cellStyle name="dp*SheetSubTitle 2 2 2 3 2 2 5" xfId="21957"/>
    <cellStyle name="Heading [Helv] 2 2 2 3 2 2 5" xfId="21958"/>
    <cellStyle name="Heading [Palat] 2 2 2 3 2 2 5" xfId="21959"/>
    <cellStyle name="Magic 2 2 2 3 2 2 5" xfId="21960"/>
    <cellStyle name="Outputs 2 2 2 3 2 2 5" xfId="21961"/>
    <cellStyle name="Table Head Aligned 2 2 2 3 2 2 5" xfId="21962"/>
    <cellStyle name="Table Head Green 2 2 2 3 2 2 5" xfId="21963"/>
    <cellStyle name="Title [Helv] 2 2 2 3 2 2 5" xfId="21964"/>
    <cellStyle name="Title [Palat] 2 2 2 3 2 2 5" xfId="21965"/>
    <cellStyle name="Afjusted 3 2 4 2 2 5" xfId="21966"/>
    <cellStyle name="Date [mm-d-yyyy] 3 2 4 2 2 5" xfId="21967"/>
    <cellStyle name="Style 51 4 2 4 2 2 5" xfId="21968"/>
    <cellStyle name="Style 49 4 2 4 2 2 5" xfId="21969"/>
    <cellStyle name="Style 45 4 2 4 2 2 5" xfId="21970"/>
    <cellStyle name="Style 44 4 2 4 2 2 5" xfId="21971"/>
    <cellStyle name="P-Green Rule 3 2 4 2 2 5" xfId="21972"/>
    <cellStyle name="PB Table Standard Row 3 2 4 2 2 5" xfId="21973"/>
    <cellStyle name="dp*ThinLineBelow 3 2 4 2 2 5" xfId="21974"/>
    <cellStyle name="dp*SubTitle 3 2 4 2 2 5" xfId="21975"/>
    <cellStyle name="Border Thin 3 2 4 2 2 5" xfId="21976"/>
    <cellStyle name="Afjusted 4 2 4 2 2 5" xfId="21977"/>
    <cellStyle name="ac 2 2 2 4 2 2 5" xfId="21978"/>
    <cellStyle name="Afjusted 2 2 2 4 2 2 5" xfId="21979"/>
    <cellStyle name="Bold/Border 2 2 2 4 2 2 5" xfId="21980"/>
    <cellStyle name="COL HEADINGS 2 2 2 4 2 2 5" xfId="21981"/>
    <cellStyle name="Date [mmm-yyyy] 2 2 2 4 2 2 5" xfId="21982"/>
    <cellStyle name="dp*NumberLine 2 2 2 4 2 2 5" xfId="21983"/>
    <cellStyle name="dp*NumberLineEPS 2 2 2 4 2 2 5" xfId="21984"/>
    <cellStyle name="dp*SheetSubTitle 2 2 2 4 2 2 5" xfId="21985"/>
    <cellStyle name="Heading [Helv] 2 2 2 4 2 2 5" xfId="21986"/>
    <cellStyle name="Heading [Palat] 2 2 2 4 2 2 5" xfId="21987"/>
    <cellStyle name="Magic 2 2 2 4 2 2 5" xfId="21988"/>
    <cellStyle name="Outputs 2 2 2 4 2 2 5" xfId="21989"/>
    <cellStyle name="Table Head Aligned 2 2 2 4 2 2 5" xfId="21990"/>
    <cellStyle name="Table Head Green 2 2 2 4 2 2 5" xfId="21991"/>
    <cellStyle name="Title [Helv] 2 2 2 4 2 2 5" xfId="21992"/>
    <cellStyle name="Title [Palat] 2 2 2 4 2 2 5" xfId="21993"/>
    <cellStyle name="Border Thin 4 2 2 5" xfId="21994"/>
    <cellStyle name="Date [mm-d-yyyy] 4 2 2 5" xfId="21995"/>
    <cellStyle name="dp*SubTitle 4 2 2 5" xfId="21996"/>
    <cellStyle name="dp*ThinLineBelow 4 2 2 5" xfId="21997"/>
    <cellStyle name="PB Table Standard Row 4 2 2 5" xfId="21998"/>
    <cellStyle name="P-Green Rule 4 2 2 5" xfId="21999"/>
    <cellStyle name="Style 44 5 2 2 5" xfId="22000"/>
    <cellStyle name="Style 45 5 2 2 5" xfId="22001"/>
    <cellStyle name="Style 49 5 2 2 5" xfId="22002"/>
    <cellStyle name="Style 51 5 2 2 5" xfId="22003"/>
    <cellStyle name="Title [Palat] 3 2 2 5" xfId="22004"/>
    <cellStyle name="Title [Helv] 3 2 2 5" xfId="22005"/>
    <cellStyle name="Table Head Green 3 2 2 5" xfId="22006"/>
    <cellStyle name="Table Head Aligned 3 2 2 5" xfId="22007"/>
    <cellStyle name="Outputs 3 2 2 5" xfId="22008"/>
    <cellStyle name="Magic 3 2 2 5" xfId="22009"/>
    <cellStyle name="Heading [Palat] 3 2 2 5" xfId="22010"/>
    <cellStyle name="Heading [Helv] 3 2 2 5" xfId="22011"/>
    <cellStyle name="dp*SheetSubTitle 3 2 2 5" xfId="22012"/>
    <cellStyle name="dp*NumberLineEPS 3 2 2 5" xfId="22013"/>
    <cellStyle name="dp*NumberLine 3 2 2 5" xfId="22014"/>
    <cellStyle name="COL HEADINGS 3 2 2 5" xfId="22015"/>
    <cellStyle name="Bold/Border 3 2 2 5" xfId="22016"/>
    <cellStyle name="Afjusted 5 2 2 5" xfId="22017"/>
    <cellStyle name="ac 3 2 2 5" xfId="22018"/>
    <cellStyle name="Date [mmm-yyyy] 3 2 2 5" xfId="22019"/>
    <cellStyle name="ac 2 4 2 2 5" xfId="22020"/>
    <cellStyle name="Afjusted 2 3 2 2 5" xfId="22021"/>
    <cellStyle name="Bold/Border 2 4 2 2 5" xfId="22022"/>
    <cellStyle name="Border Thin 2 4 2 2 5" xfId="22023"/>
    <cellStyle name="COL HEADINGS 2 4 2 2 5" xfId="22024"/>
    <cellStyle name="Date [mmm-yyyy] 2 4 2 2 5" xfId="22025"/>
    <cellStyle name="dp*NumberLine 2 4 2 2 5" xfId="22026"/>
    <cellStyle name="dp*NumberLineEPS 2 4 2 2 5" xfId="22027"/>
    <cellStyle name="dp*SheetSubTitle 2 4 2 2 5" xfId="22028"/>
    <cellStyle name="dp*SubTitle 2 4 2 2 5" xfId="22029"/>
    <cellStyle name="dp*ThinLineBelow 2 4 2 2 5" xfId="22030"/>
    <cellStyle name="Heading [Helv] 2 4 2 2 5" xfId="22031"/>
    <cellStyle name="Heading [Palat] 2 4 2 2 5" xfId="22032"/>
    <cellStyle name="Magic 2 4 2 2 5" xfId="22033"/>
    <cellStyle name="Outputs 2 4 2 2 5" xfId="22034"/>
    <cellStyle name="PB Table Standard Row 2 4 2 2 5" xfId="22035"/>
    <cellStyle name="P-Green Rule 2 4 2 2 5" xfId="22036"/>
    <cellStyle name="Style 44 3 4 2 2 5" xfId="22037"/>
    <cellStyle name="Style 45 3 4 2 2 5" xfId="22038"/>
    <cellStyle name="Style 49 3 4 2 2 5" xfId="22039"/>
    <cellStyle name="Style 51 3 4 2 2 5" xfId="22040"/>
    <cellStyle name="Style 44 2 4 2 2 5" xfId="22041"/>
    <cellStyle name="Style 45 2 4 2 2 5" xfId="22042"/>
    <cellStyle name="Style 49 2 4 2 2 5" xfId="22043"/>
    <cellStyle name="Style 51 2 4 2 2 5" xfId="22044"/>
    <cellStyle name="Table Head Aligned 2 4 2 2 5" xfId="22045"/>
    <cellStyle name="Table Head Green 2 4 2 2 5" xfId="22046"/>
    <cellStyle name="Title [Helv] 2 4 2 2 5" xfId="22047"/>
    <cellStyle name="Title [Palat] 2 4 2 2 5" xfId="22048"/>
    <cellStyle name="ac 4 2 2 5" xfId="22049"/>
    <cellStyle name="Bold/Border 4 2 2 5" xfId="22050"/>
    <cellStyle name="Border Thin 5 2 2 5" xfId="22051"/>
    <cellStyle name="COL HEADINGS 4 2 2 5" xfId="22052"/>
    <cellStyle name="Date [mm-d-yyyy] 5 2 2 5" xfId="22053"/>
    <cellStyle name="Heading [Helv] 4 2 2 5" xfId="22054"/>
    <cellStyle name="Heading [Palat] 4 2 2 5" xfId="22055"/>
    <cellStyle name="Outputs 4 2 2 5" xfId="22056"/>
    <cellStyle name="PB Table Standard Row 5 2 2 5" xfId="22057"/>
    <cellStyle name="P-Green Rule 5 2 2 5" xfId="22058"/>
    <cellStyle name="Style 44 6 2 2 5" xfId="22059"/>
    <cellStyle name="Style 45 6 2 2 5" xfId="22060"/>
    <cellStyle name="Style 49 6 2 2 5" xfId="22061"/>
    <cellStyle name="Style 51 6 2 2 5" xfId="22062"/>
    <cellStyle name="Table Head Green 4 2 2 5" xfId="22063"/>
    <cellStyle name="Afjusted 6 2 2 5" xfId="22064"/>
    <cellStyle name="ac 2 5 2 2 5" xfId="22065"/>
    <cellStyle name="Afjusted 2 4 2 2 5" xfId="22066"/>
    <cellStyle name="Bold/Border 2 5 2 2 5" xfId="22067"/>
    <cellStyle name="Border Thin 2 5 2 2 5" xfId="22068"/>
    <cellStyle name="COL HEADINGS 2 5 2 2 5" xfId="22069"/>
    <cellStyle name="Date [mmm-yyyy] 2 5 2 2 5" xfId="22070"/>
    <cellStyle name="dp*NumberLine 2 5 2 2 5" xfId="22071"/>
    <cellStyle name="dp*NumberLineEPS 2 5 2 2 5" xfId="22072"/>
    <cellStyle name="dp*SheetSubTitle 2 5 2 2 5" xfId="22073"/>
    <cellStyle name="dp*SubTitle 2 5 2 2 5" xfId="22074"/>
    <cellStyle name="dp*ThinLineBelow 2 5 2 2 5" xfId="22075"/>
    <cellStyle name="Heading [Helv] 2 5 2 2 5" xfId="22076"/>
    <cellStyle name="Heading [Palat] 2 5 2 2 5" xfId="22077"/>
    <cellStyle name="Magic 2 5 2 2 5" xfId="22078"/>
    <cellStyle name="Outputs 2 5 2 2 5" xfId="22079"/>
    <cellStyle name="PB Table Standard Row 2 5 2 2 5" xfId="22080"/>
    <cellStyle name="P-Green Rule 2 5 2 2 5" xfId="22081"/>
    <cellStyle name="Style 44 3 5 2 2 5" xfId="22082"/>
    <cellStyle name="Style 45 3 5 2 2 5" xfId="22083"/>
    <cellStyle name="Style 49 3 5 2 2 5" xfId="22084"/>
    <cellStyle name="Style 51 3 5 2 2 5" xfId="22085"/>
    <cellStyle name="Style 44 2 5 2 2 5" xfId="22086"/>
    <cellStyle name="Style 45 2 5 2 2 5" xfId="22087"/>
    <cellStyle name="Style 49 2 5 2 2 5" xfId="22088"/>
    <cellStyle name="Style 51 2 5 2 2 5" xfId="22089"/>
    <cellStyle name="Table Head Aligned 2 5 2 2 5" xfId="22090"/>
    <cellStyle name="Table Head Green 2 5 2 2 5" xfId="22091"/>
    <cellStyle name="Title [Helv] 2 5 2 2 5" xfId="22092"/>
    <cellStyle name="Title [Palat] 2 5 2 2 5" xfId="22093"/>
    <cellStyle name="ac 5 2 2 5" xfId="22094"/>
    <cellStyle name="Bold/Border 5 2 2 5" xfId="22095"/>
    <cellStyle name="Border Thin 6 2 2 5" xfId="22096"/>
    <cellStyle name="COL HEADINGS 5 2 2 5" xfId="22097"/>
    <cellStyle name="Heading [Helv] 5 2 2 5" xfId="22098"/>
    <cellStyle name="Heading [Palat] 5 2 2 5" xfId="22099"/>
    <cellStyle name="Outputs 5 2 2 5" xfId="22100"/>
    <cellStyle name="PB Table Standard Row 6 2 2 5" xfId="22101"/>
    <cellStyle name="P-Green Rule 6 2 2 5" xfId="22102"/>
    <cellStyle name="Style 44 7 2 2 5" xfId="22103"/>
    <cellStyle name="Style 45 7 2 2 5" xfId="22104"/>
    <cellStyle name="Style 49 7 2 2 5" xfId="22105"/>
    <cellStyle name="Style 51 7 2 2 5" xfId="22106"/>
    <cellStyle name="Table Head Green 5 2 2 5" xfId="22107"/>
    <cellStyle name="Title [Palat] 4 2 2 5" xfId="22108"/>
    <cellStyle name="ac 2 6 2 2 5" xfId="22109"/>
    <cellStyle name="Bold/Border 2 6 2 2 5" xfId="22110"/>
    <cellStyle name="Border Thin 2 6 2 2 5" xfId="22111"/>
    <cellStyle name="COL HEADINGS 2 6 2 2 5" xfId="22112"/>
    <cellStyle name="Heading [Helv] 2 6 2 2 5" xfId="22113"/>
    <cellStyle name="Heading [Palat] 2 6 2 2 5" xfId="22114"/>
    <cellStyle name="Outputs 2 6 2 2 5" xfId="22115"/>
    <cellStyle name="PB Table Standard Row 2 6 2 2 5" xfId="22116"/>
    <cellStyle name="P-Green Rule 2 6 2 2 5" xfId="22117"/>
    <cellStyle name="Style 44 3 6 2 2 5" xfId="22118"/>
    <cellStyle name="Style 45 3 6 2 2 5" xfId="22119"/>
    <cellStyle name="Style 49 3 6 2 2 5" xfId="22120"/>
    <cellStyle name="Style 51 3 6 2 2 5" xfId="22121"/>
    <cellStyle name="Style 44 2 6 2 2 5" xfId="22122"/>
    <cellStyle name="Style 45 2 6 2 2 5" xfId="22123"/>
    <cellStyle name="Style 49 2 6 2 2 5" xfId="22124"/>
    <cellStyle name="Style 51 2 6 2 2 5" xfId="22125"/>
    <cellStyle name="Table Head Green 2 6 2 2 5" xfId="22126"/>
    <cellStyle name="Title [Palat] 2 6 2 2 5" xfId="22127"/>
    <cellStyle name="Title [Palat] 5 2 2 5" xfId="22128"/>
    <cellStyle name="Title [Helv] 4 2 2 5" xfId="22129"/>
    <cellStyle name="Table Head Green 6 2 2 5" xfId="22130"/>
    <cellStyle name="Table Head Aligned 4 2 2 5" xfId="22131"/>
    <cellStyle name="Style 51 9 2 2 5" xfId="22132"/>
    <cellStyle name="Style 49 9 2 2 5" xfId="22133"/>
    <cellStyle name="Style 45 9 2 2 5" xfId="22134"/>
    <cellStyle name="Style 44 9 2 2 5" xfId="22135"/>
    <cellStyle name="P-Green Rule 7 2 2 5" xfId="22136"/>
    <cellStyle name="PB Table Standard Row 7 2 2 5" xfId="22137"/>
    <cellStyle name="Outputs 6 2 2 5" xfId="22138"/>
    <cellStyle name="Magic 4 2 2 5" xfId="22139"/>
    <cellStyle name="Heading [Palat] 6 2 2 5" xfId="22140"/>
    <cellStyle name="Heading [Helv] 6 2 2 5" xfId="22141"/>
    <cellStyle name="dp*ThinLineBelow 5 2 2 5" xfId="22142"/>
    <cellStyle name="dp*SubTitle 5 2 2 5" xfId="22143"/>
    <cellStyle name="dp*SheetSubTitle 4 2 2 5" xfId="22144"/>
    <cellStyle name="dp*NumberLineEPS 4 2 2 5" xfId="22145"/>
    <cellStyle name="dp*NumberLine 4 2 2 5" xfId="22146"/>
    <cellStyle name="Date [mmm-yyyy] 4 2 2 5" xfId="22147"/>
    <cellStyle name="Date [mm-d-yyyy] 7 2 2 5" xfId="22148"/>
    <cellStyle name="COL HEADINGS 6 2 2 5" xfId="22149"/>
    <cellStyle name="Border Thin 7 2 2 5" xfId="22150"/>
    <cellStyle name="Bold/Border 6 2 2 5" xfId="22151"/>
    <cellStyle name="Afjusted 7 2 2 5" xfId="22152"/>
    <cellStyle name="ac 6 2 2 5" xfId="22153"/>
    <cellStyle name="Style 44 8 2 2 5" xfId="22154"/>
    <cellStyle name="Style 45 8 2 2 5" xfId="22155"/>
    <cellStyle name="Style 49 8 2 2 5" xfId="22156"/>
    <cellStyle name="Style 51 8 2 2 5" xfId="22157"/>
    <cellStyle name="Title [Palat] 6 2 2 5" xfId="22158"/>
    <cellStyle name="Title [Helv] 5 2 2 5" xfId="22159"/>
    <cellStyle name="Table Head Green 7 2 2 5" xfId="22160"/>
    <cellStyle name="Table Head Aligned 5 2 2 5" xfId="22161"/>
    <cellStyle name="Outputs 7 2 2 5" xfId="22162"/>
    <cellStyle name="Magic 5 2 2 5" xfId="22163"/>
    <cellStyle name="Heading [Palat] 7 2 2 5" xfId="22164"/>
    <cellStyle name="Heading [Helv] 7 2 2 5" xfId="22165"/>
    <cellStyle name="dp*SheetSubTitle 5 2 2 5" xfId="22166"/>
    <cellStyle name="dp*NumberLineEPS 5 2 2 5" xfId="22167"/>
    <cellStyle name="dp*NumberLine 5 2 2 5" xfId="22168"/>
    <cellStyle name="Date [mmm-yyyy] 5 2 2 5" xfId="22169"/>
    <cellStyle name="COL HEADINGS 7 2 2 5" xfId="22170"/>
    <cellStyle name="Bold/Border 7 2 2 5" xfId="22171"/>
    <cellStyle name="Afjusted 8 2 2 5" xfId="22172"/>
    <cellStyle name="ac 7 2 2 5" xfId="22173"/>
    <cellStyle name="Title [Palat] 7 2 2 5" xfId="22174"/>
    <cellStyle name="Title [Helv] 6 2 2 5" xfId="22175"/>
    <cellStyle name="Table Head Green 8 2 2 5" xfId="22176"/>
    <cellStyle name="Table Head Aligned 6 2 2 5" xfId="22177"/>
    <cellStyle name="Outputs 8 2 2 5" xfId="22178"/>
    <cellStyle name="Magic 6 2 2 5" xfId="22179"/>
    <cellStyle name="Heading [Palat] 8 2 2 5" xfId="22180"/>
    <cellStyle name="Heading [Helv] 8 2 2 5" xfId="22181"/>
    <cellStyle name="dp*SheetSubTitle 6 2 2 5" xfId="22182"/>
    <cellStyle name="dp*NumberLineEPS 6 2 2 5" xfId="22183"/>
    <cellStyle name="dp*NumberLine 6 2 2 5" xfId="22184"/>
    <cellStyle name="COL HEADINGS 8 2 2 5" xfId="22185"/>
    <cellStyle name="Bold/Border 8 2 2 5" xfId="22186"/>
    <cellStyle name="Afjusted 9 2 2 5" xfId="22187"/>
    <cellStyle name="ac 8 2 2 5" xfId="22188"/>
    <cellStyle name="Date [mmm-yyyy] 6 2 2 5" xfId="22189"/>
    <cellStyle name="Title [Palat] 8 2 2 5" xfId="22190"/>
    <cellStyle name="Title [Helv] 7 2 2 5" xfId="22191"/>
    <cellStyle name="Table Head Green 9 2 2 5" xfId="22192"/>
    <cellStyle name="Table Head Aligned 7 2 2 5" xfId="22193"/>
    <cellStyle name="Outputs 9 2 2 5" xfId="22194"/>
    <cellStyle name="Magic 7 2 2 5" xfId="22195"/>
    <cellStyle name="Heading [Palat] 9 2 2 5" xfId="22196"/>
    <cellStyle name="Heading [Helv] 9 2 2 5" xfId="22197"/>
    <cellStyle name="dp*SheetSubTitle 7 2 2 5" xfId="22198"/>
    <cellStyle name="dp*NumberLineEPS 7 2 2 5" xfId="22199"/>
    <cellStyle name="dp*NumberLine 7 2 2 5" xfId="22200"/>
    <cellStyle name="Date [mmm-yyyy] 7 2 2 5" xfId="22201"/>
    <cellStyle name="COL HEADINGS 9 2 2 5" xfId="22202"/>
    <cellStyle name="Bold/Border 9 2 2 5" xfId="22203"/>
    <cellStyle name="Afjusted 10 2 2 5" xfId="22204"/>
    <cellStyle name="ac 9 2 2 5" xfId="22205"/>
    <cellStyle name="Style 44 6 4 5" xfId="22206"/>
    <cellStyle name="Style 45 6 4 5" xfId="22207"/>
    <cellStyle name="Style 49 6 4 5" xfId="22208"/>
    <cellStyle name="Style 51 6 4 5" xfId="22209"/>
    <cellStyle name="Table Head Green 4 4 5" xfId="22210"/>
    <cellStyle name="Millions 8 5" xfId="22211"/>
    <cellStyle name="Style 45 2 5 10" xfId="22212"/>
    <cellStyle name="Afjusted 6 4 5" xfId="22213"/>
    <cellStyle name="ac 2 5 4 5" xfId="22214"/>
    <cellStyle name="Afjusted 2 4 4 5" xfId="22215"/>
    <cellStyle name="Bold/Border 2 5 4 5" xfId="22216"/>
    <cellStyle name="Border Thin 2 5 4 5" xfId="22217"/>
    <cellStyle name="COL HEADINGS 2 5 4 5" xfId="22218"/>
    <cellStyle name="Date [mmm-yyyy] 2 5 4 5" xfId="22219"/>
    <cellStyle name="dp*NumberLine 2 5 4 5" xfId="22220"/>
    <cellStyle name="dp*NumberLineEPS 2 5 4 5" xfId="22221"/>
    <cellStyle name="dp*SheetSubTitle 2 5 4 5" xfId="22222"/>
    <cellStyle name="dp*SubTitle 2 5 4 5" xfId="22223"/>
    <cellStyle name="dp*ThinLineBelow 2 5 4 5" xfId="22224"/>
    <cellStyle name="Heading [Helv] 2 5 4 5" xfId="22225"/>
    <cellStyle name="Heading [Palat] 2 5 4 5" xfId="22226"/>
    <cellStyle name="Magic 2 5 4 5" xfId="22227"/>
    <cellStyle name="Outputs 2 5 4 5" xfId="22228"/>
    <cellStyle name="PB Table Standard Row 2 5 4 5" xfId="22229"/>
    <cellStyle name="P-Green Rule 2 5 4 5" xfId="22230"/>
    <cellStyle name="Style 44 3 5 4 5" xfId="22231"/>
    <cellStyle name="Style 45 3 5 4 5" xfId="22232"/>
    <cellStyle name="Style 49 3 5 4 5" xfId="22233"/>
    <cellStyle name="Style 51 3 5 4 5" xfId="22234"/>
    <cellStyle name="Style 44 2 5 4 5" xfId="22235"/>
    <cellStyle name="Style 45 2 5 4 5" xfId="22236"/>
    <cellStyle name="Style 49 2 5 4 5" xfId="22237"/>
    <cellStyle name="Style 51 2 5 4 5" xfId="22238"/>
    <cellStyle name="Table Head Aligned 2 5 4 5" xfId="22239"/>
    <cellStyle name="Table Head Green 2 5 4 5" xfId="22240"/>
    <cellStyle name="Title [Helv] 2 5 4 5" xfId="22241"/>
    <cellStyle name="Title [Palat] 2 5 4 5" xfId="22242"/>
    <cellStyle name="ac 5 4 5" xfId="22243"/>
    <cellStyle name="Bold/Border 5 4 5" xfId="22244"/>
    <cellStyle name="Border Thin 6 4 5" xfId="22245"/>
    <cellStyle name="COL HEADINGS 5 4 5" xfId="22246"/>
    <cellStyle name="Date [mm-d-yyyy] 6 3 5" xfId="22247"/>
    <cellStyle name="Heading [Helv] 5 4 5" xfId="22248"/>
    <cellStyle name="Heading [Palat] 5 4 5" xfId="22249"/>
    <cellStyle name="Outputs 5 4 5" xfId="22250"/>
    <cellStyle name="PB Table Standard Row 6 4 5" xfId="22251"/>
    <cellStyle name="P-Green Rule 6 4 5" xfId="22252"/>
    <cellStyle name="Title [Helv] 2 2 10" xfId="22253"/>
    <cellStyle name="SymbolBlue 12" xfId="22254"/>
    <cellStyle name="Style 44 7 4 5" xfId="22255"/>
    <cellStyle name="Style 45 7 4 5" xfId="22256"/>
    <cellStyle name="Style 49 7 4 5" xfId="22257"/>
    <cellStyle name="Style 51 7 4 5" xfId="22258"/>
    <cellStyle name="Table Head Green 5 4 5" xfId="22259"/>
    <cellStyle name="Title [Palat] 4 4 5" xfId="22260"/>
    <cellStyle name="Afjusted 5 10" xfId="22261"/>
    <cellStyle name="WingdingsBlack 4 5" xfId="22262"/>
    <cellStyle name="ac 2 6 4 5" xfId="22263"/>
    <cellStyle name="Bold/Border 2 6 4 5" xfId="22264"/>
    <cellStyle name="Border Thin 2 6 4 5" xfId="22265"/>
    <cellStyle name="COL HEADINGS 2 6 4 5" xfId="22266"/>
    <cellStyle name="Date [mm-d-yyyy] 2 3 3 5" xfId="22267"/>
    <cellStyle name="Heading [Helv] 2 6 4 5" xfId="22268"/>
    <cellStyle name="Heading [Palat] 2 6 4 5" xfId="22269"/>
    <cellStyle name="Outputs 2 6 4 5" xfId="22270"/>
    <cellStyle name="PB Table Standard Row 2 6 4 5" xfId="22271"/>
    <cellStyle name="P-Green Rule 2 6 4 5" xfId="22272"/>
    <cellStyle name="Style 44 3 6 4 5" xfId="22273"/>
    <cellStyle name="Style 45 3 6 4 5" xfId="22274"/>
    <cellStyle name="Style 49 3 6 4 5" xfId="22275"/>
    <cellStyle name="Style 51 3 6 4 5" xfId="22276"/>
    <cellStyle name="Style 44 2 6 4 5" xfId="22277"/>
    <cellStyle name="Style 45 2 6 4 5" xfId="22278"/>
    <cellStyle name="Style 49 2 6 4 5" xfId="22279"/>
    <cellStyle name="Style 51 2 6 4 5" xfId="22280"/>
    <cellStyle name="Table Head Green 2 6 4 5" xfId="22281"/>
    <cellStyle name="Title [Palat] 2 6 4 5" xfId="22282"/>
    <cellStyle name="Title [Palat] 5 4 5" xfId="22283"/>
    <cellStyle name="Title [Helv] 4 4 5" xfId="22284"/>
    <cellStyle name="Table Head Green 6 4 5" xfId="22285"/>
    <cellStyle name="Table Head Aligned 4 4 5" xfId="22286"/>
    <cellStyle name="Style 51 9 3 5" xfId="22287"/>
    <cellStyle name="Style 49 9 3 5" xfId="22288"/>
    <cellStyle name="Style 45 9 3 5" xfId="22289"/>
    <cellStyle name="Style 44 9 3 5" xfId="22290"/>
    <cellStyle name="P-Green Rule 7 3 5" xfId="22291"/>
    <cellStyle name="PB Table Standard Row 7 3 5" xfId="22292"/>
    <cellStyle name="Outputs 6 4 5" xfId="22293"/>
    <cellStyle name="Magic 4 4 5" xfId="22294"/>
    <cellStyle name="Heading [Palat] 6 4 5" xfId="22295"/>
    <cellStyle name="Heading [Helv] 6 4 5" xfId="22296"/>
    <cellStyle name="dp*ThinLineBelow 5 4 5" xfId="22297"/>
    <cellStyle name="dp*SubTitle 5 4 5" xfId="22298"/>
    <cellStyle name="dp*SheetSubTitle 4 4 5" xfId="22299"/>
    <cellStyle name="dp*NumberLineEPS 4 4 5" xfId="22300"/>
    <cellStyle name="dp*NumberLine 4 4 5" xfId="22301"/>
    <cellStyle name="Date [mmm-yyyy] 4 4 5" xfId="22302"/>
    <cellStyle name="Date [mm-d-yyyy] 7 4 5" xfId="22303"/>
    <cellStyle name="COL HEADINGS 6 4 5" xfId="22304"/>
    <cellStyle name="Border Thin 7 4 5" xfId="22305"/>
    <cellStyle name="Bold/Border 6 4 5" xfId="22306"/>
    <cellStyle name="Afjusted 7 4 5" xfId="22307"/>
    <cellStyle name="ac 6 4 5" xfId="22308"/>
    <cellStyle name="Style 35 12" xfId="22309"/>
    <cellStyle name="Table Head Green 2 2 10" xfId="22310"/>
    <cellStyle name="Style 44 8 4 5" xfId="22311"/>
    <cellStyle name="Style 45 8 4 5" xfId="22312"/>
    <cellStyle name="Style 49 8 4 5" xfId="22313"/>
    <cellStyle name="Style 51 8 4 5" xfId="22314"/>
    <cellStyle name="Style 21 12" xfId="22315"/>
    <cellStyle name="Title [Palat] 6 4 5" xfId="22316"/>
    <cellStyle name="Title [Helv] 5 4 5" xfId="22317"/>
    <cellStyle name="Table Head Green 7 4 5" xfId="22318"/>
    <cellStyle name="Table Head Aligned 5 4 5" xfId="22319"/>
    <cellStyle name="Outputs 7 4 5" xfId="22320"/>
    <cellStyle name="Magic 5 4 5" xfId="22321"/>
    <cellStyle name="Heading [Palat] 7 4 5" xfId="22322"/>
    <cellStyle name="Heading [Helv] 7 4 5" xfId="22323"/>
    <cellStyle name="dp*SheetSubTitle 5 4 5" xfId="22324"/>
    <cellStyle name="dp*NumberLineEPS 5 4 5" xfId="22325"/>
    <cellStyle name="dp*NumberLine 5 4 5" xfId="22326"/>
    <cellStyle name="Date [mmm-yyyy] 5 4 5" xfId="22327"/>
    <cellStyle name="COL HEADINGS 7 4 5" xfId="22328"/>
    <cellStyle name="Bold/Border 7 4 5" xfId="22329"/>
    <cellStyle name="Afjusted 8 4 5" xfId="22330"/>
    <cellStyle name="ac 7 4 5" xfId="22331"/>
    <cellStyle name="Title [Palat] 7 4 5" xfId="22332"/>
    <cellStyle name="Title [Helv] 6 4 5" xfId="22333"/>
    <cellStyle name="Table Head Green 8 4 5" xfId="22334"/>
    <cellStyle name="Table Head Aligned 6 4 5" xfId="22335"/>
    <cellStyle name="Title [Palat] 2 2 10" xfId="22336"/>
    <cellStyle name="Outputs 8 4 5" xfId="22337"/>
    <cellStyle name="Magic 6 4 5" xfId="22338"/>
    <cellStyle name="Heading [Palat] 8 4 5" xfId="22339"/>
    <cellStyle name="Heading [Helv] 8 4 5" xfId="22340"/>
    <cellStyle name="dp*SheetSubTitle 6 4 5" xfId="22341"/>
    <cellStyle name="dp*NumberLineEPS 6 4 5" xfId="22342"/>
    <cellStyle name="dp*NumberLine 6 4 5" xfId="22343"/>
    <cellStyle name="COL HEADINGS 8 4 5" xfId="22344"/>
    <cellStyle name="Bold/Border 8 4 5" xfId="22345"/>
    <cellStyle name="Afjusted 9 4 5" xfId="22346"/>
    <cellStyle name="ac 8 4 5" xfId="22347"/>
    <cellStyle name="Date [mmm-yyyy] 6 4 5" xfId="22348"/>
    <cellStyle name="Title [Palat] 8 4 5" xfId="22349"/>
    <cellStyle name="Title [Helv] 7 4 5" xfId="22350"/>
    <cellStyle name="Table Head Green 9 4 5" xfId="22351"/>
    <cellStyle name="Table Head Aligned 7 4 5" xfId="22352"/>
    <cellStyle name="Outputs 9 4 5" xfId="22353"/>
    <cellStyle name="Magic 7 4 5" xfId="22354"/>
    <cellStyle name="Heading [Palat] 9 4 5" xfId="22355"/>
    <cellStyle name="Heading [Helv] 9 4 5" xfId="22356"/>
    <cellStyle name="dp*SheetSubTitle 7 4 5" xfId="22357"/>
    <cellStyle name="dp*NumberLineEPS 7 4 5" xfId="22358"/>
    <cellStyle name="dp*NumberLine 7 4 5" xfId="22359"/>
    <cellStyle name="Date [mmm-yyyy] 7 4 5" xfId="22360"/>
    <cellStyle name="COL HEADINGS 9 4 5" xfId="22361"/>
    <cellStyle name="Bold/Border 9 4 5" xfId="22362"/>
    <cellStyle name="Afjusted 10 4 5" xfId="22363"/>
    <cellStyle name="ac 9 4 5" xfId="22364"/>
    <cellStyle name="Afjusted 3 6 3 5" xfId="22365"/>
    <cellStyle name="ac 2 7 3 5" xfId="22366"/>
    <cellStyle name="Afjusted 2 5 3 5" xfId="22367"/>
    <cellStyle name="Bold/Border 2 7 3 5" xfId="22368"/>
    <cellStyle name="COL HEADINGS 2 7 3 5" xfId="22369"/>
    <cellStyle name="Date [mmm-yyyy] 2 6 3 5" xfId="22370"/>
    <cellStyle name="dp*NumberLine 2 6 3 5" xfId="22371"/>
    <cellStyle name="dp*NumberLineEPS 2 6 3 5" xfId="22372"/>
    <cellStyle name="dp*SheetSubTitle 2 6 3 5" xfId="22373"/>
    <cellStyle name="Heading [Helv] 2 7 3 5" xfId="22374"/>
    <cellStyle name="Heading [Palat] 2 7 3 5" xfId="22375"/>
    <cellStyle name="Magic 2 6 3 5" xfId="22376"/>
    <cellStyle name="Outputs 2 7 3 5" xfId="22377"/>
    <cellStyle name="Table Head Aligned 2 6 3 5" xfId="22378"/>
    <cellStyle name="Table Head Green 2 7 3 5" xfId="22379"/>
    <cellStyle name="Title [Helv] 2 6 3 5" xfId="22380"/>
    <cellStyle name="Title [Palat] 2 7 3 5" xfId="22381"/>
    <cellStyle name="Date [mm-d-yyyy] 3 6 3 5" xfId="22382"/>
    <cellStyle name="Style 51 4 6 3 5" xfId="22383"/>
    <cellStyle name="Style 49 4 6 3 5" xfId="22384"/>
    <cellStyle name="Style 45 4 6 3 5" xfId="22385"/>
    <cellStyle name="Style 44 4 6 3 5" xfId="22386"/>
    <cellStyle name="P-Green Rule 3 6 3 5" xfId="22387"/>
    <cellStyle name="PB Table Standard Row 3 6 3 5" xfId="22388"/>
    <cellStyle name="dp*ThinLineBelow 3 6 3 5" xfId="22389"/>
    <cellStyle name="dp*SubTitle 3 6 3 5" xfId="22390"/>
    <cellStyle name="Border Thin 3 6 3 5" xfId="22391"/>
    <cellStyle name="Afjusted 4 6 3 5" xfId="22392"/>
    <cellStyle name="ac 2 2 5 3 5" xfId="22393"/>
    <cellStyle name="Afjusted 2 2 6 3 5" xfId="22394"/>
    <cellStyle name="Bold/Border 2 2 5 3 5" xfId="22395"/>
    <cellStyle name="COL HEADINGS 2 2 5 3 5" xfId="22396"/>
    <cellStyle name="Date [mmm-yyyy] 2 2 5 3 5" xfId="22397"/>
    <cellStyle name="dp*NumberLine 2 2 5 3 5" xfId="22398"/>
    <cellStyle name="dp*NumberLineEPS 2 2 5 3 5" xfId="22399"/>
    <cellStyle name="dp*SheetSubTitle 2 2 5 3 5" xfId="22400"/>
    <cellStyle name="Heading [Helv] 2 2 5 3 5" xfId="22401"/>
    <cellStyle name="Heading [Palat] 2 2 5 3 5" xfId="22402"/>
    <cellStyle name="Magic 2 2 5 3 5" xfId="22403"/>
    <cellStyle name="Outputs 2 2 5 3 5" xfId="22404"/>
    <cellStyle name="Table Head Aligned 2 2 5 3 5" xfId="22405"/>
    <cellStyle name="Table Head Green 2 2 5 3 5" xfId="22406"/>
    <cellStyle name="Title [Helv] 2 2 5 3 5" xfId="22407"/>
    <cellStyle name="Title [Palat] 2 2 5 3 5" xfId="22408"/>
    <cellStyle name="dp*SubTitle 2 2 2 3 5" xfId="22409"/>
    <cellStyle name="Border Thin 2 2 2 3 5" xfId="22410"/>
    <cellStyle name="Bold/Border 2 2 3 4 2 3 5" xfId="22411"/>
    <cellStyle name="Magic 2 2 3 4 2 3 5" xfId="22412"/>
    <cellStyle name="Title [Helv] 2 2 3 4 2 3 5" xfId="22413"/>
    <cellStyle name="Style 51 2 2 2 3 5" xfId="22414"/>
    <cellStyle name="Style 45 2 2 2 3 5" xfId="22415"/>
    <cellStyle name="Style 49 2 2 2 3 5" xfId="22416"/>
    <cellStyle name="Style 44 2 2 2 3 5" xfId="22417"/>
    <cellStyle name="Style 51 3 2 2 3 5" xfId="22418"/>
    <cellStyle name="Style 49 3 2 2 3 5" xfId="22419"/>
    <cellStyle name="Style 45 3 2 2 3 5" xfId="22420"/>
    <cellStyle name="Style 44 3 2 2 3 5" xfId="22421"/>
    <cellStyle name="P-Green Rule 2 2 2 3 5" xfId="22422"/>
    <cellStyle name="PB Table Standard Row 2 2 2 3 5" xfId="22423"/>
    <cellStyle name="dp*ThinLineBelow 2 2 2 3 5" xfId="22424"/>
    <cellStyle name="dp*ThinLineBelow 2 3 2 3 5" xfId="22425"/>
    <cellStyle name="Style 44 3 3 2 3 5" xfId="22426"/>
    <cellStyle name="COL HEADINGS 2 2 3 4 2 3 5" xfId="22427"/>
    <cellStyle name="Style 49 4 3 4 2 3 5" xfId="22428"/>
    <cellStyle name="Afjusted 3 3 4 2 3 5" xfId="22429"/>
    <cellStyle name="Date [mm-d-yyyy] 3 3 4 2 3 5" xfId="22430"/>
    <cellStyle name="Afjusted 4 3 4 2 3 5" xfId="22431"/>
    <cellStyle name="ac 2 2 3 4 2 3 5" xfId="22432"/>
    <cellStyle name="Afjusted 2 2 3 4 2 3 5" xfId="22433"/>
    <cellStyle name="Date [mmm-yyyy] 2 2 3 4 2 3 5" xfId="22434"/>
    <cellStyle name="dp*NumberLine 2 2 3 4 2 3 5" xfId="22435"/>
    <cellStyle name="dp*NumberLineEPS 2 2 3 4 2 3 5" xfId="22436"/>
    <cellStyle name="dp*SheetSubTitle 2 2 3 4 2 3 5" xfId="22437"/>
    <cellStyle name="Heading [Helv] 2 2 3 4 2 3 5" xfId="22438"/>
    <cellStyle name="Outputs 2 2 3 4 2 3 5" xfId="22439"/>
    <cellStyle name="Table Head Aligned 2 2 3 4 2 3 5" xfId="22440"/>
    <cellStyle name="Title [Palat] 2 2 3 4 2 3 5" xfId="22441"/>
    <cellStyle name="Afjusted 3 5 2 3 5" xfId="22442"/>
    <cellStyle name="Style 45 3 3 2 3 5" xfId="22443"/>
    <cellStyle name="Style 51 3 3 2 3 5" xfId="22444"/>
    <cellStyle name="Style 44 2 3 2 3 5" xfId="22445"/>
    <cellStyle name="Style 45 2 3 2 3 5" xfId="22446"/>
    <cellStyle name="Style 49 2 3 2 3 5" xfId="22447"/>
    <cellStyle name="Border Thin 3 5 2 3 5" xfId="22448"/>
    <cellStyle name="ac 2 2 4 2 3 5" xfId="22449"/>
    <cellStyle name="Afjusted 2 2 5 2 3 5" xfId="22450"/>
    <cellStyle name="Bold/Border 2 2 4 2 3 5" xfId="22451"/>
    <cellStyle name="COL HEADINGS 2 2 4 2 3 5" xfId="22452"/>
    <cellStyle name="Date [mmm-yyyy] 2 2 4 2 3 5" xfId="22453"/>
    <cellStyle name="dp*NumberLine 2 2 4 2 3 5" xfId="22454"/>
    <cellStyle name="dp*NumberLineEPS 2 2 4 2 3 5" xfId="22455"/>
    <cellStyle name="dp*SheetSubTitle 2 2 4 2 3 5" xfId="22456"/>
    <cellStyle name="Heading [Palat] 2 2 4 2 3 5" xfId="22457"/>
    <cellStyle name="Outputs 2 2 4 2 3 5" xfId="22458"/>
    <cellStyle name="Magic 2 2 4 2 3 5" xfId="22459"/>
    <cellStyle name="Title [Helv] 2 2 4 2 3 5" xfId="22460"/>
    <cellStyle name="Title [Palat] 2 2 4 2 3 5" xfId="22461"/>
    <cellStyle name="Title [Palat] 2 2 3 3 2 3 5" xfId="22462"/>
    <cellStyle name="Title [Helv] 2 2 3 3 2 3 5" xfId="22463"/>
    <cellStyle name="Table Head Aligned 2 2 3 3 2 3 5" xfId="22464"/>
    <cellStyle name="Magic 2 2 3 3 2 3 5" xfId="22465"/>
    <cellStyle name="Heading [Helv] 2 2 3 3 2 3 5" xfId="22466"/>
    <cellStyle name="dp*NumberLineEPS 2 2 3 3 2 3 5" xfId="22467"/>
    <cellStyle name="COL HEADINGS 2 2 3 3 2 3 5" xfId="22468"/>
    <cellStyle name="ac 2 2 3 3 2 3 5" xfId="22469"/>
    <cellStyle name="Afjusted 4 3 3 2 3 5" xfId="22470"/>
    <cellStyle name="Border Thin 3 3 3 2 3 5" xfId="22471"/>
    <cellStyle name="PB Table Standard Row 3 3 3 2 3 5" xfId="22472"/>
    <cellStyle name="Style 44 4 3 3 2 3 5" xfId="22473"/>
    <cellStyle name="Style 51 4 3 3 2 3 5" xfId="22474"/>
    <cellStyle name="Afjusted 3 3 3 2 3 5" xfId="22475"/>
    <cellStyle name="Style 49 4 5 2 3 5" xfId="22476"/>
    <cellStyle name="Style 44 4 5 2 3 5" xfId="22477"/>
    <cellStyle name="P-Green Rule 3 5 2 3 5" xfId="22478"/>
    <cellStyle name="dp*SubTitle 3 5 2 3 5" xfId="22479"/>
    <cellStyle name="Afjusted 4 5 2 3 5" xfId="22480"/>
    <cellStyle name="ac 2 3 2 3 5" xfId="22481"/>
    <cellStyle name="Bold/Border 2 3 2 3 5" xfId="22482"/>
    <cellStyle name="COL HEADINGS 2 3 2 3 5" xfId="22483"/>
    <cellStyle name="Date [mmm-yyyy] 2 3 2 3 5" xfId="22484"/>
    <cellStyle name="dp*NumberLine 2 3 2 3 5" xfId="22485"/>
    <cellStyle name="dp*NumberLineEPS 2 3 2 3 5" xfId="22486"/>
    <cellStyle name="dp*SheetSubTitle 2 3 2 3 5" xfId="22487"/>
    <cellStyle name="Heading [Helv] 2 3 2 3 5" xfId="22488"/>
    <cellStyle name="Heading [Palat] 2 3 2 3 5" xfId="22489"/>
    <cellStyle name="Magic 2 3 2 3 5" xfId="22490"/>
    <cellStyle name="Outputs 2 3 2 3 5" xfId="22491"/>
    <cellStyle name="Date [mmm-yyyy] 2 2 3 3 2 3 5" xfId="22492"/>
    <cellStyle name="Afjusted 2 2 3 3 2 3 5" xfId="22493"/>
    <cellStyle name="dp*ThinLineBelow 3 3 3 2 3 5" xfId="22494"/>
    <cellStyle name="Style 49 4 3 3 2 3 5" xfId="22495"/>
    <cellStyle name="Outputs 2 2 3 3 2 3 5" xfId="22496"/>
    <cellStyle name="dp*NumberLine 2 2 3 3 2 3 5" xfId="22497"/>
    <cellStyle name="Bold/Border 2 2 3 3 2 3 5" xfId="22498"/>
    <cellStyle name="dp*SubTitle 3 3 3 2 3 5" xfId="22499"/>
    <cellStyle name="Style 45 4 3 3 2 3 5" xfId="22500"/>
    <cellStyle name="Table Head Aligned 2 3 2 3 5" xfId="22501"/>
    <cellStyle name="Table Head Green 2 3 2 3 5" xfId="22502"/>
    <cellStyle name="Title [Helv] 2 3 2 3 5" xfId="22503"/>
    <cellStyle name="Title [Palat] 2 3 2 3 5" xfId="22504"/>
    <cellStyle name="Style 45 4 3 4 2 3 5" xfId="22505"/>
    <cellStyle name="Style 51 4 3 4 2 3 5" xfId="22506"/>
    <cellStyle name="Afjusted 3 4 2 3 5" xfId="22507"/>
    <cellStyle name="P-Green Rule 3 3 4 2 3 5" xfId="22508"/>
    <cellStyle name="Border Thin 2 3 2 3 5" xfId="22509"/>
    <cellStyle name="Style 49 3 3 2 3 5" xfId="22510"/>
    <cellStyle name="Style 51 2 3 2 3 5" xfId="22511"/>
    <cellStyle name="Heading [Helv] 2 2 4 2 3 5" xfId="22512"/>
    <cellStyle name="Table Head Aligned 2 2 4 2 3 5" xfId="22513"/>
    <cellStyle name="Table Head Green 2 2 4 2 3 5" xfId="22514"/>
    <cellStyle name="Table Head Green 2 2 3 3 2 3 5" xfId="22515"/>
    <cellStyle name="Heading [Palat] 2 2 3 3 2 3 5" xfId="22516"/>
    <cellStyle name="dp*SheetSubTitle 2 2 3 3 2 3 5" xfId="22517"/>
    <cellStyle name="P-Green Rule 3 3 3 2 3 5" xfId="22518"/>
    <cellStyle name="Date [mm-d-yyyy] 3 3 3 2 3 5" xfId="22519"/>
    <cellStyle name="Date [mm-d-yyyy] 3 4 2 3 5" xfId="22520"/>
    <cellStyle name="Style 51 4 4 2 3 5" xfId="22521"/>
    <cellStyle name="Style 49 4 4 2 3 5" xfId="22522"/>
    <cellStyle name="Style 45 4 4 2 3 5" xfId="22523"/>
    <cellStyle name="Style 44 4 4 2 3 5" xfId="22524"/>
    <cellStyle name="dp*ThinLineBelow 3 3 4 2 3 5" xfId="22525"/>
    <cellStyle name="P-Green Rule 3 4 2 3 5" xfId="22526"/>
    <cellStyle name="PB Table Standard Row 3 4 2 2 5" xfId="22527"/>
    <cellStyle name="dp*ThinLineBelow 3 4 2 3 5" xfId="22528"/>
    <cellStyle name="dp*SubTitle 3 4 2 3 5" xfId="22529"/>
    <cellStyle name="dp*SubTitle 3 3 4 2 3 5" xfId="22530"/>
    <cellStyle name="Border Thin 3 4 2 3 5" xfId="22531"/>
    <cellStyle name="Border Thin 3 3 4 2 3 5" xfId="22532"/>
    <cellStyle name="Afjusted 4 4 2 3 5" xfId="22533"/>
    <cellStyle name="Afjusted 2 2 4 2 3 5" xfId="22534"/>
    <cellStyle name="Style 44 4 3 4 2 3 5" xfId="22535"/>
    <cellStyle name="PB Table Standard Row 3 3 4 2 3 5" xfId="22536"/>
    <cellStyle name="Title [Palat] 2 2 3 5 3 5" xfId="22537"/>
    <cellStyle name="Title [Helv] 2 2 3 5 3 5" xfId="22538"/>
    <cellStyle name="Table Head Green 2 2 3 5 3 5" xfId="22539"/>
    <cellStyle name="Table Head Aligned 2 2 3 5 3 5" xfId="22540"/>
    <cellStyle name="Outputs 2 2 3 5 3 5" xfId="22541"/>
    <cellStyle name="Magic 2 2 3 5 3 5" xfId="22542"/>
    <cellStyle name="Heading [Palat] 2 2 3 5 3 5" xfId="22543"/>
    <cellStyle name="Heading [Helv] 2 2 3 5 3 5" xfId="22544"/>
    <cellStyle name="dp*SheetSubTitle 2 2 3 5 3 5" xfId="22545"/>
    <cellStyle name="dp*NumberLineEPS 2 2 3 5 3 5" xfId="22546"/>
    <cellStyle name="dp*NumberLine 2 2 3 5 3 5" xfId="22547"/>
    <cellStyle name="Date [mmm-yyyy] 2 2 3 5 3 5" xfId="22548"/>
    <cellStyle name="COL HEADINGS 2 2 3 5 3 5" xfId="22549"/>
    <cellStyle name="Bold/Border 2 2 3 5 3 5" xfId="22550"/>
    <cellStyle name="Afjusted 2 2 3 5 3 5" xfId="22551"/>
    <cellStyle name="ac 2 2 3 5 3 5" xfId="22552"/>
    <cellStyle name="Afjusted 4 3 5 3 5" xfId="22553"/>
    <cellStyle name="Border Thin 3 3 5 3 5" xfId="22554"/>
    <cellStyle name="dp*SubTitle 3 3 5 3 5" xfId="22555"/>
    <cellStyle name="dp*ThinLineBelow 3 3 5 3 5" xfId="22556"/>
    <cellStyle name="PB Table Standard Row 3 3 5 3 5" xfId="22557"/>
    <cellStyle name="P-Green Rule 3 3 5 3 5" xfId="22558"/>
    <cellStyle name="Style 44 4 3 5 3 5" xfId="22559"/>
    <cellStyle name="Style 45 4 3 5 3 5" xfId="22560"/>
    <cellStyle name="Style 49 4 3 5 3 5" xfId="22561"/>
    <cellStyle name="Style 51 4 3 5 3 5" xfId="22562"/>
    <cellStyle name="Date [mm-d-yyyy] 3 3 5 3 5" xfId="22563"/>
    <cellStyle name="Afjusted 3 3 5 3 5" xfId="22564"/>
    <cellStyle name="Date [mm-d-yyyy] 2 2 4 3 5" xfId="22565"/>
    <cellStyle name="Afjusted 3 2 5 3 5" xfId="22566"/>
    <cellStyle name="Date [mm-d-yyyy] 3 2 5 3 5" xfId="22567"/>
    <cellStyle name="Style 51 4 2 5 3 5" xfId="22568"/>
    <cellStyle name="Style 49 4 2 5 3 5" xfId="22569"/>
    <cellStyle name="Style 45 4 2 5 3 5" xfId="22570"/>
    <cellStyle name="Style 44 4 2 5 3 5" xfId="22571"/>
    <cellStyle name="P-Green Rule 3 2 5 3 5" xfId="22572"/>
    <cellStyle name="PB Table Standard Row 3 2 5 2 5" xfId="22573"/>
    <cellStyle name="dp*ThinLineBelow 3 2 5 3 5" xfId="22574"/>
    <cellStyle name="dp*SubTitle 3 2 5 3 5" xfId="22575"/>
    <cellStyle name="Border Thin 3 2 5 3 5" xfId="22576"/>
    <cellStyle name="Afjusted 4 2 5 3 5" xfId="22577"/>
    <cellStyle name="ac 2 2 2 5 3 5" xfId="22578"/>
    <cellStyle name="Afjusted 2 2 2 5 3 5" xfId="22579"/>
    <cellStyle name="Bold/Border 2 2 2 5 3 5" xfId="22580"/>
    <cellStyle name="COL HEADINGS 2 2 2 5 3 5" xfId="22581"/>
    <cellStyle name="Date [mmm-yyyy] 2 2 2 5 3 5" xfId="22582"/>
    <cellStyle name="dp*NumberLine 2 2 2 5 3 5" xfId="22583"/>
    <cellStyle name="dp*NumberLineEPS 2 2 2 5 3 5" xfId="22584"/>
    <cellStyle name="dp*SheetSubTitle 2 2 2 5 3 5" xfId="22585"/>
    <cellStyle name="Heading [Helv] 2 2 2 5 3 5" xfId="22586"/>
    <cellStyle name="Heading [Palat] 2 2 2 5 3 5" xfId="22587"/>
    <cellStyle name="Magic 2 2 2 5 3 5" xfId="22588"/>
    <cellStyle name="Outputs 2 2 2 5 3 5" xfId="22589"/>
    <cellStyle name="Table Head Aligned 2 2 2 5 3 5" xfId="22590"/>
    <cellStyle name="Table Head Green 2 2 2 5 3 5" xfId="22591"/>
    <cellStyle name="Title [Helv] 2 2 2 5 3 5" xfId="22592"/>
    <cellStyle name="Title [Palat] 2 2 2 5 3 5" xfId="22593"/>
    <cellStyle name="Table Head Green 2 2 3 4 2 3 5" xfId="22594"/>
    <cellStyle name="Heading [Palat] 2 2 3 4 2 3 5" xfId="22595"/>
    <cellStyle name="PB Table Standard Row 2 3 2 3 5" xfId="22596"/>
    <cellStyle name="P-Green Rule 2 3 2 3 5" xfId="22597"/>
    <cellStyle name="Title [Palat] 2 2 3 2 2 3 5" xfId="22598"/>
    <cellStyle name="Title [Helv] 2 2 3 2 2 3 5" xfId="22599"/>
    <cellStyle name="Table Head Green 2 2 3 2 2 3 5" xfId="22600"/>
    <cellStyle name="Table Head Aligned 2 2 3 2 2 3 5" xfId="22601"/>
    <cellStyle name="Outputs 2 2 3 2 2 3 5" xfId="22602"/>
    <cellStyle name="Magic 2 2 3 2 2 3 5" xfId="22603"/>
    <cellStyle name="Heading [Palat] 2 2 3 2 2 3 5" xfId="22604"/>
    <cellStyle name="Heading [Helv] 2 2 3 2 2 3 5" xfId="22605"/>
    <cellStyle name="dp*SheetSubTitle 2 2 3 2 2 3 5" xfId="22606"/>
    <cellStyle name="dp*NumberLineEPS 2 2 3 2 2 3 5" xfId="22607"/>
    <cellStyle name="dp*NumberLine 2 2 3 2 2 3 5" xfId="22608"/>
    <cellStyle name="Date [mmm-yyyy] 2 2 3 2 2 3 5" xfId="22609"/>
    <cellStyle name="COL HEADINGS 2 2 3 2 2 3 5" xfId="22610"/>
    <cellStyle name="Bold/Border 2 2 3 2 2 3 5" xfId="22611"/>
    <cellStyle name="Afjusted 2 2 3 2 2 3 5" xfId="22612"/>
    <cellStyle name="ac 2 2 3 2 2 3 5" xfId="22613"/>
    <cellStyle name="Afjusted 4 3 2 2 3 5" xfId="22614"/>
    <cellStyle name="Border Thin 3 3 2 2 3 5" xfId="22615"/>
    <cellStyle name="dp*SubTitle 3 3 2 2 3 5" xfId="22616"/>
    <cellStyle name="dp*ThinLineBelow 3 3 2 2 3 5" xfId="22617"/>
    <cellStyle name="PB Table Standard Row 3 3 2 2 3 5" xfId="22618"/>
    <cellStyle name="P-Green Rule 3 3 2 2 3 5" xfId="22619"/>
    <cellStyle name="Style 44 4 3 2 2 3 5" xfId="22620"/>
    <cellStyle name="Style 45 4 3 2 2 3 5" xfId="22621"/>
    <cellStyle name="Style 49 4 3 2 2 3 5" xfId="22622"/>
    <cellStyle name="Style 51 4 3 2 2 3 5" xfId="22623"/>
    <cellStyle name="Date [mm-d-yyyy] 3 3 2 2 3 5" xfId="22624"/>
    <cellStyle name="Afjusted 3 3 2 2 3 5" xfId="22625"/>
    <cellStyle name="Date [mm-d-yyyy] 3 5 2 3 5" xfId="22626"/>
    <cellStyle name="dp*SubTitle 2 3 2 3 5" xfId="22627"/>
    <cellStyle name="Date [mm-d-yyyy] 2 2 2 2 3 5" xfId="22628"/>
    <cellStyle name="Afjusted 3 2 2 2 3 5" xfId="22629"/>
    <cellStyle name="PB Table Standard Row 3 5 2 3 5" xfId="22630"/>
    <cellStyle name="Date [mm-d-yyyy] 3 2 2 2 3 5" xfId="22631"/>
    <cellStyle name="Style 51 4 2 2 2 3 5" xfId="22632"/>
    <cellStyle name="Style 49 4 2 2 2 3 5" xfId="22633"/>
    <cellStyle name="Style 45 4 2 2 2 3 5" xfId="22634"/>
    <cellStyle name="Style 44 4 2 2 2 3 5" xfId="22635"/>
    <cellStyle name="Style 45 4 5 2 3 5" xfId="22636"/>
    <cellStyle name="P-Green Rule 3 2 2 2 3 5" xfId="22637"/>
    <cellStyle name="PB Table Standard Row 3 2 2 2 3 5" xfId="22638"/>
    <cellStyle name="dp*ThinLineBelow 3 2 2 2 3 5" xfId="22639"/>
    <cellStyle name="dp*SubTitle 3 2 2 2 3 5" xfId="22640"/>
    <cellStyle name="Style 51 4 5 2 3 5" xfId="22641"/>
    <cellStyle name="Border Thin 3 2 2 2 3 5" xfId="22642"/>
    <cellStyle name="Afjusted 4 2 2 2 3 5" xfId="22643"/>
    <cellStyle name="ac 2 2 2 2 2 3 5" xfId="22644"/>
    <cellStyle name="Afjusted 2 2 2 2 2 3 5" xfId="22645"/>
    <cellStyle name="Bold/Border 2 2 2 2 2 3 5" xfId="22646"/>
    <cellStyle name="COL HEADINGS 2 2 2 2 2 3 5" xfId="22647"/>
    <cellStyle name="Date [mmm-yyyy] 2 2 2 2 2 3 5" xfId="22648"/>
    <cellStyle name="dp*NumberLine 2 2 2 2 2 3 5" xfId="22649"/>
    <cellStyle name="dp*NumberLineEPS 2 2 2 2 2 3 5" xfId="22650"/>
    <cellStyle name="dp*SheetSubTitle 2 2 2 2 2 3 5" xfId="22651"/>
    <cellStyle name="Heading [Helv] 2 2 2 2 2 3 5" xfId="22652"/>
    <cellStyle name="Heading [Palat] 2 2 2 2 2 3 5" xfId="22653"/>
    <cellStyle name="Magic 2 2 2 2 2 3 5" xfId="22654"/>
    <cellStyle name="Outputs 2 2 2 2 2 3 5" xfId="22655"/>
    <cellStyle name="Table Head Aligned 2 2 2 2 2 3 5" xfId="22656"/>
    <cellStyle name="Table Head Green 2 2 2 2 2 3 5" xfId="22657"/>
    <cellStyle name="Title [Helv] 2 2 2 2 2 3 5" xfId="22658"/>
    <cellStyle name="Title [Palat] 2 2 2 2 2 3 5" xfId="22659"/>
    <cellStyle name="dp*ThinLineBelow 3 5 2 3 5" xfId="22660"/>
    <cellStyle name="Date [mm-d-yyyy] 2 2 3 2 3 5" xfId="22661"/>
    <cellStyle name="Afjusted 3 2 3 2 3 5" xfId="22662"/>
    <cellStyle name="Date [mm-d-yyyy] 3 2 3 2 3 5" xfId="22663"/>
    <cellStyle name="Style 51 4 2 3 2 3 5" xfId="22664"/>
    <cellStyle name="Style 49 4 2 3 2 3 5" xfId="22665"/>
    <cellStyle name="Style 45 4 2 3 2 3 5" xfId="22666"/>
    <cellStyle name="Style 44 4 2 3 2 3 5" xfId="22667"/>
    <cellStyle name="P-Green Rule 3 2 3 2 3 5" xfId="22668"/>
    <cellStyle name="PB Table Standard Row 3 2 3 2 3 5" xfId="22669"/>
    <cellStyle name="dp*ThinLineBelow 3 2 3 2 3 5" xfId="22670"/>
    <cellStyle name="dp*SubTitle 3 2 3 2 3 5" xfId="22671"/>
    <cellStyle name="Border Thin 3 2 3 2 3 5" xfId="22672"/>
    <cellStyle name="Afjusted 4 2 3 2 3 5" xfId="22673"/>
    <cellStyle name="ac 2 2 2 3 2 3 5" xfId="22674"/>
    <cellStyle name="Afjusted 2 2 2 3 2 3 5" xfId="22675"/>
    <cellStyle name="Bold/Border 2 2 2 3 2 3 5" xfId="22676"/>
    <cellStyle name="COL HEADINGS 2 2 2 3 2 3 5" xfId="22677"/>
    <cellStyle name="Date [mmm-yyyy] 2 2 2 3 2 3 5" xfId="22678"/>
    <cellStyle name="dp*NumberLine 2 2 2 3 2 3 5" xfId="22679"/>
    <cellStyle name="dp*NumberLineEPS 2 2 2 3 2 3 5" xfId="22680"/>
    <cellStyle name="dp*SheetSubTitle 2 2 2 3 2 3 5" xfId="22681"/>
    <cellStyle name="Heading [Helv] 2 2 2 3 2 3 5" xfId="22682"/>
    <cellStyle name="Heading [Palat] 2 2 2 3 2 3 5" xfId="22683"/>
    <cellStyle name="Magic 2 2 2 3 2 3 5" xfId="22684"/>
    <cellStyle name="Outputs 2 2 2 3 2 3 5" xfId="22685"/>
    <cellStyle name="Table Head Aligned 2 2 2 3 2 3 5" xfId="22686"/>
    <cellStyle name="Table Head Green 2 2 2 3 2 3 5" xfId="22687"/>
    <cellStyle name="Title [Helv] 2 2 2 3 2 3 5" xfId="22688"/>
    <cellStyle name="Title [Palat] 2 2 2 3 2 3 5" xfId="22689"/>
    <cellStyle name="Afjusted 3 2 4 2 3 5" xfId="22690"/>
    <cellStyle name="Date [mm-d-yyyy] 3 2 4 2 3 5" xfId="22691"/>
    <cellStyle name="Style 51 4 2 4 2 3 5" xfId="22692"/>
    <cellStyle name="Style 49 4 2 4 2 3 5" xfId="22693"/>
    <cellStyle name="Style 45 4 2 4 2 3 5" xfId="22694"/>
    <cellStyle name="Style 44 4 2 4 2 3 5" xfId="22695"/>
    <cellStyle name="P-Green Rule 3 2 4 2 3 5" xfId="22696"/>
    <cellStyle name="PB Table Standard Row 3 2 4 2 3 5" xfId="22697"/>
    <cellStyle name="dp*ThinLineBelow 3 2 4 2 3 5" xfId="22698"/>
    <cellStyle name="dp*SubTitle 3 2 4 2 3 5" xfId="22699"/>
    <cellStyle name="Border Thin 3 2 4 2 3 5" xfId="22700"/>
    <cellStyle name="Afjusted 4 2 4 2 3 5" xfId="22701"/>
    <cellStyle name="ac 2 2 2 4 2 3 5" xfId="22702"/>
    <cellStyle name="Afjusted 2 2 2 4 2 3 5" xfId="22703"/>
    <cellStyle name="Bold/Border 2 2 2 4 2 3 5" xfId="22704"/>
    <cellStyle name="COL HEADINGS 2 2 2 4 2 3 5" xfId="22705"/>
    <cellStyle name="Date [mmm-yyyy] 2 2 2 4 2 3 5" xfId="22706"/>
    <cellStyle name="dp*NumberLine 2 2 2 4 2 3 5" xfId="22707"/>
    <cellStyle name="dp*NumberLineEPS 2 2 2 4 2 3 5" xfId="22708"/>
    <cellStyle name="dp*SheetSubTitle 2 2 2 4 2 3 5" xfId="22709"/>
    <cellStyle name="Heading [Helv] 2 2 2 4 2 3 5" xfId="22710"/>
    <cellStyle name="Heading [Palat] 2 2 2 4 2 3 5" xfId="22711"/>
    <cellStyle name="Magic 2 2 2 4 2 3 5" xfId="22712"/>
    <cellStyle name="Outputs 2 2 2 4 2 3 5" xfId="22713"/>
    <cellStyle name="Table Head Aligned 2 2 2 4 2 3 5" xfId="22714"/>
    <cellStyle name="Table Head Green 2 2 2 4 2 3 5" xfId="22715"/>
    <cellStyle name="Title [Helv] 2 2 2 4 2 3 5" xfId="22716"/>
    <cellStyle name="Title [Palat] 2 2 2 4 2 3 5" xfId="22717"/>
    <cellStyle name="Border Thin 4 2 3 5" xfId="22718"/>
    <cellStyle name="Date [mm-d-yyyy] 4 2 3 5" xfId="22719"/>
    <cellStyle name="dp*SubTitle 4 2 3 5" xfId="22720"/>
    <cellStyle name="dp*ThinLineBelow 4 2 3 5" xfId="22721"/>
    <cellStyle name="PB Table Standard Row 4 2 3 5" xfId="22722"/>
    <cellStyle name="P-Green Rule 4 2 3 5" xfId="22723"/>
    <cellStyle name="Style 44 5 2 3 5" xfId="22724"/>
    <cellStyle name="Style 45 5 2 3 5" xfId="22725"/>
    <cellStyle name="Style 49 5 2 3 5" xfId="22726"/>
    <cellStyle name="Style 51 5 2 3 5" xfId="22727"/>
    <cellStyle name="Title [Palat] 3 2 3 5" xfId="22728"/>
    <cellStyle name="Title [Helv] 3 2 3 5" xfId="22729"/>
    <cellStyle name="Table Head Green 3 2 3 5" xfId="22730"/>
    <cellStyle name="Table Head Aligned 3 2 3 5" xfId="22731"/>
    <cellStyle name="Outputs 3 2 3 5" xfId="22732"/>
    <cellStyle name="Magic 3 2 3 5" xfId="22733"/>
    <cellStyle name="Heading [Palat] 3 2 3 5" xfId="22734"/>
    <cellStyle name="Heading [Helv] 3 2 3 5" xfId="22735"/>
    <cellStyle name="dp*SheetSubTitle 3 2 3 5" xfId="22736"/>
    <cellStyle name="dp*NumberLineEPS 3 2 3 5" xfId="22737"/>
    <cellStyle name="dp*NumberLine 3 2 3 5" xfId="22738"/>
    <cellStyle name="COL HEADINGS 3 2 3 5" xfId="22739"/>
    <cellStyle name="Bold/Border 3 2 3 5" xfId="22740"/>
    <cellStyle name="Afjusted 5 2 3 5" xfId="22741"/>
    <cellStyle name="ac 3 2 3 5" xfId="22742"/>
    <cellStyle name="Date [mmm-yyyy] 3 2 3 5" xfId="22743"/>
    <cellStyle name="ac 2 4 2 3 5" xfId="22744"/>
    <cellStyle name="Afjusted 2 3 2 3 5" xfId="22745"/>
    <cellStyle name="Bold/Border 2 4 2 3 5" xfId="22746"/>
    <cellStyle name="Border Thin 2 4 2 3 5" xfId="22747"/>
    <cellStyle name="COL HEADINGS 2 4 2 3 5" xfId="22748"/>
    <cellStyle name="Date [mmm-yyyy] 2 4 2 3 5" xfId="22749"/>
    <cellStyle name="dp*NumberLine 2 4 2 3 5" xfId="22750"/>
    <cellStyle name="dp*NumberLineEPS 2 4 2 3 5" xfId="22751"/>
    <cellStyle name="dp*SheetSubTitle 2 4 2 3 5" xfId="22752"/>
    <cellStyle name="dp*SubTitle 2 4 2 3 5" xfId="22753"/>
    <cellStyle name="dp*ThinLineBelow 2 4 2 3 5" xfId="22754"/>
    <cellStyle name="Heading [Helv] 2 4 2 3 5" xfId="22755"/>
    <cellStyle name="Heading [Palat] 2 4 2 3 5" xfId="22756"/>
    <cellStyle name="Magic 2 4 2 3 5" xfId="22757"/>
    <cellStyle name="Outputs 2 4 2 3 5" xfId="22758"/>
    <cellStyle name="PB Table Standard Row 2 4 2 3 5" xfId="22759"/>
    <cellStyle name="P-Green Rule 2 4 2 3 5" xfId="22760"/>
    <cellStyle name="Style 44 3 4 2 3 5" xfId="22761"/>
    <cellStyle name="Style 45 3 4 2 3 5" xfId="22762"/>
    <cellStyle name="Style 49 3 4 2 3 5" xfId="22763"/>
    <cellStyle name="Style 51 3 4 2 3 5" xfId="22764"/>
    <cellStyle name="Style 44 2 4 2 3 5" xfId="22765"/>
    <cellStyle name="Style 45 2 4 2 3 5" xfId="22766"/>
    <cellStyle name="Style 49 2 4 2 3 5" xfId="22767"/>
    <cellStyle name="Style 51 2 4 2 3 5" xfId="22768"/>
    <cellStyle name="Table Head Aligned 2 4 2 3 5" xfId="22769"/>
    <cellStyle name="Table Head Green 2 4 2 3 5" xfId="22770"/>
    <cellStyle name="Title [Helv] 2 4 2 3 5" xfId="22771"/>
    <cellStyle name="Title [Palat] 2 4 2 3 5" xfId="22772"/>
    <cellStyle name="ac 4 2 3 5" xfId="22773"/>
    <cellStyle name="Bold/Border 4 2 3 5" xfId="22774"/>
    <cellStyle name="Border Thin 5 2 3 5" xfId="22775"/>
    <cellStyle name="COL HEADINGS 4 2 3 5" xfId="22776"/>
    <cellStyle name="Date [mm-d-yyyy] 5 2 3 5" xfId="22777"/>
    <cellStyle name="Heading [Helv] 4 2 3 5" xfId="22778"/>
    <cellStyle name="Heading [Palat] 4 2 3 5" xfId="22779"/>
    <cellStyle name="Outputs 4 2 3 5" xfId="22780"/>
    <cellStyle name="PB Table Standard Row 5 2 3 5" xfId="22781"/>
    <cellStyle name="P-Green Rule 5 2 3 5" xfId="22782"/>
    <cellStyle name="Style 44 6 2 3 5" xfId="22783"/>
    <cellStyle name="Style 45 6 2 3 5" xfId="22784"/>
    <cellStyle name="Style 49 6 2 3 5" xfId="22785"/>
    <cellStyle name="Style 51 6 2 3 5" xfId="22786"/>
    <cellStyle name="Table Head Green 4 2 3 5" xfId="22787"/>
    <cellStyle name="Afjusted 6 2 3 5" xfId="22788"/>
    <cellStyle name="ac 2 5 2 3 5" xfId="22789"/>
    <cellStyle name="Afjusted 2 4 2 3 5" xfId="22790"/>
    <cellStyle name="Bold/Border 2 5 2 3 5" xfId="22791"/>
    <cellStyle name="Border Thin 2 5 2 3 5" xfId="22792"/>
    <cellStyle name="COL HEADINGS 2 5 2 3 5" xfId="22793"/>
    <cellStyle name="Date [mmm-yyyy] 2 5 2 3 5" xfId="22794"/>
    <cellStyle name="dp*NumberLine 2 5 2 3 5" xfId="22795"/>
    <cellStyle name="dp*NumberLineEPS 2 5 2 3 5" xfId="22796"/>
    <cellStyle name="dp*SheetSubTitle 2 5 2 3 5" xfId="22797"/>
    <cellStyle name="dp*SubTitle 2 5 2 3 5" xfId="22798"/>
    <cellStyle name="dp*ThinLineBelow 2 5 2 3 5" xfId="22799"/>
    <cellStyle name="Heading [Helv] 2 5 2 3 5" xfId="22800"/>
    <cellStyle name="Heading [Palat] 2 5 2 3 5" xfId="22801"/>
    <cellStyle name="Magic 2 5 2 3 5" xfId="22802"/>
    <cellStyle name="Outputs 2 5 2 3 5" xfId="22803"/>
    <cellStyle name="PB Table Standard Row 2 5 2 3 5" xfId="22804"/>
    <cellStyle name="P-Green Rule 2 5 2 3 5" xfId="22805"/>
    <cellStyle name="Style 44 3 5 2 3 5" xfId="22806"/>
    <cellStyle name="Style 45 3 5 2 3 5" xfId="22807"/>
    <cellStyle name="Style 49 3 5 2 3 5" xfId="22808"/>
    <cellStyle name="Style 51 3 5 2 3 5" xfId="22809"/>
    <cellStyle name="Style 44 2 5 2 3 5" xfId="22810"/>
    <cellStyle name="Style 45 2 5 2 3 5" xfId="22811"/>
    <cellStyle name="Style 49 2 5 2 3 5" xfId="22812"/>
    <cellStyle name="Style 51 2 5 2 3 5" xfId="22813"/>
    <cellStyle name="Table Head Aligned 2 5 2 3 5" xfId="22814"/>
    <cellStyle name="Table Head Green 2 5 2 3 5" xfId="22815"/>
    <cellStyle name="Title [Helv] 2 5 2 3 5" xfId="22816"/>
    <cellStyle name="Title [Palat] 2 5 2 3 5" xfId="22817"/>
    <cellStyle name="ac 5 2 3 5" xfId="22818"/>
    <cellStyle name="Bold/Border 5 2 3 5" xfId="22819"/>
    <cellStyle name="Border Thin 6 2 3 5" xfId="22820"/>
    <cellStyle name="COL HEADINGS 5 2 3 5" xfId="22821"/>
    <cellStyle name="Heading [Helv] 5 2 3 5" xfId="22822"/>
    <cellStyle name="Heading [Palat] 5 2 3 5" xfId="22823"/>
    <cellStyle name="Outputs 5 2 3 5" xfId="22824"/>
    <cellStyle name="PB Table Standard Row 6 2 3 5" xfId="22825"/>
    <cellStyle name="P-Green Rule 6 2 3 5" xfId="22826"/>
    <cellStyle name="Style 44 7 2 3 5" xfId="22827"/>
    <cellStyle name="Style 45 7 2 3 5" xfId="22828"/>
    <cellStyle name="Style 49 7 2 3 5" xfId="22829"/>
    <cellStyle name="Style 51 7 2 3 5" xfId="22830"/>
    <cellStyle name="Table Head Green 5 2 3 5" xfId="22831"/>
    <cellStyle name="Title [Palat] 4 2 3 5" xfId="22832"/>
    <cellStyle name="ac 2 6 2 3 5" xfId="22833"/>
    <cellStyle name="Bold/Border 2 6 2 3 5" xfId="22834"/>
    <cellStyle name="Border Thin 2 6 2 3 5" xfId="22835"/>
    <cellStyle name="COL HEADINGS 2 6 2 3 5" xfId="22836"/>
    <cellStyle name="Heading [Helv] 2 6 2 3 5" xfId="22837"/>
    <cellStyle name="Heading [Palat] 2 6 2 3 5" xfId="22838"/>
    <cellStyle name="Outputs 2 6 2 3 5" xfId="22839"/>
    <cellStyle name="PB Table Standard Row 2 6 2 3 5" xfId="22840"/>
    <cellStyle name="P-Green Rule 2 6 2 3 5" xfId="22841"/>
    <cellStyle name="Style 44 3 6 2 3 5" xfId="22842"/>
    <cellStyle name="Style 45 3 6 2 3 5" xfId="22843"/>
    <cellStyle name="Style 49 3 6 2 3 5" xfId="22844"/>
    <cellStyle name="Style 51 3 6 2 3 5" xfId="22845"/>
    <cellStyle name="Style 44 2 6 2 3 5" xfId="22846"/>
    <cellStyle name="Style 45 2 6 2 3 5" xfId="22847"/>
    <cellStyle name="Style 49 2 6 2 3 5" xfId="22848"/>
    <cellStyle name="Style 51 2 6 2 3 5" xfId="22849"/>
    <cellStyle name="Table Head Green 2 6 2 3 5" xfId="22850"/>
    <cellStyle name="Title [Palat] 2 6 2 3 5" xfId="22851"/>
    <cellStyle name="Title [Palat] 5 2 3 5" xfId="22852"/>
    <cellStyle name="Title [Helv] 4 2 3 5" xfId="22853"/>
    <cellStyle name="Table Head Green 6 2 3 5" xfId="22854"/>
    <cellStyle name="Table Head Aligned 4 2 3 5" xfId="22855"/>
    <cellStyle name="Style 51 9 2 3 5" xfId="22856"/>
    <cellStyle name="Style 49 9 2 3 5" xfId="22857"/>
    <cellStyle name="Style 45 9 2 3 5" xfId="22858"/>
    <cellStyle name="Style 44 9 2 3 5" xfId="22859"/>
    <cellStyle name="P-Green Rule 7 2 3 5" xfId="22860"/>
    <cellStyle name="PB Table Standard Row 7 2 3 5" xfId="22861"/>
    <cellStyle name="Outputs 6 2 3 5" xfId="22862"/>
    <cellStyle name="Magic 4 2 3 5" xfId="22863"/>
    <cellStyle name="Heading [Palat] 6 2 3 5" xfId="22864"/>
    <cellStyle name="Heading [Helv] 6 2 3 5" xfId="22865"/>
    <cellStyle name="dp*ThinLineBelow 5 2 3 5" xfId="22866"/>
    <cellStyle name="dp*SubTitle 5 2 3 5" xfId="22867"/>
    <cellStyle name="dp*SheetSubTitle 4 2 3 5" xfId="22868"/>
    <cellStyle name="dp*NumberLineEPS 4 2 3 5" xfId="22869"/>
    <cellStyle name="dp*NumberLine 4 2 3 5" xfId="22870"/>
    <cellStyle name="Date [mmm-yyyy] 4 2 3 5" xfId="22871"/>
    <cellStyle name="Date [mm-d-yyyy] 7 2 3 5" xfId="22872"/>
    <cellStyle name="COL HEADINGS 6 2 3 5" xfId="22873"/>
    <cellStyle name="Border Thin 7 2 3 5" xfId="22874"/>
    <cellStyle name="Bold/Border 6 2 3 5" xfId="22875"/>
    <cellStyle name="Afjusted 7 2 3 5" xfId="22876"/>
    <cellStyle name="ac 6 2 3 5" xfId="22877"/>
    <cellStyle name="Style 44 8 2 3 5" xfId="22878"/>
    <cellStyle name="Style 45 8 2 3 5" xfId="22879"/>
    <cellStyle name="Style 49 8 2 3 5" xfId="22880"/>
    <cellStyle name="Style 51 8 2 3 5" xfId="22881"/>
    <cellStyle name="Title [Palat] 6 2 3 5" xfId="22882"/>
    <cellStyle name="Title [Helv] 5 2 3 5" xfId="22883"/>
    <cellStyle name="Table Head Green 7 2 3 5" xfId="22884"/>
    <cellStyle name="Table Head Aligned 5 2 3 5" xfId="22885"/>
    <cellStyle name="Outputs 7 2 3 5" xfId="22886"/>
    <cellStyle name="Magic 5 2 3 5" xfId="22887"/>
    <cellStyle name="Heading [Palat] 7 2 3 5" xfId="22888"/>
    <cellStyle name="Heading [Helv] 7 2 3 5" xfId="22889"/>
    <cellStyle name="dp*SheetSubTitle 5 2 3 5" xfId="22890"/>
    <cellStyle name="dp*NumberLineEPS 5 2 3 5" xfId="22891"/>
    <cellStyle name="dp*NumberLine 5 2 3 5" xfId="22892"/>
    <cellStyle name="Date [mmm-yyyy] 5 2 3 5" xfId="22893"/>
    <cellStyle name="COL HEADINGS 7 2 3 5" xfId="22894"/>
    <cellStyle name="Bold/Border 7 2 3 5" xfId="22895"/>
    <cellStyle name="Afjusted 8 2 3 5" xfId="22896"/>
    <cellStyle name="ac 7 2 3 5" xfId="22897"/>
    <cellStyle name="Title [Palat] 7 2 3 5" xfId="22898"/>
    <cellStyle name="Title [Helv] 6 2 3 5" xfId="22899"/>
    <cellStyle name="Table Head Green 8 2 3 5" xfId="22900"/>
    <cellStyle name="Table Head Aligned 6 2 3 5" xfId="22901"/>
    <cellStyle name="Outputs 8 2 3 5" xfId="22902"/>
    <cellStyle name="Magic 6 2 3 5" xfId="22903"/>
    <cellStyle name="Heading [Palat] 8 2 3 5" xfId="22904"/>
    <cellStyle name="Heading [Helv] 8 2 3 5" xfId="22905"/>
    <cellStyle name="dp*SheetSubTitle 6 2 3 5" xfId="22906"/>
    <cellStyle name="dp*NumberLineEPS 6 2 3 5" xfId="22907"/>
    <cellStyle name="dp*NumberLine 6 2 3 5" xfId="22908"/>
    <cellStyle name="COL HEADINGS 8 2 3 5" xfId="22909"/>
    <cellStyle name="Bold/Border 8 2 3 5" xfId="22910"/>
    <cellStyle name="Afjusted 9 2 3 5" xfId="22911"/>
    <cellStyle name="ac 8 2 3 5" xfId="22912"/>
    <cellStyle name="Date [mmm-yyyy] 6 2 3 5" xfId="22913"/>
    <cellStyle name="Title [Palat] 8 2 3 5" xfId="22914"/>
    <cellStyle name="Title [Helv] 7 2 3 5" xfId="22915"/>
    <cellStyle name="Table Head Green 9 2 3 5" xfId="22916"/>
    <cellStyle name="Table Head Aligned 7 2 3 5" xfId="22917"/>
    <cellStyle name="Outputs 9 2 3 5" xfId="22918"/>
    <cellStyle name="Magic 7 2 3 5" xfId="22919"/>
    <cellStyle name="Heading [Palat] 9 2 3 5" xfId="22920"/>
    <cellStyle name="Heading [Helv] 9 2 3 5" xfId="22921"/>
    <cellStyle name="dp*SheetSubTitle 7 2 3 5" xfId="22922"/>
    <cellStyle name="dp*NumberLineEPS 7 2 3 5" xfId="22923"/>
    <cellStyle name="dp*NumberLine 7 2 3 5" xfId="22924"/>
    <cellStyle name="Date [mmm-yyyy] 7 2 3 5" xfId="22925"/>
    <cellStyle name="COL HEADINGS 9 2 3 5" xfId="22926"/>
    <cellStyle name="Bold/Border 9 2 3 5" xfId="22927"/>
    <cellStyle name="Afjusted 10 2 3 5" xfId="22928"/>
    <cellStyle name="ac 9 2 3 5" xfId="22929"/>
    <cellStyle name="FieldName 4 3" xfId="22930"/>
    <cellStyle name="WingdingsWhite 6 3" xfId="22931"/>
    <cellStyle name="WingdingsRed 6 3" xfId="22932"/>
    <cellStyle name="WingdingsBlack 6 3" xfId="22933"/>
    <cellStyle name="UNLOCKED 28 3" xfId="22934"/>
    <cellStyle name="Title [Palat] 5 8" xfId="22935"/>
    <cellStyle name="Title [Helv] 4 8" xfId="22936"/>
    <cellStyle name="Table Head Green 6 8" xfId="22937"/>
    <cellStyle name="Table Head Aligned 4 8" xfId="22938"/>
    <cellStyle name="SymbolBlue 6 3" xfId="22939"/>
    <cellStyle name="Style 53 6 3" xfId="22940"/>
    <cellStyle name="Style 52 6 3" xfId="22941"/>
    <cellStyle name="Style 51 9 6" xfId="22942"/>
    <cellStyle name="Style 50 6 3" xfId="22943"/>
    <cellStyle name="Style 49 9 6" xfId="22944"/>
    <cellStyle name="Style 48 6 3" xfId="22945"/>
    <cellStyle name="Style 45 9 6" xfId="22946"/>
    <cellStyle name="Style 44 9 6" xfId="22947"/>
    <cellStyle name="Style 43 6 3" xfId="22948"/>
    <cellStyle name="Style 42 6 3" xfId="22949"/>
    <cellStyle name="Style 40 6 3" xfId="22950"/>
    <cellStyle name="Style 37 6 3" xfId="22951"/>
    <cellStyle name="Style 36 6 3" xfId="22952"/>
    <cellStyle name="Style 35 6 3" xfId="22953"/>
    <cellStyle name="Style 28 4 3" xfId="22954"/>
    <cellStyle name="Style 27 4 3" xfId="22955"/>
    <cellStyle name="Style 24 4 3" xfId="22956"/>
    <cellStyle name="Style 26 4 3" xfId="22957"/>
    <cellStyle name="Style 25 4 3" xfId="22958"/>
    <cellStyle name="Style 22 6 3" xfId="22959"/>
    <cellStyle name="Style 21 6 3" xfId="22960"/>
    <cellStyle name="SSFixed2 3 3" xfId="22961"/>
    <cellStyle name="SSDfltPct0 3 3" xfId="22962"/>
    <cellStyle name="SSDfltPct 3 3" xfId="22963"/>
    <cellStyle name="SSDecs3 3 3" xfId="22964"/>
    <cellStyle name="SSComma2 3 3" xfId="22965"/>
    <cellStyle name="SSComma0 3 3" xfId="22966"/>
    <cellStyle name="SAPBEXundefined 3 3" xfId="22967"/>
    <cellStyle name="SAPBEXtitle 3 3" xfId="22968"/>
    <cellStyle name="SAPBEXstdItemX 5 3" xfId="22969"/>
    <cellStyle name="SAPBEXstdItem 3 3" xfId="22970"/>
    <cellStyle name="SAPBEXstdDataEmph 3 3" xfId="22971"/>
    <cellStyle name="SAPBEXstdData 3 3" xfId="22972"/>
    <cellStyle name="SAPBEXresItemX 5 3" xfId="22973"/>
    <cellStyle name="SAPBEXresItem 3 3" xfId="22974"/>
    <cellStyle name="SAPBEXresDataEmph 3 3" xfId="22975"/>
    <cellStyle name="SAPBEXresData 3 3" xfId="22976"/>
    <cellStyle name="SAPBEXHLevel3X 5 3" xfId="22977"/>
    <cellStyle name="SAPBEXHLevel3 5 3" xfId="22978"/>
    <cellStyle name="SAPBEXHLevel2X 5 3" xfId="22979"/>
    <cellStyle name="SAPBEXHLevel2 5 3" xfId="22980"/>
    <cellStyle name="SAPBEXHLevel1X 5 3" xfId="22981"/>
    <cellStyle name="SAPBEXHLevel1 5 3" xfId="22982"/>
    <cellStyle name="SAPBEXHLevel0X 5 3" xfId="22983"/>
    <cellStyle name="SAPBEXHLevel0 5 3" xfId="22984"/>
    <cellStyle name="SAPBEXformats 3 3" xfId="22985"/>
    <cellStyle name="SAPBEXexcGood3 3 3" xfId="22986"/>
    <cellStyle name="SAPBEXexcGood2 3 3" xfId="22987"/>
    <cellStyle name="SAPBEXexcGood1 3 3" xfId="22988"/>
    <cellStyle name="SAPBEXexcCritical6 3 3" xfId="22989"/>
    <cellStyle name="SAPBEXexcCritical5 3 3" xfId="22990"/>
    <cellStyle name="SAPBEXexcCritical4 3 3" xfId="22991"/>
    <cellStyle name="SAPBEXexcBad9 3 3" xfId="22992"/>
    <cellStyle name="SAPBEXexcBad8 3 3" xfId="22993"/>
    <cellStyle name="SAPBEXexcBad7 3 3" xfId="22994"/>
    <cellStyle name="SAPBEXaggItemX 5 3" xfId="22995"/>
    <cellStyle name="SAPBEXaggItem 3 3" xfId="22996"/>
    <cellStyle name="SAPBEXaggDataEmph 3 3" xfId="22997"/>
    <cellStyle name="SAPBEXaggData 3 3" xfId="22998"/>
    <cellStyle name="Arial6Bold 7 3" xfId="22999"/>
    <cellStyle name="Arial8Bold 7 3" xfId="23000"/>
    <cellStyle name="Arial8Italic 7 3" xfId="23001"/>
    <cellStyle name="ArialNormal 7 3" xfId="23002"/>
    <cellStyle name="Border 5 3" xfId="23003"/>
    <cellStyle name="P-Green Rule 7 6" xfId="23004"/>
    <cellStyle name="PB Table Standard Row 7 5" xfId="23005"/>
    <cellStyle name="Outputs 6 8" xfId="23006"/>
    <cellStyle name="dp*Number%ItalicsLineAbove 5 3" xfId="23007"/>
    <cellStyle name="dp*ThinLineAbove 5 3" xfId="23008"/>
    <cellStyle name="Draw lines around data in range 7 3" xfId="23009"/>
    <cellStyle name="Draw shadow and lines within range 7 3" xfId="23010"/>
    <cellStyle name="Millions 9 3" xfId="23011"/>
    <cellStyle name="Main 5 3" xfId="23012"/>
    <cellStyle name="Magic 4 8" xfId="23013"/>
    <cellStyle name="ItemTypeClass 6 3" xfId="23014"/>
    <cellStyle name="Format a row of totals 7 3" xfId="23015"/>
    <cellStyle name="Format text as bold, black on yellow 7 3" xfId="23016"/>
    <cellStyle name="Heading [Palat] 6 8" xfId="23017"/>
    <cellStyle name="Heading [Helv] 6 8" xfId="23018"/>
    <cellStyle name="Format text as bold, black on yellow 6 3" xfId="23019"/>
    <cellStyle name="Format a row of totals 6 3" xfId="23020"/>
    <cellStyle name="ItemTypeClass 7 3" xfId="23021"/>
    <cellStyle name="Main 6 3" xfId="23022"/>
    <cellStyle name="Draw shadow and lines within range 6 3" xfId="23023"/>
    <cellStyle name="Draw lines around data in range 6 3" xfId="23024"/>
    <cellStyle name="dp*ThinLineBelow 5 7" xfId="23025"/>
    <cellStyle name="dp*ThinLineAbove 4 3" xfId="23026"/>
    <cellStyle name="dp*SubTitle 5 6" xfId="23027"/>
    <cellStyle name="dp*SheetSubTitle 4 8" xfId="23028"/>
    <cellStyle name="dp*NumberLineEPS 4 8" xfId="23029"/>
    <cellStyle name="dp*NumberLine 4 8" xfId="23030"/>
    <cellStyle name="dp*Number%ItalicsLineAbove 4 3" xfId="23031"/>
    <cellStyle name="Millions 10 3" xfId="23032"/>
    <cellStyle name="DateYearWholeEstimate 6 3" xfId="23033"/>
    <cellStyle name="DateYearEstimate 6 3" xfId="23034"/>
    <cellStyle name="Date [mmm-yyyy] 4 8" xfId="23035"/>
    <cellStyle name="Date [mm-d-yyyy] 7 7" xfId="23036"/>
    <cellStyle name="COL HEADINGS 6 8" xfId="23037"/>
    <cellStyle name="Border Thin 7 6" xfId="23038"/>
    <cellStyle name="Border 4 3" xfId="23039"/>
    <cellStyle name="Bold/Border 6 8" xfId="23040"/>
    <cellStyle name="ArialNormal 6 3" xfId="23041"/>
    <cellStyle name="Arial8Italic 6 3" xfId="23042"/>
    <cellStyle name="Arial8Bold 6 3" xfId="23043"/>
    <cellStyle name="Arial6Bold 6 3" xfId="23044"/>
    <cellStyle name="Afjusted 7 8" xfId="23045"/>
    <cellStyle name="ac 6 8" xfId="23046"/>
    <cellStyle name="SAPBEXaggData 4 3" xfId="23047"/>
    <cellStyle name="SAPBEXaggDataEmph 4 3" xfId="23048"/>
    <cellStyle name="SAPBEXaggItem 4 3" xfId="23049"/>
    <cellStyle name="SAPBEXaggItemX 6 3" xfId="23050"/>
    <cellStyle name="SAPBEXexcBad7 4 3" xfId="23051"/>
    <cellStyle name="SAPBEXexcBad8 4 3" xfId="23052"/>
    <cellStyle name="SAPBEXexcBad9 4 3" xfId="23053"/>
    <cellStyle name="SAPBEXexcCritical4 4 3" xfId="23054"/>
    <cellStyle name="SAPBEXexcCritical5 4 3" xfId="23055"/>
    <cellStyle name="SAPBEXexcCritical6 4 3" xfId="23056"/>
    <cellStyle name="SAPBEXexcGood2 4 3" xfId="23057"/>
    <cellStyle name="SAPBEXexcGood1 4 3" xfId="23058"/>
    <cellStyle name="SAPBEXexcGood3 4 3" xfId="23059"/>
    <cellStyle name="SAPBEXformats 4 3" xfId="23060"/>
    <cellStyle name="SAPBEXHLevel0 6 3" xfId="23061"/>
    <cellStyle name="SAPBEXHLevel0X 6 3" xfId="23062"/>
    <cellStyle name="SAPBEXHLevel1 6 3" xfId="23063"/>
    <cellStyle name="SAPBEXHLevel1X 6 3" xfId="23064"/>
    <cellStyle name="SAPBEXHLevel2 6 3" xfId="23065"/>
    <cellStyle name="SAPBEXHLevel2X 6 3" xfId="23066"/>
    <cellStyle name="SAPBEXHLevel3 6 3" xfId="23067"/>
    <cellStyle name="SAPBEXHLevel3X 6 3" xfId="23068"/>
    <cellStyle name="SAPBEXresData 4 3" xfId="23069"/>
    <cellStyle name="SAPBEXresDataEmph 4 3" xfId="23070"/>
    <cellStyle name="SAPBEXresItem 4 3" xfId="23071"/>
    <cellStyle name="SAPBEXresItemX 6 3" xfId="23072"/>
    <cellStyle name="SAPBEXstdData 4 3" xfId="23073"/>
    <cellStyle name="SAPBEXstdDataEmph 4 3" xfId="23074"/>
    <cellStyle name="SAPBEXstdItem 4 3" xfId="23075"/>
    <cellStyle name="SAPBEXstdItemX 6 3" xfId="23076"/>
    <cellStyle name="SAPBEXtitle 4 3" xfId="23077"/>
    <cellStyle name="SAPBEXundefined 4 3" xfId="23078"/>
    <cellStyle name="Style 44 8 8" xfId="23079"/>
    <cellStyle name="Style 45 8 8" xfId="23080"/>
    <cellStyle name="Style 49 8 8" xfId="23081"/>
    <cellStyle name="Style 51 8 8" xfId="23082"/>
    <cellStyle name="SSComma0 4 3" xfId="23083"/>
    <cellStyle name="SSComma2 4 3" xfId="23084"/>
    <cellStyle name="SSDecs3 4 3" xfId="23085"/>
    <cellStyle name="SSDfltPct 4 3" xfId="23086"/>
    <cellStyle name="SSDfltPct0 4 3" xfId="23087"/>
    <cellStyle name="SSFixed2 4 3" xfId="23088"/>
    <cellStyle name="Style 22 7 3" xfId="23089"/>
    <cellStyle name="Style 24 5 3" xfId="23090"/>
    <cellStyle name="Style 25 5 3" xfId="23091"/>
    <cellStyle name="Style 26 5 3" xfId="23092"/>
    <cellStyle name="Style 27 5 3" xfId="23093"/>
    <cellStyle name="Style 28 5 3" xfId="23094"/>
    <cellStyle name="Style 35 7 3" xfId="23095"/>
    <cellStyle name="Style 36 7 3" xfId="23096"/>
    <cellStyle name="Style 37 7 3" xfId="23097"/>
    <cellStyle name="Style 40 7 3" xfId="23098"/>
    <cellStyle name="Style 42 7 3" xfId="23099"/>
    <cellStyle name="Style 43 7 3" xfId="23100"/>
    <cellStyle name="Style 48 7 3" xfId="23101"/>
    <cellStyle name="Style 50 7 3" xfId="23102"/>
    <cellStyle name="Style 52 7 3" xfId="23103"/>
    <cellStyle name="Style 53 7 3" xfId="23104"/>
    <cellStyle name="UNLOCKED 27 3" xfId="23105"/>
    <cellStyle name="SymbolBlue 7 3" xfId="23106"/>
    <cellStyle name="Style 21 7 3" xfId="23107"/>
    <cellStyle name="DateYearWholeEstimate 7 3" xfId="23108"/>
    <cellStyle name="DateYearEstimate 7 3" xfId="23109"/>
    <cellStyle name="UNLOCKED 29 3" xfId="23110"/>
    <cellStyle name="WingdingsBlack 7 3" xfId="23111"/>
    <cellStyle name="WingdingsRed 7 3" xfId="23112"/>
    <cellStyle name="WingdingsWhite 7 3" xfId="23113"/>
    <cellStyle name="UNLOCKED 31 3" xfId="23114"/>
    <cellStyle name="Title [Palat] 6 7" xfId="23115"/>
    <cellStyle name="Title [Helv] 5 7" xfId="23116"/>
    <cellStyle name="Table Head Green 7 7" xfId="23117"/>
    <cellStyle name="Table Head Aligned 5 7" xfId="23118"/>
    <cellStyle name="Outputs 7 7" xfId="23119"/>
    <cellStyle name="Millions 11 3" xfId="23120"/>
    <cellStyle name="Magic 5 7" xfId="23121"/>
    <cellStyle name="Heading [Palat] 7 7" xfId="23122"/>
    <cellStyle name="Heading [Helv] 7 7" xfId="23123"/>
    <cellStyle name="dp*SheetSubTitle 5 7" xfId="23124"/>
    <cellStyle name="dp*NumberLineEPS 5 7" xfId="23125"/>
    <cellStyle name="dp*NumberLine 5 7" xfId="23126"/>
    <cellStyle name="Date [mmm-yyyy] 5 7" xfId="23127"/>
    <cellStyle name="COL HEADINGS 7 7" xfId="23128"/>
    <cellStyle name="Bold/Border 7 7" xfId="23129"/>
    <cellStyle name="Afjusted 8 7" xfId="23130"/>
    <cellStyle name="ac 7 7" xfId="23131"/>
    <cellStyle name="UNLOCKED 30 3" xfId="23132"/>
    <cellStyle name="FieldName 5 3" xfId="23133"/>
    <cellStyle name="WingdingsWhite 8 3" xfId="23134"/>
    <cellStyle name="WingdingsRed 8 3" xfId="23135"/>
    <cellStyle name="WingdingsBlack 8 3" xfId="23136"/>
    <cellStyle name="UNLOCKED 33 3" xfId="23137"/>
    <cellStyle name="Title [Palat] 7 7" xfId="23138"/>
    <cellStyle name="Title [Helv] 6 7" xfId="23139"/>
    <cellStyle name="Table Head Green 8 7" xfId="23140"/>
    <cellStyle name="Table Head Aligned 6 7" xfId="23141"/>
    <cellStyle name="SymbolBlue 8 3" xfId="23142"/>
    <cellStyle name="Style 53 8 3" xfId="23143"/>
    <cellStyle name="Style 52 8 3" xfId="23144"/>
    <cellStyle name="Style 50 8 3" xfId="23145"/>
    <cellStyle name="Style 48 8 3" xfId="23146"/>
    <cellStyle name="Style 43 8 3" xfId="23147"/>
    <cellStyle name="Style 42 8 3" xfId="23148"/>
    <cellStyle name="Style 40 8 3" xfId="23149"/>
    <cellStyle name="Style 37 8 3" xfId="23150"/>
    <cellStyle name="Style 36 8 3" xfId="23151"/>
    <cellStyle name="Style 35 8 3" xfId="23152"/>
    <cellStyle name="Style 28 6 3" xfId="23153"/>
    <cellStyle name="Style 26 6 3" xfId="23154"/>
    <cellStyle name="Style 27 6 3" xfId="23155"/>
    <cellStyle name="Style 25 6 3" xfId="23156"/>
    <cellStyle name="Style 24 6 3" xfId="23157"/>
    <cellStyle name="Style 22 8 3" xfId="23158"/>
    <cellStyle name="Style 21 8 3" xfId="23159"/>
    <cellStyle name="SSFixed2 5 3" xfId="23160"/>
    <cellStyle name="SSDfltPct0 5 3" xfId="23161"/>
    <cellStyle name="SSDfltPct 5 3" xfId="23162"/>
    <cellStyle name="SSDecs3 5 3" xfId="23163"/>
    <cellStyle name="SSComma2 5 3" xfId="23164"/>
    <cellStyle name="SSComma0 5 3" xfId="23165"/>
    <cellStyle name="SAPBEXundefined 5 3" xfId="23166"/>
    <cellStyle name="SAPBEXtitle 5 3" xfId="23167"/>
    <cellStyle name="SAPBEXstdItemX 7 3" xfId="23168"/>
    <cellStyle name="SAPBEXstdItem 5 3" xfId="23169"/>
    <cellStyle name="SAPBEXstdDataEmph 5 3" xfId="23170"/>
    <cellStyle name="SAPBEXstdData 5 3" xfId="23171"/>
    <cellStyle name="SAPBEXresItemX 7 3" xfId="23172"/>
    <cellStyle name="SAPBEXresItem 5 3" xfId="23173"/>
    <cellStyle name="SAPBEXresDataEmph 5 3" xfId="23174"/>
    <cellStyle name="SAPBEXresData 5 3" xfId="23175"/>
    <cellStyle name="SAPBEXHLevel3X 7 3" xfId="23176"/>
    <cellStyle name="SAPBEXHLevel3 7 3" xfId="23177"/>
    <cellStyle name="SAPBEXHLevel2X 7 3" xfId="23178"/>
    <cellStyle name="SAPBEXHLevel2 7 3" xfId="23179"/>
    <cellStyle name="SAPBEXHLevel1X 7 3" xfId="23180"/>
    <cellStyle name="SAPBEXHLevel1 7 3" xfId="23181"/>
    <cellStyle name="SAPBEXHLevel0X 7 3" xfId="23182"/>
    <cellStyle name="SAPBEXHLevel0 7 3" xfId="23183"/>
    <cellStyle name="SAPBEXformats 5 3" xfId="23184"/>
    <cellStyle name="SAPBEXexcGood3 5 3" xfId="23185"/>
    <cellStyle name="SAPBEXexcGood2 5 3" xfId="23186"/>
    <cellStyle name="SAPBEXexcGood1 5 3" xfId="23187"/>
    <cellStyle name="SAPBEXexcCritical6 5 3" xfId="23188"/>
    <cellStyle name="SAPBEXexcCritical5 5 3" xfId="23189"/>
    <cellStyle name="SAPBEXexcCritical4 5 3" xfId="23190"/>
    <cellStyle name="SAPBEXexcBad9 5 3" xfId="23191"/>
    <cellStyle name="SAPBEXexcBad8 5 3" xfId="23192"/>
    <cellStyle name="SAPBEXexcBad7 5 3" xfId="23193"/>
    <cellStyle name="SAPBEXaggItemX 7 3" xfId="23194"/>
    <cellStyle name="SAPBEXaggItem 5 3" xfId="23195"/>
    <cellStyle name="SAPBEXaggDataEmph 5 3" xfId="23196"/>
    <cellStyle name="SAPBEXaggData 5 3" xfId="23197"/>
    <cellStyle name="Outputs 8 7" xfId="23198"/>
    <cellStyle name="Millions 12 3" xfId="23199"/>
    <cellStyle name="Main 7 3" xfId="23200"/>
    <cellStyle name="Magic 6 7" xfId="23201"/>
    <cellStyle name="ItemTypeClass 8 3" xfId="23202"/>
    <cellStyle name="Heading [Palat] 8 7" xfId="23203"/>
    <cellStyle name="Heading [Helv] 8 7" xfId="23204"/>
    <cellStyle name="Format text as bold, black on yellow 8 3" xfId="23205"/>
    <cellStyle name="Format a row of totals 8 3" xfId="23206"/>
    <cellStyle name="Draw shadow and lines within range 8 3" xfId="23207"/>
    <cellStyle name="Draw lines around data in range 8 3" xfId="23208"/>
    <cellStyle name="dp*ThinLineAbove 6 3" xfId="23209"/>
    <cellStyle name="dp*SheetSubTitle 6 7" xfId="23210"/>
    <cellStyle name="dp*NumberLineEPS 6 7" xfId="23211"/>
    <cellStyle name="dp*NumberLine 6 7" xfId="23212"/>
    <cellStyle name="dp*Number%ItalicsLineAbove 6 3" xfId="23213"/>
    <cellStyle name="DateYearWholeEstimate 8 3" xfId="23214"/>
    <cellStyle name="DateYearEstimate 8 3" xfId="23215"/>
    <cellStyle name="COL HEADINGS 8 7" xfId="23216"/>
    <cellStyle name="Border 6 3" xfId="23217"/>
    <cellStyle name="Bold/Border 8 7" xfId="23218"/>
    <cellStyle name="ArialNormal 8 3" xfId="23219"/>
    <cellStyle name="Arial8Italic 8 3" xfId="23220"/>
    <cellStyle name="Arial8Bold 8 3" xfId="23221"/>
    <cellStyle name="Arial6Bold 8 3" xfId="23222"/>
    <cellStyle name="Afjusted 9 7" xfId="23223"/>
    <cellStyle name="ac 8 7" xfId="23224"/>
    <cellStyle name="UNLOCKED 32 3" xfId="23225"/>
    <cellStyle name="Date [mmm-yyyy] 6 7" xfId="23226"/>
    <cellStyle name="UNLOCKED 35 3" xfId="23227"/>
    <cellStyle name="Title [Palat] 8 7" xfId="23228"/>
    <cellStyle name="Title [Helv] 7 7" xfId="23229"/>
    <cellStyle name="Table Head Green 9 7" xfId="23230"/>
    <cellStyle name="Table Head Aligned 7 7" xfId="23231"/>
    <cellStyle name="Outputs 9 7" xfId="23232"/>
    <cellStyle name="Millions 13 3" xfId="23233"/>
    <cellStyle name="Magic 7 7" xfId="23234"/>
    <cellStyle name="Heading [Palat] 9 7" xfId="23235"/>
    <cellStyle name="Heading [Helv] 9 7" xfId="23236"/>
    <cellStyle name="dp*SheetSubTitle 7 7" xfId="23237"/>
    <cellStyle name="dp*NumberLineEPS 7 7" xfId="23238"/>
    <cellStyle name="dp*NumberLine 7 7" xfId="23239"/>
    <cellStyle name="Date [mmm-yyyy] 7 7" xfId="23240"/>
    <cellStyle name="COL HEADINGS 9 7" xfId="23241"/>
    <cellStyle name="Bold/Border 9 7" xfId="23242"/>
    <cellStyle name="Afjusted 10 7" xfId="23243"/>
    <cellStyle name="ac 9 7" xfId="23244"/>
    <cellStyle name="UNLOCKED 34 3" xfId="23245"/>
    <cellStyle name="Afjusted 3 6 7" xfId="23246"/>
    <cellStyle name="ac 2 7 7" xfId="23247"/>
    <cellStyle name="Afjusted 2 5 7" xfId="23248"/>
    <cellStyle name="Bold/Border 2 7 7" xfId="23249"/>
    <cellStyle name="COL HEADINGS 2 7 7" xfId="23250"/>
    <cellStyle name="Date [mmm-yyyy] 2 6 7" xfId="23251"/>
    <cellStyle name="dp*NumberLine 2 6 7" xfId="23252"/>
    <cellStyle name="dp*NumberLineEPS 2 6 7" xfId="23253"/>
    <cellStyle name="dp*SheetSubTitle 2 6 7" xfId="23254"/>
    <cellStyle name="Heading [Helv] 2 7 7" xfId="23255"/>
    <cellStyle name="Heading [Palat] 2 7 7" xfId="23256"/>
    <cellStyle name="Magic 2 6 7" xfId="23257"/>
    <cellStyle name="Outputs 2 7 7" xfId="23258"/>
    <cellStyle name="Table Head Aligned 2 6 7" xfId="23259"/>
    <cellStyle name="Table Head Green 2 7 7" xfId="23260"/>
    <cellStyle name="Title [Helv] 2 6 7" xfId="23261"/>
    <cellStyle name="Title [Palat] 2 7 7" xfId="23262"/>
    <cellStyle name="Date [mm-d-yyyy] 3 6 7" xfId="23263"/>
    <cellStyle name="Style 51 4 6 7" xfId="23264"/>
    <cellStyle name="Style 49 4 6 7" xfId="23265"/>
    <cellStyle name="Style 45 4 6 7" xfId="23266"/>
    <cellStyle name="Style 44 4 6 7" xfId="23267"/>
    <cellStyle name="P-Green Rule 3 6 7" xfId="23268"/>
    <cellStyle name="PB Table Standard Row 3 6 7" xfId="23269"/>
    <cellStyle name="dp*ThinLineBelow 3 6 7" xfId="23270"/>
    <cellStyle name="dp*SubTitle 3 6 7" xfId="23271"/>
    <cellStyle name="Border Thin 3 6 7" xfId="23272"/>
    <cellStyle name="Afjusted 4 6 7" xfId="23273"/>
    <cellStyle name="ac 2 2 5 7" xfId="23274"/>
    <cellStyle name="Afjusted 2 2 6 7" xfId="23275"/>
    <cellStyle name="Bold/Border 2 2 5 7" xfId="23276"/>
    <cellStyle name="COL HEADINGS 2 2 5 7" xfId="23277"/>
    <cellStyle name="Date [mmm-yyyy] 2 2 5 7" xfId="23278"/>
    <cellStyle name="dp*NumberLine 2 2 5 7" xfId="23279"/>
    <cellStyle name="dp*NumberLineEPS 2 2 5 7" xfId="23280"/>
    <cellStyle name="dp*SheetSubTitle 2 2 5 7" xfId="23281"/>
    <cellStyle name="Heading [Helv] 2 2 5 7" xfId="23282"/>
    <cellStyle name="Heading [Palat] 2 2 5 7" xfId="23283"/>
    <cellStyle name="Magic 2 2 5 7" xfId="23284"/>
    <cellStyle name="Outputs 2 2 5 7" xfId="23285"/>
    <cellStyle name="Table Head Aligned 2 2 5 7" xfId="23286"/>
    <cellStyle name="Table Head Green 2 2 5 7" xfId="23287"/>
    <cellStyle name="Title [Helv] 2 2 5 7" xfId="23288"/>
    <cellStyle name="Title [Palat] 2 2 5 7" xfId="23289"/>
    <cellStyle name="dp*SubTitle 2 2 2 7" xfId="23290"/>
    <cellStyle name="Border Thin 2 2 2 7" xfId="23291"/>
    <cellStyle name="Bold/Border 2 2 3 4 2 7" xfId="23292"/>
    <cellStyle name="Magic 2 2 3 4 2 7" xfId="23293"/>
    <cellStyle name="Title [Helv] 2 2 3 4 2 7" xfId="23294"/>
    <cellStyle name="Style 51 2 2 2 7" xfId="23295"/>
    <cellStyle name="Style 45 2 2 2 7" xfId="23296"/>
    <cellStyle name="Style 49 2 2 2 7" xfId="23297"/>
    <cellStyle name="Style 44 2 2 2 7" xfId="23298"/>
    <cellStyle name="Style 51 3 2 2 7" xfId="23299"/>
    <cellStyle name="Style 49 3 2 2 7" xfId="23300"/>
    <cellStyle name="Style 45 3 2 2 7" xfId="23301"/>
    <cellStyle name="Style 44 3 2 2 7" xfId="23302"/>
    <cellStyle name="P-Green Rule 2 2 2 7" xfId="23303"/>
    <cellStyle name="PB Table Standard Row 2 2 2 7" xfId="23304"/>
    <cellStyle name="dp*ThinLineBelow 2 2 2 7" xfId="23305"/>
    <cellStyle name="dp*ThinLineBelow 2 3 2 7" xfId="23306"/>
    <cellStyle name="Style 44 3 3 2 7" xfId="23307"/>
    <cellStyle name="COL HEADINGS 2 2 3 4 2 7" xfId="23308"/>
    <cellStyle name="Style 49 4 3 4 2 7" xfId="23309"/>
    <cellStyle name="Afjusted 3 3 4 2 7" xfId="23310"/>
    <cellStyle name="Date [mm-d-yyyy] 3 3 4 2 7" xfId="23311"/>
    <cellStyle name="Afjusted 4 3 4 2 7" xfId="23312"/>
    <cellStyle name="ac 2 2 3 4 2 7" xfId="23313"/>
    <cellStyle name="Afjusted 2 2 3 4 2 7" xfId="23314"/>
    <cellStyle name="Date [mmm-yyyy] 2 2 3 4 2 7" xfId="23315"/>
    <cellStyle name="dp*NumberLine 2 2 3 4 2 7" xfId="23316"/>
    <cellStyle name="dp*NumberLineEPS 2 2 3 4 2 7" xfId="23317"/>
    <cellStyle name="dp*SheetSubTitle 2 2 3 4 2 7" xfId="23318"/>
    <cellStyle name="Heading [Helv] 2 2 3 4 2 7" xfId="23319"/>
    <cellStyle name="Outputs 2 2 3 4 2 7" xfId="23320"/>
    <cellStyle name="Table Head Aligned 2 2 3 4 2 7" xfId="23321"/>
    <cellStyle name="Title [Palat] 2 2 3 4 2 7" xfId="23322"/>
    <cellStyle name="Afjusted 3 5 2 7" xfId="23323"/>
    <cellStyle name="Style 45 3 3 2 7" xfId="23324"/>
    <cellStyle name="Style 51 3 3 2 7" xfId="23325"/>
    <cellStyle name="Style 44 2 3 2 7" xfId="23326"/>
    <cellStyle name="Style 45 2 3 2 7" xfId="23327"/>
    <cellStyle name="Style 49 2 3 2 7" xfId="23328"/>
    <cellStyle name="Border Thin 3 5 2 7" xfId="23329"/>
    <cellStyle name="ac 2 2 4 2 7" xfId="23330"/>
    <cellStyle name="Afjusted 2 2 5 2 7" xfId="23331"/>
    <cellStyle name="Bold/Border 2 2 4 2 7" xfId="23332"/>
    <cellStyle name="COL HEADINGS 2 2 4 2 7" xfId="23333"/>
    <cellStyle name="Date [mmm-yyyy] 2 2 4 2 7" xfId="23334"/>
    <cellStyle name="dp*NumberLine 2 2 4 2 7" xfId="23335"/>
    <cellStyle name="dp*NumberLineEPS 2 2 4 2 7" xfId="23336"/>
    <cellStyle name="dp*SheetSubTitle 2 2 4 2 7" xfId="23337"/>
    <cellStyle name="Heading [Palat] 2 2 4 2 7" xfId="23338"/>
    <cellStyle name="Outputs 2 2 4 2 7" xfId="23339"/>
    <cellStyle name="Magic 2 2 4 2 7" xfId="23340"/>
    <cellStyle name="Title [Helv] 2 2 4 2 7" xfId="23341"/>
    <cellStyle name="Title [Palat] 2 2 4 2 7" xfId="23342"/>
    <cellStyle name="Title [Palat] 2 2 3 3 2 7" xfId="23343"/>
    <cellStyle name="Title [Helv] 2 2 3 3 2 7" xfId="23344"/>
    <cellStyle name="Table Head Aligned 2 2 3 3 2 7" xfId="23345"/>
    <cellStyle name="Magic 2 2 3 3 2 7" xfId="23346"/>
    <cellStyle name="Heading [Helv] 2 2 3 3 2 7" xfId="23347"/>
    <cellStyle name="dp*NumberLineEPS 2 2 3 3 2 7" xfId="23348"/>
    <cellStyle name="COL HEADINGS 2 2 3 3 2 7" xfId="23349"/>
    <cellStyle name="ac 2 2 3 3 2 7" xfId="23350"/>
    <cellStyle name="Afjusted 4 3 3 2 7" xfId="23351"/>
    <cellStyle name="Border Thin 3 3 3 2 7" xfId="23352"/>
    <cellStyle name="PB Table Standard Row 3 3 3 2 7" xfId="23353"/>
    <cellStyle name="Style 44 4 3 3 2 7" xfId="23354"/>
    <cellStyle name="Style 51 4 3 3 2 7" xfId="23355"/>
    <cellStyle name="Afjusted 3 3 3 2 7" xfId="23356"/>
    <cellStyle name="Style 49 4 5 2 7" xfId="23357"/>
    <cellStyle name="Style 44 4 5 2 7" xfId="23358"/>
    <cellStyle name="P-Green Rule 3 5 2 7" xfId="23359"/>
    <cellStyle name="dp*SubTitle 3 5 2 7" xfId="23360"/>
    <cellStyle name="Afjusted 4 5 2 7" xfId="23361"/>
    <cellStyle name="ac 2 3 2 7" xfId="23362"/>
    <cellStyle name="Bold/Border 2 3 2 7" xfId="23363"/>
    <cellStyle name="COL HEADINGS 2 3 2 7" xfId="23364"/>
    <cellStyle name="Date [mmm-yyyy] 2 3 2 7" xfId="23365"/>
    <cellStyle name="dp*NumberLine 2 3 2 7" xfId="23366"/>
    <cellStyle name="dp*NumberLineEPS 2 3 2 7" xfId="23367"/>
    <cellStyle name="dp*SheetSubTitle 2 3 2 7" xfId="23368"/>
    <cellStyle name="Heading [Helv] 2 3 2 7" xfId="23369"/>
    <cellStyle name="Heading [Palat] 2 3 2 7" xfId="23370"/>
    <cellStyle name="Magic 2 3 2 7" xfId="23371"/>
    <cellStyle name="Outputs 2 3 2 7" xfId="23372"/>
    <cellStyle name="Date [mmm-yyyy] 2 2 3 3 2 7" xfId="23373"/>
    <cellStyle name="Afjusted 2 2 3 3 2 7" xfId="23374"/>
    <cellStyle name="dp*ThinLineBelow 3 3 3 2 7" xfId="23375"/>
    <cellStyle name="Style 49 4 3 3 2 7" xfId="23376"/>
    <cellStyle name="Outputs 2 2 3 3 2 7" xfId="23377"/>
    <cellStyle name="dp*NumberLine 2 2 3 3 2 7" xfId="23378"/>
    <cellStyle name="Bold/Border 2 2 3 3 2 7" xfId="23379"/>
    <cellStyle name="dp*SubTitle 3 3 3 2 7" xfId="23380"/>
    <cellStyle name="Style 45 4 3 3 2 7" xfId="23381"/>
    <cellStyle name="Table Head Aligned 2 3 2 7" xfId="23382"/>
    <cellStyle name="Table Head Green 2 3 2 7" xfId="23383"/>
    <cellStyle name="Title [Helv] 2 3 2 7" xfId="23384"/>
    <cellStyle name="Title [Palat] 2 3 2 7" xfId="23385"/>
    <cellStyle name="Style 45 4 3 4 2 7" xfId="23386"/>
    <cellStyle name="Style 51 4 3 4 2 7" xfId="23387"/>
    <cellStyle name="Afjusted 3 4 2 7" xfId="23388"/>
    <cellStyle name="P-Green Rule 3 3 4 2 7" xfId="23389"/>
    <cellStyle name="Border Thin 2 3 2 7" xfId="23390"/>
    <cellStyle name="Style 49 3 3 2 7" xfId="23391"/>
    <cellStyle name="Style 51 2 3 2 7" xfId="23392"/>
    <cellStyle name="Heading [Helv] 2 2 4 2 7" xfId="23393"/>
    <cellStyle name="Table Head Aligned 2 2 4 2 7" xfId="23394"/>
    <cellStyle name="Table Head Green 2 2 4 2 7" xfId="23395"/>
    <cellStyle name="Table Head Green 2 2 3 3 2 7" xfId="23396"/>
    <cellStyle name="Heading [Palat] 2 2 3 3 2 7" xfId="23397"/>
    <cellStyle name="dp*SheetSubTitle 2 2 3 3 2 7" xfId="23398"/>
    <cellStyle name="P-Green Rule 3 3 3 2 7" xfId="23399"/>
    <cellStyle name="Date [mm-d-yyyy] 3 3 3 2 7" xfId="23400"/>
    <cellStyle name="Date [mm-d-yyyy] 3 4 2 7" xfId="23401"/>
    <cellStyle name="Style 51 4 4 2 7" xfId="23402"/>
    <cellStyle name="Style 49 4 4 2 7" xfId="23403"/>
    <cellStyle name="Style 45 4 4 2 7" xfId="23404"/>
    <cellStyle name="Style 44 4 4 2 7" xfId="23405"/>
    <cellStyle name="dp*ThinLineBelow 3 3 4 2 7" xfId="23406"/>
    <cellStyle name="P-Green Rule 3 4 2 7" xfId="23407"/>
    <cellStyle name="PB Table Standard Row 3 4 2 5" xfId="23408"/>
    <cellStyle name="dp*ThinLineBelow 3 4 2 7" xfId="23409"/>
    <cellStyle name="dp*SubTitle 3 4 2 6" xfId="23410"/>
    <cellStyle name="dp*SubTitle 3 3 4 2 7" xfId="23411"/>
    <cellStyle name="Border Thin 3 4 2 6" xfId="23412"/>
    <cellStyle name="Border Thin 3 3 4 2 7" xfId="23413"/>
    <cellStyle name="Afjusted 4 4 2 7" xfId="23414"/>
    <cellStyle name="Afjusted 2 2 4 2 7" xfId="23415"/>
    <cellStyle name="Style 44 4 3 4 2 7" xfId="23416"/>
    <cellStyle name="PB Table Standard Row 3 3 4 2 7" xfId="23417"/>
    <cellStyle name="Title [Palat] 2 2 3 5 7" xfId="23418"/>
    <cellStyle name="Title [Helv] 2 2 3 5 7" xfId="23419"/>
    <cellStyle name="Table Head Green 2 2 3 5 7" xfId="23420"/>
    <cellStyle name="Table Head Aligned 2 2 3 5 7" xfId="23421"/>
    <cellStyle name="Outputs 2 2 3 5 7" xfId="23422"/>
    <cellStyle name="Magic 2 2 3 5 7" xfId="23423"/>
    <cellStyle name="Heading [Palat] 2 2 3 5 7" xfId="23424"/>
    <cellStyle name="Heading [Helv] 2 2 3 5 7" xfId="23425"/>
    <cellStyle name="dp*SheetSubTitle 2 2 3 5 7" xfId="23426"/>
    <cellStyle name="dp*NumberLineEPS 2 2 3 5 7" xfId="23427"/>
    <cellStyle name="dp*NumberLine 2 2 3 5 7" xfId="23428"/>
    <cellStyle name="Date [mmm-yyyy] 2 2 3 5 7" xfId="23429"/>
    <cellStyle name="COL HEADINGS 2 2 3 5 7" xfId="23430"/>
    <cellStyle name="Bold/Border 2 2 3 5 7" xfId="23431"/>
    <cellStyle name="Afjusted 2 2 3 5 7" xfId="23432"/>
    <cellStyle name="ac 2 2 3 5 7" xfId="23433"/>
    <cellStyle name="Afjusted 4 3 5 7" xfId="23434"/>
    <cellStyle name="Border Thin 3 3 5 7" xfId="23435"/>
    <cellStyle name="dp*SubTitle 3 3 5 7" xfId="23436"/>
    <cellStyle name="dp*ThinLineBelow 3 3 5 7" xfId="23437"/>
    <cellStyle name="PB Table Standard Row 3 3 5 7" xfId="23438"/>
    <cellStyle name="P-Green Rule 3 3 5 7" xfId="23439"/>
    <cellStyle name="Style 44 4 3 5 7" xfId="23440"/>
    <cellStyle name="Style 45 4 3 5 7" xfId="23441"/>
    <cellStyle name="Style 49 4 3 5 7" xfId="23442"/>
    <cellStyle name="Style 51 4 3 5 7" xfId="23443"/>
    <cellStyle name="Date [mm-d-yyyy] 3 3 5 7" xfId="23444"/>
    <cellStyle name="Afjusted 3 3 5 7" xfId="23445"/>
    <cellStyle name="Date [mm-d-yyyy] 2 2 4 7" xfId="23446"/>
    <cellStyle name="Afjusted 3 2 5 7" xfId="23447"/>
    <cellStyle name="Date [mm-d-yyyy] 3 2 5 7" xfId="23448"/>
    <cellStyle name="Style 51 4 2 5 7" xfId="23449"/>
    <cellStyle name="Style 49 4 2 5 7" xfId="23450"/>
    <cellStyle name="Style 45 4 2 5 7" xfId="23451"/>
    <cellStyle name="Style 44 4 2 5 7" xfId="23452"/>
    <cellStyle name="P-Green Rule 3 2 5 7" xfId="23453"/>
    <cellStyle name="PB Table Standard Row 3 2 5 5" xfId="23454"/>
    <cellStyle name="dp*ThinLineBelow 3 2 5 7" xfId="23455"/>
    <cellStyle name="dp*SubTitle 3 2 5 7" xfId="23456"/>
    <cellStyle name="Border Thin 3 2 5 7" xfId="23457"/>
    <cellStyle name="Afjusted 4 2 5 7" xfId="23458"/>
    <cellStyle name="ac 2 2 2 5 7" xfId="23459"/>
    <cellStyle name="Afjusted 2 2 2 5 7" xfId="23460"/>
    <cellStyle name="Bold/Border 2 2 2 5 7" xfId="23461"/>
    <cellStyle name="COL HEADINGS 2 2 2 5 7" xfId="23462"/>
    <cellStyle name="Date [mmm-yyyy] 2 2 2 5 7" xfId="23463"/>
    <cellStyle name="dp*NumberLine 2 2 2 5 7" xfId="23464"/>
    <cellStyle name="dp*NumberLineEPS 2 2 2 5 7" xfId="23465"/>
    <cellStyle name="dp*SheetSubTitle 2 2 2 5 7" xfId="23466"/>
    <cellStyle name="Heading [Helv] 2 2 2 5 7" xfId="23467"/>
    <cellStyle name="Heading [Palat] 2 2 2 5 7" xfId="23468"/>
    <cellStyle name="Magic 2 2 2 5 7" xfId="23469"/>
    <cellStyle name="Outputs 2 2 2 5 7" xfId="23470"/>
    <cellStyle name="Table Head Aligned 2 2 2 5 7" xfId="23471"/>
    <cellStyle name="Table Head Green 2 2 2 5 7" xfId="23472"/>
    <cellStyle name="Title [Helv] 2 2 2 5 7" xfId="23473"/>
    <cellStyle name="Title [Palat] 2 2 2 5 7" xfId="23474"/>
    <cellStyle name="Table Head Green 2 2 3 4 2 7" xfId="23475"/>
    <cellStyle name="Heading [Palat] 2 2 3 4 2 7" xfId="23476"/>
    <cellStyle name="PB Table Standard Row 2 3 2 7" xfId="23477"/>
    <cellStyle name="P-Green Rule 2 3 2 7" xfId="23478"/>
    <cellStyle name="Title [Palat] 2 2 3 2 2 7" xfId="23479"/>
    <cellStyle name="Title [Helv] 2 2 3 2 2 7" xfId="23480"/>
    <cellStyle name="Table Head Green 2 2 3 2 2 7" xfId="23481"/>
    <cellStyle name="Table Head Aligned 2 2 3 2 2 7" xfId="23482"/>
    <cellStyle name="Outputs 2 2 3 2 2 7" xfId="23483"/>
    <cellStyle name="Magic 2 2 3 2 2 7" xfId="23484"/>
    <cellStyle name="Heading [Palat] 2 2 3 2 2 7" xfId="23485"/>
    <cellStyle name="Heading [Helv] 2 2 3 2 2 7" xfId="23486"/>
    <cellStyle name="dp*SheetSubTitle 2 2 3 2 2 7" xfId="23487"/>
    <cellStyle name="dp*NumberLineEPS 2 2 3 2 2 7" xfId="23488"/>
    <cellStyle name="dp*NumberLine 2 2 3 2 2 7" xfId="23489"/>
    <cellStyle name="Date [mmm-yyyy] 2 2 3 2 2 7" xfId="23490"/>
    <cellStyle name="COL HEADINGS 2 2 3 2 2 7" xfId="23491"/>
    <cellStyle name="Bold/Border 2 2 3 2 2 7" xfId="23492"/>
    <cellStyle name="Afjusted 2 2 3 2 2 7" xfId="23493"/>
    <cellStyle name="ac 2 2 3 2 2 7" xfId="23494"/>
    <cellStyle name="Afjusted 4 3 2 2 7" xfId="23495"/>
    <cellStyle name="Border Thin 3 3 2 2 7" xfId="23496"/>
    <cellStyle name="dp*SubTitle 3 3 2 2 7" xfId="23497"/>
    <cellStyle name="dp*ThinLineBelow 3 3 2 2 7" xfId="23498"/>
    <cellStyle name="PB Table Standard Row 3 3 2 2 7" xfId="23499"/>
    <cellStyle name="P-Green Rule 3 3 2 2 7" xfId="23500"/>
    <cellStyle name="Style 44 4 3 2 2 7" xfId="23501"/>
    <cellStyle name="Style 45 4 3 2 2 7" xfId="23502"/>
    <cellStyle name="Style 49 4 3 2 2 7" xfId="23503"/>
    <cellStyle name="Style 51 4 3 2 2 7" xfId="23504"/>
    <cellStyle name="Date [mm-d-yyyy] 3 3 2 2 7" xfId="23505"/>
    <cellStyle name="Afjusted 3 3 2 2 7" xfId="23506"/>
    <cellStyle name="Date [mm-d-yyyy] 3 5 2 7" xfId="23507"/>
    <cellStyle name="dp*SubTitle 2 3 2 7" xfId="23508"/>
    <cellStyle name="Date [mm-d-yyyy] 2 2 2 2 7" xfId="23509"/>
    <cellStyle name="Afjusted 3 2 2 2 7" xfId="23510"/>
    <cellStyle name="PB Table Standard Row 3 5 2 7" xfId="23511"/>
    <cellStyle name="Date [mm-d-yyyy] 3 2 2 2 7" xfId="23512"/>
    <cellStyle name="Style 51 4 2 2 2 7" xfId="23513"/>
    <cellStyle name="Style 49 4 2 2 2 7" xfId="23514"/>
    <cellStyle name="Style 45 4 2 2 2 7" xfId="23515"/>
    <cellStyle name="Style 44 4 2 2 2 7" xfId="23516"/>
    <cellStyle name="Style 45 4 5 2 7" xfId="23517"/>
    <cellStyle name="P-Green Rule 3 2 2 2 7" xfId="23518"/>
    <cellStyle name="PB Table Standard Row 3 2 2 2 7" xfId="23519"/>
    <cellStyle name="dp*ThinLineBelow 3 2 2 2 7" xfId="23520"/>
    <cellStyle name="dp*SubTitle 3 2 2 2 7" xfId="23521"/>
    <cellStyle name="Style 51 4 5 2 7" xfId="23522"/>
    <cellStyle name="Border Thin 3 2 2 2 7" xfId="23523"/>
    <cellStyle name="Afjusted 4 2 2 2 7" xfId="23524"/>
    <cellStyle name="ac 2 2 2 2 2 7" xfId="23525"/>
    <cellStyle name="Afjusted 2 2 2 2 2 7" xfId="23526"/>
    <cellStyle name="Bold/Border 2 2 2 2 2 7" xfId="23527"/>
    <cellStyle name="COL HEADINGS 2 2 2 2 2 7" xfId="23528"/>
    <cellStyle name="Date [mmm-yyyy] 2 2 2 2 2 7" xfId="23529"/>
    <cellStyle name="dp*NumberLine 2 2 2 2 2 7" xfId="23530"/>
    <cellStyle name="dp*NumberLineEPS 2 2 2 2 2 7" xfId="23531"/>
    <cellStyle name="dp*SheetSubTitle 2 2 2 2 2 7" xfId="23532"/>
    <cellStyle name="Heading [Helv] 2 2 2 2 2 7" xfId="23533"/>
    <cellStyle name="Heading [Palat] 2 2 2 2 2 7" xfId="23534"/>
    <cellStyle name="Magic 2 2 2 2 2 7" xfId="23535"/>
    <cellStyle name="Outputs 2 2 2 2 2 7" xfId="23536"/>
    <cellStyle name="Table Head Aligned 2 2 2 2 2 7" xfId="23537"/>
    <cellStyle name="Table Head Green 2 2 2 2 2 7" xfId="23538"/>
    <cellStyle name="Title [Helv] 2 2 2 2 2 7" xfId="23539"/>
    <cellStyle name="Title [Palat] 2 2 2 2 2 7" xfId="23540"/>
    <cellStyle name="dp*ThinLineBelow 3 5 2 7" xfId="23541"/>
    <cellStyle name="Date [mm-d-yyyy] 2 2 3 2 7" xfId="23542"/>
    <cellStyle name="Afjusted 3 2 3 2 7" xfId="23543"/>
    <cellStyle name="Date [mm-d-yyyy] 3 2 3 2 7" xfId="23544"/>
    <cellStyle name="Style 51 4 2 3 2 7" xfId="23545"/>
    <cellStyle name="Style 49 4 2 3 2 7" xfId="23546"/>
    <cellStyle name="Style 45 4 2 3 2 7" xfId="23547"/>
    <cellStyle name="Style 44 4 2 3 2 7" xfId="23548"/>
    <cellStyle name="P-Green Rule 3 2 3 2 7" xfId="23549"/>
    <cellStyle name="PB Table Standard Row 3 2 3 2 7" xfId="23550"/>
    <cellStyle name="dp*ThinLineBelow 3 2 3 2 7" xfId="23551"/>
    <cellStyle name="dp*SubTitle 3 2 3 2 7" xfId="23552"/>
    <cellStyle name="Border Thin 3 2 3 2 7" xfId="23553"/>
    <cellStyle name="Afjusted 4 2 3 2 7" xfId="23554"/>
    <cellStyle name="ac 2 2 2 3 2 7" xfId="23555"/>
    <cellStyle name="Afjusted 2 2 2 3 2 7" xfId="23556"/>
    <cellStyle name="Bold/Border 2 2 2 3 2 7" xfId="23557"/>
    <cellStyle name="COL HEADINGS 2 2 2 3 2 7" xfId="23558"/>
    <cellStyle name="Date [mmm-yyyy] 2 2 2 3 2 7" xfId="23559"/>
    <cellStyle name="dp*NumberLine 2 2 2 3 2 7" xfId="23560"/>
    <cellStyle name="dp*NumberLineEPS 2 2 2 3 2 7" xfId="23561"/>
    <cellStyle name="dp*SheetSubTitle 2 2 2 3 2 7" xfId="23562"/>
    <cellStyle name="Heading [Helv] 2 2 2 3 2 7" xfId="23563"/>
    <cellStyle name="Heading [Palat] 2 2 2 3 2 7" xfId="23564"/>
    <cellStyle name="Magic 2 2 2 3 2 7" xfId="23565"/>
    <cellStyle name="Outputs 2 2 2 3 2 7" xfId="23566"/>
    <cellStyle name="Table Head Aligned 2 2 2 3 2 7" xfId="23567"/>
    <cellStyle name="Table Head Green 2 2 2 3 2 7" xfId="23568"/>
    <cellStyle name="Title [Helv] 2 2 2 3 2 7" xfId="23569"/>
    <cellStyle name="Title [Palat] 2 2 2 3 2 7" xfId="23570"/>
    <cellStyle name="Afjusted 3 2 4 2 7" xfId="23571"/>
    <cellStyle name="Date [mm-d-yyyy] 3 2 4 2 7" xfId="23572"/>
    <cellStyle name="Style 51 4 2 4 2 7" xfId="23573"/>
    <cellStyle name="Style 49 4 2 4 2 7" xfId="23574"/>
    <cellStyle name="Style 45 4 2 4 2 7" xfId="23575"/>
    <cellStyle name="Style 44 4 2 4 2 7" xfId="23576"/>
    <cellStyle name="P-Green Rule 3 2 4 2 7" xfId="23577"/>
    <cellStyle name="PB Table Standard Row 3 2 4 2 7" xfId="23578"/>
    <cellStyle name="dp*ThinLineBelow 3 2 4 2 7" xfId="23579"/>
    <cellStyle name="dp*SubTitle 3 2 4 2 7" xfId="23580"/>
    <cellStyle name="Border Thin 3 2 4 2 7" xfId="23581"/>
    <cellStyle name="Afjusted 4 2 4 2 7" xfId="23582"/>
    <cellStyle name="ac 2 2 2 4 2 7" xfId="23583"/>
    <cellStyle name="Afjusted 2 2 2 4 2 7" xfId="23584"/>
    <cellStyle name="Bold/Border 2 2 2 4 2 7" xfId="23585"/>
    <cellStyle name="COL HEADINGS 2 2 2 4 2 7" xfId="23586"/>
    <cellStyle name="Date [mmm-yyyy] 2 2 2 4 2 7" xfId="23587"/>
    <cellStyle name="dp*NumberLine 2 2 2 4 2 7" xfId="23588"/>
    <cellStyle name="dp*NumberLineEPS 2 2 2 4 2 7" xfId="23589"/>
    <cellStyle name="dp*SheetSubTitle 2 2 2 4 2 7" xfId="23590"/>
    <cellStyle name="Heading [Helv] 2 2 2 4 2 7" xfId="23591"/>
    <cellStyle name="Heading [Palat] 2 2 2 4 2 7" xfId="23592"/>
    <cellStyle name="Magic 2 2 2 4 2 7" xfId="23593"/>
    <cellStyle name="Outputs 2 2 2 4 2 7" xfId="23594"/>
    <cellStyle name="Table Head Aligned 2 2 2 4 2 7" xfId="23595"/>
    <cellStyle name="Table Head Green 2 2 2 4 2 7" xfId="23596"/>
    <cellStyle name="Title [Helv] 2 2 2 4 2 7" xfId="23597"/>
    <cellStyle name="Title [Palat] 2 2 2 4 2 7" xfId="23598"/>
    <cellStyle name="Border Thin 4 2 7" xfId="23599"/>
    <cellStyle name="Date [mm-d-yyyy] 4 2 7" xfId="23600"/>
    <cellStyle name="dp*SubTitle 4 2 7" xfId="23601"/>
    <cellStyle name="dp*ThinLineBelow 4 2 7" xfId="23602"/>
    <cellStyle name="PB Table Standard Row 4 2 7" xfId="23603"/>
    <cellStyle name="P-Green Rule 4 2 7" xfId="23604"/>
    <cellStyle name="Style 44 5 2 7" xfId="23605"/>
    <cellStyle name="Style 45 5 2 7" xfId="23606"/>
    <cellStyle name="Style 49 5 2 7" xfId="23607"/>
    <cellStyle name="Style 51 5 2 7" xfId="23608"/>
    <cellStyle name="Title [Palat] 3 2 7" xfId="23609"/>
    <cellStyle name="Title [Helv] 3 2 7" xfId="23610"/>
    <cellStyle name="Table Head Green 3 2 7" xfId="23611"/>
    <cellStyle name="Table Head Aligned 3 2 7" xfId="23612"/>
    <cellStyle name="Outputs 3 2 7" xfId="23613"/>
    <cellStyle name="Magic 3 2 7" xfId="23614"/>
    <cellStyle name="Heading [Palat] 3 2 7" xfId="23615"/>
    <cellStyle name="Heading [Helv] 3 2 7" xfId="23616"/>
    <cellStyle name="dp*SheetSubTitle 3 2 7" xfId="23617"/>
    <cellStyle name="dp*NumberLineEPS 3 2 7" xfId="23618"/>
    <cellStyle name="dp*NumberLine 3 2 7" xfId="23619"/>
    <cellStyle name="COL HEADINGS 3 2 7" xfId="23620"/>
    <cellStyle name="Bold/Border 3 2 7" xfId="23621"/>
    <cellStyle name="Afjusted 5 2 7" xfId="23622"/>
    <cellStyle name="ac 3 2 7" xfId="23623"/>
    <cellStyle name="Date [mmm-yyyy] 3 2 7" xfId="23624"/>
    <cellStyle name="ac 2 4 2 7" xfId="23625"/>
    <cellStyle name="Afjusted 2 3 2 7" xfId="23626"/>
    <cellStyle name="Bold/Border 2 4 2 7" xfId="23627"/>
    <cellStyle name="Border Thin 2 4 2 7" xfId="23628"/>
    <cellStyle name="COL HEADINGS 2 4 2 7" xfId="23629"/>
    <cellStyle name="Date [mmm-yyyy] 2 4 2 7" xfId="23630"/>
    <cellStyle name="dp*NumberLine 2 4 2 7" xfId="23631"/>
    <cellStyle name="dp*NumberLineEPS 2 4 2 7" xfId="23632"/>
    <cellStyle name="dp*SheetSubTitle 2 4 2 7" xfId="23633"/>
    <cellStyle name="dp*SubTitle 2 4 2 7" xfId="23634"/>
    <cellStyle name="dp*ThinLineBelow 2 4 2 7" xfId="23635"/>
    <cellStyle name="Heading [Helv] 2 4 2 7" xfId="23636"/>
    <cellStyle name="Heading [Palat] 2 4 2 7" xfId="23637"/>
    <cellStyle name="Magic 2 4 2 7" xfId="23638"/>
    <cellStyle name="Outputs 2 4 2 7" xfId="23639"/>
    <cellStyle name="PB Table Standard Row 2 4 2 7" xfId="23640"/>
    <cellStyle name="P-Green Rule 2 4 2 7" xfId="23641"/>
    <cellStyle name="Style 44 3 4 2 7" xfId="23642"/>
    <cellStyle name="Style 45 3 4 2 7" xfId="23643"/>
    <cellStyle name="Style 49 3 4 2 7" xfId="23644"/>
    <cellStyle name="Style 51 3 4 2 7" xfId="23645"/>
    <cellStyle name="Style 44 2 4 2 7" xfId="23646"/>
    <cellStyle name="Style 45 2 4 2 7" xfId="23647"/>
    <cellStyle name="Style 49 2 4 2 7" xfId="23648"/>
    <cellStyle name="Style 51 2 4 2 7" xfId="23649"/>
    <cellStyle name="Table Head Aligned 2 4 2 7" xfId="23650"/>
    <cellStyle name="Table Head Green 2 4 2 7" xfId="23651"/>
    <cellStyle name="Title [Helv] 2 4 2 7" xfId="23652"/>
    <cellStyle name="Title [Palat] 2 4 2 7" xfId="23653"/>
    <cellStyle name="ac 4 2 7" xfId="23654"/>
    <cellStyle name="Bold/Border 4 2 7" xfId="23655"/>
    <cellStyle name="Border Thin 5 2 7" xfId="23656"/>
    <cellStyle name="COL HEADINGS 4 2 7" xfId="23657"/>
    <cellStyle name="Date [mm-d-yyyy] 5 2 7" xfId="23658"/>
    <cellStyle name="Heading [Helv] 4 2 7" xfId="23659"/>
    <cellStyle name="Heading [Palat] 4 2 7" xfId="23660"/>
    <cellStyle name="Outputs 4 2 7" xfId="23661"/>
    <cellStyle name="PB Table Standard Row 5 2 7" xfId="23662"/>
    <cellStyle name="P-Green Rule 5 2 7" xfId="23663"/>
    <cellStyle name="Style 44 6 2 7" xfId="23664"/>
    <cellStyle name="Style 45 6 2 7" xfId="23665"/>
    <cellStyle name="Style 49 6 2 7" xfId="23666"/>
    <cellStyle name="Style 51 6 2 7" xfId="23667"/>
    <cellStyle name="Table Head Green 4 2 7" xfId="23668"/>
    <cellStyle name="Afjusted 6 2 7" xfId="23669"/>
    <cellStyle name="ac 2 5 2 7" xfId="23670"/>
    <cellStyle name="Afjusted 2 4 2 7" xfId="23671"/>
    <cellStyle name="Bold/Border 2 5 2 7" xfId="23672"/>
    <cellStyle name="Border Thin 2 5 2 7" xfId="23673"/>
    <cellStyle name="COL HEADINGS 2 5 2 7" xfId="23674"/>
    <cellStyle name="Date [mmm-yyyy] 2 5 2 7" xfId="23675"/>
    <cellStyle name="dp*NumberLine 2 5 2 7" xfId="23676"/>
    <cellStyle name="dp*NumberLineEPS 2 5 2 7" xfId="23677"/>
    <cellStyle name="dp*SheetSubTitle 2 5 2 7" xfId="23678"/>
    <cellStyle name="dp*SubTitle 2 5 2 7" xfId="23679"/>
    <cellStyle name="dp*ThinLineBelow 2 5 2 7" xfId="23680"/>
    <cellStyle name="Heading [Helv] 2 5 2 7" xfId="23681"/>
    <cellStyle name="Heading [Palat] 2 5 2 7" xfId="23682"/>
    <cellStyle name="Magic 2 5 2 7" xfId="23683"/>
    <cellStyle name="Outputs 2 5 2 7" xfId="23684"/>
    <cellStyle name="PB Table Standard Row 2 5 2 7" xfId="23685"/>
    <cellStyle name="P-Green Rule 2 5 2 7" xfId="23686"/>
    <cellStyle name="Style 44 3 5 2 7" xfId="23687"/>
    <cellStyle name="Style 45 3 5 2 7" xfId="23688"/>
    <cellStyle name="Style 49 3 5 2 7" xfId="23689"/>
    <cellStyle name="Style 51 3 5 2 7" xfId="23690"/>
    <cellStyle name="Style 44 2 5 2 7" xfId="23691"/>
    <cellStyle name="Style 45 2 5 2 7" xfId="23692"/>
    <cellStyle name="Style 49 2 5 2 7" xfId="23693"/>
    <cellStyle name="Style 51 2 5 2 7" xfId="23694"/>
    <cellStyle name="Table Head Aligned 2 5 2 7" xfId="23695"/>
    <cellStyle name="Table Head Green 2 5 2 7" xfId="23696"/>
    <cellStyle name="Title [Helv] 2 5 2 7" xfId="23697"/>
    <cellStyle name="Title [Palat] 2 5 2 7" xfId="23698"/>
    <cellStyle name="ac 5 2 7" xfId="23699"/>
    <cellStyle name="Bold/Border 5 2 7" xfId="23700"/>
    <cellStyle name="Border Thin 6 2 7" xfId="23701"/>
    <cellStyle name="COL HEADINGS 5 2 7" xfId="23702"/>
    <cellStyle name="Heading [Helv] 5 2 7" xfId="23703"/>
    <cellStyle name="Heading [Palat] 5 2 7" xfId="23704"/>
    <cellStyle name="Outputs 5 2 7" xfId="23705"/>
    <cellStyle name="PB Table Standard Row 6 2 7" xfId="23706"/>
    <cellStyle name="P-Green Rule 6 2 7" xfId="23707"/>
    <cellStyle name="Style 44 7 2 7" xfId="23708"/>
    <cellStyle name="Style 45 7 2 7" xfId="23709"/>
    <cellStyle name="Style 49 7 2 7" xfId="23710"/>
    <cellStyle name="Style 51 7 2 7" xfId="23711"/>
    <cellStyle name="Table Head Green 5 2 7" xfId="23712"/>
    <cellStyle name="Title [Palat] 4 2 7" xfId="23713"/>
    <cellStyle name="ac 2 6 2 7" xfId="23714"/>
    <cellStyle name="Bold/Border 2 6 2 7" xfId="23715"/>
    <cellStyle name="Border Thin 2 6 2 7" xfId="23716"/>
    <cellStyle name="COL HEADINGS 2 6 2 7" xfId="23717"/>
    <cellStyle name="Heading [Helv] 2 6 2 7" xfId="23718"/>
    <cellStyle name="Heading [Palat] 2 6 2 7" xfId="23719"/>
    <cellStyle name="Outputs 2 6 2 7" xfId="23720"/>
    <cellStyle name="PB Table Standard Row 2 6 2 7" xfId="23721"/>
    <cellStyle name="P-Green Rule 2 6 2 7" xfId="23722"/>
    <cellStyle name="Style 44 3 6 2 7" xfId="23723"/>
    <cellStyle name="Style 45 3 6 2 7" xfId="23724"/>
    <cellStyle name="Style 49 3 6 2 7" xfId="23725"/>
    <cellStyle name="Style 51 3 6 2 7" xfId="23726"/>
    <cellStyle name="Style 44 2 6 2 7" xfId="23727"/>
    <cellStyle name="Style 45 2 6 2 7" xfId="23728"/>
    <cellStyle name="Style 49 2 6 2 7" xfId="23729"/>
    <cellStyle name="Style 51 2 6 2 7" xfId="23730"/>
    <cellStyle name="Table Head Green 2 6 2 7" xfId="23731"/>
    <cellStyle name="Title [Palat] 2 6 2 7" xfId="23732"/>
    <cellStyle name="Title [Palat] 5 2 7" xfId="23733"/>
    <cellStyle name="Title [Helv] 4 2 7" xfId="23734"/>
    <cellStyle name="Table Head Green 6 2 7" xfId="23735"/>
    <cellStyle name="Table Head Aligned 4 2 7" xfId="23736"/>
    <cellStyle name="Style 51 9 2 7" xfId="23737"/>
    <cellStyle name="Style 49 9 2 7" xfId="23738"/>
    <cellStyle name="Style 45 9 2 7" xfId="23739"/>
    <cellStyle name="Style 44 9 2 7" xfId="23740"/>
    <cellStyle name="P-Green Rule 7 2 7" xfId="23741"/>
    <cellStyle name="PB Table Standard Row 7 2 7" xfId="23742"/>
    <cellStyle name="Outputs 6 2 7" xfId="23743"/>
    <cellStyle name="Magic 4 2 7" xfId="23744"/>
    <cellStyle name="Heading [Palat] 6 2 7" xfId="23745"/>
    <cellStyle name="Heading [Helv] 6 2 7" xfId="23746"/>
    <cellStyle name="dp*ThinLineBelow 5 2 7" xfId="23747"/>
    <cellStyle name="dp*SubTitle 5 2 7" xfId="23748"/>
    <cellStyle name="dp*SheetSubTitle 4 2 7" xfId="23749"/>
    <cellStyle name="dp*NumberLineEPS 4 2 7" xfId="23750"/>
    <cellStyle name="dp*NumberLine 4 2 7" xfId="23751"/>
    <cellStyle name="Date [mmm-yyyy] 4 2 7" xfId="23752"/>
    <cellStyle name="Date [mm-d-yyyy] 7 2 7" xfId="23753"/>
    <cellStyle name="COL HEADINGS 6 2 7" xfId="23754"/>
    <cellStyle name="Border Thin 7 2 7" xfId="23755"/>
    <cellStyle name="Bold/Border 6 2 7" xfId="23756"/>
    <cellStyle name="Afjusted 7 2 7" xfId="23757"/>
    <cellStyle name="ac 6 2 7" xfId="23758"/>
    <cellStyle name="Style 44 8 2 7" xfId="23759"/>
    <cellStyle name="Style 45 8 2 7" xfId="23760"/>
    <cellStyle name="Style 49 8 2 7" xfId="23761"/>
    <cellStyle name="Style 51 8 2 7" xfId="23762"/>
    <cellStyle name="Title [Palat] 6 2 7" xfId="23763"/>
    <cellStyle name="Title [Helv] 5 2 7" xfId="23764"/>
    <cellStyle name="Table Head Green 7 2 7" xfId="23765"/>
    <cellStyle name="Table Head Aligned 5 2 7" xfId="23766"/>
    <cellStyle name="Outputs 7 2 7" xfId="23767"/>
    <cellStyle name="Magic 5 2 7" xfId="23768"/>
    <cellStyle name="Heading [Palat] 7 2 7" xfId="23769"/>
    <cellStyle name="Heading [Helv] 7 2 7" xfId="23770"/>
    <cellStyle name="dp*SheetSubTitle 5 2 7" xfId="23771"/>
    <cellStyle name="dp*NumberLineEPS 5 2 7" xfId="23772"/>
    <cellStyle name="dp*NumberLine 5 2 7" xfId="23773"/>
    <cellStyle name="Date [mmm-yyyy] 5 2 7" xfId="23774"/>
    <cellStyle name="COL HEADINGS 7 2 7" xfId="23775"/>
    <cellStyle name="Bold/Border 7 2 7" xfId="23776"/>
    <cellStyle name="Afjusted 8 2 7" xfId="23777"/>
    <cellStyle name="ac 7 2 7" xfId="23778"/>
    <cellStyle name="Title [Palat] 7 2 7" xfId="23779"/>
    <cellStyle name="Title [Helv] 6 2 7" xfId="23780"/>
    <cellStyle name="Table Head Green 8 2 7" xfId="23781"/>
    <cellStyle name="Table Head Aligned 6 2 7" xfId="23782"/>
    <cellStyle name="Outputs 8 2 7" xfId="23783"/>
    <cellStyle name="Magic 6 2 7" xfId="23784"/>
    <cellStyle name="Heading [Palat] 8 2 7" xfId="23785"/>
    <cellStyle name="Heading [Helv] 8 2 7" xfId="23786"/>
    <cellStyle name="dp*SheetSubTitle 6 2 7" xfId="23787"/>
    <cellStyle name="dp*NumberLineEPS 6 2 7" xfId="23788"/>
    <cellStyle name="dp*NumberLine 6 2 7" xfId="23789"/>
    <cellStyle name="COL HEADINGS 8 2 7" xfId="23790"/>
    <cellStyle name="Bold/Border 8 2 7" xfId="23791"/>
    <cellStyle name="Afjusted 9 2 7" xfId="23792"/>
    <cellStyle name="ac 8 2 7" xfId="23793"/>
    <cellStyle name="Date [mmm-yyyy] 6 2 7" xfId="23794"/>
    <cellStyle name="Title [Palat] 8 2 7" xfId="23795"/>
    <cellStyle name="Title [Helv] 7 2 7" xfId="23796"/>
    <cellStyle name="Table Head Green 9 2 7" xfId="23797"/>
    <cellStyle name="Table Head Aligned 7 2 7" xfId="23798"/>
    <cellStyle name="Outputs 9 2 7" xfId="23799"/>
    <cellStyle name="Magic 7 2 7" xfId="23800"/>
    <cellStyle name="Heading [Palat] 9 2 7" xfId="23801"/>
    <cellStyle name="Heading [Helv] 9 2 7" xfId="23802"/>
    <cellStyle name="dp*SheetSubTitle 7 2 7" xfId="23803"/>
    <cellStyle name="dp*NumberLineEPS 7 2 7" xfId="23804"/>
    <cellStyle name="dp*NumberLine 7 2 7" xfId="23805"/>
    <cellStyle name="Date [mmm-yyyy] 7 2 7" xfId="23806"/>
    <cellStyle name="COL HEADINGS 9 2 7" xfId="23807"/>
    <cellStyle name="Bold/Border 9 2 7" xfId="23808"/>
    <cellStyle name="Afjusted 10 2 7" xfId="23809"/>
    <cellStyle name="ac 9 2 7" xfId="23810"/>
    <cellStyle name="Afjusted 3 8 4" xfId="23811"/>
    <cellStyle name="Bold/Border 2 2 2 2 4 4" xfId="23812"/>
    <cellStyle name="Outputs 2 9 4" xfId="23813"/>
    <cellStyle name="Table Head Green 2 2 3 2 4 4" xfId="23814"/>
    <cellStyle name="Title [Palat] 2 2 3 8 2 2" xfId="23815"/>
    <cellStyle name="PB Table Standard Row 5 4 4" xfId="23816"/>
    <cellStyle name="Outputs 4 4 4" xfId="23817"/>
    <cellStyle name="Heading [Palat] 2 2 2 2 5 2 2" xfId="23818"/>
    <cellStyle name="Heading [Palat] 4 4 4" xfId="23819"/>
    <cellStyle name="Heading [Helv] 4 4 4" xfId="23820"/>
    <cellStyle name="COL HEADINGS 4 4 4" xfId="23821"/>
    <cellStyle name="Border Thin 5 4 4" xfId="23822"/>
    <cellStyle name="Title [Helv] 2 4 4 4" xfId="23823"/>
    <cellStyle name="Style 51 2 4 4 4" xfId="23824"/>
    <cellStyle name="ac 3 4 4" xfId="23825"/>
    <cellStyle name="Afjusted 5 4 4" xfId="23826"/>
    <cellStyle name="COL HEADINGS 3 4 4" xfId="23827"/>
    <cellStyle name="Arial6Bold 9 3" xfId="23828"/>
    <cellStyle name="Arial8Bold 9 3" xfId="23829"/>
    <cellStyle name="Arial8Italic 9 3" xfId="23830"/>
    <cellStyle name="ArialNormal 9 3" xfId="23831"/>
    <cellStyle name="Table Head Green 3 4 4" xfId="23832"/>
    <cellStyle name="Border 7 3" xfId="23833"/>
    <cellStyle name="Style 51 5 4 4" xfId="23834"/>
    <cellStyle name="Style 49 5 4 4" xfId="23835"/>
    <cellStyle name="Style 45 5 4 4" xfId="23836"/>
    <cellStyle name="Style 44 5 4 4" xfId="23837"/>
    <cellStyle name="dp*ThinLineBelow 4 4 4" xfId="23838"/>
    <cellStyle name="Title [Helv] 2 2 2 4 4 4" xfId="23839"/>
    <cellStyle name="Outputs 2 2 2 4 4 4" xfId="23840"/>
    <cellStyle name="Magic 2 2 2 4 4 4" xfId="23841"/>
    <cellStyle name="dp*NumberLine 2 2 2 4 4 4" xfId="23842"/>
    <cellStyle name="Bold/Border 2 2 2 4 4 4" xfId="23843"/>
    <cellStyle name="Afjusted 2 2 2 4 4 4" xfId="23844"/>
    <cellStyle name="Border Thin 3 2 4 4 4" xfId="23845"/>
    <cellStyle name="dp*SubTitle 3 2 4 4 4" xfId="23846"/>
    <cellStyle name="Style 45 4 2 4 4 4" xfId="23847"/>
    <cellStyle name="Style 49 4 2 4 4 4" xfId="23848"/>
    <cellStyle name="Style 51 4 2 4 4 4" xfId="23849"/>
    <cellStyle name="Title [Palat] 2 2 2 3 4 4" xfId="23850"/>
    <cellStyle name="Title [Helv] 2 2 2 3 4 4" xfId="23851"/>
    <cellStyle name="Table Head Green 2 2 2 3 4 4" xfId="23852"/>
    <cellStyle name="Outputs 2 2 2 3 4 4" xfId="23853"/>
    <cellStyle name="Heading [Helv] 2 2 2 3 4 4" xfId="23854"/>
    <cellStyle name="dp*NumberLine 2 2 2 3 4 4" xfId="23855"/>
    <cellStyle name="Bold/Border 2 2 2 3 4 4" xfId="23856"/>
    <cellStyle name="Afjusted 4 2 3 4 4" xfId="23857"/>
    <cellStyle name="dp*ThinLineBelow 3 2 3 4 4" xfId="23858"/>
    <cellStyle name="Style 44 4 2 3 4 4" xfId="23859"/>
    <cellStyle name="Style 51 4 2 3 4 4" xfId="23860"/>
    <cellStyle name="Date [mm-d-yyyy] 2 2 3 4 4" xfId="23861"/>
    <cellStyle name="dp*ThinLineBelow 3 5 4 4" xfId="23862"/>
    <cellStyle name="Table Head Green 2 2 2 2 4 4" xfId="23863"/>
    <cellStyle name="Table Head Aligned 2 2 2 2 4 4" xfId="23864"/>
    <cellStyle name="Outputs 2 2 2 2 4 4" xfId="23865"/>
    <cellStyle name="Magic 2 2 2 2 4 4" xfId="23866"/>
    <cellStyle name="dp*ThinLineBelow 3 2 2 4 4" xfId="23867"/>
    <cellStyle name="dp*SubTitle 3 3 2 4 4" xfId="23868"/>
    <cellStyle name="Afjusted 2 2 3 2 4 4" xfId="23869"/>
    <cellStyle name="dp*NumberLineEPS 2 2 2 7 4" xfId="23870"/>
    <cellStyle name="dp*NumberLine 2 2 2 7 4" xfId="23871"/>
    <cellStyle name="Date [mmm-yyyy] 2 2 2 7 4" xfId="23872"/>
    <cellStyle name="COL HEADINGS 2 2 2 7 4" xfId="23873"/>
    <cellStyle name="ac 2 2 2 7 4" xfId="23874"/>
    <cellStyle name="Afjusted 4 2 7 4" xfId="23875"/>
    <cellStyle name="Date [mm-d-yyyy] 3 2 7 4" xfId="23876"/>
    <cellStyle name="Afjusted 3 3 7 4" xfId="23877"/>
    <cellStyle name="Style 49 4 3 7 4" xfId="23878"/>
    <cellStyle name="P-Green Rule 3 3 7 4" xfId="23879"/>
    <cellStyle name="dp*SubTitle 3 3 7 4" xfId="23880"/>
    <cellStyle name="Border Thin 3 3 7 4" xfId="23881"/>
    <cellStyle name="Afjusted 2 2 3 7 4" xfId="23882"/>
    <cellStyle name="Date [mmm-yyyy] 2 2 3 7 4" xfId="23883"/>
    <cellStyle name="dp*NumberLine 2 2 3 7 4" xfId="23884"/>
    <cellStyle name="dp*NumberLineEPS 2 2 3 7 4" xfId="23885"/>
    <cellStyle name="dp*SheetSubTitle 2 2 3 7 4" xfId="23886"/>
    <cellStyle name="Heading [Helv] 2 2 3 7 4" xfId="23887"/>
    <cellStyle name="Heading [Palat] 2 2 3 7 4" xfId="23888"/>
    <cellStyle name="Magic 2 2 3 7 4" xfId="23889"/>
    <cellStyle name="Outputs 2 2 3 7 4" xfId="23890"/>
    <cellStyle name="Table Head Aligned 2 2 3 7 4" xfId="23891"/>
    <cellStyle name="Table Head Green 2 2 3 7 4" xfId="23892"/>
    <cellStyle name="PB Table Standard Row 3 3 4 4 4" xfId="23893"/>
    <cellStyle name="DateYearEstimate 9 3" xfId="23894"/>
    <cellStyle name="DateYearWholeEstimate 9 3" xfId="23895"/>
    <cellStyle name="Style 44 4 3 4 4 4" xfId="23896"/>
    <cellStyle name="Afjusted 4 4 4 4" xfId="23897"/>
    <cellStyle name="dp*SubTitle 3 3 4 4 4" xfId="23898"/>
    <cellStyle name="dp*ThinLineBelow 3 3 4 4 4" xfId="23899"/>
    <cellStyle name="Style 44 4 4 4 4" xfId="23900"/>
    <cellStyle name="Style 51 4 4 4 4" xfId="23901"/>
    <cellStyle name="Date [mm-d-yyyy] 3 4 4 4" xfId="23902"/>
    <cellStyle name="Date [mm-d-yyyy] 3 3 3 4 4" xfId="23903"/>
    <cellStyle name="P-Green Rule 3 3 3 4 4" xfId="23904"/>
    <cellStyle name="dp*SheetSubTitle 2 2 3 3 4 4" xfId="23905"/>
    <cellStyle name="Heading [Palat] 2 2 3 3 4 4" xfId="23906"/>
    <cellStyle name="Table Head Green 2 2 3 3 4 4" xfId="23907"/>
    <cellStyle name="Table Head Green 2 2 4 4 4" xfId="23908"/>
    <cellStyle name="Table Head Aligned 2 2 4 4 4" xfId="23909"/>
    <cellStyle name="Heading [Helv] 2 2 4 4 4" xfId="23910"/>
    <cellStyle name="Style 51 2 3 4 4" xfId="23911"/>
    <cellStyle name="Style 49 3 3 4 4" xfId="23912"/>
    <cellStyle name="Border Thin 2 3 4 4" xfId="23913"/>
    <cellStyle name="P-Green Rule 3 3 4 4 4" xfId="23914"/>
    <cellStyle name="Afjusted 3 4 4 4" xfId="23915"/>
    <cellStyle name="Style 51 4 3 4 4 4" xfId="23916"/>
    <cellStyle name="Table Head Aligned 2 3 4 4" xfId="23917"/>
    <cellStyle name="Outputs 2 3 4 4" xfId="23918"/>
    <cellStyle name="Magic 2 3 4 4" xfId="23919"/>
    <cellStyle name="Heading [Palat] 2 3 4 4" xfId="23920"/>
    <cellStyle name="Heading [Helv] 2 3 4 4" xfId="23921"/>
    <cellStyle name="dp*SheetSubTitle 2 3 4 4" xfId="23922"/>
    <cellStyle name="dp*Number%ItalicsLineAbove 7 3" xfId="23923"/>
    <cellStyle name="dp*NumberLineEPS 2 3 4 4" xfId="23924"/>
    <cellStyle name="dp*SubTitle 3 5 4 4" xfId="23925"/>
    <cellStyle name="P-Green Rule 3 5 4 4" xfId="23926"/>
    <cellStyle name="dp*ThinLineAbove 7 3" xfId="23927"/>
    <cellStyle name="Style 44 4 5 4 4" xfId="23928"/>
    <cellStyle name="Style 49 4 5 4 4" xfId="23929"/>
    <cellStyle name="Afjusted 3 3 3 4 4" xfId="23930"/>
    <cellStyle name="Draw lines around data in range 9 3" xfId="23931"/>
    <cellStyle name="Draw shadow and lines within range 9 3" xfId="23932"/>
    <cellStyle name="Style 51 4 3 3 4 4" xfId="23933"/>
    <cellStyle name="Style 44 4 3 3 4 4" xfId="23934"/>
    <cellStyle name="Afjusted 4 3 3 4 4" xfId="23935"/>
    <cellStyle name="dp*NumberLineEPS 2 2 3 3 4 4" xfId="23936"/>
    <cellStyle name="Table Head Aligned 2 2 3 3 4 4" xfId="23937"/>
    <cellStyle name="Title [Helv] 2 2 3 3 4 4" xfId="23938"/>
    <cellStyle name="Title [Palat] 2 2 3 3 4 4" xfId="23939"/>
    <cellStyle name="Magic 2 2 4 4 4" xfId="23940"/>
    <cellStyle name="dp*SheetSubTitle 2 2 4 4 4" xfId="23941"/>
    <cellStyle name="dp*NumberLineEPS 2 2 4 4 4" xfId="23942"/>
    <cellStyle name="dp*NumberLine 2 2 4 4 4" xfId="23943"/>
    <cellStyle name="Date [mmm-yyyy] 2 2 4 4 4" xfId="23944"/>
    <cellStyle name="COL HEADINGS 2 2 4 4 4" xfId="23945"/>
    <cellStyle name="Bold/Border 2 2 4 4 4" xfId="23946"/>
    <cellStyle name="Outputs 2 2 3 4 4 4" xfId="23947"/>
    <cellStyle name="Heading [Helv] 2 2 3 4 4 4" xfId="23948"/>
    <cellStyle name="dp*NumberLine 2 2 3 4 4 4" xfId="23949"/>
    <cellStyle name="Date [mmm-yyyy] 2 2 3 4 4 4" xfId="23950"/>
    <cellStyle name="Afjusted 2 2 3 4 4 4" xfId="23951"/>
    <cellStyle name="Date [mm-d-yyyy] 3 3 4 4 4" xfId="23952"/>
    <cellStyle name="Style 49 4 3 4 4 4" xfId="23953"/>
    <cellStyle name="dp*ThinLineBelow 2 3 4 4" xfId="23954"/>
    <cellStyle name="PB Table Standard Row 2 2 4 4" xfId="23955"/>
    <cellStyle name="Style 45 3 2 4 4" xfId="23956"/>
    <cellStyle name="Style 44 2 2 4 4" xfId="23957"/>
    <cellStyle name="Style 51 2 2 4 4" xfId="23958"/>
    <cellStyle name="Format a row of totals 9 3" xfId="23959"/>
    <cellStyle name="Format text as bold, black on yellow 9 3" xfId="23960"/>
    <cellStyle name="Border Thin 2 2 4 4" xfId="23961"/>
    <cellStyle name="dp*SubTitle 2 2 4 4" xfId="23962"/>
    <cellStyle name="Title [Palat] 2 2 7 4" xfId="23963"/>
    <cellStyle name="Outputs 2 2 7 4" xfId="23964"/>
    <cellStyle name="Magic 2 2 7 4" xfId="23965"/>
    <cellStyle name="dp*NumberLineEPS 2 2 7 4" xfId="23966"/>
    <cellStyle name="Date [mmm-yyyy] 2 2 7 4" xfId="23967"/>
    <cellStyle name="ItemTypeClass 9 3" xfId="23968"/>
    <cellStyle name="Main 8 3" xfId="23969"/>
    <cellStyle name="Title [Helv] 2 8 4" xfId="23970"/>
    <cellStyle name="Table Head Green 2 9 4" xfId="23971"/>
    <cellStyle name="Table Head Aligned 2 8 4" xfId="23972"/>
    <cellStyle name="COL HEADINGS 7 6 2" xfId="23973"/>
    <cellStyle name="SAPBEXaggData 6 3" xfId="23974"/>
    <cellStyle name="SAPBEXaggDataEmph 6 3" xfId="23975"/>
    <cellStyle name="SAPBEXaggItem 6 3" xfId="23976"/>
    <cellStyle name="SAPBEXaggItemX 8 3" xfId="23977"/>
    <cellStyle name="SAPBEXexcBad7 6 3" xfId="23978"/>
    <cellStyle name="SAPBEXexcBad8 6 3" xfId="23979"/>
    <cellStyle name="SAPBEXexcBad9 6 3" xfId="23980"/>
    <cellStyle name="SAPBEXexcCritical4 6 3" xfId="23981"/>
    <cellStyle name="SAPBEXexcCritical5 6 3" xfId="23982"/>
    <cellStyle name="SAPBEXexcCritical6 6 3" xfId="23983"/>
    <cellStyle name="SAPBEXexcGood1 6 3" xfId="23984"/>
    <cellStyle name="SAPBEXexcGood2 6 3" xfId="23985"/>
    <cellStyle name="SAPBEXexcGood3 6 3" xfId="23986"/>
    <cellStyle name="SAPBEXformats 6 3" xfId="23987"/>
    <cellStyle name="SAPBEXHLevel0 8 3" xfId="23988"/>
    <cellStyle name="SAPBEXHLevel0X 8 3" xfId="23989"/>
    <cellStyle name="SAPBEXHLevel1 8 3" xfId="23990"/>
    <cellStyle name="SAPBEXHLevel1X 8 3" xfId="23991"/>
    <cellStyle name="SAPBEXHLevel2 8 3" xfId="23992"/>
    <cellStyle name="SAPBEXHLevel2X 8 3" xfId="23993"/>
    <cellStyle name="SAPBEXHLevel3 8 3" xfId="23994"/>
    <cellStyle name="SAPBEXHLevel3X 8 3" xfId="23995"/>
    <cellStyle name="SAPBEXresData 6 3" xfId="23996"/>
    <cellStyle name="SAPBEXresDataEmph 6 3" xfId="23997"/>
    <cellStyle name="SAPBEXresItem 6 3" xfId="23998"/>
    <cellStyle name="SAPBEXresItemX 8 3" xfId="23999"/>
    <cellStyle name="SAPBEXstdData 6 3" xfId="24000"/>
    <cellStyle name="SAPBEXstdDataEmph 6 3" xfId="24001"/>
    <cellStyle name="SAPBEXstdItem 6 3" xfId="24002"/>
    <cellStyle name="SAPBEXstdItemX 8 3" xfId="24003"/>
    <cellStyle name="SAPBEXtitle 6 3" xfId="24004"/>
    <cellStyle name="SAPBEXundefined 6 3" xfId="24005"/>
    <cellStyle name="SSComma0 6 3" xfId="24006"/>
    <cellStyle name="SSComma2 6 3" xfId="24007"/>
    <cellStyle name="SSDecs3 6 3" xfId="24008"/>
    <cellStyle name="SSDfltPct 6 3" xfId="24009"/>
    <cellStyle name="SSDfltPct0 6 3" xfId="24010"/>
    <cellStyle name="SSFixed2 6 3" xfId="24011"/>
    <cellStyle name="Style 21 9 3" xfId="24012"/>
    <cellStyle name="Style 22 9 3" xfId="24013"/>
    <cellStyle name="Style 24 7 3" xfId="24014"/>
    <cellStyle name="Style 25 7 3" xfId="24015"/>
    <cellStyle name="Style 26 7 3" xfId="24016"/>
    <cellStyle name="Style 27 7 3" xfId="24017"/>
    <cellStyle name="Style 28 7 3" xfId="24018"/>
    <cellStyle name="Style 35 9 3" xfId="24019"/>
    <cellStyle name="Style 36 9 3" xfId="24020"/>
    <cellStyle name="Style 37 9 3" xfId="24021"/>
    <cellStyle name="Style 40 9 3" xfId="24022"/>
    <cellStyle name="Style 42 9 3" xfId="24023"/>
    <cellStyle name="Style 43 9 3" xfId="24024"/>
    <cellStyle name="Style 48 9 3" xfId="24025"/>
    <cellStyle name="Style 50 9 3" xfId="24026"/>
    <cellStyle name="Style 52 9 3" xfId="24027"/>
    <cellStyle name="Style 53 9 3" xfId="24028"/>
    <cellStyle name="SymbolBlue 9 3" xfId="24029"/>
    <cellStyle name="UNLOCKED 36 3" xfId="24030"/>
    <cellStyle name="WingdingsBlack 9 3" xfId="24031"/>
    <cellStyle name="WingdingsRed 9 3" xfId="24032"/>
    <cellStyle name="WingdingsWhite 9 3" xfId="24033"/>
    <cellStyle name="COL HEADINGS 2 9 4" xfId="24034"/>
    <cellStyle name="Table Head Aligned 2 2 3 2 4 4" xfId="24035"/>
    <cellStyle name="Magic 3 4 4" xfId="24036"/>
    <cellStyle name="Style 49 3 8 4" xfId="24037"/>
    <cellStyle name="Table Head Aligned 3 4 4" xfId="24038"/>
    <cellStyle name="Heading [Palat] 2 2 2 2 4 4" xfId="24039"/>
    <cellStyle name="dp*SubTitle 2 3 4 4" xfId="24040"/>
    <cellStyle name="Date [mm-d-yyyy] 2 2 6 4" xfId="24041"/>
    <cellStyle name="Title [Helv] 2 2 2 7 4" xfId="24042"/>
    <cellStyle name="Date [mm-d-yyyy] 2 4 4" xfId="24043"/>
    <cellStyle name="dp*NumberLineEPS 2 2 3 2 5 2 2" xfId="24044"/>
    <cellStyle name="dp*NumberLine 2 8 4" xfId="24045"/>
    <cellStyle name="Border Thin 3 2 3 5 2 2" xfId="24046"/>
    <cellStyle name="Afjusted 3 7 4" xfId="24047"/>
    <cellStyle name="Date [mm-d-yyyy] 3 3 3 5 2 2" xfId="24048"/>
    <cellStyle name="dp*SubTitle 3 4 4 2 2" xfId="24049"/>
    <cellStyle name="ac 2 8 4" xfId="24050"/>
    <cellStyle name="Afjusted 2 6 4" xfId="24051"/>
    <cellStyle name="Bold/Border 2 8 4" xfId="24052"/>
    <cellStyle name="COL HEADINGS 2 8 4" xfId="24053"/>
    <cellStyle name="Border Thin 3 3 2 4 4" xfId="24054"/>
    <cellStyle name="Date [mmm-yyyy] 2 7 4" xfId="24055"/>
    <cellStyle name="Style 45 4 3 3 4 4" xfId="24056"/>
    <cellStyle name="dp*NumberLine 2 3 4 4" xfId="24057"/>
    <cellStyle name="dp*NumberLine 2 7 4" xfId="24058"/>
    <cellStyle name="dp*NumberLineEPS 2 7 4" xfId="24059"/>
    <cellStyle name="dp*SheetSubTitle 2 7 4" xfId="24060"/>
    <cellStyle name="Afjusted 4 5 4 4" xfId="24061"/>
    <cellStyle name="dp*ThinLineBelow 2 6 4" xfId="24062"/>
    <cellStyle name="Millions 3 2 3" xfId="24063"/>
    <cellStyle name="Global 2 2 3" xfId="24064"/>
    <cellStyle name="Header2 2 3 3" xfId="24065"/>
    <cellStyle name="Heading [Helv] 2 8 4" xfId="24066"/>
    <cellStyle name="Heading [Palat] 2 8 4" xfId="24067"/>
    <cellStyle name="Millions 4 2 3" xfId="24068"/>
    <cellStyle name="Magic 2 7 4" xfId="24069"/>
    <cellStyle name="Millions 2 2 3" xfId="24070"/>
    <cellStyle name="COL HEADINGS 2 3 4 4" xfId="24071"/>
    <cellStyle name="dp*NumberLine 2 2 3 3 4 4" xfId="24072"/>
    <cellStyle name="Outputs 2 8 4" xfId="24073"/>
    <cellStyle name="P-Green Rule 2 7 4" xfId="24074"/>
    <cellStyle name="Style 44 3 7 4" xfId="24075"/>
    <cellStyle name="Style 45 3 7 4" xfId="24076"/>
    <cellStyle name="Style 49 3 7 4" xfId="24077"/>
    <cellStyle name="Style 51 3 7 4" xfId="24078"/>
    <cellStyle name="Style 44 2 7 4" xfId="24079"/>
    <cellStyle name="Style 45 2 7 4" xfId="24080"/>
    <cellStyle name="Style 49 2 7 4" xfId="24081"/>
    <cellStyle name="Style 51 2 7 4" xfId="24082"/>
    <cellStyle name="Table Head Aligned 2 7 4" xfId="24083"/>
    <cellStyle name="Table Head Green 2 8 4" xfId="24084"/>
    <cellStyle name="Time Strip 2 2 3" xfId="24085"/>
    <cellStyle name="Title [Helv] 2 7 4" xfId="24086"/>
    <cellStyle name="Title [Palat] 2 8 4" xfId="24087"/>
    <cellStyle name="Magic 2 8 4" xfId="24088"/>
    <cellStyle name="Date [mmm-yyyy] 2 8 4" xfId="24089"/>
    <cellStyle name="Millions 5 2 3" xfId="24090"/>
    <cellStyle name="Magic 2 2 2 7 4" xfId="24091"/>
    <cellStyle name="Title [Palat] 2 2 3 2 4 4" xfId="24092"/>
    <cellStyle name="ac 2 9 4" xfId="24093"/>
    <cellStyle name="Heading [Palat] 2 2 2 7 4" xfId="24094"/>
    <cellStyle name="Arial6Bold 2 2 3" xfId="24095"/>
    <cellStyle name="Arial8Bold 2 2 3" xfId="24096"/>
    <cellStyle name="Arial8Italic 2 2 3" xfId="24097"/>
    <cellStyle name="ArialNormal 2 2 3" xfId="24098"/>
    <cellStyle name="Border 2 2 3" xfId="24099"/>
    <cellStyle name="DateYearEstimate 2 2 3" xfId="24100"/>
    <cellStyle name="DateYearWholeEstimate 2 2 3" xfId="24101"/>
    <cellStyle name="dp*Number%ItalicsLineAbove 2 2 3" xfId="24102"/>
    <cellStyle name="dp*ThinLineAbove 2 2 3" xfId="24103"/>
    <cellStyle name="Draw lines around data in range 2 2 3" xfId="24104"/>
    <cellStyle name="Draw shadow and lines within range 2 2 3" xfId="24105"/>
    <cellStyle name="FieldName 2 2 3" xfId="24106"/>
    <cellStyle name="Format a row of totals 2 2 3" xfId="24107"/>
    <cellStyle name="Format text as bold, black on yellow 2 2 3" xfId="24108"/>
    <cellStyle name="ItemTypeClass 2 2 3" xfId="24109"/>
    <cellStyle name="Main 2 2 3" xfId="24110"/>
    <cellStyle name="Millions 6 2 3" xfId="24111"/>
    <cellStyle name="SAPBEXaggData 2 2 3" xfId="24112"/>
    <cellStyle name="SAPBEXaggDataEmph 2 2 3" xfId="24113"/>
    <cellStyle name="SAPBEXaggItem 2 2 3" xfId="24114"/>
    <cellStyle name="SAPBEXaggItemX 2 2 3" xfId="24115"/>
    <cellStyle name="SAPBEXexcBad7 2 2 3" xfId="24116"/>
    <cellStyle name="SAPBEXexcBad8 2 2 3" xfId="24117"/>
    <cellStyle name="SAPBEXexcBad9 2 2 3" xfId="24118"/>
    <cellStyle name="SAPBEXexcCritical4 2 2 3" xfId="24119"/>
    <cellStyle name="SAPBEXexcCritical5 2 2 3" xfId="24120"/>
    <cellStyle name="SAPBEXexcCritical6 2 2 3" xfId="24121"/>
    <cellStyle name="SAPBEXexcGood1 2 2 3" xfId="24122"/>
    <cellStyle name="SAPBEXexcGood2 2 2 3" xfId="24123"/>
    <cellStyle name="SAPBEXexcGood3 2 2 3" xfId="24124"/>
    <cellStyle name="SAPBEXformats 2 2 3" xfId="24125"/>
    <cellStyle name="SAPBEXHLevel0 2 2 3" xfId="24126"/>
    <cellStyle name="SAPBEXHLevel0X 2 2 3" xfId="24127"/>
    <cellStyle name="SAPBEXHLevel1 2 2 3" xfId="24128"/>
    <cellStyle name="SAPBEXHLevel1X 2 2 3" xfId="24129"/>
    <cellStyle name="SAPBEXHLevel2 2 2 3" xfId="24130"/>
    <cellStyle name="SAPBEXHLevel2X 2 2 3" xfId="24131"/>
    <cellStyle name="SAPBEXHLevel3 2 2 3" xfId="24132"/>
    <cellStyle name="SAPBEXHLevel3X 2 2 3" xfId="24133"/>
    <cellStyle name="SAPBEXresData 2 2 3" xfId="24134"/>
    <cellStyle name="SAPBEXresDataEmph 2 2 3" xfId="24135"/>
    <cellStyle name="SAPBEXresItem 2 2 3" xfId="24136"/>
    <cellStyle name="SAPBEXresItemX 2 2 3" xfId="24137"/>
    <cellStyle name="SAPBEXstdData 2 2 3" xfId="24138"/>
    <cellStyle name="SAPBEXstdDataEmph 2 2 3" xfId="24139"/>
    <cellStyle name="SAPBEXstdItem 2 2 3" xfId="24140"/>
    <cellStyle name="SAPBEXstdItemX 2 2 3" xfId="24141"/>
    <cellStyle name="SAPBEXtitle 2 2 3" xfId="24142"/>
    <cellStyle name="SAPBEXundefined 2 2 3" xfId="24143"/>
    <cellStyle name="SSComma0 2 2 3" xfId="24144"/>
    <cellStyle name="SSComma2 2 2 3" xfId="24145"/>
    <cellStyle name="SSDecs3 2 2 3" xfId="24146"/>
    <cellStyle name="SSDfltPct 2 2 3" xfId="24147"/>
    <cellStyle name="SSDfltPct0 2 2 3" xfId="24148"/>
    <cellStyle name="SSFixed2 2 2 3" xfId="24149"/>
    <cellStyle name="Style 21 2 2 3" xfId="24150"/>
    <cellStyle name="Style 22 2 2 3" xfId="24151"/>
    <cellStyle name="Style 24 2 2 3" xfId="24152"/>
    <cellStyle name="Style 25 2 2 3" xfId="24153"/>
    <cellStyle name="Style 26 2 2 3" xfId="24154"/>
    <cellStyle name="Style 27 2 2 3" xfId="24155"/>
    <cellStyle name="Style 28 2 2 3" xfId="24156"/>
    <cellStyle name="Style 35 2 2 3" xfId="24157"/>
    <cellStyle name="Style 36 2 2 3" xfId="24158"/>
    <cellStyle name="Style 37 2 2 3" xfId="24159"/>
    <cellStyle name="Style 40 2 2 3" xfId="24160"/>
    <cellStyle name="Style 42 2 2 3" xfId="24161"/>
    <cellStyle name="Style 43 2 2 3" xfId="24162"/>
    <cellStyle name="Style 48 2 2 3" xfId="24163"/>
    <cellStyle name="Style 50 2 2 3" xfId="24164"/>
    <cellStyle name="Style 52 2 2 3" xfId="24165"/>
    <cellStyle name="Style 53 2 2 3" xfId="24166"/>
    <cellStyle name="SymbolBlue 2 2 3" xfId="24167"/>
    <cellStyle name="UNLOCKED 2 2 3" xfId="24168"/>
    <cellStyle name="WingdingsBlack 2 2 3" xfId="24169"/>
    <cellStyle name="WingdingsRed 2 2 3" xfId="24170"/>
    <cellStyle name="WingdingsWhite 2 2 3" xfId="24171"/>
    <cellStyle name="dp*SheetSubTitle 2 2 2 7 4" xfId="24172"/>
    <cellStyle name="ac 2 2 3 7 4" xfId="24173"/>
    <cellStyle name="UNLOCKED 4 2 3" xfId="24174"/>
    <cellStyle name="Millions 7 2 3" xfId="24175"/>
    <cellStyle name="dp*SubTitle 3 7 4" xfId="24176"/>
    <cellStyle name="Bold/Border 2 3 4 4" xfId="24177"/>
    <cellStyle name="Style 49 4 3 3 4 4" xfId="24178"/>
    <cellStyle name="Title [Palat] 2 3 4 4" xfId="24179"/>
    <cellStyle name="Border Thin 3 7 4" xfId="24180"/>
    <cellStyle name="UNLOCKED 3 2 3" xfId="24181"/>
    <cellStyle name="dp*SheetSubTitle 2 2 2 2 4 4" xfId="24182"/>
    <cellStyle name="dp*NumberLineEPS 2 2 2 2 4 4" xfId="24183"/>
    <cellStyle name="UNLOCKED 5 2 3" xfId="24184"/>
    <cellStyle name="Afjusted 4 7 4" xfId="24185"/>
    <cellStyle name="UNLOCKED 6 2 3" xfId="24186"/>
    <cellStyle name="Bold/Border 4 4 4" xfId="24187"/>
    <cellStyle name="ac 2 2 6 4" xfId="24188"/>
    <cellStyle name="Afjusted 2 2 7 4" xfId="24189"/>
    <cellStyle name="Bold/Border 2 2 6 4" xfId="24190"/>
    <cellStyle name="COL HEADINGS 2 2 6 4" xfId="24191"/>
    <cellStyle name="Date [mmm-yyyy] 2 2 6 4" xfId="24192"/>
    <cellStyle name="Style 45 4 3 4 4 4" xfId="24193"/>
    <cellStyle name="dp*SubTitle 3 3 3 4 4" xfId="24194"/>
    <cellStyle name="Date [mmm-yyyy] 2 3 4 4" xfId="24195"/>
    <cellStyle name="dp*NumberLine 2 2 6 4" xfId="24196"/>
    <cellStyle name="dp*NumberLineEPS 2 2 6 4" xfId="24197"/>
    <cellStyle name="dp*SheetSubTitle 2 2 6 4" xfId="24198"/>
    <cellStyle name="Heading [Helv] 2 2 6 4" xfId="24199"/>
    <cellStyle name="Heading [Palat] 2 2 6 4" xfId="24200"/>
    <cellStyle name="Magic 2 2 6 4" xfId="24201"/>
    <cellStyle name="Outputs 2 2 6 4" xfId="24202"/>
    <cellStyle name="Table Head Aligned 2 2 6 4" xfId="24203"/>
    <cellStyle name="Table Head Green 2 2 6 4" xfId="24204"/>
    <cellStyle name="Title [Helv] 2 2 6 4" xfId="24205"/>
    <cellStyle name="Title [Palat] 2 2 6 4" xfId="24206"/>
    <cellStyle name="Date [mmm-yyyy] 2 2 2 2 4 4" xfId="24207"/>
    <cellStyle name="COL HEADINGS 2 2 2 2 4 4" xfId="24208"/>
    <cellStyle name="dp*NumberLine 2 2 2 2 4 4" xfId="24209"/>
    <cellStyle name="Date [mm-d-yyyy] 2 5 4" xfId="24210"/>
    <cellStyle name="PB Table Standard Row 3 2 2 4 4" xfId="24211"/>
    <cellStyle name="Afjusted 2 2 2 2 4 4" xfId="24212"/>
    <cellStyle name="UNLOCKED 7 2 3" xfId="24213"/>
    <cellStyle name="ac 2 2 2 2 4 4" xfId="24214"/>
    <cellStyle name="UNLOCKED 8 2 3" xfId="24215"/>
    <cellStyle name="Afjusted 4 2 2 4 4" xfId="24216"/>
    <cellStyle name="Style 45 3 3 4 4" xfId="24217"/>
    <cellStyle name="Style 49 2 3 4 4" xfId="24218"/>
    <cellStyle name="Style 51 3 3 4 4" xfId="24219"/>
    <cellStyle name="Border Thin 3 5 4 4" xfId="24220"/>
    <cellStyle name="Bold/Border 2 2 2 2 5 2 2" xfId="24221"/>
    <cellStyle name="Afjusted 3 5 4 4" xfId="24222"/>
    <cellStyle name="EYCurrency 2 2 3" xfId="24223"/>
    <cellStyle name="Style 45 2 3 4 4" xfId="24224"/>
    <cellStyle name="EYColumnHeading 10 2 3" xfId="24225"/>
    <cellStyle name="Style 44 2 3 4 4" xfId="24226"/>
    <cellStyle name="Style 45 4 2 2 4 4" xfId="24227"/>
    <cellStyle name="dp*SubTitle 2 2 3 4" xfId="24228"/>
    <cellStyle name="Border Thin 2 2 3 4" xfId="24229"/>
    <cellStyle name="P-Green Rule 2 3 4 4" xfId="24230"/>
    <cellStyle name="Date [mm-d-yyyy] 2 2 2 4 4" xfId="24231"/>
    <cellStyle name="dp*ThinLineBelow 2 4 4 4" xfId="24232"/>
    <cellStyle name="dp*NumberLineEPS 2 4 4 4" xfId="24233"/>
    <cellStyle name="COL HEADINGS 2 4 4 4" xfId="24234"/>
    <cellStyle name="Afjusted 2 3 4 4" xfId="24235"/>
    <cellStyle name="dp*SubTitle 3 3 3 5 2 2" xfId="24236"/>
    <cellStyle name="Bold/Border 2 2 3 4 3 4" xfId="24237"/>
    <cellStyle name="Magic 2 2 3 4 3 4" xfId="24238"/>
    <cellStyle name="Title [Helv] 2 2 3 4 3 4" xfId="24239"/>
    <cellStyle name="Style 51 2 2 3 4" xfId="24240"/>
    <cellStyle name="Style 45 2 2 3 4" xfId="24241"/>
    <cellStyle name="Style 49 2 2 3 4" xfId="24242"/>
    <cellStyle name="Style 44 2 2 3 4" xfId="24243"/>
    <cellStyle name="Style 51 3 2 3 4" xfId="24244"/>
    <cellStyle name="Style 49 3 2 3 4" xfId="24245"/>
    <cellStyle name="Style 45 3 2 3 4" xfId="24246"/>
    <cellStyle name="Style 44 3 2 3 4" xfId="24247"/>
    <cellStyle name="P-Green Rule 2 2 3 4" xfId="24248"/>
    <cellStyle name="PB Table Standard Row 2 2 3 4" xfId="24249"/>
    <cellStyle name="dp*ThinLineBelow 2 2 3 4" xfId="24250"/>
    <cellStyle name="dp*ThinLineBelow 2 3 3 4" xfId="24251"/>
    <cellStyle name="Style 44 3 3 3 4" xfId="24252"/>
    <cellStyle name="COL HEADINGS 2 2 3 4 3 4" xfId="24253"/>
    <cellStyle name="Style 49 4 3 4 3 4" xfId="24254"/>
    <cellStyle name="Date [mm-d-yyyy] 3 2 2 4 4" xfId="24255"/>
    <cellStyle name="Afjusted 3 3 4 3 4" xfId="24256"/>
    <cellStyle name="Date [mm-d-yyyy] 3 3 4 3 4" xfId="24257"/>
    <cellStyle name="Afjusted 4 3 4 3 4" xfId="24258"/>
    <cellStyle name="ac 2 2 3 4 3 4" xfId="24259"/>
    <cellStyle name="Afjusted 2 2 3 4 3 4" xfId="24260"/>
    <cellStyle name="Date [mmm-yyyy] 2 2 3 4 3 4" xfId="24261"/>
    <cellStyle name="dp*NumberLine 2 2 3 4 3 4" xfId="24262"/>
    <cellStyle name="dp*NumberLineEPS 2 2 3 4 3 4" xfId="24263"/>
    <cellStyle name="dp*SheetSubTitle 2 2 3 4 3 4" xfId="24264"/>
    <cellStyle name="Heading [Helv] 2 2 3 4 3 4" xfId="24265"/>
    <cellStyle name="Outputs 2 2 3 4 3 4" xfId="24266"/>
    <cellStyle name="Table Head Aligned 2 2 3 4 3 4" xfId="24267"/>
    <cellStyle name="Title [Palat] 2 2 3 4 3 4" xfId="24268"/>
    <cellStyle name="UNLOCKED 12 2 3" xfId="24269"/>
    <cellStyle name="Afjusted 3 5 3 4" xfId="24270"/>
    <cellStyle name="Style 45 3 3 3 4" xfId="24271"/>
    <cellStyle name="Style 51 3 3 3 4" xfId="24272"/>
    <cellStyle name="Style 44 2 3 3 4" xfId="24273"/>
    <cellStyle name="Style 45 2 3 3 4" xfId="24274"/>
    <cellStyle name="Style 49 2 3 3 4" xfId="24275"/>
    <cellStyle name="Border Thin 3 5 3 4" xfId="24276"/>
    <cellStyle name="ac 2 2 4 3 4" xfId="24277"/>
    <cellStyle name="Afjusted 2 2 5 3 4" xfId="24278"/>
    <cellStyle name="Bold/Border 2 2 4 3 4" xfId="24279"/>
    <cellStyle name="COL HEADINGS 2 2 4 3 4" xfId="24280"/>
    <cellStyle name="Date [mmm-yyyy] 2 2 4 3 4" xfId="24281"/>
    <cellStyle name="dp*NumberLine 2 2 4 3 4" xfId="24282"/>
    <cellStyle name="dp*NumberLineEPS 2 2 4 3 4" xfId="24283"/>
    <cellStyle name="dp*SheetSubTitle 2 2 4 3 4" xfId="24284"/>
    <cellStyle name="Heading [Palat] 2 2 4 3 4" xfId="24285"/>
    <cellStyle name="Outputs 2 2 4 3 4" xfId="24286"/>
    <cellStyle name="Magic 2 2 4 3 4" xfId="24287"/>
    <cellStyle name="Title [Helv] 2 2 4 3 4" xfId="24288"/>
    <cellStyle name="Title [Palat] 2 2 4 3 4" xfId="24289"/>
    <cellStyle name="Title [Palat] 2 2 3 3 3 4" xfId="24290"/>
    <cellStyle name="Title [Helv] 2 2 3 3 3 4" xfId="24291"/>
    <cellStyle name="Table Head Aligned 2 2 3 3 3 4" xfId="24292"/>
    <cellStyle name="Magic 2 2 3 3 3 4" xfId="24293"/>
    <cellStyle name="Heading [Helv] 2 2 3 3 3 4" xfId="24294"/>
    <cellStyle name="dp*NumberLineEPS 2 2 3 3 3 4" xfId="24295"/>
    <cellStyle name="COL HEADINGS 2 2 3 3 3 4" xfId="24296"/>
    <cellStyle name="ac 2 2 3 3 3 4" xfId="24297"/>
    <cellStyle name="Afjusted 4 3 3 3 4" xfId="24298"/>
    <cellStyle name="Border Thin 3 3 3 3 4" xfId="24299"/>
    <cellStyle name="PB Table Standard Row 3 3 3 3 4" xfId="24300"/>
    <cellStyle name="Style 44 4 3 3 3 4" xfId="24301"/>
    <cellStyle name="Style 51 4 3 3 3 4" xfId="24302"/>
    <cellStyle name="Afjusted 3 3 3 3 4" xfId="24303"/>
    <cellStyle name="Style 49 4 5 3 4" xfId="24304"/>
    <cellStyle name="UNLOCKED 9 2 3" xfId="24305"/>
    <cellStyle name="Style 44 4 5 3 4" xfId="24306"/>
    <cellStyle name="P-Green Rule 3 5 3 4" xfId="24307"/>
    <cellStyle name="dp*SubTitle 3 5 3 4" xfId="24308"/>
    <cellStyle name="Afjusted 4 5 3 4" xfId="24309"/>
    <cellStyle name="dp*SheetSubTitle 2 8 4" xfId="24310"/>
    <cellStyle name="UNLOCKED 11 2 3" xfId="24311"/>
    <cellStyle name="ac 2 3 3 4" xfId="24312"/>
    <cellStyle name="Bold/Border 2 3 3 4" xfId="24313"/>
    <cellStyle name="COL HEADINGS 2 3 3 4" xfId="24314"/>
    <cellStyle name="Date [mmm-yyyy] 2 3 3 4" xfId="24315"/>
    <cellStyle name="dp*NumberLine 2 3 3 4" xfId="24316"/>
    <cellStyle name="dp*NumberLineEPS 2 3 3 4" xfId="24317"/>
    <cellStyle name="dp*SheetSubTitle 2 3 3 4" xfId="24318"/>
    <cellStyle name="Heading [Helv] 2 3 3 4" xfId="24319"/>
    <cellStyle name="Heading [Palat] 2 3 3 4" xfId="24320"/>
    <cellStyle name="Magic 2 3 3 4" xfId="24321"/>
    <cellStyle name="Outputs 2 3 3 4" xfId="24322"/>
    <cellStyle name="Date [mmm-yyyy] 2 2 3 3 3 4" xfId="24323"/>
    <cellStyle name="Afjusted 2 2 3 3 3 4" xfId="24324"/>
    <cellStyle name="dp*ThinLineBelow 3 3 3 3 4" xfId="24325"/>
    <cellStyle name="Style 49 4 3 3 3 4" xfId="24326"/>
    <cellStyle name="Outputs 2 2 3 3 3 4" xfId="24327"/>
    <cellStyle name="dp*NumberLine 2 2 3 3 3 4" xfId="24328"/>
    <cellStyle name="Bold/Border 2 2 3 3 3 4" xfId="24329"/>
    <cellStyle name="dp*SubTitle 3 3 3 3 4" xfId="24330"/>
    <cellStyle name="Style 45 4 3 3 3 4" xfId="24331"/>
    <cellStyle name="Table Head Aligned 2 3 3 4" xfId="24332"/>
    <cellStyle name="Table Head Green 2 3 3 4" xfId="24333"/>
    <cellStyle name="Title [Helv] 2 3 3 4" xfId="24334"/>
    <cellStyle name="Title [Palat] 2 3 3 4" xfId="24335"/>
    <cellStyle name="Style 45 4 3 4 3 4" xfId="24336"/>
    <cellStyle name="UNLOCKED 10 2 3" xfId="24337"/>
    <cellStyle name="Style 51 4 3 4 3 4" xfId="24338"/>
    <cellStyle name="Afjusted 3 4 3 4" xfId="24339"/>
    <cellStyle name="P-Green Rule 3 3 4 3 4" xfId="24340"/>
    <cellStyle name="Border Thin 2 3 3 4" xfId="24341"/>
    <cellStyle name="Style 49 3 3 3 4" xfId="24342"/>
    <cellStyle name="Style 51 2 3 3 4" xfId="24343"/>
    <cellStyle name="Heading [Helv] 2 2 4 3 4" xfId="24344"/>
    <cellStyle name="Table Head Aligned 2 2 4 3 4" xfId="24345"/>
    <cellStyle name="Table Head Green 2 2 4 3 4" xfId="24346"/>
    <cellStyle name="Table Head Green 2 2 3 3 3 4" xfId="24347"/>
    <cellStyle name="Heading [Palat] 2 2 3 3 3 4" xfId="24348"/>
    <cellStyle name="dp*SheetSubTitle 2 2 3 3 3 4" xfId="24349"/>
    <cellStyle name="P-Green Rule 3 3 3 3 4" xfId="24350"/>
    <cellStyle name="Date [mm-d-yyyy] 3 3 3 3 4" xfId="24351"/>
    <cellStyle name="Date [mm-d-yyyy] 3 4 3 4" xfId="24352"/>
    <cellStyle name="Style 51 4 4 3 4" xfId="24353"/>
    <cellStyle name="Style 49 4 4 3 4" xfId="24354"/>
    <cellStyle name="Style 45 4 4 3 4" xfId="24355"/>
    <cellStyle name="Style 44 4 4 3 4" xfId="24356"/>
    <cellStyle name="dp*ThinLineBelow 3 3 4 3 4" xfId="24357"/>
    <cellStyle name="P-Green Rule 3 4 3 4" xfId="24358"/>
    <cellStyle name="dp*ThinLineBelow 3 4 3 4" xfId="24359"/>
    <cellStyle name="dp*SubTitle 3 4 3 4" xfId="24360"/>
    <cellStyle name="dp*SubTitle 3 3 4 3 4" xfId="24361"/>
    <cellStyle name="Border Thin 3 4 3 4" xfId="24362"/>
    <cellStyle name="Border Thin 3 3 4 3 4" xfId="24363"/>
    <cellStyle name="Afjusted 4 4 3 4" xfId="24364"/>
    <cellStyle name="Afjusted 2 2 4 3 4" xfId="24365"/>
    <cellStyle name="Style 44 4 3 4 3 4" xfId="24366"/>
    <cellStyle name="PB Table Standard Row 3 3 4 3 4" xfId="24367"/>
    <cellStyle name="Title [Palat] 2 2 3 6 4" xfId="24368"/>
    <cellStyle name="Title [Helv] 2 2 3 6 4" xfId="24369"/>
    <cellStyle name="Table Head Green 2 2 3 6 4" xfId="24370"/>
    <cellStyle name="Table Head Aligned 2 2 3 6 4" xfId="24371"/>
    <cellStyle name="Outputs 2 2 3 6 4" xfId="24372"/>
    <cellStyle name="Magic 2 2 3 6 4" xfId="24373"/>
    <cellStyle name="Heading [Palat] 2 2 3 6 4" xfId="24374"/>
    <cellStyle name="Heading [Helv] 2 2 3 6 4" xfId="24375"/>
    <cellStyle name="dp*SheetSubTitle 2 2 3 6 4" xfId="24376"/>
    <cellStyle name="dp*NumberLineEPS 2 2 3 6 4" xfId="24377"/>
    <cellStyle name="dp*NumberLine 2 2 3 6 4" xfId="24378"/>
    <cellStyle name="Date [mmm-yyyy] 2 2 3 6 4" xfId="24379"/>
    <cellStyle name="COL HEADINGS 2 2 3 6 4" xfId="24380"/>
    <cellStyle name="Bold/Border 2 2 3 6 4" xfId="24381"/>
    <cellStyle name="Afjusted 2 2 3 6 4" xfId="24382"/>
    <cellStyle name="ac 2 2 3 6 4" xfId="24383"/>
    <cellStyle name="Afjusted 4 3 6 4" xfId="24384"/>
    <cellStyle name="Border Thin 3 3 6 4" xfId="24385"/>
    <cellStyle name="dp*SubTitle 3 3 6 4" xfId="24386"/>
    <cellStyle name="dp*ThinLineBelow 3 3 6 4" xfId="24387"/>
    <cellStyle name="PB Table Standard Row 3 3 6 4" xfId="24388"/>
    <cellStyle name="P-Green Rule 3 3 6 4" xfId="24389"/>
    <cellStyle name="Style 44 4 3 6 4" xfId="24390"/>
    <cellStyle name="Style 45 4 3 6 4" xfId="24391"/>
    <cellStyle name="Style 49 4 3 6 4" xfId="24392"/>
    <cellStyle name="Style 51 4 3 6 4" xfId="24393"/>
    <cellStyle name="Date [mm-d-yyyy] 3 3 6 4" xfId="24394"/>
    <cellStyle name="Title [Palat] 2 4 4 4" xfId="24395"/>
    <cellStyle name="Style 51 3 4 4 4" xfId="24396"/>
    <cellStyle name="Afjusted 3 3 6 4" xfId="24397"/>
    <cellStyle name="Border Thin 2 4 4 4" xfId="24398"/>
    <cellStyle name="Calculation 2 3 3" xfId="24399"/>
    <cellStyle name="Afjusted 4 2 4 4 4" xfId="24400"/>
    <cellStyle name="ac 2 2 4 4 4" xfId="24401"/>
    <cellStyle name="Input 2 3 3" xfId="24402"/>
    <cellStyle name="Note 2 3 4" xfId="24403"/>
    <cellStyle name="Date [mm-d-yyyy] 3 5 4 4" xfId="24404"/>
    <cellStyle name="Output 2 2 2 3" xfId="24405"/>
    <cellStyle name="Input 2 2 2 3" xfId="24406"/>
    <cellStyle name="Afjusted 3 3 2 4 4" xfId="24407"/>
    <cellStyle name="Total 2 2 2 3" xfId="24408"/>
    <cellStyle name="Calculation 2 2 2 3" xfId="24409"/>
    <cellStyle name="PB Table Standard Row 3 3 2 3 4" xfId="24410"/>
    <cellStyle name="P-Green Rule 3 3 2 4 4" xfId="24411"/>
    <cellStyle name="Date [mm-d-yyyy] 3 3 2 4 4" xfId="24412"/>
    <cellStyle name="ac 2 4 4 4" xfId="24413"/>
    <cellStyle name="Date [mm-d-yyyy] 2 2 5 4" xfId="24414"/>
    <cellStyle name="Afjusted 3 2 6 4" xfId="24415"/>
    <cellStyle name="dp*SubTitle 3 2 2 4 4" xfId="24416"/>
    <cellStyle name="Style 45 2 4 4 4" xfId="24417"/>
    <cellStyle name="P-Green Rule 2 4 4 4" xfId="24418"/>
    <cellStyle name="Style 51 4 5 4 4" xfId="24419"/>
    <cellStyle name="Date [mm-d-yyyy] 3 2 6 4" xfId="24420"/>
    <cellStyle name="Style 51 4 2 6 4" xfId="24421"/>
    <cellStyle name="Style 49 4 2 6 4" xfId="24422"/>
    <cellStyle name="Style 45 4 2 6 4" xfId="24423"/>
    <cellStyle name="Style 44 4 2 6 4" xfId="24424"/>
    <cellStyle name="Heading [Palat] 2 4 4 4" xfId="24425"/>
    <cellStyle name="P-Green Rule 3 2 6 4" xfId="24426"/>
    <cellStyle name="dp*ThinLineBelow 3 2 6 4" xfId="24427"/>
    <cellStyle name="dp*SubTitle 3 2 6 4" xfId="24428"/>
    <cellStyle name="dp*SubTitle 2 4 4 4" xfId="24429"/>
    <cellStyle name="Border Thin 3 2 6 4" xfId="24430"/>
    <cellStyle name="dp*NumberLine 2 4 4 4" xfId="24431"/>
    <cellStyle name="Afjusted 4 2 6 4" xfId="24432"/>
    <cellStyle name="ac 2 2 2 6 4" xfId="24433"/>
    <cellStyle name="Afjusted 2 2 2 6 4" xfId="24434"/>
    <cellStyle name="Bold/Border 2 2 2 6 4" xfId="24435"/>
    <cellStyle name="COL HEADINGS 2 2 2 6 4" xfId="24436"/>
    <cellStyle name="Date [mmm-yyyy] 2 2 2 6 4" xfId="24437"/>
    <cellStyle name="dp*NumberLine 2 2 2 6 4" xfId="24438"/>
    <cellStyle name="dp*NumberLineEPS 2 2 2 6 4" xfId="24439"/>
    <cellStyle name="dp*SheetSubTitle 2 2 2 6 4" xfId="24440"/>
    <cellStyle name="Heading [Helv] 2 2 2 6 4" xfId="24441"/>
    <cellStyle name="Heading [Palat] 2 2 2 6 4" xfId="24442"/>
    <cellStyle name="Magic 2 2 2 6 4" xfId="24443"/>
    <cellStyle name="Outputs 2 2 2 6 4" xfId="24444"/>
    <cellStyle name="Table Head Aligned 2 2 2 6 4" xfId="24445"/>
    <cellStyle name="Table Head Green 2 2 2 6 4" xfId="24446"/>
    <cellStyle name="Title [Helv] 2 2 2 6 4" xfId="24447"/>
    <cellStyle name="Title [Palat] 2 2 2 6 4" xfId="24448"/>
    <cellStyle name="Style 45 3 4 4 4" xfId="24449"/>
    <cellStyle name="Output 2 3 3" xfId="24450"/>
    <cellStyle name="Border Thin 3 2 2 4 4" xfId="24451"/>
    <cellStyle name="Outputs 2 4 4 4" xfId="24452"/>
    <cellStyle name="Total 2 3 3" xfId="24453"/>
    <cellStyle name="Style 51 4 3 2 4 4" xfId="24454"/>
    <cellStyle name="Style 45 4 3 2 4 4" xfId="24455"/>
    <cellStyle name="Style 49 4 3 2 4 4" xfId="24456"/>
    <cellStyle name="Style 44 4 3 2 4 4" xfId="24457"/>
    <cellStyle name="dp*ThinLineBelow 3 3 2 4 4" xfId="24458"/>
    <cellStyle name="Table Head Green 2 2 3 4 3 4" xfId="24459"/>
    <cellStyle name="Heading [Palat] 2 2 3 4 3 4" xfId="24460"/>
    <cellStyle name="P-Green Rule 2 3 3 4" xfId="24461"/>
    <cellStyle name="Title [Palat] 2 2 3 2 3 4" xfId="24462"/>
    <cellStyle name="Title [Helv] 2 2 3 2 3 4" xfId="24463"/>
    <cellStyle name="Table Head Green 2 2 3 2 3 4" xfId="24464"/>
    <cellStyle name="Table Head Aligned 2 2 3 2 3 4" xfId="24465"/>
    <cellStyle name="Outputs 2 2 3 2 3 4" xfId="24466"/>
    <cellStyle name="Magic 2 2 3 2 3 4" xfId="24467"/>
    <cellStyle name="Heading [Palat] 2 2 3 2 3 4" xfId="24468"/>
    <cellStyle name="Heading [Helv] 2 2 3 2 3 4" xfId="24469"/>
    <cellStyle name="dp*SheetSubTitle 2 2 3 2 3 4" xfId="24470"/>
    <cellStyle name="dp*NumberLineEPS 2 2 3 2 3 4" xfId="24471"/>
    <cellStyle name="dp*NumberLine 2 2 3 2 3 4" xfId="24472"/>
    <cellStyle name="Date [mmm-yyyy] 2 2 3 2 3 4" xfId="24473"/>
    <cellStyle name="COL HEADINGS 2 2 3 2 3 4" xfId="24474"/>
    <cellStyle name="Bold/Border 2 2 3 2 3 4" xfId="24475"/>
    <cellStyle name="Afjusted 2 2 3 2 3 4" xfId="24476"/>
    <cellStyle name="ac 2 2 3 2 3 4" xfId="24477"/>
    <cellStyle name="Afjusted 4 3 2 3 4" xfId="24478"/>
    <cellStyle name="Border Thin 3 3 2 3 4" xfId="24479"/>
    <cellStyle name="dp*SubTitle 3 3 2 3 4" xfId="24480"/>
    <cellStyle name="dp*ThinLineBelow 3 3 2 3 4" xfId="24481"/>
    <cellStyle name="P-Green Rule 3 3 2 3 4" xfId="24482"/>
    <cellStyle name="Style 44 4 3 2 3 4" xfId="24483"/>
    <cellStyle name="Style 45 4 3 2 3 4" xfId="24484"/>
    <cellStyle name="Style 49 4 3 2 3 4" xfId="24485"/>
    <cellStyle name="Style 51 4 3 2 3 4" xfId="24486"/>
    <cellStyle name="Date [mm-d-yyyy] 3 3 2 3 4" xfId="24487"/>
    <cellStyle name="Afjusted 3 3 2 3 4" xfId="24488"/>
    <cellStyle name="Date [mm-d-yyyy] 3 5 3 4" xfId="24489"/>
    <cellStyle name="dp*SubTitle 2 3 3 4" xfId="24490"/>
    <cellStyle name="Date [mm-d-yyyy] 2 2 2 3 4" xfId="24491"/>
    <cellStyle name="Afjusted 3 2 2 3 4" xfId="24492"/>
    <cellStyle name="PB Table Standard Row 3 5 3 4" xfId="24493"/>
    <cellStyle name="Date [mm-d-yyyy] 3 2 2 3 4" xfId="24494"/>
    <cellStyle name="Style 51 4 2 2 3 4" xfId="24495"/>
    <cellStyle name="Style 49 4 2 2 3 4" xfId="24496"/>
    <cellStyle name="Style 45 4 2 2 3 4" xfId="24497"/>
    <cellStyle name="Style 44 4 2 2 3 4" xfId="24498"/>
    <cellStyle name="Style 45 4 5 3 4" xfId="24499"/>
    <cellStyle name="P-Green Rule 3 2 2 3 4" xfId="24500"/>
    <cellStyle name="PB Table Standard Row 3 2 2 3 4" xfId="24501"/>
    <cellStyle name="dp*ThinLineBelow 3 2 2 3 4" xfId="24502"/>
    <cellStyle name="dp*SubTitle 3 2 2 3 4" xfId="24503"/>
    <cellStyle name="Style 51 4 5 3 4" xfId="24504"/>
    <cellStyle name="Border Thin 3 2 2 3 4" xfId="24505"/>
    <cellStyle name="Afjusted 4 2 2 3 4" xfId="24506"/>
    <cellStyle name="ac 2 2 2 2 3 4" xfId="24507"/>
    <cellStyle name="Afjusted 2 2 2 2 3 4" xfId="24508"/>
    <cellStyle name="Bold/Border 2 2 2 2 3 4" xfId="24509"/>
    <cellStyle name="COL HEADINGS 2 2 2 2 3 4" xfId="24510"/>
    <cellStyle name="Date [mmm-yyyy] 2 2 2 2 3 4" xfId="24511"/>
    <cellStyle name="dp*NumberLine 2 2 2 2 3 4" xfId="24512"/>
    <cellStyle name="dp*NumberLineEPS 2 2 2 2 3 4" xfId="24513"/>
    <cellStyle name="dp*SheetSubTitle 2 2 2 2 3 4" xfId="24514"/>
    <cellStyle name="Heading [Helv] 2 2 2 2 3 4" xfId="24515"/>
    <cellStyle name="Heading [Palat] 2 2 2 2 3 4" xfId="24516"/>
    <cellStyle name="Magic 2 2 2 2 3 4" xfId="24517"/>
    <cellStyle name="Outputs 2 2 2 2 3 4" xfId="24518"/>
    <cellStyle name="Table Head Aligned 2 2 2 2 3 4" xfId="24519"/>
    <cellStyle name="Table Head Green 2 2 2 2 3 4" xfId="24520"/>
    <cellStyle name="Title [Helv] 2 2 2 2 3 4" xfId="24521"/>
    <cellStyle name="Title [Palat] 2 2 2 2 3 4" xfId="24522"/>
    <cellStyle name="dp*ThinLineBelow 3 5 3 4" xfId="24523"/>
    <cellStyle name="Date [mm-d-yyyy] 2 2 3 3 4" xfId="24524"/>
    <cellStyle name="Afjusted 3 2 3 3 4" xfId="24525"/>
    <cellStyle name="Date [mm-d-yyyy] 3 2 3 3 4" xfId="24526"/>
    <cellStyle name="Style 51 4 2 3 3 4" xfId="24527"/>
    <cellStyle name="Style 49 4 2 3 3 4" xfId="24528"/>
    <cellStyle name="Style 45 4 2 3 3 4" xfId="24529"/>
    <cellStyle name="Style 44 4 2 3 3 4" xfId="24530"/>
    <cellStyle name="P-Green Rule 3 2 3 3 4" xfId="24531"/>
    <cellStyle name="PB Table Standard Row 3 2 3 3 4" xfId="24532"/>
    <cellStyle name="dp*ThinLineBelow 3 2 3 3 4" xfId="24533"/>
    <cellStyle name="dp*SubTitle 3 2 3 3 4" xfId="24534"/>
    <cellStyle name="Border Thin 3 2 3 3 4" xfId="24535"/>
    <cellStyle name="Afjusted 4 2 3 3 4" xfId="24536"/>
    <cellStyle name="ac 2 2 2 3 3 4" xfId="24537"/>
    <cellStyle name="Afjusted 2 2 2 3 3 4" xfId="24538"/>
    <cellStyle name="Bold/Border 2 2 2 3 3 4" xfId="24539"/>
    <cellStyle name="COL HEADINGS 2 2 2 3 3 4" xfId="24540"/>
    <cellStyle name="Date [mmm-yyyy] 2 2 2 3 3 4" xfId="24541"/>
    <cellStyle name="dp*NumberLine 2 2 2 3 3 4" xfId="24542"/>
    <cellStyle name="dp*NumberLineEPS 2 2 2 3 3 4" xfId="24543"/>
    <cellStyle name="dp*SheetSubTitle 2 2 2 3 3 4" xfId="24544"/>
    <cellStyle name="Heading [Helv] 2 2 2 3 3 4" xfId="24545"/>
    <cellStyle name="Heading [Palat] 2 2 2 3 3 4" xfId="24546"/>
    <cellStyle name="Magic 2 2 2 3 3 4" xfId="24547"/>
    <cellStyle name="Outputs 2 2 2 3 3 4" xfId="24548"/>
    <cellStyle name="Table Head Aligned 2 2 2 3 3 4" xfId="24549"/>
    <cellStyle name="Table Head Green 2 2 2 3 3 4" xfId="24550"/>
    <cellStyle name="Title [Helv] 2 2 2 3 3 4" xfId="24551"/>
    <cellStyle name="Title [Palat] 2 2 2 3 3 4" xfId="24552"/>
    <cellStyle name="Afjusted 3 2 4 3 4" xfId="24553"/>
    <cellStyle name="Date [mm-d-yyyy] 3 2 4 3 4" xfId="24554"/>
    <cellStyle name="Style 51 4 2 4 3 4" xfId="24555"/>
    <cellStyle name="Style 49 4 2 4 3 4" xfId="24556"/>
    <cellStyle name="Style 45 4 2 4 3 4" xfId="24557"/>
    <cellStyle name="Style 44 4 2 4 3 4" xfId="24558"/>
    <cellStyle name="P-Green Rule 3 2 4 3 4" xfId="24559"/>
    <cellStyle name="PB Table Standard Row 3 2 4 3 4" xfId="24560"/>
    <cellStyle name="dp*ThinLineBelow 3 2 4 3 4" xfId="24561"/>
    <cellStyle name="dp*SubTitle 3 2 4 3 4" xfId="24562"/>
    <cellStyle name="Border Thin 3 2 4 3 4" xfId="24563"/>
    <cellStyle name="Afjusted 4 2 4 3 4" xfId="24564"/>
    <cellStyle name="ac 2 2 2 4 3 4" xfId="24565"/>
    <cellStyle name="Afjusted 2 2 2 4 3 4" xfId="24566"/>
    <cellStyle name="Bold/Border 2 2 2 4 3 4" xfId="24567"/>
    <cellStyle name="COL HEADINGS 2 2 2 4 3 4" xfId="24568"/>
    <cellStyle name="Date [mmm-yyyy] 2 2 2 4 3 4" xfId="24569"/>
    <cellStyle name="dp*NumberLine 2 2 2 4 3 4" xfId="24570"/>
    <cellStyle name="dp*NumberLineEPS 2 2 2 4 3 4" xfId="24571"/>
    <cellStyle name="dp*SheetSubTitle 2 2 2 4 3 4" xfId="24572"/>
    <cellStyle name="Heading [Helv] 2 2 2 4 3 4" xfId="24573"/>
    <cellStyle name="Heading [Palat] 2 2 2 4 3 4" xfId="24574"/>
    <cellStyle name="Magic 2 2 2 4 3 4" xfId="24575"/>
    <cellStyle name="Outputs 2 2 2 4 3 4" xfId="24576"/>
    <cellStyle name="Table Head Aligned 2 2 2 4 3 4" xfId="24577"/>
    <cellStyle name="Table Head Green 2 2 2 4 3 4" xfId="24578"/>
    <cellStyle name="Title [Helv] 2 2 2 4 3 4" xfId="24579"/>
    <cellStyle name="Title [Palat] 2 2 2 4 3 4" xfId="24580"/>
    <cellStyle name="Bold/Border 2 2 3 2 4 4" xfId="24581"/>
    <cellStyle name="Border Thin 4 3 4" xfId="24582"/>
    <cellStyle name="Date [mm-d-yyyy] 4 3 4" xfId="24583"/>
    <cellStyle name="dp*SubTitle 4 3 4" xfId="24584"/>
    <cellStyle name="dp*ThinLineBelow 4 3 4" xfId="24585"/>
    <cellStyle name="PB Table Standard Row 4 3 4" xfId="24586"/>
    <cellStyle name="P-Green Rule 4 3 4" xfId="24587"/>
    <cellStyle name="Style 44 5 3 4" xfId="24588"/>
    <cellStyle name="Style 45 5 3 4" xfId="24589"/>
    <cellStyle name="Style 49 5 3 4" xfId="24590"/>
    <cellStyle name="Style 51 5 3 4" xfId="24591"/>
    <cellStyle name="UNLOCKED 13 2 3" xfId="24592"/>
    <cellStyle name="COL HEADINGS 2 2 3 2 4 4" xfId="24593"/>
    <cellStyle name="UNLOCKED 14 2 3" xfId="24594"/>
    <cellStyle name="ac 2 2 3 2 4 4" xfId="24595"/>
    <cellStyle name="Date [mmm-yyyy] 2 2 3 2 4 4" xfId="24596"/>
    <cellStyle name="FieldName 3 2 3" xfId="24597"/>
    <cellStyle name="WingdingsWhite 3 2 3" xfId="24598"/>
    <cellStyle name="WingdingsRed 3 2 3" xfId="24599"/>
    <cellStyle name="WingdingsBlack 3 2 3" xfId="24600"/>
    <cellStyle name="UNLOCKED 16 2 3" xfId="24601"/>
    <cellStyle name="Title [Palat] 3 3 4" xfId="24602"/>
    <cellStyle name="Title [Helv] 3 3 4" xfId="24603"/>
    <cellStyle name="Table Head Green 3 3 4" xfId="24604"/>
    <cellStyle name="Table Head Aligned 3 3 4" xfId="24605"/>
    <cellStyle name="SymbolBlue 3 2 3" xfId="24606"/>
    <cellStyle name="Style 53 3 2 3" xfId="24607"/>
    <cellStyle name="Style 52 3 2 3" xfId="24608"/>
    <cellStyle name="Style 50 3 2 3" xfId="24609"/>
    <cellStyle name="Style 48 3 2 3" xfId="24610"/>
    <cellStyle name="Style 43 3 2 3" xfId="24611"/>
    <cellStyle name="Style 42 3 2 3" xfId="24612"/>
    <cellStyle name="Style 40 3 2 3" xfId="24613"/>
    <cellStyle name="Style 37 3 2 3" xfId="24614"/>
    <cellStyle name="Style 36 3 2 3" xfId="24615"/>
    <cellStyle name="Style 35 3 2 3" xfId="24616"/>
    <cellStyle name="Style 28 3 2 3" xfId="24617"/>
    <cellStyle name="Style 25 3 2 3" xfId="24618"/>
    <cellStyle name="Style 27 3 2 3" xfId="24619"/>
    <cellStyle name="Style 26 3 2 3" xfId="24620"/>
    <cellStyle name="Style 24 3 2 3" xfId="24621"/>
    <cellStyle name="Style 22 3 2 3" xfId="24622"/>
    <cellStyle name="Style 21 3 2 3" xfId="24623"/>
    <cellStyle name="Outputs 3 3 4" xfId="24624"/>
    <cellStyle name="Millions 8 2 3" xfId="24625"/>
    <cellStyle name="Magic 3 3 4" xfId="24626"/>
    <cellStyle name="ItemTypeClass 3 2 3" xfId="24627"/>
    <cellStyle name="Heading [Palat] 3 3 4" xfId="24628"/>
    <cellStyle name="Heading [Helv] 3 3 4" xfId="24629"/>
    <cellStyle name="Format text as bold, black on yellow 3 2 3" xfId="24630"/>
    <cellStyle name="Format a row of totals 3 2 3" xfId="24631"/>
    <cellStyle name="Draw shadow and lines within range 3 2 3" xfId="24632"/>
    <cellStyle name="Draw lines around data in range 3 2 3" xfId="24633"/>
    <cellStyle name="dp*ThinLineAbove 3 2 3" xfId="24634"/>
    <cellStyle name="dp*SheetSubTitle 3 3 4" xfId="24635"/>
    <cellStyle name="dp*NumberLineEPS 3 3 4" xfId="24636"/>
    <cellStyle name="dp*NumberLine 3 3 4" xfId="24637"/>
    <cellStyle name="dp*Number%ItalicsLineAbove 3 2 3" xfId="24638"/>
    <cellStyle name="DateYearWholeEstimate 3 2 3" xfId="24639"/>
    <cellStyle name="DateYearEstimate 3 2 3" xfId="24640"/>
    <cellStyle name="COL HEADINGS 3 3 4" xfId="24641"/>
    <cellStyle name="Border 3 2 3" xfId="24642"/>
    <cellStyle name="Bold/Border 3 3 4" xfId="24643"/>
    <cellStyle name="ArialNormal 3 2 3" xfId="24644"/>
    <cellStyle name="Arial8Italic 3 2 3" xfId="24645"/>
    <cellStyle name="Arial8Bold 3 2 3" xfId="24646"/>
    <cellStyle name="Arial6Bold 3 2 3" xfId="24647"/>
    <cellStyle name="Afjusted 5 3 4" xfId="24648"/>
    <cellStyle name="ac 3 3 4" xfId="24649"/>
    <cellStyle name="UNLOCKED 15 2 3" xfId="24650"/>
    <cellStyle name="dp*NumberLine 2 2 3 2 4 4" xfId="24651"/>
    <cellStyle name="Date [mmm-yyyy] 3 3 4" xfId="24652"/>
    <cellStyle name="dp*NumberLineEPS 2 2 3 2 4 4" xfId="24653"/>
    <cellStyle name="UNLOCKED 17 2 3" xfId="24654"/>
    <cellStyle name="Heading [Palat] 2 9 4" xfId="24655"/>
    <cellStyle name="dp*SheetSubTitle 2 2 3 2 4 4" xfId="24656"/>
    <cellStyle name="UNLOCKED 18 2 3" xfId="24657"/>
    <cellStyle name="Table Head Aligned 2 2 7 4" xfId="24658"/>
    <cellStyle name="UNLOCKED 19 2 3" xfId="24659"/>
    <cellStyle name="ac 2 4 3 4" xfId="24660"/>
    <cellStyle name="Afjusted 2 3 3 4" xfId="24661"/>
    <cellStyle name="Bold/Border 2 4 3 4" xfId="24662"/>
    <cellStyle name="Border Thin 2 4 3 4" xfId="24663"/>
    <cellStyle name="COL HEADINGS 2 4 3 4" xfId="24664"/>
    <cellStyle name="Date [mmm-yyyy] 2 4 3 4" xfId="24665"/>
    <cellStyle name="dp*NumberLine 2 4 3 4" xfId="24666"/>
    <cellStyle name="dp*NumberLineEPS 2 4 3 4" xfId="24667"/>
    <cellStyle name="dp*SheetSubTitle 2 4 3 4" xfId="24668"/>
    <cellStyle name="dp*SubTitle 2 4 3 4" xfId="24669"/>
    <cellStyle name="dp*ThinLineBelow 2 4 3 4" xfId="24670"/>
    <cellStyle name="Heading [Helv] 2 4 3 4" xfId="24671"/>
    <cellStyle name="Heading [Palat] 2 4 3 4" xfId="24672"/>
    <cellStyle name="Magic 2 4 3 4" xfId="24673"/>
    <cellStyle name="Outputs 2 4 3 4" xfId="24674"/>
    <cellStyle name="PB Table Standard Row 2 4 3 4" xfId="24675"/>
    <cellStyle name="P-Green Rule 2 4 3 4" xfId="24676"/>
    <cellStyle name="Style 44 3 4 3 4" xfId="24677"/>
    <cellStyle name="Style 45 3 4 3 4" xfId="24678"/>
    <cellStyle name="Style 49 3 4 3 4" xfId="24679"/>
    <cellStyle name="Style 51 3 4 3 4" xfId="24680"/>
    <cellStyle name="Style 44 2 4 3 4" xfId="24681"/>
    <cellStyle name="Style 45 2 4 3 4" xfId="24682"/>
    <cellStyle name="Style 49 2 4 3 4" xfId="24683"/>
    <cellStyle name="Style 51 2 4 3 4" xfId="24684"/>
    <cellStyle name="Table Head Aligned 2 4 3 4" xfId="24685"/>
    <cellStyle name="Table Head Green 2 4 3 4" xfId="24686"/>
    <cellStyle name="Title [Helv] 2 4 3 4" xfId="24687"/>
    <cellStyle name="Title [Palat] 2 4 3 4" xfId="24688"/>
    <cellStyle name="Heading [Helv] 2 2 3 2 4 4" xfId="24689"/>
    <cellStyle name="UNLOCKED 20 2 3" xfId="24690"/>
    <cellStyle name="Heading [Palat] 2 2 3 2 4 4" xfId="24691"/>
    <cellStyle name="Table Head Green 2 4 4 4" xfId="24692"/>
    <cellStyle name="ac 4 3 4" xfId="24693"/>
    <cellStyle name="dp*SheetSubTitle 3 4 4" xfId="24694"/>
    <cellStyle name="dp*NumberLine 3 4 4" xfId="24695"/>
    <cellStyle name="Arial6Bold 4 2 3" xfId="24696"/>
    <cellStyle name="Arial8Bold 4 2 3" xfId="24697"/>
    <cellStyle name="Arial8Italic 4 2 3" xfId="24698"/>
    <cellStyle name="ArialNormal 4 2 3" xfId="24699"/>
    <cellStyle name="Outputs 3 4 4" xfId="24700"/>
    <cellStyle name="Title [Helv] 3 4 4" xfId="24701"/>
    <cellStyle name="Bold/Border 4 3 4" xfId="24702"/>
    <cellStyle name="Border Thin 5 3 4" xfId="24703"/>
    <cellStyle name="P-Green Rule 4 4 4" xfId="24704"/>
    <cellStyle name="dp*SubTitle 4 4 4" xfId="24705"/>
    <cellStyle name="Table Head Green 2 2 2 4 4 4" xfId="24706"/>
    <cellStyle name="Heading [Palat] 2 2 2 4 4 4" xfId="24707"/>
    <cellStyle name="Date [mmm-yyyy] 2 2 2 4 4 4" xfId="24708"/>
    <cellStyle name="P-Green Rule 3 2 4 4 4" xfId="24709"/>
    <cellStyle name="dp*ThinLineBelow 3 2 4 4 4" xfId="24710"/>
    <cellStyle name="COL HEADINGS 4 3 4" xfId="24711"/>
    <cellStyle name="Date [mm-d-yyyy] 3 2 4 4 4" xfId="24712"/>
    <cellStyle name="Magic 2 2 2 3 4 4" xfId="24713"/>
    <cellStyle name="dp*SheetSubTitle 2 2 2 3 4 4" xfId="24714"/>
    <cellStyle name="Date [mmm-yyyy] 2 2 2 3 4 4" xfId="24715"/>
    <cellStyle name="Afjusted 2 2 2 3 4 4" xfId="24716"/>
    <cellStyle name="Border Thin 3 2 3 4 4" xfId="24717"/>
    <cellStyle name="PB Table Standard Row 3 2 3 4 4" xfId="24718"/>
    <cellStyle name="Style 45 4 2 3 4 4" xfId="24719"/>
    <cellStyle name="Date [mm-d-yyyy] 3 2 3 4 4" xfId="24720"/>
    <cellStyle name="Title [Palat] 2 2 2 2 4 4" xfId="24721"/>
    <cellStyle name="Bold/Border 2 2 2 7 4" xfId="24722"/>
    <cellStyle name="Style 45 4 3 7 4" xfId="24723"/>
    <cellStyle name="PB Table Standard Row 3 3 7 4" xfId="24724"/>
    <cellStyle name="Date [mm-d-yyyy] 5 3 4" xfId="24725"/>
    <cellStyle name="Bold/Border 2 2 3 7 4" xfId="24726"/>
    <cellStyle name="Title [Helv] 2 2 3 7 4" xfId="24727"/>
    <cellStyle name="DateYearEstimate 4 2 3" xfId="24728"/>
    <cellStyle name="DateYearWholeEstimate 4 2 3" xfId="24729"/>
    <cellStyle name="Style 45 4 4 4 4" xfId="24730"/>
    <cellStyle name="dp*ThinLineBelow 3 3 3 4 4" xfId="24731"/>
    <cellStyle name="Draw lines around data in range 4 2 3" xfId="24732"/>
    <cellStyle name="Draw shadow and lines within range 4 2 3" xfId="24733"/>
    <cellStyle name="PB Table Standard Row 3 3 3 4 4" xfId="24734"/>
    <cellStyle name="ac 2 2 3 3 4 4" xfId="24735"/>
    <cellStyle name="Heading [Helv] 2 2 3 3 4 4" xfId="24736"/>
    <cellStyle name="Title [Palat] 2 2 4 4 4" xfId="24737"/>
    <cellStyle name="Outputs 2 2 4 4 4" xfId="24738"/>
    <cellStyle name="Title [Palat] 2 2 3 4 4 4" xfId="24739"/>
    <cellStyle name="dp*SheetSubTitle 2 2 3 4 4 4" xfId="24740"/>
    <cellStyle name="ac 2 2 3 4 4 4" xfId="24741"/>
    <cellStyle name="Afjusted 3 3 4 4 4" xfId="24742"/>
    <cellStyle name="COL HEADINGS 2 2 3 4 4 4" xfId="24743"/>
    <cellStyle name="P-Green Rule 2 2 4 4" xfId="24744"/>
    <cellStyle name="Style 49 3 2 4 4" xfId="24745"/>
    <cellStyle name="Style 49 2 2 4 4" xfId="24746"/>
    <cellStyle name="Title [Helv] 2 2 3 4 4 4" xfId="24747"/>
    <cellStyle name="Bold/Border 2 2 3 4 4 4" xfId="24748"/>
    <cellStyle name="Format a row of totals 4 2 3" xfId="24749"/>
    <cellStyle name="Format text as bold, black on yellow 4 2 3" xfId="24750"/>
    <cellStyle name="Heading [Helv] 4 3 4" xfId="24751"/>
    <cellStyle name="Heading [Palat] 4 3 4" xfId="24752"/>
    <cellStyle name="Title [Helv] 2 2 7 4" xfId="24753"/>
    <cellStyle name="Heading [Palat] 2 2 7 4" xfId="24754"/>
    <cellStyle name="COL HEADINGS 2 2 7 4" xfId="24755"/>
    <cellStyle name="ac 2 2 7 4" xfId="24756"/>
    <cellStyle name="ItemTypeClass 4 2 3" xfId="24757"/>
    <cellStyle name="Style 45 4 3 4 5 2 2" xfId="24758"/>
    <cellStyle name="Main 3 2 3" xfId="24759"/>
    <cellStyle name="Magic 5 6 2" xfId="24760"/>
    <cellStyle name="Outputs 4 3 4" xfId="24761"/>
    <cellStyle name="PB Table Standard Row 5 3 4" xfId="24762"/>
    <cellStyle name="P-Green Rule 5 3 4" xfId="24763"/>
    <cellStyle name="SAPBEXaggItemX 3 2 3" xfId="24764"/>
    <cellStyle name="SAPBEXHLevel0 3 2 3" xfId="24765"/>
    <cellStyle name="SAPBEXHLevel0X 3 2 3" xfId="24766"/>
    <cellStyle name="SAPBEXHLevel1 3 2 3" xfId="24767"/>
    <cellStyle name="SAPBEXHLevel1X 3 2 3" xfId="24768"/>
    <cellStyle name="SAPBEXHLevel2 3 2 3" xfId="24769"/>
    <cellStyle name="SAPBEXHLevel2X 3 2 3" xfId="24770"/>
    <cellStyle name="SAPBEXHLevel3 3 2 3" xfId="24771"/>
    <cellStyle name="SAPBEXHLevel3X 3 2 3" xfId="24772"/>
    <cellStyle name="SAPBEXresItemX 3 2 3" xfId="24773"/>
    <cellStyle name="SAPBEXstdItemX 3 2 3" xfId="24774"/>
    <cellStyle name="Style 21 4 2 3" xfId="24775"/>
    <cellStyle name="Style 22 4 2 3" xfId="24776"/>
    <cellStyle name="Style 35 4 2 3" xfId="24777"/>
    <cellStyle name="Style 36 4 2 3" xfId="24778"/>
    <cellStyle name="Style 37 4 2 3" xfId="24779"/>
    <cellStyle name="Style 40 4 2 3" xfId="24780"/>
    <cellStyle name="Style 42 4 2 3" xfId="24781"/>
    <cellStyle name="Style 43 4 2 3" xfId="24782"/>
    <cellStyle name="Style 44 6 3 4" xfId="24783"/>
    <cellStyle name="Style 45 6 3 4" xfId="24784"/>
    <cellStyle name="Style 48 4 2 3" xfId="24785"/>
    <cellStyle name="Style 49 6 3 4" xfId="24786"/>
    <cellStyle name="Style 50 4 2 3" xfId="24787"/>
    <cellStyle name="Style 51 6 3 4" xfId="24788"/>
    <cellStyle name="Style 52 4 2 3" xfId="24789"/>
    <cellStyle name="Style 53 4 2 3" xfId="24790"/>
    <cellStyle name="SymbolBlue 4 2 3" xfId="24791"/>
    <cellStyle name="Table Head Green 4 3 4" xfId="24792"/>
    <cellStyle name="UNLOCKED 21 2 3" xfId="24793"/>
    <cellStyle name="WingdingsBlack 4 2 3" xfId="24794"/>
    <cellStyle name="WingdingsRed 4 2 3" xfId="24795"/>
    <cellStyle name="WingdingsWhite 4 2 3" xfId="24796"/>
    <cellStyle name="Magic 2 2 3 2 5 2 2" xfId="24797"/>
    <cellStyle name="Heading [Helv] 2 9 4" xfId="24798"/>
    <cellStyle name="Style 49 4 2 2 5 2 2" xfId="24799"/>
    <cellStyle name="Afjusted 6 3 4" xfId="24800"/>
    <cellStyle name="UNLOCKED 22 2 3" xfId="24801"/>
    <cellStyle name="ac 2 5 3 4" xfId="24802"/>
    <cellStyle name="Afjusted 2 4 3 4" xfId="24803"/>
    <cellStyle name="Bold/Border 2 5 3 4" xfId="24804"/>
    <cellStyle name="Border Thin 2 5 3 4" xfId="24805"/>
    <cellStyle name="COL HEADINGS 2 5 3 4" xfId="24806"/>
    <cellStyle name="Date [mmm-yyyy] 2 5 3 4" xfId="24807"/>
    <cellStyle name="dp*NumberLine 2 5 3 4" xfId="24808"/>
    <cellStyle name="dp*NumberLineEPS 2 5 3 4" xfId="24809"/>
    <cellStyle name="dp*SheetSubTitle 2 5 3 4" xfId="24810"/>
    <cellStyle name="dp*SubTitle 2 5 3 4" xfId="24811"/>
    <cellStyle name="dp*ThinLineBelow 2 5 3 4" xfId="24812"/>
    <cellStyle name="Heading [Helv] 2 5 3 4" xfId="24813"/>
    <cellStyle name="Heading [Palat] 2 5 3 4" xfId="24814"/>
    <cellStyle name="Magic 2 5 3 4" xfId="24815"/>
    <cellStyle name="Outputs 2 5 3 4" xfId="24816"/>
    <cellStyle name="PB Table Standard Row 2 5 3 4" xfId="24817"/>
    <cellStyle name="P-Green Rule 2 5 3 4" xfId="24818"/>
    <cellStyle name="Style 44 3 5 3 4" xfId="24819"/>
    <cellStyle name="Style 45 3 5 3 4" xfId="24820"/>
    <cellStyle name="Style 49 3 5 3 4" xfId="24821"/>
    <cellStyle name="Style 51 3 5 3 4" xfId="24822"/>
    <cellStyle name="Style 44 2 5 3 4" xfId="24823"/>
    <cellStyle name="Style 45 2 5 3 4" xfId="24824"/>
    <cellStyle name="Style 49 2 5 3 4" xfId="24825"/>
    <cellStyle name="Style 51 2 5 3 4" xfId="24826"/>
    <cellStyle name="Table Head Aligned 2 5 3 4" xfId="24827"/>
    <cellStyle name="Table Head Green 2 5 3 4" xfId="24828"/>
    <cellStyle name="Title [Helv] 2 5 3 4" xfId="24829"/>
    <cellStyle name="Title [Palat] 2 5 3 4" xfId="24830"/>
    <cellStyle name="Magic 2 2 3 2 4 4" xfId="24831"/>
    <cellStyle name="Table Head Green 2 3 4 4" xfId="24832"/>
    <cellStyle name="Outputs 2 2 3 2 4 4" xfId="24833"/>
    <cellStyle name="UNLOCKED 23 2 3" xfId="24834"/>
    <cellStyle name="Heading [Palat] 2 2 3 4 4 4" xfId="24835"/>
    <cellStyle name="UNLOCKED 24 2 3" xfId="24836"/>
    <cellStyle name="P-Green Rule 5 4 4" xfId="24837"/>
    <cellStyle name="dp*NumberLineEPS 2 2 2 2 5 2 2" xfId="24838"/>
    <cellStyle name="Date [mm-d-yyyy] 5 4 4" xfId="24839"/>
    <cellStyle name="ac 4 4 4" xfId="24840"/>
    <cellStyle name="Table Head Aligned 2 4 4 4" xfId="24841"/>
    <cellStyle name="ac 5 3 4" xfId="24842"/>
    <cellStyle name="Bold/Border 3 4 4" xfId="24843"/>
    <cellStyle name="dp*NumberLineEPS 3 4 4" xfId="24844"/>
    <cellStyle name="Arial6Bold 5 2 3" xfId="24845"/>
    <cellStyle name="Arial8Bold 5 2 3" xfId="24846"/>
    <cellStyle name="Arial8Italic 5 2 3" xfId="24847"/>
    <cellStyle name="ArialNormal 5 2 3" xfId="24848"/>
    <cellStyle name="Heading [Helv] 3 4 4" xfId="24849"/>
    <cellStyle name="Title [Palat] 3 4 4" xfId="24850"/>
    <cellStyle name="Bold/Border 5 3 4" xfId="24851"/>
    <cellStyle name="Border Thin 6 3 4" xfId="24852"/>
    <cellStyle name="PB Table Standard Row 4 4 4" xfId="24853"/>
    <cellStyle name="Date [mm-d-yyyy] 4 4 4" xfId="24854"/>
    <cellStyle name="Title [Palat] 2 2 2 4 4 4" xfId="24855"/>
    <cellStyle name="Table Head Aligned 2 2 2 4 4 4" xfId="24856"/>
    <cellStyle name="Heading [Helv] 2 2 2 4 4 4" xfId="24857"/>
    <cellStyle name="COL HEADINGS 2 2 2 4 4 4" xfId="24858"/>
    <cellStyle name="Style 44 4 2 4 4 4" xfId="24859"/>
    <cellStyle name="PB Table Standard Row 3 2 4 4 4" xfId="24860"/>
    <cellStyle name="COL HEADINGS 5 3 4" xfId="24861"/>
    <cellStyle name="Afjusted 3 2 4 4 4" xfId="24862"/>
    <cellStyle name="Heading [Palat] 2 2 2 3 4 4" xfId="24863"/>
    <cellStyle name="dp*NumberLineEPS 2 2 2 3 4 4" xfId="24864"/>
    <cellStyle name="COL HEADINGS 2 2 2 3 4 4" xfId="24865"/>
    <cellStyle name="ac 2 2 2 3 4 4" xfId="24866"/>
    <cellStyle name="dp*SubTitle 3 2 3 4 4" xfId="24867"/>
    <cellStyle name="P-Green Rule 3 2 3 4 4" xfId="24868"/>
    <cellStyle name="Style 49 4 2 3 4 4" xfId="24869"/>
    <cellStyle name="Afjusted 3 2 3 4 4" xfId="24870"/>
    <cellStyle name="Title [Helv] 2 2 2 2 4 4" xfId="24871"/>
    <cellStyle name="Afjusted 2 2 2 7 4" xfId="24872"/>
    <cellStyle name="Date [mm-d-yyyy] 3 3 7 4" xfId="24873"/>
    <cellStyle name="Style 51 4 3 7 4" xfId="24874"/>
    <cellStyle name="Style 44 4 3 7 4" xfId="24875"/>
    <cellStyle name="dp*ThinLineBelow 3 3 7 4" xfId="24876"/>
    <cellStyle name="Afjusted 4 3 7 4" xfId="24877"/>
    <cellStyle name="Date [mm-d-yyyy] 6 2 4" xfId="24878"/>
    <cellStyle name="COL HEADINGS 2 2 3 7 4" xfId="24879"/>
    <cellStyle name="Title [Palat] 2 2 3 7 4" xfId="24880"/>
    <cellStyle name="DateYearEstimate 5 2 3" xfId="24881"/>
    <cellStyle name="DateYearWholeEstimate 5 2 3" xfId="24882"/>
    <cellStyle name="Afjusted 2 2 4 4 4" xfId="24883"/>
    <cellStyle name="Border Thin 3 3 4 4 4" xfId="24884"/>
    <cellStyle name="Style 49 4 4 4 4" xfId="24885"/>
    <cellStyle name="Afjusted 2 2 3 3 4 4" xfId="24886"/>
    <cellStyle name="Draw lines around data in range 5 2 3" xfId="24887"/>
    <cellStyle name="Draw shadow and lines within range 5 2 3" xfId="24888"/>
    <cellStyle name="Border Thin 3 3 3 4 4" xfId="24889"/>
    <cellStyle name="COL HEADINGS 2 2 3 3 4 4" xfId="24890"/>
    <cellStyle name="Magic 2 2 3 3 4 4" xfId="24891"/>
    <cellStyle name="Title [Helv] 2 2 4 4 4" xfId="24892"/>
    <cellStyle name="Heading [Palat] 2 2 4 4 4" xfId="24893"/>
    <cellStyle name="Table Head Aligned 2 2 3 4 4 4" xfId="24894"/>
    <cellStyle name="dp*NumberLineEPS 2 2 3 4 4 4" xfId="24895"/>
    <cellStyle name="Afjusted 4 3 4 4 4" xfId="24896"/>
    <cellStyle name="Style 44 3 3 4 4" xfId="24897"/>
    <cellStyle name="dp*ThinLineBelow 2 2 4 4" xfId="24898"/>
    <cellStyle name="Style 44 3 2 4 4" xfId="24899"/>
    <cellStyle name="Style 51 3 2 4 4" xfId="24900"/>
    <cellStyle name="Style 45 2 2 4 4" xfId="24901"/>
    <cellStyle name="Magic 2 2 3 4 4 4" xfId="24902"/>
    <cellStyle name="Format a row of totals 5 2 3" xfId="24903"/>
    <cellStyle name="Format text as bold, black on yellow 5 2 3" xfId="24904"/>
    <cellStyle name="Heading [Helv] 5 3 4" xfId="24905"/>
    <cellStyle name="Heading [Palat] 5 3 4" xfId="24906"/>
    <cellStyle name="Table Head Green 2 2 7 4" xfId="24907"/>
    <cellStyle name="Heading [Helv] 2 2 7 4" xfId="24908"/>
    <cellStyle name="Bold/Border 2 2 7 4" xfId="24909"/>
    <cellStyle name="ItemTypeClass 5 2 3" xfId="24910"/>
    <cellStyle name="Main 4 2 3" xfId="24911"/>
    <cellStyle name="Style 49 2 8 4" xfId="24912"/>
    <cellStyle name="Outputs 5 3 4" xfId="24913"/>
    <cellStyle name="PB Table Standard Row 6 3 4" xfId="24914"/>
    <cellStyle name="P-Green Rule 6 3 4" xfId="24915"/>
    <cellStyle name="SAPBEXaggItemX 4 2 3" xfId="24916"/>
    <cellStyle name="SAPBEXHLevel0 4 2 3" xfId="24917"/>
    <cellStyle name="SAPBEXHLevel0X 4 2 3" xfId="24918"/>
    <cellStyle name="SAPBEXHLevel1 4 2 3" xfId="24919"/>
    <cellStyle name="SAPBEXHLevel1X 4 2 3" xfId="24920"/>
    <cellStyle name="SAPBEXHLevel2 4 2 3" xfId="24921"/>
    <cellStyle name="SAPBEXHLevel2X 4 2 3" xfId="24922"/>
    <cellStyle name="SAPBEXHLevel3 4 2 3" xfId="24923"/>
    <cellStyle name="SAPBEXHLevel3X 4 2 3" xfId="24924"/>
    <cellStyle name="SAPBEXresItemX 4 2 3" xfId="24925"/>
    <cellStyle name="SAPBEXstdItemX 4 2 3" xfId="24926"/>
    <cellStyle name="Style 49 4 2 4 5 2 2" xfId="24927"/>
    <cellStyle name="Style 21 5 2 3" xfId="24928"/>
    <cellStyle name="Style 22 5 2 3" xfId="24929"/>
    <cellStyle name="Style 35 5 2 3" xfId="24930"/>
    <cellStyle name="Style 36 5 2 3" xfId="24931"/>
    <cellStyle name="Style 37 5 2 3" xfId="24932"/>
    <cellStyle name="Style 40 5 2 3" xfId="24933"/>
    <cellStyle name="Style 42 5 2 3" xfId="24934"/>
    <cellStyle name="Style 43 5 2 3" xfId="24935"/>
    <cellStyle name="Style 44 7 3 4" xfId="24936"/>
    <cellStyle name="Style 45 7 3 4" xfId="24937"/>
    <cellStyle name="Style 48 5 2 3" xfId="24938"/>
    <cellStyle name="Style 49 7 3 4" xfId="24939"/>
    <cellStyle name="Style 50 5 2 3" xfId="24940"/>
    <cellStyle name="Style 51 7 3 4" xfId="24941"/>
    <cellStyle name="Style 52 5 2 3" xfId="24942"/>
    <cellStyle name="Style 53 5 2 3" xfId="24943"/>
    <cellStyle name="SymbolBlue 5 2 3" xfId="24944"/>
    <cellStyle name="Table Head Green 5 3 4" xfId="24945"/>
    <cellStyle name="Title [Palat] 4 3 4" xfId="24946"/>
    <cellStyle name="UNLOCKED 25 2 3" xfId="24947"/>
    <cellStyle name="WingdingsBlack 5 2 3" xfId="24948"/>
    <cellStyle name="WingdingsRed 5 2 3" xfId="24949"/>
    <cellStyle name="WingdingsWhite 5 2 3" xfId="24950"/>
    <cellStyle name="Afjusted 3 2 2 5 2 2" xfId="24951"/>
    <cellStyle name="Afjusted 2 2 3 4 7 2" xfId="24952"/>
    <cellStyle name="ac 2 6 3 4" xfId="24953"/>
    <cellStyle name="Bold/Border 2 6 3 4" xfId="24954"/>
    <cellStyle name="Border Thin 2 6 3 4" xfId="24955"/>
    <cellStyle name="COL HEADINGS 2 6 3 4" xfId="24956"/>
    <cellStyle name="Date [mm-d-yyyy] 2 3 2 4" xfId="24957"/>
    <cellStyle name="Bold/Border 2 2 3 3 4 4" xfId="24958"/>
    <cellStyle name="Header2 2 2 2 3" xfId="24959"/>
    <cellStyle name="Heading [Helv] 2 6 3 4" xfId="24960"/>
    <cellStyle name="Heading [Palat] 2 6 3 4" xfId="24961"/>
    <cellStyle name="Outputs 2 2 3 3 4 4" xfId="24962"/>
    <cellStyle name="Outputs 2 6 3 4" xfId="24963"/>
    <cellStyle name="PB Table Standard Row 2 6 3 4" xfId="24964"/>
    <cellStyle name="P-Green Rule 2 6 3 4" xfId="24965"/>
    <cellStyle name="Style 44 3 6 3 4" xfId="24966"/>
    <cellStyle name="Style 45 3 6 3 4" xfId="24967"/>
    <cellStyle name="Style 49 3 6 3 4" xfId="24968"/>
    <cellStyle name="Style 51 3 6 3 4" xfId="24969"/>
    <cellStyle name="Style 44 2 6 3 4" xfId="24970"/>
    <cellStyle name="Style 45 2 6 3 4" xfId="24971"/>
    <cellStyle name="Style 49 2 6 3 4" xfId="24972"/>
    <cellStyle name="Style 51 2 6 3 4" xfId="24973"/>
    <cellStyle name="Table Head Green 2 6 3 4" xfId="24974"/>
    <cellStyle name="Title [Palat] 2 6 3 4" xfId="24975"/>
    <cellStyle name="Table Head Green 2 2 3 4 4 4" xfId="24976"/>
    <cellStyle name="dp*SheetSubTitle 2 2 3 8 2 2" xfId="24977"/>
    <cellStyle name="UNLOCKED 26 2 3" xfId="24978"/>
    <cellStyle name="Table Head Green 2 2 2 7 4" xfId="24979"/>
    <cellStyle name="Outputs 2 2 2 7 4" xfId="24980"/>
    <cellStyle name="Title [Helv] 2 2 3 2 4 4" xfId="24981"/>
    <cellStyle name="dp*ThinLineBelow 3 2 2 5 2 2" xfId="24982"/>
    <cellStyle name="P-Green Rule 3 3 3 5 2 2" xfId="24983"/>
    <cellStyle name="Afjusted 2 2 2 2 5 2 2" xfId="24984"/>
    <cellStyle name="dp*SubTitle 3 3 2 5 2 2" xfId="24985"/>
    <cellStyle name="Style 49 4 3 2 5 2 2" xfId="24986"/>
    <cellStyle name="Outputs 2 2 3 2 5 2 2" xfId="24987"/>
    <cellStyle name="Date [mmm-yyyy] 2 2 2 2 5 2 2" xfId="24988"/>
    <cellStyle name="PB Table Standard Row 3 5 4 4" xfId="24989"/>
    <cellStyle name="P-Green Rule 3 2 2 4 4" xfId="24990"/>
    <cellStyle name="Style 49 4 2 2 4 4" xfId="24991"/>
    <cellStyle name="dp*NumberLineEPS 2 8 4" xfId="24992"/>
    <cellStyle name="Heading [Helv] 2 2 2 7 4" xfId="24993"/>
    <cellStyle name="FieldName 4 2 3" xfId="24994"/>
    <cellStyle name="WingdingsWhite 6 2 3" xfId="24995"/>
    <cellStyle name="WingdingsRed 6 2 3" xfId="24996"/>
    <cellStyle name="WingdingsBlack 6 2 3" xfId="24997"/>
    <cellStyle name="UNLOCKED 28 2 3" xfId="24998"/>
    <cellStyle name="Title [Palat] 5 3 4" xfId="24999"/>
    <cellStyle name="Title [Helv] 4 3 4" xfId="25000"/>
    <cellStyle name="Table Head Green 6 3 4" xfId="25001"/>
    <cellStyle name="Table Head Aligned 4 3 4" xfId="25002"/>
    <cellStyle name="SymbolBlue 6 2 3" xfId="25003"/>
    <cellStyle name="Style 53 6 2 3" xfId="25004"/>
    <cellStyle name="Style 52 6 2 3" xfId="25005"/>
    <cellStyle name="Style 50 6 2 3" xfId="25006"/>
    <cellStyle name="Style 48 6 2 3" xfId="25007"/>
    <cellStyle name="Style 43 6 2 3" xfId="25008"/>
    <cellStyle name="Style 42 6 2 3" xfId="25009"/>
    <cellStyle name="Style 40 6 2 3" xfId="25010"/>
    <cellStyle name="Style 37 6 2 3" xfId="25011"/>
    <cellStyle name="Style 36 6 2 3" xfId="25012"/>
    <cellStyle name="Style 35 6 2 3" xfId="25013"/>
    <cellStyle name="Style 28 4 2 3" xfId="25014"/>
    <cellStyle name="Style 27 4 2 3" xfId="25015"/>
    <cellStyle name="Style 24 4 2 3" xfId="25016"/>
    <cellStyle name="Style 26 4 2 3" xfId="25017"/>
    <cellStyle name="Style 25 4 2 3" xfId="25018"/>
    <cellStyle name="Style 22 6 2 3" xfId="25019"/>
    <cellStyle name="Style 21 6 2 3" xfId="25020"/>
    <cellStyle name="SSFixed2 3 2 3" xfId="25021"/>
    <cellStyle name="SSDfltPct0 3 2 3" xfId="25022"/>
    <cellStyle name="SSDfltPct 3 2 3" xfId="25023"/>
    <cellStyle name="SSDecs3 3 2 3" xfId="25024"/>
    <cellStyle name="SSComma2 3 2 3" xfId="25025"/>
    <cellStyle name="SSComma0 3 2 3" xfId="25026"/>
    <cellStyle name="SAPBEXundefined 3 2 3" xfId="25027"/>
    <cellStyle name="SAPBEXtitle 3 2 3" xfId="25028"/>
    <cellStyle name="SAPBEXstdItemX 5 2 3" xfId="25029"/>
    <cellStyle name="SAPBEXstdItem 3 2 3" xfId="25030"/>
    <cellStyle name="SAPBEXstdDataEmph 3 2 3" xfId="25031"/>
    <cellStyle name="SAPBEXstdData 3 2 3" xfId="25032"/>
    <cellStyle name="SAPBEXresItemX 5 2 3" xfId="25033"/>
    <cellStyle name="SAPBEXresItem 3 2 3" xfId="25034"/>
    <cellStyle name="SAPBEXresDataEmph 3 2 3" xfId="25035"/>
    <cellStyle name="SAPBEXresData 3 2 3" xfId="25036"/>
    <cellStyle name="SAPBEXHLevel3X 5 2 3" xfId="25037"/>
    <cellStyle name="SAPBEXHLevel3 5 2 3" xfId="25038"/>
    <cellStyle name="SAPBEXHLevel2X 5 2 3" xfId="25039"/>
    <cellStyle name="SAPBEXHLevel2 5 2 3" xfId="25040"/>
    <cellStyle name="SAPBEXHLevel1X 5 2 3" xfId="25041"/>
    <cellStyle name="SAPBEXHLevel1 5 2 3" xfId="25042"/>
    <cellStyle name="SAPBEXHLevel0X 5 2 3" xfId="25043"/>
    <cellStyle name="SAPBEXHLevel0 5 2 3" xfId="25044"/>
    <cellStyle name="SAPBEXformats 3 2 3" xfId="25045"/>
    <cellStyle name="SAPBEXexcGood3 3 2 3" xfId="25046"/>
    <cellStyle name="SAPBEXexcGood2 3 2 3" xfId="25047"/>
    <cellStyle name="SAPBEXexcGood1 3 2 3" xfId="25048"/>
    <cellStyle name="SAPBEXexcCritical6 3 2 3" xfId="25049"/>
    <cellStyle name="SAPBEXexcCritical5 3 2 3" xfId="25050"/>
    <cellStyle name="SAPBEXexcCritical4 3 2 3" xfId="25051"/>
    <cellStyle name="SAPBEXexcBad9 3 2 3" xfId="25052"/>
    <cellStyle name="SAPBEXexcBad8 3 2 3" xfId="25053"/>
    <cellStyle name="SAPBEXexcBad7 3 2 3" xfId="25054"/>
    <cellStyle name="SAPBEXaggItemX 5 2 3" xfId="25055"/>
    <cellStyle name="SAPBEXaggItem 3 2 3" xfId="25056"/>
    <cellStyle name="SAPBEXaggDataEmph 3 2 3" xfId="25057"/>
    <cellStyle name="SAPBEXaggData 3 2 3" xfId="25058"/>
    <cellStyle name="Arial6Bold 7 2 3" xfId="25059"/>
    <cellStyle name="Arial8Bold 7 2 3" xfId="25060"/>
    <cellStyle name="Arial8Italic 7 2 3" xfId="25061"/>
    <cellStyle name="ArialNormal 7 2 3" xfId="25062"/>
    <cellStyle name="Border 5 2 3" xfId="25063"/>
    <cellStyle name="Outputs 6 3 4" xfId="25064"/>
    <cellStyle name="dp*Number%ItalicsLineAbove 5 2 3" xfId="25065"/>
    <cellStyle name="dp*ThinLineAbove 5 2 3" xfId="25066"/>
    <cellStyle name="Draw lines around data in range 7 2 3" xfId="25067"/>
    <cellStyle name="Draw shadow and lines within range 7 2 3" xfId="25068"/>
    <cellStyle name="Millions 9 2 3" xfId="25069"/>
    <cellStyle name="Main 5 2 3" xfId="25070"/>
    <cellStyle name="Magic 4 3 4" xfId="25071"/>
    <cellStyle name="ItemTypeClass 6 2 3" xfId="25072"/>
    <cellStyle name="Format a row of totals 7 2 3" xfId="25073"/>
    <cellStyle name="Format text as bold, black on yellow 7 2 3" xfId="25074"/>
    <cellStyle name="dp*NumberLine 2 2 7 4" xfId="25075"/>
    <cellStyle name="Heading [Palat] 6 3 4" xfId="25076"/>
    <cellStyle name="Heading [Helv] 6 3 4" xfId="25077"/>
    <cellStyle name="Format text as bold, black on yellow 6 2 3" xfId="25078"/>
    <cellStyle name="Format a row of totals 6 2 3" xfId="25079"/>
    <cellStyle name="ItemTypeClass 7 2 3" xfId="25080"/>
    <cellStyle name="Main 6 2 3" xfId="25081"/>
    <cellStyle name="Draw shadow and lines within range 6 2 3" xfId="25082"/>
    <cellStyle name="Draw lines around data in range 6 2 3" xfId="25083"/>
    <cellStyle name="dp*ThinLineBelow 5 3 4" xfId="25084"/>
    <cellStyle name="dp*ThinLineAbove 4 2 3" xfId="25085"/>
    <cellStyle name="dp*SubTitle 5 3 4" xfId="25086"/>
    <cellStyle name="dp*SheetSubTitle 4 3 4" xfId="25087"/>
    <cellStyle name="dp*NumberLineEPS 4 3 4" xfId="25088"/>
    <cellStyle name="dp*NumberLine 4 3 4" xfId="25089"/>
    <cellStyle name="ac 2 3 4 4" xfId="25090"/>
    <cellStyle name="dp*Number%ItalicsLineAbove 4 2 3" xfId="25091"/>
    <cellStyle name="Millions 10 2 3" xfId="25092"/>
    <cellStyle name="Date [mmm-yyyy] 2 2 3 3 4 4" xfId="25093"/>
    <cellStyle name="Title [Helv] 2 3 4 4" xfId="25094"/>
    <cellStyle name="DateYearWholeEstimate 6 2 3" xfId="25095"/>
    <cellStyle name="DateYearEstimate 6 2 3" xfId="25096"/>
    <cellStyle name="Date [mmm-yyyy] 4 3 4" xfId="25097"/>
    <cellStyle name="Date [mm-d-yyyy] 7 3 4" xfId="25098"/>
    <cellStyle name="COL HEADINGS 6 3 4" xfId="25099"/>
    <cellStyle name="dp*SheetSubTitle 2 2 2 4 4 4" xfId="25100"/>
    <cellStyle name="Border Thin 7 3 4" xfId="25101"/>
    <cellStyle name="Border 4 2 3" xfId="25102"/>
    <cellStyle name="Bold/Border 6 3 4" xfId="25103"/>
    <cellStyle name="ArialNormal 6 2 3" xfId="25104"/>
    <cellStyle name="Arial8Italic 6 2 3" xfId="25105"/>
    <cellStyle name="Arial8Bold 6 2 3" xfId="25106"/>
    <cellStyle name="Arial6Bold 6 2 3" xfId="25107"/>
    <cellStyle name="Afjusted 7 3 4" xfId="25108"/>
    <cellStyle name="ac 6 3 4" xfId="25109"/>
    <cellStyle name="SAPBEXaggData 4 2 3" xfId="25110"/>
    <cellStyle name="SAPBEXaggDataEmph 4 2 3" xfId="25111"/>
    <cellStyle name="SAPBEXaggItem 4 2 3" xfId="25112"/>
    <cellStyle name="SAPBEXaggItemX 6 2 3" xfId="25113"/>
    <cellStyle name="SAPBEXexcBad7 4 2 3" xfId="25114"/>
    <cellStyle name="SAPBEXexcBad8 4 2 3" xfId="25115"/>
    <cellStyle name="SAPBEXexcBad9 4 2 3" xfId="25116"/>
    <cellStyle name="SAPBEXexcCritical4 4 2 3" xfId="25117"/>
    <cellStyle name="SAPBEXexcCritical5 4 2 3" xfId="25118"/>
    <cellStyle name="SAPBEXexcCritical6 4 2 3" xfId="25119"/>
    <cellStyle name="SAPBEXexcGood2 4 2 3" xfId="25120"/>
    <cellStyle name="SAPBEXexcGood1 4 2 3" xfId="25121"/>
    <cellStyle name="SAPBEXexcGood3 4 2 3" xfId="25122"/>
    <cellStyle name="SAPBEXformats 4 2 3" xfId="25123"/>
    <cellStyle name="SAPBEXHLevel0 6 2 3" xfId="25124"/>
    <cellStyle name="SAPBEXHLevel0X 6 2 3" xfId="25125"/>
    <cellStyle name="SAPBEXHLevel1 6 2 3" xfId="25126"/>
    <cellStyle name="SAPBEXHLevel1X 6 2 3" xfId="25127"/>
    <cellStyle name="SAPBEXHLevel2 6 2 3" xfId="25128"/>
    <cellStyle name="SAPBEXHLevel2X 6 2 3" xfId="25129"/>
    <cellStyle name="SAPBEXHLevel3 6 2 3" xfId="25130"/>
    <cellStyle name="SAPBEXHLevel3X 6 2 3" xfId="25131"/>
    <cellStyle name="SAPBEXresData 4 2 3" xfId="25132"/>
    <cellStyle name="SAPBEXresDataEmph 4 2 3" xfId="25133"/>
    <cellStyle name="SAPBEXresItem 4 2 3" xfId="25134"/>
    <cellStyle name="SAPBEXresItemX 6 2 3" xfId="25135"/>
    <cellStyle name="SAPBEXstdData 4 2 3" xfId="25136"/>
    <cellStyle name="SAPBEXstdDataEmph 4 2 3" xfId="25137"/>
    <cellStyle name="SAPBEXstdItem 4 2 3" xfId="25138"/>
    <cellStyle name="SAPBEXstdItemX 6 2 3" xfId="25139"/>
    <cellStyle name="SAPBEXtitle 4 2 3" xfId="25140"/>
    <cellStyle name="SAPBEXundefined 4 2 3" xfId="25141"/>
    <cellStyle name="Style 44 8 3 4" xfId="25142"/>
    <cellStyle name="Style 45 8 3 4" xfId="25143"/>
    <cellStyle name="Style 49 8 3 4" xfId="25144"/>
    <cellStyle name="Style 51 8 3 4" xfId="25145"/>
    <cellStyle name="SSComma0 4 2 3" xfId="25146"/>
    <cellStyle name="SSComma2 4 2 3" xfId="25147"/>
    <cellStyle name="SSDecs3 4 2 3" xfId="25148"/>
    <cellStyle name="SSDfltPct 4 2 3" xfId="25149"/>
    <cellStyle name="SSDfltPct0 4 2 3" xfId="25150"/>
    <cellStyle name="SSFixed2 4 2 3" xfId="25151"/>
    <cellStyle name="Style 22 7 2 3" xfId="25152"/>
    <cellStyle name="Style 24 5 2 3" xfId="25153"/>
    <cellStyle name="Style 25 5 2 3" xfId="25154"/>
    <cellStyle name="Style 26 5 2 3" xfId="25155"/>
    <cellStyle name="Style 27 5 2 3" xfId="25156"/>
    <cellStyle name="Style 28 5 2 3" xfId="25157"/>
    <cellStyle name="Style 35 7 2 3" xfId="25158"/>
    <cellStyle name="Style 36 7 2 3" xfId="25159"/>
    <cellStyle name="Style 37 7 2 3" xfId="25160"/>
    <cellStyle name="Style 40 7 2 3" xfId="25161"/>
    <cellStyle name="Style 42 7 2 3" xfId="25162"/>
    <cellStyle name="Style 43 7 2 3" xfId="25163"/>
    <cellStyle name="Style 48 7 2 3" xfId="25164"/>
    <cellStyle name="Style 50 7 2 3" xfId="25165"/>
    <cellStyle name="Style 52 7 2 3" xfId="25166"/>
    <cellStyle name="Style 53 7 2 3" xfId="25167"/>
    <cellStyle name="UNLOCKED 27 2 3" xfId="25168"/>
    <cellStyle name="SymbolBlue 7 2 3" xfId="25169"/>
    <cellStyle name="Style 21 7 2 3" xfId="25170"/>
    <cellStyle name="Bold/Border 2 9 4" xfId="25171"/>
    <cellStyle name="Afjusted 3 2 2 4 4" xfId="25172"/>
    <cellStyle name="Style 44 4 2 2 4 4" xfId="25173"/>
    <cellStyle name="Heading [Helv] 2 2 2 2 4 4" xfId="25174"/>
    <cellStyle name="Style 45 4 5 4 4" xfId="25175"/>
    <cellStyle name="Afjusted 4 3 2 4 4" xfId="25176"/>
    <cellStyle name="PB Table Standard Row 2 3 3 4" xfId="25177"/>
    <cellStyle name="Style 51 4 2 2 4 4" xfId="25178"/>
    <cellStyle name="DateYearWholeEstimate 7 2 3" xfId="25179"/>
    <cellStyle name="DateYearEstimate 7 2 3" xfId="25180"/>
    <cellStyle name="UNLOCKED 29 2 3" xfId="25181"/>
    <cellStyle name="WingdingsBlack 7 2 3" xfId="25182"/>
    <cellStyle name="WingdingsRed 7 2 3" xfId="25183"/>
    <cellStyle name="WingdingsWhite 7 2 3" xfId="25184"/>
    <cellStyle name="UNLOCKED 31 2 3" xfId="25185"/>
    <cellStyle name="Title [Palat] 6 3 4" xfId="25186"/>
    <cellStyle name="Title [Helv] 5 3 4" xfId="25187"/>
    <cellStyle name="Table Head Green 7 3 4" xfId="25188"/>
    <cellStyle name="Table Head Aligned 5 3 4" xfId="25189"/>
    <cellStyle name="Outputs 7 3 4" xfId="25190"/>
    <cellStyle name="Millions 11 2 3" xfId="25191"/>
    <cellStyle name="Magic 5 3 4" xfId="25192"/>
    <cellStyle name="Heading [Palat] 7 3 4" xfId="25193"/>
    <cellStyle name="Heading [Helv] 7 3 4" xfId="25194"/>
    <cellStyle name="dp*SheetSubTitle 5 3 4" xfId="25195"/>
    <cellStyle name="dp*NumberLineEPS 5 3 4" xfId="25196"/>
    <cellStyle name="dp*NumberLine 5 3 4" xfId="25197"/>
    <cellStyle name="Date [mmm-yyyy] 5 3 4" xfId="25198"/>
    <cellStyle name="COL HEADINGS 7 3 4" xfId="25199"/>
    <cellStyle name="Bold/Border 7 3 4" xfId="25200"/>
    <cellStyle name="Afjusted 8 3 4" xfId="25201"/>
    <cellStyle name="ac 7 3 4" xfId="25202"/>
    <cellStyle name="UNLOCKED 30 2 3" xfId="25203"/>
    <cellStyle name="FieldName 5 2 3" xfId="25204"/>
    <cellStyle name="WingdingsWhite 8 2 3" xfId="25205"/>
    <cellStyle name="WingdingsRed 8 2 3" xfId="25206"/>
    <cellStyle name="WingdingsBlack 8 2 3" xfId="25207"/>
    <cellStyle name="UNLOCKED 33 2 3" xfId="25208"/>
    <cellStyle name="Title [Palat] 7 3 4" xfId="25209"/>
    <cellStyle name="Title [Helv] 6 3 4" xfId="25210"/>
    <cellStyle name="Table Head Green 8 3 4" xfId="25211"/>
    <cellStyle name="Table Head Aligned 6 3 4" xfId="25212"/>
    <cellStyle name="SymbolBlue 8 2 3" xfId="25213"/>
    <cellStyle name="Style 53 8 2 3" xfId="25214"/>
    <cellStyle name="Style 52 8 2 3" xfId="25215"/>
    <cellStyle name="Style 50 8 2 3" xfId="25216"/>
    <cellStyle name="Style 48 8 2 3" xfId="25217"/>
    <cellStyle name="Style 43 8 2 3" xfId="25218"/>
    <cellStyle name="Style 42 8 2 3" xfId="25219"/>
    <cellStyle name="Style 40 8 2 3" xfId="25220"/>
    <cellStyle name="Style 37 8 2 3" xfId="25221"/>
    <cellStyle name="Style 36 8 2 3" xfId="25222"/>
    <cellStyle name="Style 35 8 2 3" xfId="25223"/>
    <cellStyle name="Style 28 6 2 3" xfId="25224"/>
    <cellStyle name="Style 26 6 2 3" xfId="25225"/>
    <cellStyle name="Style 27 6 2 3" xfId="25226"/>
    <cellStyle name="Style 25 6 2 3" xfId="25227"/>
    <cellStyle name="Style 24 6 2 3" xfId="25228"/>
    <cellStyle name="Style 22 8 2 3" xfId="25229"/>
    <cellStyle name="Style 21 8 2 3" xfId="25230"/>
    <cellStyle name="SSFixed2 5 2 3" xfId="25231"/>
    <cellStyle name="SSDfltPct0 5 2 3" xfId="25232"/>
    <cellStyle name="SSDfltPct 5 2 3" xfId="25233"/>
    <cellStyle name="SSDecs3 5 2 3" xfId="25234"/>
    <cellStyle name="SSComma2 5 2 3" xfId="25235"/>
    <cellStyle name="SSComma0 5 2 3" xfId="25236"/>
    <cellStyle name="SAPBEXundefined 5 2 3" xfId="25237"/>
    <cellStyle name="SAPBEXtitle 5 2 3" xfId="25238"/>
    <cellStyle name="SAPBEXstdItemX 7 2 3" xfId="25239"/>
    <cellStyle name="SAPBEXstdItem 5 2 3" xfId="25240"/>
    <cellStyle name="SAPBEXstdDataEmph 5 2 3" xfId="25241"/>
    <cellStyle name="SAPBEXstdData 5 2 3" xfId="25242"/>
    <cellStyle name="SAPBEXresItemX 7 2 3" xfId="25243"/>
    <cellStyle name="SAPBEXresItem 5 2 3" xfId="25244"/>
    <cellStyle name="SAPBEXresDataEmph 5 2 3" xfId="25245"/>
    <cellStyle name="SAPBEXresData 5 2 3" xfId="25246"/>
    <cellStyle name="SAPBEXHLevel3X 7 2 3" xfId="25247"/>
    <cellStyle name="SAPBEXHLevel3 7 2 3" xfId="25248"/>
    <cellStyle name="SAPBEXHLevel2X 7 2 3" xfId="25249"/>
    <cellStyle name="SAPBEXHLevel2 7 2 3" xfId="25250"/>
    <cellStyle name="SAPBEXHLevel1X 7 2 3" xfId="25251"/>
    <cellStyle name="SAPBEXHLevel1 7 2 3" xfId="25252"/>
    <cellStyle name="SAPBEXHLevel0X 7 2 3" xfId="25253"/>
    <cellStyle name="SAPBEXHLevel0 7 2 3" xfId="25254"/>
    <cellStyle name="SAPBEXformats 5 2 3" xfId="25255"/>
    <cellStyle name="SAPBEXexcGood3 5 2 3" xfId="25256"/>
    <cellStyle name="SAPBEXexcGood2 5 2 3" xfId="25257"/>
    <cellStyle name="SAPBEXexcGood1 5 2 3" xfId="25258"/>
    <cellStyle name="SAPBEXexcCritical6 5 2 3" xfId="25259"/>
    <cellStyle name="SAPBEXexcCritical5 5 2 3" xfId="25260"/>
    <cellStyle name="SAPBEXexcCritical4 5 2 3" xfId="25261"/>
    <cellStyle name="SAPBEXexcBad9 5 2 3" xfId="25262"/>
    <cellStyle name="SAPBEXexcBad8 5 2 3" xfId="25263"/>
    <cellStyle name="SAPBEXexcBad7 5 2 3" xfId="25264"/>
    <cellStyle name="SAPBEXaggItemX 7 2 3" xfId="25265"/>
    <cellStyle name="SAPBEXaggItem 5 2 3" xfId="25266"/>
    <cellStyle name="SAPBEXaggDataEmph 5 2 3" xfId="25267"/>
    <cellStyle name="SAPBEXaggData 5 2 3" xfId="25268"/>
    <cellStyle name="Outputs 8 3 4" xfId="25269"/>
    <cellStyle name="Millions 12 2 3" xfId="25270"/>
    <cellStyle name="Main 7 2 3" xfId="25271"/>
    <cellStyle name="Magic 6 3 4" xfId="25272"/>
    <cellStyle name="ItemTypeClass 8 2 3" xfId="25273"/>
    <cellStyle name="Heading [Palat] 8 3 4" xfId="25274"/>
    <cellStyle name="Heading [Helv] 8 3 4" xfId="25275"/>
    <cellStyle name="Format text as bold, black on yellow 8 2 3" xfId="25276"/>
    <cellStyle name="Format a row of totals 8 2 3" xfId="25277"/>
    <cellStyle name="Draw shadow and lines within range 8 2 3" xfId="25278"/>
    <cellStyle name="Draw lines around data in range 8 2 3" xfId="25279"/>
    <cellStyle name="dp*ThinLineAbove 6 2 3" xfId="25280"/>
    <cellStyle name="dp*SheetSubTitle 6 3 4" xfId="25281"/>
    <cellStyle name="dp*NumberLineEPS 6 3 4" xfId="25282"/>
    <cellStyle name="dp*NumberLine 6 3 4" xfId="25283"/>
    <cellStyle name="dp*Number%ItalicsLineAbove 6 2 3" xfId="25284"/>
    <cellStyle name="DateYearWholeEstimate 8 2 3" xfId="25285"/>
    <cellStyle name="DateYearEstimate 8 2 3" xfId="25286"/>
    <cellStyle name="COL HEADINGS 8 3 4" xfId="25287"/>
    <cellStyle name="dp*NumberLineEPS 2 2 2 4 4 4" xfId="25288"/>
    <cellStyle name="Border 6 2 3" xfId="25289"/>
    <cellStyle name="Bold/Border 8 3 4" xfId="25290"/>
    <cellStyle name="ArialNormal 8 2 3" xfId="25291"/>
    <cellStyle name="Arial8Italic 8 2 3" xfId="25292"/>
    <cellStyle name="Arial8Bold 8 2 3" xfId="25293"/>
    <cellStyle name="Arial6Bold 8 2 3" xfId="25294"/>
    <cellStyle name="Afjusted 9 3 4" xfId="25295"/>
    <cellStyle name="ac 8 3 4" xfId="25296"/>
    <cellStyle name="UNLOCKED 32 2 3" xfId="25297"/>
    <cellStyle name="Date [mmm-yyyy] 6 3 4" xfId="25298"/>
    <cellStyle name="UNLOCKED 37 3" xfId="25299"/>
    <cellStyle name="UNLOCKED 35 2 3" xfId="25300"/>
    <cellStyle name="Title [Palat] 8 3 4" xfId="25301"/>
    <cellStyle name="Title [Helv] 7 3 4" xfId="25302"/>
    <cellStyle name="Table Head Green 9 3 4" xfId="25303"/>
    <cellStyle name="Table Head Aligned 7 3 4" xfId="25304"/>
    <cellStyle name="Outputs 9 3 4" xfId="25305"/>
    <cellStyle name="Millions 13 2 3" xfId="25306"/>
    <cellStyle name="Magic 7 3 4" xfId="25307"/>
    <cellStyle name="Heading [Palat] 9 3 4" xfId="25308"/>
    <cellStyle name="Heading [Helv] 9 3 4" xfId="25309"/>
    <cellStyle name="dp*SheetSubTitle 7 3 4" xfId="25310"/>
    <cellStyle name="dp*NumberLineEPS 7 3 4" xfId="25311"/>
    <cellStyle name="dp*NumberLine 7 3 4" xfId="25312"/>
    <cellStyle name="Date [mmm-yyyy] 7 3 4" xfId="25313"/>
    <cellStyle name="COL HEADINGS 9 3 4" xfId="25314"/>
    <cellStyle name="Bold/Border 9 3 4" xfId="25315"/>
    <cellStyle name="Afjusted 10 3 4" xfId="25316"/>
    <cellStyle name="ac 9 3 4" xfId="25317"/>
    <cellStyle name="UNLOCKED 34 2 3" xfId="25318"/>
    <cellStyle name="Title [Palat] 2 2 2 7 4" xfId="25319"/>
    <cellStyle name="Heading [Palat] 3 4 4" xfId="25320"/>
    <cellStyle name="Afjusted 3 2 7 4" xfId="25321"/>
    <cellStyle name="Afjusted 3 6 2 4" xfId="25322"/>
    <cellStyle name="ac 2 7 2 4" xfId="25323"/>
    <cellStyle name="Afjusted 2 5 2 4" xfId="25324"/>
    <cellStyle name="Bold/Border 2 7 2 4" xfId="25325"/>
    <cellStyle name="COL HEADINGS 2 7 2 4" xfId="25326"/>
    <cellStyle name="Date [mmm-yyyy] 2 6 2 4" xfId="25327"/>
    <cellStyle name="dp*NumberLine 2 6 2 4" xfId="25328"/>
    <cellStyle name="dp*NumberLineEPS 2 6 2 4" xfId="25329"/>
    <cellStyle name="dp*SheetSubTitle 2 6 2 4" xfId="25330"/>
    <cellStyle name="Heading [Helv] 2 7 2 4" xfId="25331"/>
    <cellStyle name="Heading [Palat] 2 7 2 4" xfId="25332"/>
    <cellStyle name="Magic 2 6 2 4" xfId="25333"/>
    <cellStyle name="Outputs 2 7 2 4" xfId="25334"/>
    <cellStyle name="Table Head Aligned 2 6 2 4" xfId="25335"/>
    <cellStyle name="Table Head Green 2 7 2 4" xfId="25336"/>
    <cellStyle name="Title [Helv] 2 6 2 4" xfId="25337"/>
    <cellStyle name="Title [Palat] 2 7 2 4" xfId="25338"/>
    <cellStyle name="Date [mm-d-yyyy] 3 6 2 4" xfId="25339"/>
    <cellStyle name="Style 51 4 6 2 4" xfId="25340"/>
    <cellStyle name="Style 49 4 6 2 4" xfId="25341"/>
    <cellStyle name="Style 45 4 6 2 4" xfId="25342"/>
    <cellStyle name="Style 44 4 6 2 4" xfId="25343"/>
    <cellStyle name="P-Green Rule 3 6 2 4" xfId="25344"/>
    <cellStyle name="PB Table Standard Row 3 6 2 4" xfId="25345"/>
    <cellStyle name="dp*ThinLineBelow 3 6 2 4" xfId="25346"/>
    <cellStyle name="dp*SubTitle 3 6 2 4" xfId="25347"/>
    <cellStyle name="Border Thin 3 6 2 4" xfId="25348"/>
    <cellStyle name="Afjusted 4 6 2 4" xfId="25349"/>
    <cellStyle name="ac 2 2 5 2 4" xfId="25350"/>
    <cellStyle name="Afjusted 2 2 6 2 4" xfId="25351"/>
    <cellStyle name="Bold/Border 2 2 5 2 4" xfId="25352"/>
    <cellStyle name="COL HEADINGS 2 2 5 2 4" xfId="25353"/>
    <cellStyle name="Date [mmm-yyyy] 2 2 5 2 4" xfId="25354"/>
    <cellStyle name="dp*NumberLine 2 2 5 2 4" xfId="25355"/>
    <cellStyle name="dp*NumberLineEPS 2 2 5 2 4" xfId="25356"/>
    <cellStyle name="dp*SheetSubTitle 2 2 5 2 4" xfId="25357"/>
    <cellStyle name="Heading [Helv] 2 2 5 2 4" xfId="25358"/>
    <cellStyle name="Heading [Palat] 2 2 5 2 4" xfId="25359"/>
    <cellStyle name="Magic 2 2 5 2 4" xfId="25360"/>
    <cellStyle name="Outputs 2 2 5 2 4" xfId="25361"/>
    <cellStyle name="Table Head Aligned 2 2 5 2 4" xfId="25362"/>
    <cellStyle name="Table Head Green 2 2 5 2 4" xfId="25363"/>
    <cellStyle name="Title [Helv] 2 2 5 2 4" xfId="25364"/>
    <cellStyle name="Title [Palat] 2 2 5 2 4" xfId="25365"/>
    <cellStyle name="dp*SubTitle 2 2 2 2 4" xfId="25366"/>
    <cellStyle name="Border Thin 2 2 2 2 4" xfId="25367"/>
    <cellStyle name="Bold/Border 2 2 3 4 2 2 4" xfId="25368"/>
    <cellStyle name="Magic 2 2 3 4 2 2 4" xfId="25369"/>
    <cellStyle name="Title [Helv] 2 2 3 4 2 2 4" xfId="25370"/>
    <cellStyle name="Style 51 2 2 2 2 4" xfId="25371"/>
    <cellStyle name="Style 45 2 2 2 2 4" xfId="25372"/>
    <cellStyle name="Style 49 2 2 2 2 4" xfId="25373"/>
    <cellStyle name="Style 44 2 2 2 2 4" xfId="25374"/>
    <cellStyle name="Style 51 3 2 2 2 4" xfId="25375"/>
    <cellStyle name="Style 49 3 2 2 2 4" xfId="25376"/>
    <cellStyle name="Style 45 3 2 2 2 4" xfId="25377"/>
    <cellStyle name="Style 44 3 2 2 2 4" xfId="25378"/>
    <cellStyle name="P-Green Rule 2 2 2 2 4" xfId="25379"/>
    <cellStyle name="PB Table Standard Row 2 2 2 2 4" xfId="25380"/>
    <cellStyle name="dp*ThinLineBelow 2 2 2 2 4" xfId="25381"/>
    <cellStyle name="dp*ThinLineBelow 2 3 2 2 4" xfId="25382"/>
    <cellStyle name="Style 44 3 3 2 2 4" xfId="25383"/>
    <cellStyle name="COL HEADINGS 2 2 3 4 2 2 4" xfId="25384"/>
    <cellStyle name="Style 49 4 3 4 2 2 4" xfId="25385"/>
    <cellStyle name="Afjusted 3 3 4 2 2 4" xfId="25386"/>
    <cellStyle name="Date [mm-d-yyyy] 3 3 4 2 2 4" xfId="25387"/>
    <cellStyle name="Afjusted 4 3 4 2 2 4" xfId="25388"/>
    <cellStyle name="ac 2 2 3 4 2 2 4" xfId="25389"/>
    <cellStyle name="Afjusted 2 2 3 4 2 2 4" xfId="25390"/>
    <cellStyle name="Date [mmm-yyyy] 2 2 3 4 2 2 4" xfId="25391"/>
    <cellStyle name="dp*NumberLine 2 2 3 4 2 2 4" xfId="25392"/>
    <cellStyle name="dp*NumberLineEPS 2 2 3 4 2 2 4" xfId="25393"/>
    <cellStyle name="dp*SheetSubTitle 2 2 3 4 2 2 4" xfId="25394"/>
    <cellStyle name="Heading [Helv] 2 2 3 4 2 2 4" xfId="25395"/>
    <cellStyle name="Outputs 2 2 3 4 2 2 4" xfId="25396"/>
    <cellStyle name="Table Head Aligned 2 2 3 4 2 2 4" xfId="25397"/>
    <cellStyle name="Title [Palat] 2 2 3 4 2 2 4" xfId="25398"/>
    <cellStyle name="Afjusted 3 5 2 2 4" xfId="25399"/>
    <cellStyle name="Style 45 3 3 2 2 4" xfId="25400"/>
    <cellStyle name="Style 51 3 3 2 2 4" xfId="25401"/>
    <cellStyle name="Style 44 2 3 2 2 4" xfId="25402"/>
    <cellStyle name="Style 45 2 3 2 2 4" xfId="25403"/>
    <cellStyle name="Style 49 2 3 2 2 4" xfId="25404"/>
    <cellStyle name="Border Thin 3 5 2 2 4" xfId="25405"/>
    <cellStyle name="ac 2 2 4 2 2 4" xfId="25406"/>
    <cellStyle name="Afjusted 2 2 5 2 2 4" xfId="25407"/>
    <cellStyle name="Bold/Border 2 2 4 2 2 4" xfId="25408"/>
    <cellStyle name="COL HEADINGS 2 2 4 2 2 4" xfId="25409"/>
    <cellStyle name="Date [mmm-yyyy] 2 2 4 2 2 4" xfId="25410"/>
    <cellStyle name="dp*NumberLine 2 2 4 2 2 4" xfId="25411"/>
    <cellStyle name="dp*NumberLineEPS 2 2 4 2 2 4" xfId="25412"/>
    <cellStyle name="dp*SheetSubTitle 2 2 4 2 2 4" xfId="25413"/>
    <cellStyle name="Heading [Palat] 2 2 4 2 2 4" xfId="25414"/>
    <cellStyle name="Outputs 2 2 4 2 2 4" xfId="25415"/>
    <cellStyle name="Magic 2 2 4 2 2 4" xfId="25416"/>
    <cellStyle name="Title [Helv] 2 2 4 2 2 4" xfId="25417"/>
    <cellStyle name="Title [Palat] 2 2 4 2 2 4" xfId="25418"/>
    <cellStyle name="Title [Palat] 2 2 3 3 2 2 4" xfId="25419"/>
    <cellStyle name="Title [Helv] 2 2 3 3 2 2 4" xfId="25420"/>
    <cellStyle name="Table Head Aligned 2 2 3 3 2 2 4" xfId="25421"/>
    <cellStyle name="Magic 2 2 3 3 2 2 4" xfId="25422"/>
    <cellStyle name="Heading [Helv] 2 2 3 3 2 2 4" xfId="25423"/>
    <cellStyle name="dp*NumberLineEPS 2 2 3 3 2 2 4" xfId="25424"/>
    <cellStyle name="COL HEADINGS 2 2 3 3 2 2 4" xfId="25425"/>
    <cellStyle name="ac 2 2 3 3 2 2 4" xfId="25426"/>
    <cellStyle name="Afjusted 4 3 3 2 2 4" xfId="25427"/>
    <cellStyle name="Border Thin 3 3 3 2 2 4" xfId="25428"/>
    <cellStyle name="PB Table Standard Row 3 3 3 2 2 4" xfId="25429"/>
    <cellStyle name="Style 44 4 3 3 2 2 4" xfId="25430"/>
    <cellStyle name="Style 51 4 3 3 2 2 4" xfId="25431"/>
    <cellStyle name="Afjusted 3 3 3 2 2 4" xfId="25432"/>
    <cellStyle name="Style 49 4 5 2 2 4" xfId="25433"/>
    <cellStyle name="Style 44 4 5 2 2 4" xfId="25434"/>
    <cellStyle name="P-Green Rule 3 5 2 2 4" xfId="25435"/>
    <cellStyle name="dp*SubTitle 3 5 2 2 4" xfId="25436"/>
    <cellStyle name="Afjusted 4 5 2 2 4" xfId="25437"/>
    <cellStyle name="ac 2 3 2 2 4" xfId="25438"/>
    <cellStyle name="Bold/Border 2 3 2 2 4" xfId="25439"/>
    <cellStyle name="COL HEADINGS 2 3 2 2 4" xfId="25440"/>
    <cellStyle name="Date [mmm-yyyy] 2 3 2 2 4" xfId="25441"/>
    <cellStyle name="dp*NumberLine 2 3 2 2 4" xfId="25442"/>
    <cellStyle name="dp*NumberLineEPS 2 3 2 2 4" xfId="25443"/>
    <cellStyle name="dp*SheetSubTitle 2 3 2 2 4" xfId="25444"/>
    <cellStyle name="Heading [Helv] 2 3 2 2 4" xfId="25445"/>
    <cellStyle name="Heading [Palat] 2 3 2 2 4" xfId="25446"/>
    <cellStyle name="Magic 2 3 2 2 4" xfId="25447"/>
    <cellStyle name="Outputs 2 3 2 2 4" xfId="25448"/>
    <cellStyle name="Date [mmm-yyyy] 2 2 3 3 2 2 4" xfId="25449"/>
    <cellStyle name="Afjusted 2 2 3 3 2 2 4" xfId="25450"/>
    <cellStyle name="dp*ThinLineBelow 3 3 3 2 2 4" xfId="25451"/>
    <cellStyle name="Style 49 4 3 3 2 2 4" xfId="25452"/>
    <cellStyle name="Outputs 2 2 3 3 2 2 4" xfId="25453"/>
    <cellStyle name="dp*NumberLine 2 2 3 3 2 2 4" xfId="25454"/>
    <cellStyle name="Bold/Border 2 2 3 3 2 2 4" xfId="25455"/>
    <cellStyle name="dp*SubTitle 3 3 3 2 2 4" xfId="25456"/>
    <cellStyle name="Style 45 4 3 3 2 2 4" xfId="25457"/>
    <cellStyle name="Table Head Aligned 2 3 2 2 4" xfId="25458"/>
    <cellStyle name="Table Head Green 2 3 2 2 4" xfId="25459"/>
    <cellStyle name="Title [Helv] 2 3 2 2 4" xfId="25460"/>
    <cellStyle name="Title [Palat] 2 3 2 2 4" xfId="25461"/>
    <cellStyle name="Style 45 4 3 4 2 2 4" xfId="25462"/>
    <cellStyle name="Style 51 4 3 4 2 2 4" xfId="25463"/>
    <cellStyle name="Afjusted 3 4 2 2 4" xfId="25464"/>
    <cellStyle name="P-Green Rule 3 3 4 2 2 4" xfId="25465"/>
    <cellStyle name="Border Thin 2 3 2 2 4" xfId="25466"/>
    <cellStyle name="Style 49 3 3 2 2 4" xfId="25467"/>
    <cellStyle name="Style 51 2 3 2 2 4" xfId="25468"/>
    <cellStyle name="Heading [Helv] 2 2 4 2 2 4" xfId="25469"/>
    <cellStyle name="Table Head Aligned 2 2 4 2 2 4" xfId="25470"/>
    <cellStyle name="Table Head Green 2 2 4 2 2 4" xfId="25471"/>
    <cellStyle name="Table Head Green 2 2 3 3 2 2 4" xfId="25472"/>
    <cellStyle name="Heading [Palat] 2 2 3 3 2 2 4" xfId="25473"/>
    <cellStyle name="dp*SheetSubTitle 2 2 3 3 2 2 4" xfId="25474"/>
    <cellStyle name="P-Green Rule 3 3 3 2 2 4" xfId="25475"/>
    <cellStyle name="Date [mm-d-yyyy] 3 3 3 2 2 4" xfId="25476"/>
    <cellStyle name="Date [mm-d-yyyy] 3 4 2 2 4" xfId="25477"/>
    <cellStyle name="Style 51 4 4 2 2 4" xfId="25478"/>
    <cellStyle name="Style 49 4 4 2 2 4" xfId="25479"/>
    <cellStyle name="Style 45 4 4 2 2 4" xfId="25480"/>
    <cellStyle name="Style 44 4 4 2 2 4" xfId="25481"/>
    <cellStyle name="dp*ThinLineBelow 3 3 4 2 2 4" xfId="25482"/>
    <cellStyle name="P-Green Rule 3 4 2 2 4" xfId="25483"/>
    <cellStyle name="dp*ThinLineBelow 3 4 2 2 4" xfId="25484"/>
    <cellStyle name="dp*SubTitle 3 4 2 2 4" xfId="25485"/>
    <cellStyle name="dp*SubTitle 3 3 4 2 2 4" xfId="25486"/>
    <cellStyle name="Border Thin 3 4 2 2 4" xfId="25487"/>
    <cellStyle name="Border Thin 3 3 4 2 2 4" xfId="25488"/>
    <cellStyle name="Afjusted 4 4 2 2 4" xfId="25489"/>
    <cellStyle name="Afjusted 2 2 4 2 2 4" xfId="25490"/>
    <cellStyle name="Style 44 4 3 4 2 2 4" xfId="25491"/>
    <cellStyle name="PB Table Standard Row 3 3 4 2 2 4" xfId="25492"/>
    <cellStyle name="Title [Palat] 2 2 3 5 2 4" xfId="25493"/>
    <cellStyle name="Title [Helv] 2 2 3 5 2 4" xfId="25494"/>
    <cellStyle name="Table Head Green 2 2 3 5 2 4" xfId="25495"/>
    <cellStyle name="Table Head Aligned 2 2 3 5 2 4" xfId="25496"/>
    <cellStyle name="Outputs 2 2 3 5 2 4" xfId="25497"/>
    <cellStyle name="Magic 2 2 3 5 2 4" xfId="25498"/>
    <cellStyle name="Heading [Palat] 2 2 3 5 2 4" xfId="25499"/>
    <cellStyle name="Heading [Helv] 2 2 3 5 2 4" xfId="25500"/>
    <cellStyle name="dp*SheetSubTitle 2 2 3 5 2 4" xfId="25501"/>
    <cellStyle name="dp*NumberLineEPS 2 2 3 5 2 4" xfId="25502"/>
    <cellStyle name="dp*NumberLine 2 2 3 5 2 4" xfId="25503"/>
    <cellStyle name="Date [mmm-yyyy] 2 2 3 5 2 4" xfId="25504"/>
    <cellStyle name="COL HEADINGS 2 2 3 5 2 4" xfId="25505"/>
    <cellStyle name="Bold/Border 2 2 3 5 2 4" xfId="25506"/>
    <cellStyle name="Afjusted 2 2 3 5 2 4" xfId="25507"/>
    <cellStyle name="ac 2 2 3 5 2 4" xfId="25508"/>
    <cellStyle name="Afjusted 4 3 5 2 4" xfId="25509"/>
    <cellStyle name="Border Thin 3 3 5 2 4" xfId="25510"/>
    <cellStyle name="dp*SubTitle 3 3 5 2 4" xfId="25511"/>
    <cellStyle name="dp*ThinLineBelow 3 3 5 2 4" xfId="25512"/>
    <cellStyle name="PB Table Standard Row 3 3 5 2 4" xfId="25513"/>
    <cellStyle name="P-Green Rule 3 3 5 2 4" xfId="25514"/>
    <cellStyle name="Style 44 4 3 5 2 4" xfId="25515"/>
    <cellStyle name="Style 45 4 3 5 2 4" xfId="25516"/>
    <cellStyle name="Style 49 4 3 5 2 4" xfId="25517"/>
    <cellStyle name="Style 51 4 3 5 2 4" xfId="25518"/>
    <cellStyle name="Date [mm-d-yyyy] 3 3 5 2 4" xfId="25519"/>
    <cellStyle name="Afjusted 3 3 5 2 4" xfId="25520"/>
    <cellStyle name="Date [mm-d-yyyy] 2 2 4 2 4" xfId="25521"/>
    <cellStyle name="Afjusted 3 2 5 2 4" xfId="25522"/>
    <cellStyle name="Date [mm-d-yyyy] 3 2 5 2 4" xfId="25523"/>
    <cellStyle name="Style 51 4 2 5 2 4" xfId="25524"/>
    <cellStyle name="Style 49 4 2 5 2 4" xfId="25525"/>
    <cellStyle name="Style 45 4 2 5 2 4" xfId="25526"/>
    <cellStyle name="Style 44 4 2 5 2 4" xfId="25527"/>
    <cellStyle name="P-Green Rule 3 2 5 2 4" xfId="25528"/>
    <cellStyle name="dp*ThinLineBelow 3 2 5 2 4" xfId="25529"/>
    <cellStyle name="dp*SubTitle 3 2 5 2 4" xfId="25530"/>
    <cellStyle name="Border Thin 3 2 5 2 4" xfId="25531"/>
    <cellStyle name="Afjusted 4 2 5 2 4" xfId="25532"/>
    <cellStyle name="ac 2 2 2 5 2 4" xfId="25533"/>
    <cellStyle name="Afjusted 2 2 2 5 2 4" xfId="25534"/>
    <cellStyle name="Bold/Border 2 2 2 5 2 4" xfId="25535"/>
    <cellStyle name="COL HEADINGS 2 2 2 5 2 4" xfId="25536"/>
    <cellStyle name="Date [mmm-yyyy] 2 2 2 5 2 4" xfId="25537"/>
    <cellStyle name="dp*NumberLine 2 2 2 5 2 4" xfId="25538"/>
    <cellStyle name="dp*NumberLineEPS 2 2 2 5 2 4" xfId="25539"/>
    <cellStyle name="dp*SheetSubTitle 2 2 2 5 2 4" xfId="25540"/>
    <cellStyle name="Heading [Helv] 2 2 2 5 2 4" xfId="25541"/>
    <cellStyle name="Heading [Palat] 2 2 2 5 2 4" xfId="25542"/>
    <cellStyle name="Magic 2 2 2 5 2 4" xfId="25543"/>
    <cellStyle name="Outputs 2 2 2 5 2 4" xfId="25544"/>
    <cellStyle name="Table Head Aligned 2 2 2 5 2 4" xfId="25545"/>
    <cellStyle name="Table Head Green 2 2 2 5 2 4" xfId="25546"/>
    <cellStyle name="Title [Helv] 2 2 2 5 2 4" xfId="25547"/>
    <cellStyle name="Title [Palat] 2 2 2 5 2 4" xfId="25548"/>
    <cellStyle name="Table Head Green 2 2 3 4 2 2 4" xfId="25549"/>
    <cellStyle name="Heading [Palat] 2 2 3 4 2 2 4" xfId="25550"/>
    <cellStyle name="PB Table Standard Row 2 3 2 2 4" xfId="25551"/>
    <cellStyle name="P-Green Rule 2 3 2 2 4" xfId="25552"/>
    <cellStyle name="Title [Palat] 2 2 3 2 2 2 4" xfId="25553"/>
    <cellStyle name="Title [Helv] 2 2 3 2 2 2 4" xfId="25554"/>
    <cellStyle name="Table Head Green 2 2 3 2 2 2 4" xfId="25555"/>
    <cellStyle name="Table Head Aligned 2 2 3 2 2 2 4" xfId="25556"/>
    <cellStyle name="Outputs 2 2 3 2 2 2 4" xfId="25557"/>
    <cellStyle name="Magic 2 2 3 2 2 2 4" xfId="25558"/>
    <cellStyle name="Heading [Palat] 2 2 3 2 2 2 4" xfId="25559"/>
    <cellStyle name="Heading [Helv] 2 2 3 2 2 2 4" xfId="25560"/>
    <cellStyle name="dp*SheetSubTitle 2 2 3 2 2 2 4" xfId="25561"/>
    <cellStyle name="dp*NumberLineEPS 2 2 3 2 2 2 4" xfId="25562"/>
    <cellStyle name="dp*NumberLine 2 2 3 2 2 2 4" xfId="25563"/>
    <cellStyle name="Date [mmm-yyyy] 2 2 3 2 2 2 4" xfId="25564"/>
    <cellStyle name="COL HEADINGS 2 2 3 2 2 2 4" xfId="25565"/>
    <cellStyle name="Bold/Border 2 2 3 2 2 2 4" xfId="25566"/>
    <cellStyle name="Afjusted 2 2 3 2 2 2 4" xfId="25567"/>
    <cellStyle name="ac 2 2 3 2 2 2 4" xfId="25568"/>
    <cellStyle name="Afjusted 4 3 2 2 2 4" xfId="25569"/>
    <cellStyle name="Border Thin 3 3 2 2 2 4" xfId="25570"/>
    <cellStyle name="dp*SubTitle 3 3 2 2 2 4" xfId="25571"/>
    <cellStyle name="dp*ThinLineBelow 3 3 2 2 2 4" xfId="25572"/>
    <cellStyle name="PB Table Standard Row 3 3 2 2 2 4" xfId="25573"/>
    <cellStyle name="P-Green Rule 3 3 2 2 2 4" xfId="25574"/>
    <cellStyle name="Style 44 4 3 2 2 2 4" xfId="25575"/>
    <cellStyle name="Style 45 4 3 2 2 2 4" xfId="25576"/>
    <cellStyle name="Style 49 4 3 2 2 2 4" xfId="25577"/>
    <cellStyle name="Style 51 4 3 2 2 2 4" xfId="25578"/>
    <cellStyle name="Date [mm-d-yyyy] 3 3 2 2 2 4" xfId="25579"/>
    <cellStyle name="Afjusted 3 3 2 2 2 4" xfId="25580"/>
    <cellStyle name="Date [mm-d-yyyy] 3 5 2 2 4" xfId="25581"/>
    <cellStyle name="dp*SubTitle 2 3 2 2 4" xfId="25582"/>
    <cellStyle name="Date [mm-d-yyyy] 2 2 2 2 2 4" xfId="25583"/>
    <cellStyle name="Afjusted 3 2 2 2 2 4" xfId="25584"/>
    <cellStyle name="PB Table Standard Row 3 5 2 2 4" xfId="25585"/>
    <cellStyle name="Date [mm-d-yyyy] 3 2 2 2 2 4" xfId="25586"/>
    <cellStyle name="Style 51 4 2 2 2 2 4" xfId="25587"/>
    <cellStyle name="Style 49 4 2 2 2 2 4" xfId="25588"/>
    <cellStyle name="Style 45 4 2 2 2 2 4" xfId="25589"/>
    <cellStyle name="Style 44 4 2 2 2 2 4" xfId="25590"/>
    <cellStyle name="Style 45 4 5 2 2 4" xfId="25591"/>
    <cellStyle name="P-Green Rule 3 2 2 2 2 4" xfId="25592"/>
    <cellStyle name="PB Table Standard Row 3 2 2 2 2 4" xfId="25593"/>
    <cellStyle name="dp*ThinLineBelow 3 2 2 2 2 4" xfId="25594"/>
    <cellStyle name="dp*SubTitle 3 2 2 2 2 4" xfId="25595"/>
    <cellStyle name="Style 51 4 5 2 2 4" xfId="25596"/>
    <cellStyle name="Border Thin 3 2 2 2 2 4" xfId="25597"/>
    <cellStyle name="Afjusted 4 2 2 2 2 4" xfId="25598"/>
    <cellStyle name="ac 2 2 2 2 2 2 4" xfId="25599"/>
    <cellStyle name="Afjusted 2 2 2 2 2 2 4" xfId="25600"/>
    <cellStyle name="Bold/Border 2 2 2 2 2 2 4" xfId="25601"/>
    <cellStyle name="COL HEADINGS 2 2 2 2 2 2 4" xfId="25602"/>
    <cellStyle name="Date [mmm-yyyy] 2 2 2 2 2 2 4" xfId="25603"/>
    <cellStyle name="dp*NumberLine 2 2 2 2 2 2 4" xfId="25604"/>
    <cellStyle name="dp*NumberLineEPS 2 2 2 2 2 2 4" xfId="25605"/>
    <cellStyle name="dp*SheetSubTitle 2 2 2 2 2 2 4" xfId="25606"/>
    <cellStyle name="Heading [Helv] 2 2 2 2 2 2 4" xfId="25607"/>
    <cellStyle name="Heading [Palat] 2 2 2 2 2 2 4" xfId="25608"/>
    <cellStyle name="Magic 2 2 2 2 2 2 4" xfId="25609"/>
    <cellStyle name="Outputs 2 2 2 2 2 2 4" xfId="25610"/>
    <cellStyle name="Table Head Aligned 2 2 2 2 2 2 4" xfId="25611"/>
    <cellStyle name="Table Head Green 2 2 2 2 2 2 4" xfId="25612"/>
    <cellStyle name="Title [Helv] 2 2 2 2 2 2 4" xfId="25613"/>
    <cellStyle name="Title [Palat] 2 2 2 2 2 2 4" xfId="25614"/>
    <cellStyle name="dp*ThinLineBelow 3 5 2 2 4" xfId="25615"/>
    <cellStyle name="Date [mm-d-yyyy] 2 2 3 2 2 4" xfId="25616"/>
    <cellStyle name="Afjusted 3 2 3 2 2 4" xfId="25617"/>
    <cellStyle name="Date [mm-d-yyyy] 3 2 3 2 2 4" xfId="25618"/>
    <cellStyle name="Style 51 4 2 3 2 2 4" xfId="25619"/>
    <cellStyle name="Style 49 4 2 3 2 2 4" xfId="25620"/>
    <cellStyle name="Style 45 4 2 3 2 2 4" xfId="25621"/>
    <cellStyle name="Style 44 4 2 3 2 2 4" xfId="25622"/>
    <cellStyle name="P-Green Rule 3 2 3 2 2 4" xfId="25623"/>
    <cellStyle name="PB Table Standard Row 3 2 3 2 2 4" xfId="25624"/>
    <cellStyle name="dp*ThinLineBelow 3 2 3 2 2 4" xfId="25625"/>
    <cellStyle name="dp*SubTitle 3 2 3 2 2 4" xfId="25626"/>
    <cellStyle name="Border Thin 3 2 3 2 2 4" xfId="25627"/>
    <cellStyle name="Afjusted 4 2 3 2 2 4" xfId="25628"/>
    <cellStyle name="ac 2 2 2 3 2 2 4" xfId="25629"/>
    <cellStyle name="Afjusted 2 2 2 3 2 2 4" xfId="25630"/>
    <cellStyle name="Bold/Border 2 2 2 3 2 2 4" xfId="25631"/>
    <cellStyle name="COL HEADINGS 2 2 2 3 2 2 4" xfId="25632"/>
    <cellStyle name="Date [mmm-yyyy] 2 2 2 3 2 2 4" xfId="25633"/>
    <cellStyle name="dp*NumberLine 2 2 2 3 2 2 4" xfId="25634"/>
    <cellStyle name="dp*NumberLineEPS 2 2 2 3 2 2 4" xfId="25635"/>
    <cellStyle name="dp*SheetSubTitle 2 2 2 3 2 2 4" xfId="25636"/>
    <cellStyle name="Heading [Helv] 2 2 2 3 2 2 4" xfId="25637"/>
    <cellStyle name="Heading [Palat] 2 2 2 3 2 2 4" xfId="25638"/>
    <cellStyle name="Magic 2 2 2 3 2 2 4" xfId="25639"/>
    <cellStyle name="Outputs 2 2 2 3 2 2 4" xfId="25640"/>
    <cellStyle name="Table Head Aligned 2 2 2 3 2 2 4" xfId="25641"/>
    <cellStyle name="Table Head Green 2 2 2 3 2 2 4" xfId="25642"/>
    <cellStyle name="Title [Helv] 2 2 2 3 2 2 4" xfId="25643"/>
    <cellStyle name="Title [Palat] 2 2 2 3 2 2 4" xfId="25644"/>
    <cellStyle name="Afjusted 3 2 4 2 2 4" xfId="25645"/>
    <cellStyle name="Date [mm-d-yyyy] 3 2 4 2 2 4" xfId="25646"/>
    <cellStyle name="Style 51 4 2 4 2 2 4" xfId="25647"/>
    <cellStyle name="Style 49 4 2 4 2 2 4" xfId="25648"/>
    <cellStyle name="Style 45 4 2 4 2 2 4" xfId="25649"/>
    <cellStyle name="Style 44 4 2 4 2 2 4" xfId="25650"/>
    <cellStyle name="P-Green Rule 3 2 4 2 2 4" xfId="25651"/>
    <cellStyle name="PB Table Standard Row 3 2 4 2 2 4" xfId="25652"/>
    <cellStyle name="dp*ThinLineBelow 3 2 4 2 2 4" xfId="25653"/>
    <cellStyle name="dp*SubTitle 3 2 4 2 2 4" xfId="25654"/>
    <cellStyle name="Border Thin 3 2 4 2 2 4" xfId="25655"/>
    <cellStyle name="Afjusted 4 2 4 2 2 4" xfId="25656"/>
    <cellStyle name="ac 2 2 2 4 2 2 4" xfId="25657"/>
    <cellStyle name="Afjusted 2 2 2 4 2 2 4" xfId="25658"/>
    <cellStyle name="Bold/Border 2 2 2 4 2 2 4" xfId="25659"/>
    <cellStyle name="COL HEADINGS 2 2 2 4 2 2 4" xfId="25660"/>
    <cellStyle name="Date [mmm-yyyy] 2 2 2 4 2 2 4" xfId="25661"/>
    <cellStyle name="dp*NumberLine 2 2 2 4 2 2 4" xfId="25662"/>
    <cellStyle name="dp*NumberLineEPS 2 2 2 4 2 2 4" xfId="25663"/>
    <cellStyle name="dp*SheetSubTitle 2 2 2 4 2 2 4" xfId="25664"/>
    <cellStyle name="Heading [Helv] 2 2 2 4 2 2 4" xfId="25665"/>
    <cellStyle name="Heading [Palat] 2 2 2 4 2 2 4" xfId="25666"/>
    <cellStyle name="Magic 2 2 2 4 2 2 4" xfId="25667"/>
    <cellStyle name="Outputs 2 2 2 4 2 2 4" xfId="25668"/>
    <cellStyle name="Table Head Aligned 2 2 2 4 2 2 4" xfId="25669"/>
    <cellStyle name="Table Head Green 2 2 2 4 2 2 4" xfId="25670"/>
    <cellStyle name="Title [Helv] 2 2 2 4 2 2 4" xfId="25671"/>
    <cellStyle name="Title [Palat] 2 2 2 4 2 2 4" xfId="25672"/>
    <cellStyle name="Border Thin 4 2 2 4" xfId="25673"/>
    <cellStyle name="Date [mm-d-yyyy] 4 2 2 4" xfId="25674"/>
    <cellStyle name="dp*SubTitle 4 2 2 4" xfId="25675"/>
    <cellStyle name="dp*ThinLineBelow 4 2 2 4" xfId="25676"/>
    <cellStyle name="PB Table Standard Row 4 2 2 4" xfId="25677"/>
    <cellStyle name="P-Green Rule 4 2 2 4" xfId="25678"/>
    <cellStyle name="Style 44 5 2 2 4" xfId="25679"/>
    <cellStyle name="Style 45 5 2 2 4" xfId="25680"/>
    <cellStyle name="Style 49 5 2 2 4" xfId="25681"/>
    <cellStyle name="Style 51 5 2 2 4" xfId="25682"/>
    <cellStyle name="Title [Palat] 3 2 2 4" xfId="25683"/>
    <cellStyle name="Title [Helv] 3 2 2 4" xfId="25684"/>
    <cellStyle name="Table Head Green 3 2 2 4" xfId="25685"/>
    <cellStyle name="Table Head Aligned 3 2 2 4" xfId="25686"/>
    <cellStyle name="Outputs 3 2 2 4" xfId="25687"/>
    <cellStyle name="Magic 3 2 2 4" xfId="25688"/>
    <cellStyle name="Heading [Palat] 3 2 2 4" xfId="25689"/>
    <cellStyle name="Heading [Helv] 3 2 2 4" xfId="25690"/>
    <cellStyle name="dp*SheetSubTitle 3 2 2 4" xfId="25691"/>
    <cellStyle name="dp*NumberLineEPS 3 2 2 4" xfId="25692"/>
    <cellStyle name="dp*NumberLine 3 2 2 4" xfId="25693"/>
    <cellStyle name="COL HEADINGS 3 2 2 4" xfId="25694"/>
    <cellStyle name="Bold/Border 3 2 2 4" xfId="25695"/>
    <cellStyle name="Afjusted 5 2 2 4" xfId="25696"/>
    <cellStyle name="ac 3 2 2 4" xfId="25697"/>
    <cellStyle name="Date [mmm-yyyy] 3 2 2 4" xfId="25698"/>
    <cellStyle name="ac 2 4 2 2 4" xfId="25699"/>
    <cellStyle name="Afjusted 2 3 2 2 4" xfId="25700"/>
    <cellStyle name="Bold/Border 2 4 2 2 4" xfId="25701"/>
    <cellStyle name="Border Thin 2 4 2 2 4" xfId="25702"/>
    <cellStyle name="COL HEADINGS 2 4 2 2 4" xfId="25703"/>
    <cellStyle name="Date [mmm-yyyy] 2 4 2 2 4" xfId="25704"/>
    <cellStyle name="dp*NumberLine 2 4 2 2 4" xfId="25705"/>
    <cellStyle name="dp*NumberLineEPS 2 4 2 2 4" xfId="25706"/>
    <cellStyle name="dp*SheetSubTitle 2 4 2 2 4" xfId="25707"/>
    <cellStyle name="dp*SubTitle 2 4 2 2 4" xfId="25708"/>
    <cellStyle name="dp*ThinLineBelow 2 4 2 2 4" xfId="25709"/>
    <cellStyle name="Heading [Helv] 2 4 2 2 4" xfId="25710"/>
    <cellStyle name="Heading [Palat] 2 4 2 2 4" xfId="25711"/>
    <cellStyle name="Magic 2 4 2 2 4" xfId="25712"/>
    <cellStyle name="Outputs 2 4 2 2 4" xfId="25713"/>
    <cellStyle name="PB Table Standard Row 2 4 2 2 4" xfId="25714"/>
    <cellStyle name="P-Green Rule 2 4 2 2 4" xfId="25715"/>
    <cellStyle name="Style 44 3 4 2 2 4" xfId="25716"/>
    <cellStyle name="Style 45 3 4 2 2 4" xfId="25717"/>
    <cellStyle name="Style 49 3 4 2 2 4" xfId="25718"/>
    <cellStyle name="Style 51 3 4 2 2 4" xfId="25719"/>
    <cellStyle name="Style 44 2 4 2 2 4" xfId="25720"/>
    <cellStyle name="Style 45 2 4 2 2 4" xfId="25721"/>
    <cellStyle name="Style 49 2 4 2 2 4" xfId="25722"/>
    <cellStyle name="Style 51 2 4 2 2 4" xfId="25723"/>
    <cellStyle name="Table Head Aligned 2 4 2 2 4" xfId="25724"/>
    <cellStyle name="Table Head Green 2 4 2 2 4" xfId="25725"/>
    <cellStyle name="Title [Helv] 2 4 2 2 4" xfId="25726"/>
    <cellStyle name="Title [Palat] 2 4 2 2 4" xfId="25727"/>
    <cellStyle name="ac 4 2 2 4" xfId="25728"/>
    <cellStyle name="Bold/Border 4 2 2 4" xfId="25729"/>
    <cellStyle name="Border Thin 5 2 2 4" xfId="25730"/>
    <cellStyle name="COL HEADINGS 4 2 2 4" xfId="25731"/>
    <cellStyle name="Date [mm-d-yyyy] 5 2 2 4" xfId="25732"/>
    <cellStyle name="Heading [Helv] 4 2 2 4" xfId="25733"/>
    <cellStyle name="Heading [Palat] 4 2 2 4" xfId="25734"/>
    <cellStyle name="Outputs 4 2 2 4" xfId="25735"/>
    <cellStyle name="PB Table Standard Row 5 2 2 4" xfId="25736"/>
    <cellStyle name="P-Green Rule 5 2 2 4" xfId="25737"/>
    <cellStyle name="Style 44 6 2 2 4" xfId="25738"/>
    <cellStyle name="Style 45 6 2 2 4" xfId="25739"/>
    <cellStyle name="Style 49 6 2 2 4" xfId="25740"/>
    <cellStyle name="Style 51 6 2 2 4" xfId="25741"/>
    <cellStyle name="Table Head Green 4 2 2 4" xfId="25742"/>
    <cellStyle name="Afjusted 6 2 2 4" xfId="25743"/>
    <cellStyle name="ac 2 5 2 2 4" xfId="25744"/>
    <cellStyle name="Afjusted 2 4 2 2 4" xfId="25745"/>
    <cellStyle name="Bold/Border 2 5 2 2 4" xfId="25746"/>
    <cellStyle name="Border Thin 2 5 2 2 4" xfId="25747"/>
    <cellStyle name="COL HEADINGS 2 5 2 2 4" xfId="25748"/>
    <cellStyle name="Date [mmm-yyyy] 2 5 2 2 4" xfId="25749"/>
    <cellStyle name="dp*NumberLine 2 5 2 2 4" xfId="25750"/>
    <cellStyle name="dp*NumberLineEPS 2 5 2 2 4" xfId="25751"/>
    <cellStyle name="dp*SheetSubTitle 2 5 2 2 4" xfId="25752"/>
    <cellStyle name="dp*SubTitle 2 5 2 2 4" xfId="25753"/>
    <cellStyle name="dp*ThinLineBelow 2 5 2 2 4" xfId="25754"/>
    <cellStyle name="Heading [Helv] 2 5 2 2 4" xfId="25755"/>
    <cellStyle name="Heading [Palat] 2 5 2 2 4" xfId="25756"/>
    <cellStyle name="Magic 2 5 2 2 4" xfId="25757"/>
    <cellStyle name="Outputs 2 5 2 2 4" xfId="25758"/>
    <cellStyle name="PB Table Standard Row 2 5 2 2 4" xfId="25759"/>
    <cellStyle name="P-Green Rule 2 5 2 2 4" xfId="25760"/>
    <cellStyle name="Style 44 3 5 2 2 4" xfId="25761"/>
    <cellStyle name="Style 45 3 5 2 2 4" xfId="25762"/>
    <cellStyle name="Style 49 3 5 2 2 4" xfId="25763"/>
    <cellStyle name="Style 51 3 5 2 2 4" xfId="25764"/>
    <cellStyle name="Style 44 2 5 2 2 4" xfId="25765"/>
    <cellStyle name="Style 45 2 5 2 2 4" xfId="25766"/>
    <cellStyle name="Style 49 2 5 2 2 4" xfId="25767"/>
    <cellStyle name="Style 51 2 5 2 2 4" xfId="25768"/>
    <cellStyle name="Table Head Aligned 2 5 2 2 4" xfId="25769"/>
    <cellStyle name="Table Head Green 2 5 2 2 4" xfId="25770"/>
    <cellStyle name="Title [Helv] 2 5 2 2 4" xfId="25771"/>
    <cellStyle name="Title [Palat] 2 5 2 2 4" xfId="25772"/>
    <cellStyle name="ac 5 2 2 4" xfId="25773"/>
    <cellStyle name="Bold/Border 5 2 2 4" xfId="25774"/>
    <cellStyle name="Border Thin 6 2 2 4" xfId="25775"/>
    <cellStyle name="COL HEADINGS 5 2 2 4" xfId="25776"/>
    <cellStyle name="Heading [Helv] 5 2 2 4" xfId="25777"/>
    <cellStyle name="Heading [Palat] 5 2 2 4" xfId="25778"/>
    <cellStyle name="Outputs 5 2 2 4" xfId="25779"/>
    <cellStyle name="PB Table Standard Row 6 2 2 4" xfId="25780"/>
    <cellStyle name="P-Green Rule 6 2 2 4" xfId="25781"/>
    <cellStyle name="Style 44 7 2 2 4" xfId="25782"/>
    <cellStyle name="Style 45 7 2 2 4" xfId="25783"/>
    <cellStyle name="Style 49 7 2 2 4" xfId="25784"/>
    <cellStyle name="Style 51 7 2 2 4" xfId="25785"/>
    <cellStyle name="Table Head Green 5 2 2 4" xfId="25786"/>
    <cellStyle name="Title [Palat] 4 2 2 4" xfId="25787"/>
    <cellStyle name="ac 2 6 2 2 4" xfId="25788"/>
    <cellStyle name="Bold/Border 2 6 2 2 4" xfId="25789"/>
    <cellStyle name="Border Thin 2 6 2 2 4" xfId="25790"/>
    <cellStyle name="COL HEADINGS 2 6 2 2 4" xfId="25791"/>
    <cellStyle name="Heading [Helv] 2 6 2 2 4" xfId="25792"/>
    <cellStyle name="Heading [Palat] 2 6 2 2 4" xfId="25793"/>
    <cellStyle name="Outputs 2 6 2 2 4" xfId="25794"/>
    <cellStyle name="PB Table Standard Row 2 6 2 2 4" xfId="25795"/>
    <cellStyle name="P-Green Rule 2 6 2 2 4" xfId="25796"/>
    <cellStyle name="Style 44 3 6 2 2 4" xfId="25797"/>
    <cellStyle name="Style 45 3 6 2 2 4" xfId="25798"/>
    <cellStyle name="Style 49 3 6 2 2 4" xfId="25799"/>
    <cellStyle name="Style 51 3 6 2 2 4" xfId="25800"/>
    <cellStyle name="Style 44 2 6 2 2 4" xfId="25801"/>
    <cellStyle name="Style 45 2 6 2 2 4" xfId="25802"/>
    <cellStyle name="Style 49 2 6 2 2 4" xfId="25803"/>
    <cellStyle name="Style 51 2 6 2 2 4" xfId="25804"/>
    <cellStyle name="Table Head Green 2 6 2 2 4" xfId="25805"/>
    <cellStyle name="Title [Palat] 2 6 2 2 4" xfId="25806"/>
    <cellStyle name="Title [Palat] 5 2 2 4" xfId="25807"/>
    <cellStyle name="Title [Helv] 4 2 2 4" xfId="25808"/>
    <cellStyle name="Table Head Green 6 2 2 4" xfId="25809"/>
    <cellStyle name="Table Head Aligned 4 2 2 4" xfId="25810"/>
    <cellStyle name="Style 51 9 2 2 4" xfId="25811"/>
    <cellStyle name="Style 49 9 2 2 4" xfId="25812"/>
    <cellStyle name="Style 45 9 2 2 4" xfId="25813"/>
    <cellStyle name="Style 44 9 2 2 4" xfId="25814"/>
    <cellStyle name="P-Green Rule 7 2 2 4" xfId="25815"/>
    <cellStyle name="PB Table Standard Row 7 2 2 4" xfId="25816"/>
    <cellStyle name="Outputs 6 2 2 4" xfId="25817"/>
    <cellStyle name="Magic 4 2 2 4" xfId="25818"/>
    <cellStyle name="Heading [Palat] 6 2 2 4" xfId="25819"/>
    <cellStyle name="Heading [Helv] 6 2 2 4" xfId="25820"/>
    <cellStyle name="dp*ThinLineBelow 5 2 2 4" xfId="25821"/>
    <cellStyle name="dp*SubTitle 5 2 2 4" xfId="25822"/>
    <cellStyle name="dp*SheetSubTitle 4 2 2 4" xfId="25823"/>
    <cellStyle name="dp*NumberLineEPS 4 2 2 4" xfId="25824"/>
    <cellStyle name="dp*NumberLine 4 2 2 4" xfId="25825"/>
    <cellStyle name="Date [mmm-yyyy] 4 2 2 4" xfId="25826"/>
    <cellStyle name="Date [mm-d-yyyy] 7 2 2 4" xfId="25827"/>
    <cellStyle name="COL HEADINGS 6 2 2 4" xfId="25828"/>
    <cellStyle name="Border Thin 7 2 2 4" xfId="25829"/>
    <cellStyle name="Bold/Border 6 2 2 4" xfId="25830"/>
    <cellStyle name="Afjusted 7 2 2 4" xfId="25831"/>
    <cellStyle name="ac 6 2 2 4" xfId="25832"/>
    <cellStyle name="Style 44 8 2 2 4" xfId="25833"/>
    <cellStyle name="Style 45 8 2 2 4" xfId="25834"/>
    <cellStyle name="Style 49 8 2 2 4" xfId="25835"/>
    <cellStyle name="Style 51 8 2 2 4" xfId="25836"/>
    <cellStyle name="Title [Palat] 6 2 2 4" xfId="25837"/>
    <cellStyle name="Title [Helv] 5 2 2 4" xfId="25838"/>
    <cellStyle name="Table Head Green 7 2 2 4" xfId="25839"/>
    <cellStyle name="Table Head Aligned 5 2 2 4" xfId="25840"/>
    <cellStyle name="Outputs 7 2 2 4" xfId="25841"/>
    <cellStyle name="Magic 5 2 2 4" xfId="25842"/>
    <cellStyle name="Heading [Palat] 7 2 2 4" xfId="25843"/>
    <cellStyle name="Heading [Helv] 7 2 2 4" xfId="25844"/>
    <cellStyle name="dp*SheetSubTitle 5 2 2 4" xfId="25845"/>
    <cellStyle name="dp*NumberLineEPS 5 2 2 4" xfId="25846"/>
    <cellStyle name="dp*NumberLine 5 2 2 4" xfId="25847"/>
    <cellStyle name="Date [mmm-yyyy] 5 2 2 4" xfId="25848"/>
    <cellStyle name="COL HEADINGS 7 2 2 4" xfId="25849"/>
    <cellStyle name="Bold/Border 7 2 2 4" xfId="25850"/>
    <cellStyle name="Afjusted 8 2 2 4" xfId="25851"/>
    <cellStyle name="ac 7 2 2 4" xfId="25852"/>
    <cellStyle name="Title [Palat] 7 2 2 4" xfId="25853"/>
    <cellStyle name="Title [Helv] 6 2 2 4" xfId="25854"/>
    <cellStyle name="Table Head Green 8 2 2 4" xfId="25855"/>
    <cellStyle name="Table Head Aligned 6 2 2 4" xfId="25856"/>
    <cellStyle name="Outputs 8 2 2 4" xfId="25857"/>
    <cellStyle name="Magic 6 2 2 4" xfId="25858"/>
    <cellStyle name="Heading [Palat] 8 2 2 4" xfId="25859"/>
    <cellStyle name="Heading [Helv] 8 2 2 4" xfId="25860"/>
    <cellStyle name="dp*SheetSubTitle 6 2 2 4" xfId="25861"/>
    <cellStyle name="dp*NumberLineEPS 6 2 2 4" xfId="25862"/>
    <cellStyle name="dp*NumberLine 6 2 2 4" xfId="25863"/>
    <cellStyle name="COL HEADINGS 8 2 2 4" xfId="25864"/>
    <cellStyle name="Bold/Border 8 2 2 4" xfId="25865"/>
    <cellStyle name="Afjusted 9 2 2 4" xfId="25866"/>
    <cellStyle name="ac 8 2 2 4" xfId="25867"/>
    <cellStyle name="Date [mmm-yyyy] 6 2 2 4" xfId="25868"/>
    <cellStyle name="Title [Palat] 8 2 2 4" xfId="25869"/>
    <cellStyle name="Title [Helv] 7 2 2 4" xfId="25870"/>
    <cellStyle name="Table Head Green 9 2 2 4" xfId="25871"/>
    <cellStyle name="Table Head Aligned 7 2 2 4" xfId="25872"/>
    <cellStyle name="Outputs 9 2 2 4" xfId="25873"/>
    <cellStyle name="Magic 7 2 2 4" xfId="25874"/>
    <cellStyle name="Heading [Palat] 9 2 2 4" xfId="25875"/>
    <cellStyle name="Heading [Helv] 9 2 2 4" xfId="25876"/>
    <cellStyle name="dp*SheetSubTitle 7 2 2 4" xfId="25877"/>
    <cellStyle name="dp*NumberLineEPS 7 2 2 4" xfId="25878"/>
    <cellStyle name="dp*NumberLine 7 2 2 4" xfId="25879"/>
    <cellStyle name="Date [mmm-yyyy] 7 2 2 4" xfId="25880"/>
    <cellStyle name="COL HEADINGS 9 2 2 4" xfId="25881"/>
    <cellStyle name="Bold/Border 9 2 2 4" xfId="25882"/>
    <cellStyle name="Afjusted 10 2 2 4" xfId="25883"/>
    <cellStyle name="ac 9 2 2 4" xfId="25884"/>
    <cellStyle name="Bold/Border 2 2 3 8 2 2" xfId="25885"/>
    <cellStyle name="ac 2 2 3 2 5 2 2" xfId="25886"/>
    <cellStyle name="P-Green Rule 3 3 2 5 2 2" xfId="25887"/>
    <cellStyle name="Afjusted 3 3 2 5 2 2" xfId="25888"/>
    <cellStyle name="Style 44 4 2 2 5 2 2" xfId="25889"/>
    <cellStyle name="dp*SubTitle 3 2 2 5 2 2" xfId="25890"/>
    <cellStyle name="COL HEADINGS 2 2 2 2 5 2 2" xfId="25891"/>
    <cellStyle name="Style 44 6 4 4" xfId="25892"/>
    <cellStyle name="Style 45 6 4 4" xfId="25893"/>
    <cellStyle name="Style 49 6 4 4" xfId="25894"/>
    <cellStyle name="Style 51 6 4 4" xfId="25895"/>
    <cellStyle name="Table Head Green 4 4 4" xfId="25896"/>
    <cellStyle name="Afjusted 6 4 4" xfId="25897"/>
    <cellStyle name="ac 2 5 4 4" xfId="25898"/>
    <cellStyle name="Afjusted 2 4 4 4" xfId="25899"/>
    <cellStyle name="Bold/Border 2 5 4 4" xfId="25900"/>
    <cellStyle name="Border Thin 2 5 4 4" xfId="25901"/>
    <cellStyle name="COL HEADINGS 2 5 4 4" xfId="25902"/>
    <cellStyle name="Date [mmm-yyyy] 2 5 4 4" xfId="25903"/>
    <cellStyle name="dp*NumberLine 2 5 4 4" xfId="25904"/>
    <cellStyle name="dp*NumberLineEPS 2 5 4 4" xfId="25905"/>
    <cellStyle name="dp*SheetSubTitle 2 5 4 4" xfId="25906"/>
    <cellStyle name="dp*SubTitle 2 5 4 4" xfId="25907"/>
    <cellStyle name="dp*ThinLineBelow 2 5 4 4" xfId="25908"/>
    <cellStyle name="Heading [Helv] 2 5 4 4" xfId="25909"/>
    <cellStyle name="Heading [Palat] 2 5 4 4" xfId="25910"/>
    <cellStyle name="Magic 2 5 4 4" xfId="25911"/>
    <cellStyle name="Outputs 2 5 4 4" xfId="25912"/>
    <cellStyle name="PB Table Standard Row 2 5 4 4" xfId="25913"/>
    <cellStyle name="P-Green Rule 2 5 4 4" xfId="25914"/>
    <cellStyle name="Style 44 3 5 4 4" xfId="25915"/>
    <cellStyle name="Style 45 3 5 4 4" xfId="25916"/>
    <cellStyle name="Style 49 3 5 4 4" xfId="25917"/>
    <cellStyle name="Style 51 3 5 4 4" xfId="25918"/>
    <cellStyle name="Style 44 2 5 4 4" xfId="25919"/>
    <cellStyle name="Style 45 2 5 4 4" xfId="25920"/>
    <cellStyle name="Style 49 2 5 4 4" xfId="25921"/>
    <cellStyle name="Style 51 2 5 4 4" xfId="25922"/>
    <cellStyle name="Table Head Aligned 2 5 4 4" xfId="25923"/>
    <cellStyle name="Table Head Green 2 5 4 4" xfId="25924"/>
    <cellStyle name="Title [Helv] 2 5 4 4" xfId="25925"/>
    <cellStyle name="Title [Palat] 2 5 4 4" xfId="25926"/>
    <cellStyle name="ac 5 4 4" xfId="25927"/>
    <cellStyle name="Bold/Border 5 4 4" xfId="25928"/>
    <cellStyle name="Border Thin 6 4 4" xfId="25929"/>
    <cellStyle name="COL HEADINGS 5 4 4" xfId="25930"/>
    <cellStyle name="Date [mm-d-yyyy] 6 3 4" xfId="25931"/>
    <cellStyle name="Heading [Helv] 5 4 4" xfId="25932"/>
    <cellStyle name="Heading [Palat] 5 4 4" xfId="25933"/>
    <cellStyle name="Afjusted 2 2 2 3 5 2 2" xfId="25934"/>
    <cellStyle name="dp*NumberLine 2 2 2 2 5 2 2" xfId="25935"/>
    <cellStyle name="Outputs 5 4 4" xfId="25936"/>
    <cellStyle name="PB Table Standard Row 6 4 4" xfId="25937"/>
    <cellStyle name="P-Green Rule 6 4 4" xfId="25938"/>
    <cellStyle name="dp*NumberLineEPS 5 6 2" xfId="25939"/>
    <cellStyle name="Bold/Border 2 2 2 9 2" xfId="25940"/>
    <cellStyle name="dp*SheetSubTitle 2 2 3 3 5 2 2" xfId="25941"/>
    <cellStyle name="Style 44 4 4 5 2 2" xfId="25942"/>
    <cellStyle name="Table Head Aligned 2 2 3 8 2 2" xfId="25943"/>
    <cellStyle name="P-Green Rule 3 2 7 2 2" xfId="25944"/>
    <cellStyle name="Style 44 4 3 2 5 2 2" xfId="25945"/>
    <cellStyle name="Date [mm-d-yyyy] 2 2 2 5 2 2" xfId="25946"/>
    <cellStyle name="Style 51 4 2 2 5 2 2" xfId="25947"/>
    <cellStyle name="PB Table Standard Row 3 2 2 5 2 2" xfId="25948"/>
    <cellStyle name="Style 51 4 5 5 2 2" xfId="25949"/>
    <cellStyle name="Style 44 7 4 4" xfId="25950"/>
    <cellStyle name="Style 45 7 4 4" xfId="25951"/>
    <cellStyle name="Style 49 7 4 4" xfId="25952"/>
    <cellStyle name="Style 51 7 4 4" xfId="25953"/>
    <cellStyle name="Table Head Green 5 4 4" xfId="25954"/>
    <cellStyle name="Title [Palat] 4 4 4" xfId="25955"/>
    <cellStyle name="ac 2 6 4 4" xfId="25956"/>
    <cellStyle name="Bold/Border 2 6 4 4" xfId="25957"/>
    <cellStyle name="Border Thin 2 6 4 4" xfId="25958"/>
    <cellStyle name="COL HEADINGS 2 6 4 4" xfId="25959"/>
    <cellStyle name="Date [mm-d-yyyy] 2 3 3 4" xfId="25960"/>
    <cellStyle name="Heading [Helv] 2 6 4 4" xfId="25961"/>
    <cellStyle name="Heading [Palat] 2 6 4 4" xfId="25962"/>
    <cellStyle name="Outputs 2 6 4 4" xfId="25963"/>
    <cellStyle name="PB Table Standard Row 2 6 4 4" xfId="25964"/>
    <cellStyle name="P-Green Rule 2 6 4 4" xfId="25965"/>
    <cellStyle name="Style 44 3 6 4 4" xfId="25966"/>
    <cellStyle name="Style 45 3 6 4 4" xfId="25967"/>
    <cellStyle name="Style 49 3 6 4 4" xfId="25968"/>
    <cellStyle name="Style 51 3 6 4 4" xfId="25969"/>
    <cellStyle name="Style 44 2 6 4 4" xfId="25970"/>
    <cellStyle name="Style 45 2 6 4 4" xfId="25971"/>
    <cellStyle name="Style 49 2 6 4 4" xfId="25972"/>
    <cellStyle name="Style 51 2 6 4 4" xfId="25973"/>
    <cellStyle name="Table Head Green 2 6 4 4" xfId="25974"/>
    <cellStyle name="Title [Palat] 2 6 4 4" xfId="25975"/>
    <cellStyle name="Magic 2 2 2 3 5 2 2" xfId="25976"/>
    <cellStyle name="ac 2 2 2 4 5 2 2" xfId="25977"/>
    <cellStyle name="Title [Palat] 5 4 4" xfId="25978"/>
    <cellStyle name="Title [Helv] 4 4 4" xfId="25979"/>
    <cellStyle name="Table Head Green 6 4 4" xfId="25980"/>
    <cellStyle name="Table Head Aligned 4 4 4" xfId="25981"/>
    <cellStyle name="Style 51 9 3 4" xfId="25982"/>
    <cellStyle name="Style 49 9 3 4" xfId="25983"/>
    <cellStyle name="Style 45 9 3 4" xfId="25984"/>
    <cellStyle name="Style 44 9 3 4" xfId="25985"/>
    <cellStyle name="Heading [Palat] 2 2 3 2 5 2 2" xfId="25986"/>
    <cellStyle name="PB Table Standard Row 3 4 3 2 2" xfId="25987"/>
    <cellStyle name="Afjusted 3 4 5 2 2" xfId="25988"/>
    <cellStyle name="Style 49 5 7 2" xfId="25989"/>
    <cellStyle name="Bold/Border 2 2 4 7 2" xfId="25990"/>
    <cellStyle name="P-Green Rule 7 3 4" xfId="25991"/>
    <cellStyle name="PB Table Standard Row 7 3 4" xfId="25992"/>
    <cellStyle name="Outputs 6 4 4" xfId="25993"/>
    <cellStyle name="dp*SheetSubTitle 2 2 2 3 5 2 2" xfId="25994"/>
    <cellStyle name="Magic 4 4 4" xfId="25995"/>
    <cellStyle name="Heading [Palat] 6 4 4" xfId="25996"/>
    <cellStyle name="Heading [Helv] 6 4 4" xfId="25997"/>
    <cellStyle name="dp*ThinLineBelow 5 4 4" xfId="25998"/>
    <cellStyle name="dp*SubTitle 5 4 4" xfId="25999"/>
    <cellStyle name="dp*SheetSubTitle 4 4 4" xfId="26000"/>
    <cellStyle name="dp*NumberLineEPS 4 4 4" xfId="26001"/>
    <cellStyle name="dp*NumberLine 4 4 4" xfId="26002"/>
    <cellStyle name="Date [mmm-yyyy] 4 4 4" xfId="26003"/>
    <cellStyle name="Date [mm-d-yyyy] 7 4 4" xfId="26004"/>
    <cellStyle name="COL HEADINGS 6 4 4" xfId="26005"/>
    <cellStyle name="Border Thin 7 4 4" xfId="26006"/>
    <cellStyle name="Bold/Border 6 4 4" xfId="26007"/>
    <cellStyle name="Afjusted 7 4 4" xfId="26008"/>
    <cellStyle name="ac 6 4 4" xfId="26009"/>
    <cellStyle name="Heading [Palat] 2 2 2 9 2" xfId="26010"/>
    <cellStyle name="Style 44 4 2 9 2" xfId="26011"/>
    <cellStyle name="Border Thin 3 2 2 7 2" xfId="26012"/>
    <cellStyle name="Table Head Aligned 2 2 4 5 2 2" xfId="26013"/>
    <cellStyle name="Style 44 8 4 4" xfId="26014"/>
    <cellStyle name="Style 45 8 4 4" xfId="26015"/>
    <cellStyle name="Style 49 8 4 4" xfId="26016"/>
    <cellStyle name="Style 51 8 4 4" xfId="26017"/>
    <cellStyle name="Title [Palat] 6 4 4" xfId="26018"/>
    <cellStyle name="Title [Helv] 5 4 4" xfId="26019"/>
    <cellStyle name="Table Head Green 7 4 4" xfId="26020"/>
    <cellStyle name="Table Head Aligned 5 4 4" xfId="26021"/>
    <cellStyle name="Date [mmm-yyyy] 2 2 2 3 5 2 2" xfId="26022"/>
    <cellStyle name="Outputs 7 4 4" xfId="26023"/>
    <cellStyle name="Magic 5 4 4" xfId="26024"/>
    <cellStyle name="Heading [Palat] 7 4 4" xfId="26025"/>
    <cellStyle name="Heading [Helv] 7 4 4" xfId="26026"/>
    <cellStyle name="dp*SheetSubTitle 5 4 4" xfId="26027"/>
    <cellStyle name="dp*NumberLineEPS 5 4 4" xfId="26028"/>
    <cellStyle name="dp*NumberLine 5 4 4" xfId="26029"/>
    <cellStyle name="Date [mmm-yyyy] 5 4 4" xfId="26030"/>
    <cellStyle name="COL HEADINGS 7 4 4" xfId="26031"/>
    <cellStyle name="Bold/Border 7 4 4" xfId="26032"/>
    <cellStyle name="Afjusted 8 4 4" xfId="26033"/>
    <cellStyle name="ac 7 4 4" xfId="26034"/>
    <cellStyle name="Title [Palat] 7 4 4" xfId="26035"/>
    <cellStyle name="Title [Helv] 6 4 4" xfId="26036"/>
    <cellStyle name="Table Head Green 8 4 4" xfId="26037"/>
    <cellStyle name="Table Head Aligned 6 4 4" xfId="26038"/>
    <cellStyle name="dp*ThinLineBelow 3 4 4 2 2" xfId="26039"/>
    <cellStyle name="Heading [Palat] 2 2 3 3 5 2 2" xfId="26040"/>
    <cellStyle name="Style 51 4 3 3 7 2" xfId="26041"/>
    <cellStyle name="COL HEADINGS 2 2 4 7 2" xfId="26042"/>
    <cellStyle name="Table Head Aligned 5 6 2" xfId="26043"/>
    <cellStyle name="Outputs 8 4 4" xfId="26044"/>
    <cellStyle name="Magic 6 4 4" xfId="26045"/>
    <cellStyle name="Heading [Palat] 8 4 4" xfId="26046"/>
    <cellStyle name="Heading [Helv] 8 4 4" xfId="26047"/>
    <cellStyle name="dp*SheetSubTitle 6 4 4" xfId="26048"/>
    <cellStyle name="dp*NumberLineEPS 6 4 4" xfId="26049"/>
    <cellStyle name="dp*NumberLine 6 4 4" xfId="26050"/>
    <cellStyle name="COL HEADINGS 8 4 4" xfId="26051"/>
    <cellStyle name="Bold/Border 8 4 4" xfId="26052"/>
    <cellStyle name="Afjusted 9 4 4" xfId="26053"/>
    <cellStyle name="ac 8 4 4" xfId="26054"/>
    <cellStyle name="Date [mmm-yyyy] 6 4 4" xfId="26055"/>
    <cellStyle name="Title [Palat] 8 4 4" xfId="26056"/>
    <cellStyle name="Title [Helv] 7 4 4" xfId="26057"/>
    <cellStyle name="Table Head Green 9 4 4" xfId="26058"/>
    <cellStyle name="Table Head Aligned 7 4 4" xfId="26059"/>
    <cellStyle name="Outputs 9 4 4" xfId="26060"/>
    <cellStyle name="Magic 7 4 4" xfId="26061"/>
    <cellStyle name="Heading [Palat] 9 4 4" xfId="26062"/>
    <cellStyle name="Heading [Helv] 9 4 4" xfId="26063"/>
    <cellStyle name="dp*SheetSubTitle 7 4 4" xfId="26064"/>
    <cellStyle name="dp*NumberLineEPS 7 4 4" xfId="26065"/>
    <cellStyle name="dp*NumberLine 7 4 4" xfId="26066"/>
    <cellStyle name="Date [mmm-yyyy] 7 4 4" xfId="26067"/>
    <cellStyle name="COL HEADINGS 9 4 4" xfId="26068"/>
    <cellStyle name="Bold/Border 9 4 4" xfId="26069"/>
    <cellStyle name="Afjusted 10 4 4" xfId="26070"/>
    <cellStyle name="ac 9 4 4" xfId="26071"/>
    <cellStyle name="Afjusted 3 6 3 4" xfId="26072"/>
    <cellStyle name="ac 2 7 3 4" xfId="26073"/>
    <cellStyle name="Afjusted 2 5 3 4" xfId="26074"/>
    <cellStyle name="Bold/Border 2 7 3 4" xfId="26075"/>
    <cellStyle name="COL HEADINGS 2 7 3 4" xfId="26076"/>
    <cellStyle name="Date [mmm-yyyy] 2 6 3 4" xfId="26077"/>
    <cellStyle name="dp*NumberLine 2 6 3 4" xfId="26078"/>
    <cellStyle name="dp*NumberLineEPS 2 6 3 4" xfId="26079"/>
    <cellStyle name="dp*SheetSubTitle 2 6 3 4" xfId="26080"/>
    <cellStyle name="Heading [Helv] 2 7 3 4" xfId="26081"/>
    <cellStyle name="Heading [Palat] 2 7 3 4" xfId="26082"/>
    <cellStyle name="Magic 2 6 3 4" xfId="26083"/>
    <cellStyle name="Outputs 2 7 3 4" xfId="26084"/>
    <cellStyle name="Table Head Aligned 2 6 3 4" xfId="26085"/>
    <cellStyle name="Table Head Green 2 7 3 4" xfId="26086"/>
    <cellStyle name="Title [Helv] 2 6 3 4" xfId="26087"/>
    <cellStyle name="Title [Palat] 2 7 3 4" xfId="26088"/>
    <cellStyle name="Date [mm-d-yyyy] 3 6 3 4" xfId="26089"/>
    <cellStyle name="Style 51 4 6 3 4" xfId="26090"/>
    <cellStyle name="Style 49 4 6 3 4" xfId="26091"/>
    <cellStyle name="Style 45 4 6 3 4" xfId="26092"/>
    <cellStyle name="Style 44 4 6 3 4" xfId="26093"/>
    <cellStyle name="P-Green Rule 3 6 3 4" xfId="26094"/>
    <cellStyle name="PB Table Standard Row 3 6 3 4" xfId="26095"/>
    <cellStyle name="dp*ThinLineBelow 3 6 3 4" xfId="26096"/>
    <cellStyle name="dp*SubTitle 3 6 3 4" xfId="26097"/>
    <cellStyle name="Border Thin 3 6 3 4" xfId="26098"/>
    <cellStyle name="Afjusted 4 6 3 4" xfId="26099"/>
    <cellStyle name="ac 2 2 5 3 4" xfId="26100"/>
    <cellStyle name="Afjusted 2 2 6 3 4" xfId="26101"/>
    <cellStyle name="Bold/Border 2 2 5 3 4" xfId="26102"/>
    <cellStyle name="COL HEADINGS 2 2 5 3 4" xfId="26103"/>
    <cellStyle name="Date [mmm-yyyy] 2 2 5 3 4" xfId="26104"/>
    <cellStyle name="dp*NumberLine 2 2 5 3 4" xfId="26105"/>
    <cellStyle name="dp*NumberLineEPS 2 2 5 3 4" xfId="26106"/>
    <cellStyle name="dp*SheetSubTitle 2 2 5 3 4" xfId="26107"/>
    <cellStyle name="Heading [Helv] 2 2 5 3 4" xfId="26108"/>
    <cellStyle name="Heading [Palat] 2 2 5 3 4" xfId="26109"/>
    <cellStyle name="Magic 2 2 5 3 4" xfId="26110"/>
    <cellStyle name="Outputs 2 2 5 3 4" xfId="26111"/>
    <cellStyle name="Table Head Aligned 2 2 5 3 4" xfId="26112"/>
    <cellStyle name="Table Head Green 2 2 5 3 4" xfId="26113"/>
    <cellStyle name="Title [Helv] 2 2 5 3 4" xfId="26114"/>
    <cellStyle name="Title [Palat] 2 2 5 3 4" xfId="26115"/>
    <cellStyle name="dp*SubTitle 2 2 2 3 4" xfId="26116"/>
    <cellStyle name="Border Thin 2 2 2 3 4" xfId="26117"/>
    <cellStyle name="Bold/Border 2 2 3 4 2 3 4" xfId="26118"/>
    <cellStyle name="Magic 2 2 3 4 2 3 4" xfId="26119"/>
    <cellStyle name="Title [Helv] 2 2 3 4 2 3 4" xfId="26120"/>
    <cellStyle name="Style 51 2 2 2 3 4" xfId="26121"/>
    <cellStyle name="Style 45 2 2 2 3 4" xfId="26122"/>
    <cellStyle name="Style 49 2 2 2 3 4" xfId="26123"/>
    <cellStyle name="Style 44 2 2 2 3 4" xfId="26124"/>
    <cellStyle name="Style 51 3 2 2 3 4" xfId="26125"/>
    <cellStyle name="Style 49 3 2 2 3 4" xfId="26126"/>
    <cellStyle name="Style 45 3 2 2 3 4" xfId="26127"/>
    <cellStyle name="Style 44 3 2 2 3 4" xfId="26128"/>
    <cellStyle name="P-Green Rule 2 2 2 3 4" xfId="26129"/>
    <cellStyle name="PB Table Standard Row 2 2 2 3 4" xfId="26130"/>
    <cellStyle name="dp*ThinLineBelow 2 2 2 3 4" xfId="26131"/>
    <cellStyle name="dp*ThinLineBelow 2 3 2 3 4" xfId="26132"/>
    <cellStyle name="Style 44 3 3 2 3 4" xfId="26133"/>
    <cellStyle name="COL HEADINGS 2 2 3 4 2 3 4" xfId="26134"/>
    <cellStyle name="Style 49 4 3 4 2 3 4" xfId="26135"/>
    <cellStyle name="Afjusted 3 3 4 2 3 4" xfId="26136"/>
    <cellStyle name="Date [mm-d-yyyy] 3 3 4 2 3 4" xfId="26137"/>
    <cellStyle name="Afjusted 4 3 4 2 3 4" xfId="26138"/>
    <cellStyle name="ac 2 2 3 4 2 3 4" xfId="26139"/>
    <cellStyle name="Afjusted 2 2 3 4 2 3 4" xfId="26140"/>
    <cellStyle name="Date [mmm-yyyy] 2 2 3 4 2 3 4" xfId="26141"/>
    <cellStyle name="dp*NumberLine 2 2 3 4 2 3 4" xfId="26142"/>
    <cellStyle name="dp*NumberLineEPS 2 2 3 4 2 3 4" xfId="26143"/>
    <cellStyle name="dp*SheetSubTitle 2 2 3 4 2 3 4" xfId="26144"/>
    <cellStyle name="Heading [Helv] 2 2 3 4 2 3 4" xfId="26145"/>
    <cellStyle name="Outputs 2 2 3 4 2 3 4" xfId="26146"/>
    <cellStyle name="Table Head Aligned 2 2 3 4 2 3 4" xfId="26147"/>
    <cellStyle name="Title [Palat] 2 2 3 4 2 3 4" xfId="26148"/>
    <cellStyle name="Afjusted 3 5 2 3 4" xfId="26149"/>
    <cellStyle name="Style 45 3 3 2 3 4" xfId="26150"/>
    <cellStyle name="Style 51 3 3 2 3 4" xfId="26151"/>
    <cellStyle name="Style 44 2 3 2 3 4" xfId="26152"/>
    <cellStyle name="Style 45 2 3 2 3 4" xfId="26153"/>
    <cellStyle name="Style 49 2 3 2 3 4" xfId="26154"/>
    <cellStyle name="Border Thin 3 5 2 3 4" xfId="26155"/>
    <cellStyle name="ac 2 2 4 2 3 4" xfId="26156"/>
    <cellStyle name="Afjusted 2 2 5 2 3 4" xfId="26157"/>
    <cellStyle name="Bold/Border 2 2 4 2 3 4" xfId="26158"/>
    <cellStyle name="COL HEADINGS 2 2 4 2 3 4" xfId="26159"/>
    <cellStyle name="Date [mmm-yyyy] 2 2 4 2 3 4" xfId="26160"/>
    <cellStyle name="dp*NumberLine 2 2 4 2 3 4" xfId="26161"/>
    <cellStyle name="dp*NumberLineEPS 2 2 4 2 3 4" xfId="26162"/>
    <cellStyle name="dp*SheetSubTitle 2 2 4 2 3 4" xfId="26163"/>
    <cellStyle name="Heading [Palat] 2 2 4 2 3 4" xfId="26164"/>
    <cellStyle name="Outputs 2 2 4 2 3 4" xfId="26165"/>
    <cellStyle name="Magic 2 2 4 2 3 4" xfId="26166"/>
    <cellStyle name="Title [Helv] 2 2 4 2 3 4" xfId="26167"/>
    <cellStyle name="Title [Palat] 2 2 4 2 3 4" xfId="26168"/>
    <cellStyle name="Title [Palat] 2 2 3 3 2 3 4" xfId="26169"/>
    <cellStyle name="Title [Helv] 2 2 3 3 2 3 4" xfId="26170"/>
    <cellStyle name="Table Head Aligned 2 2 3 3 2 3 4" xfId="26171"/>
    <cellStyle name="Magic 2 2 3 3 2 3 4" xfId="26172"/>
    <cellStyle name="Heading [Helv] 2 2 3 3 2 3 4" xfId="26173"/>
    <cellStyle name="dp*NumberLineEPS 2 2 3 3 2 3 4" xfId="26174"/>
    <cellStyle name="COL HEADINGS 2 2 3 3 2 3 4" xfId="26175"/>
    <cellStyle name="ac 2 2 3 3 2 3 4" xfId="26176"/>
    <cellStyle name="Afjusted 4 3 3 2 3 4" xfId="26177"/>
    <cellStyle name="Border Thin 3 3 3 2 3 4" xfId="26178"/>
    <cellStyle name="PB Table Standard Row 3 3 3 2 3 4" xfId="26179"/>
    <cellStyle name="Style 44 4 3 3 2 3 4" xfId="26180"/>
    <cellStyle name="Style 51 4 3 3 2 3 4" xfId="26181"/>
    <cellStyle name="Afjusted 3 3 3 2 3 4" xfId="26182"/>
    <cellStyle name="Style 49 4 5 2 3 4" xfId="26183"/>
    <cellStyle name="Style 44 4 5 2 3 4" xfId="26184"/>
    <cellStyle name="P-Green Rule 3 5 2 3 4" xfId="26185"/>
    <cellStyle name="dp*SubTitle 3 5 2 3 4" xfId="26186"/>
    <cellStyle name="Afjusted 4 5 2 3 4" xfId="26187"/>
    <cellStyle name="ac 2 3 2 3 4" xfId="26188"/>
    <cellStyle name="Bold/Border 2 3 2 3 4" xfId="26189"/>
    <cellStyle name="COL HEADINGS 2 3 2 3 4" xfId="26190"/>
    <cellStyle name="Date [mmm-yyyy] 2 3 2 3 4" xfId="26191"/>
    <cellStyle name="dp*NumberLine 2 3 2 3 4" xfId="26192"/>
    <cellStyle name="dp*NumberLineEPS 2 3 2 3 4" xfId="26193"/>
    <cellStyle name="dp*SheetSubTitle 2 3 2 3 4" xfId="26194"/>
    <cellStyle name="Heading [Helv] 2 3 2 3 4" xfId="26195"/>
    <cellStyle name="Heading [Palat] 2 3 2 3 4" xfId="26196"/>
    <cellStyle name="Magic 2 3 2 3 4" xfId="26197"/>
    <cellStyle name="Outputs 2 3 2 3 4" xfId="26198"/>
    <cellStyle name="Date [mmm-yyyy] 2 2 3 3 2 3 4" xfId="26199"/>
    <cellStyle name="Afjusted 2 2 3 3 2 3 4" xfId="26200"/>
    <cellStyle name="dp*ThinLineBelow 3 3 3 2 3 4" xfId="26201"/>
    <cellStyle name="Style 49 4 3 3 2 3 4" xfId="26202"/>
    <cellStyle name="Outputs 2 2 3 3 2 3 4" xfId="26203"/>
    <cellStyle name="dp*NumberLine 2 2 3 3 2 3 4" xfId="26204"/>
    <cellStyle name="Bold/Border 2 2 3 3 2 3 4" xfId="26205"/>
    <cellStyle name="dp*SubTitle 3 3 3 2 3 4" xfId="26206"/>
    <cellStyle name="Style 45 4 3 3 2 3 4" xfId="26207"/>
    <cellStyle name="Table Head Aligned 2 3 2 3 4" xfId="26208"/>
    <cellStyle name="Table Head Green 2 3 2 3 4" xfId="26209"/>
    <cellStyle name="Title [Helv] 2 3 2 3 4" xfId="26210"/>
    <cellStyle name="Title [Palat] 2 3 2 3 4" xfId="26211"/>
    <cellStyle name="Style 45 4 3 4 2 3 4" xfId="26212"/>
    <cellStyle name="Style 51 4 3 4 2 3 4" xfId="26213"/>
    <cellStyle name="Afjusted 3 4 2 3 4" xfId="26214"/>
    <cellStyle name="P-Green Rule 3 3 4 2 3 4" xfId="26215"/>
    <cellStyle name="Border Thin 2 3 2 3 4" xfId="26216"/>
    <cellStyle name="Style 49 3 3 2 3 4" xfId="26217"/>
    <cellStyle name="Style 51 2 3 2 3 4" xfId="26218"/>
    <cellStyle name="Heading [Helv] 2 2 4 2 3 4" xfId="26219"/>
    <cellStyle name="Table Head Aligned 2 2 4 2 3 4" xfId="26220"/>
    <cellStyle name="Table Head Green 2 2 4 2 3 4" xfId="26221"/>
    <cellStyle name="Table Head Green 2 2 3 3 2 3 4" xfId="26222"/>
    <cellStyle name="Heading [Palat] 2 2 3 3 2 3 4" xfId="26223"/>
    <cellStyle name="dp*SheetSubTitle 2 2 3 3 2 3 4" xfId="26224"/>
    <cellStyle name="P-Green Rule 3 3 3 2 3 4" xfId="26225"/>
    <cellStyle name="Date [mm-d-yyyy] 3 3 3 2 3 4" xfId="26226"/>
    <cellStyle name="Date [mm-d-yyyy] 3 4 2 3 4" xfId="26227"/>
    <cellStyle name="Style 51 4 4 2 3 4" xfId="26228"/>
    <cellStyle name="Style 49 4 4 2 3 4" xfId="26229"/>
    <cellStyle name="Style 45 4 4 2 3 4" xfId="26230"/>
    <cellStyle name="Style 44 4 4 2 3 4" xfId="26231"/>
    <cellStyle name="dp*ThinLineBelow 3 3 4 2 3 4" xfId="26232"/>
    <cellStyle name="P-Green Rule 3 4 2 3 4" xfId="26233"/>
    <cellStyle name="PB Table Standard Row 3 4 2 2 4" xfId="26234"/>
    <cellStyle name="dp*ThinLineBelow 3 4 2 3 4" xfId="26235"/>
    <cellStyle name="dp*SubTitle 3 4 2 3 4" xfId="26236"/>
    <cellStyle name="dp*SubTitle 3 3 4 2 3 4" xfId="26237"/>
    <cellStyle name="Border Thin 3 4 2 3 4" xfId="26238"/>
    <cellStyle name="Border Thin 3 3 4 2 3 4" xfId="26239"/>
    <cellStyle name="Afjusted 4 4 2 3 4" xfId="26240"/>
    <cellStyle name="Afjusted 2 2 4 2 3 4" xfId="26241"/>
    <cellStyle name="Style 44 4 3 4 2 3 4" xfId="26242"/>
    <cellStyle name="PB Table Standard Row 3 3 4 2 3 4" xfId="26243"/>
    <cellStyle name="Title [Palat] 2 2 3 5 3 4" xfId="26244"/>
    <cellStyle name="Title [Helv] 2 2 3 5 3 4" xfId="26245"/>
    <cellStyle name="Table Head Green 2 2 3 5 3 4" xfId="26246"/>
    <cellStyle name="Table Head Aligned 2 2 3 5 3 4" xfId="26247"/>
    <cellStyle name="Outputs 2 2 3 5 3 4" xfId="26248"/>
    <cellStyle name="Magic 2 2 3 5 3 4" xfId="26249"/>
    <cellStyle name="Heading [Palat] 2 2 3 5 3 4" xfId="26250"/>
    <cellStyle name="Heading [Helv] 2 2 3 5 3 4" xfId="26251"/>
    <cellStyle name="dp*SheetSubTitle 2 2 3 5 3 4" xfId="26252"/>
    <cellStyle name="dp*NumberLineEPS 2 2 3 5 3 4" xfId="26253"/>
    <cellStyle name="dp*NumberLine 2 2 3 5 3 4" xfId="26254"/>
    <cellStyle name="Date [mmm-yyyy] 2 2 3 5 3 4" xfId="26255"/>
    <cellStyle name="COL HEADINGS 2 2 3 5 3 4" xfId="26256"/>
    <cellStyle name="Bold/Border 2 2 3 5 3 4" xfId="26257"/>
    <cellStyle name="Afjusted 2 2 3 5 3 4" xfId="26258"/>
    <cellStyle name="ac 2 2 3 5 3 4" xfId="26259"/>
    <cellStyle name="Afjusted 4 3 5 3 4" xfId="26260"/>
    <cellStyle name="Border Thin 3 3 5 3 4" xfId="26261"/>
    <cellStyle name="dp*SubTitle 3 3 5 3 4" xfId="26262"/>
    <cellStyle name="dp*ThinLineBelow 3 3 5 3 4" xfId="26263"/>
    <cellStyle name="PB Table Standard Row 3 3 5 3 4" xfId="26264"/>
    <cellStyle name="P-Green Rule 3 3 5 3 4" xfId="26265"/>
    <cellStyle name="Style 44 4 3 5 3 4" xfId="26266"/>
    <cellStyle name="Style 45 4 3 5 3 4" xfId="26267"/>
    <cellStyle name="Style 49 4 3 5 3 4" xfId="26268"/>
    <cellStyle name="Style 51 4 3 5 3 4" xfId="26269"/>
    <cellStyle name="Date [mm-d-yyyy] 3 3 5 3 4" xfId="26270"/>
    <cellStyle name="Afjusted 3 3 5 3 4" xfId="26271"/>
    <cellStyle name="Date [mm-d-yyyy] 2 2 4 3 4" xfId="26272"/>
    <cellStyle name="Afjusted 3 2 5 3 4" xfId="26273"/>
    <cellStyle name="Date [mm-d-yyyy] 3 2 5 3 4" xfId="26274"/>
    <cellStyle name="Style 51 4 2 5 3 4" xfId="26275"/>
    <cellStyle name="Style 49 4 2 5 3 4" xfId="26276"/>
    <cellStyle name="Style 45 4 2 5 3 4" xfId="26277"/>
    <cellStyle name="Style 44 4 2 5 3 4" xfId="26278"/>
    <cellStyle name="P-Green Rule 3 2 5 3 4" xfId="26279"/>
    <cellStyle name="PB Table Standard Row 3 2 5 2 4" xfId="26280"/>
    <cellStyle name="dp*ThinLineBelow 3 2 5 3 4" xfId="26281"/>
    <cellStyle name="dp*SubTitle 3 2 5 3 4" xfId="26282"/>
    <cellStyle name="Border Thin 3 2 5 3 4" xfId="26283"/>
    <cellStyle name="Afjusted 4 2 5 3 4" xfId="26284"/>
    <cellStyle name="ac 2 2 2 5 3 4" xfId="26285"/>
    <cellStyle name="Afjusted 2 2 2 5 3 4" xfId="26286"/>
    <cellStyle name="Bold/Border 2 2 2 5 3 4" xfId="26287"/>
    <cellStyle name="COL HEADINGS 2 2 2 5 3 4" xfId="26288"/>
    <cellStyle name="Date [mmm-yyyy] 2 2 2 5 3 4" xfId="26289"/>
    <cellStyle name="dp*NumberLine 2 2 2 5 3 4" xfId="26290"/>
    <cellStyle name="dp*NumberLineEPS 2 2 2 5 3 4" xfId="26291"/>
    <cellStyle name="dp*SheetSubTitle 2 2 2 5 3 4" xfId="26292"/>
    <cellStyle name="Heading [Helv] 2 2 2 5 3 4" xfId="26293"/>
    <cellStyle name="Heading [Palat] 2 2 2 5 3 4" xfId="26294"/>
    <cellStyle name="Magic 2 2 2 5 3 4" xfId="26295"/>
    <cellStyle name="Outputs 2 2 2 5 3 4" xfId="26296"/>
    <cellStyle name="Table Head Aligned 2 2 2 5 3 4" xfId="26297"/>
    <cellStyle name="Table Head Green 2 2 2 5 3 4" xfId="26298"/>
    <cellStyle name="Title [Helv] 2 2 2 5 3 4" xfId="26299"/>
    <cellStyle name="Title [Palat] 2 2 2 5 3 4" xfId="26300"/>
    <cellStyle name="Table Head Green 2 2 3 4 2 3 4" xfId="26301"/>
    <cellStyle name="Heading [Palat] 2 2 3 4 2 3 4" xfId="26302"/>
    <cellStyle name="PB Table Standard Row 2 3 2 3 4" xfId="26303"/>
    <cellStyle name="P-Green Rule 2 3 2 3 4" xfId="26304"/>
    <cellStyle name="Title [Palat] 2 2 3 2 2 3 4" xfId="26305"/>
    <cellStyle name="Title [Helv] 2 2 3 2 2 3 4" xfId="26306"/>
    <cellStyle name="Table Head Green 2 2 3 2 2 3 4" xfId="26307"/>
    <cellStyle name="Table Head Aligned 2 2 3 2 2 3 4" xfId="26308"/>
    <cellStyle name="Outputs 2 2 3 2 2 3 4" xfId="26309"/>
    <cellStyle name="Magic 2 2 3 2 2 3 4" xfId="26310"/>
    <cellStyle name="Heading [Palat] 2 2 3 2 2 3 4" xfId="26311"/>
    <cellStyle name="Heading [Helv] 2 2 3 2 2 3 4" xfId="26312"/>
    <cellStyle name="dp*SheetSubTitle 2 2 3 2 2 3 4" xfId="26313"/>
    <cellStyle name="dp*NumberLineEPS 2 2 3 2 2 3 4" xfId="26314"/>
    <cellStyle name="dp*NumberLine 2 2 3 2 2 3 4" xfId="26315"/>
    <cellStyle name="Date [mmm-yyyy] 2 2 3 2 2 3 4" xfId="26316"/>
    <cellStyle name="COL HEADINGS 2 2 3 2 2 3 4" xfId="26317"/>
    <cellStyle name="Bold/Border 2 2 3 2 2 3 4" xfId="26318"/>
    <cellStyle name="Afjusted 2 2 3 2 2 3 4" xfId="26319"/>
    <cellStyle name="ac 2 2 3 2 2 3 4" xfId="26320"/>
    <cellStyle name="Afjusted 4 3 2 2 3 4" xfId="26321"/>
    <cellStyle name="Border Thin 3 3 2 2 3 4" xfId="26322"/>
    <cellStyle name="dp*SubTitle 3 3 2 2 3 4" xfId="26323"/>
    <cellStyle name="dp*ThinLineBelow 3 3 2 2 3 4" xfId="26324"/>
    <cellStyle name="PB Table Standard Row 3 3 2 2 3 4" xfId="26325"/>
    <cellStyle name="P-Green Rule 3 3 2 2 3 4" xfId="26326"/>
    <cellStyle name="Style 44 4 3 2 2 3 4" xfId="26327"/>
    <cellStyle name="Style 45 4 3 2 2 3 4" xfId="26328"/>
    <cellStyle name="Style 49 4 3 2 2 3 4" xfId="26329"/>
    <cellStyle name="Style 51 4 3 2 2 3 4" xfId="26330"/>
    <cellStyle name="Date [mm-d-yyyy] 3 3 2 2 3 4" xfId="26331"/>
    <cellStyle name="Afjusted 3 3 2 2 3 4" xfId="26332"/>
    <cellStyle name="Date [mm-d-yyyy] 3 5 2 3 4" xfId="26333"/>
    <cellStyle name="dp*SubTitle 2 3 2 3 4" xfId="26334"/>
    <cellStyle name="Date [mm-d-yyyy] 2 2 2 2 3 4" xfId="26335"/>
    <cellStyle name="Afjusted 3 2 2 2 3 4" xfId="26336"/>
    <cellStyle name="PB Table Standard Row 3 5 2 3 4" xfId="26337"/>
    <cellStyle name="Date [mm-d-yyyy] 3 2 2 2 3 4" xfId="26338"/>
    <cellStyle name="Style 51 4 2 2 2 3 4" xfId="26339"/>
    <cellStyle name="Style 49 4 2 2 2 3 4" xfId="26340"/>
    <cellStyle name="Style 45 4 2 2 2 3 4" xfId="26341"/>
    <cellStyle name="Style 44 4 2 2 2 3 4" xfId="26342"/>
    <cellStyle name="Style 45 4 5 2 3 4" xfId="26343"/>
    <cellStyle name="P-Green Rule 3 2 2 2 3 4" xfId="26344"/>
    <cellStyle name="PB Table Standard Row 3 2 2 2 3 4" xfId="26345"/>
    <cellStyle name="dp*ThinLineBelow 3 2 2 2 3 4" xfId="26346"/>
    <cellStyle name="dp*SubTitle 3 2 2 2 3 4" xfId="26347"/>
    <cellStyle name="Style 51 4 5 2 3 4" xfId="26348"/>
    <cellStyle name="Border Thin 3 2 2 2 3 4" xfId="26349"/>
    <cellStyle name="Afjusted 4 2 2 2 3 4" xfId="26350"/>
    <cellStyle name="ac 2 2 2 2 2 3 4" xfId="26351"/>
    <cellStyle name="Afjusted 2 2 2 2 2 3 4" xfId="26352"/>
    <cellStyle name="Bold/Border 2 2 2 2 2 3 4" xfId="26353"/>
    <cellStyle name="COL HEADINGS 2 2 2 2 2 3 4" xfId="26354"/>
    <cellStyle name="Date [mmm-yyyy] 2 2 2 2 2 3 4" xfId="26355"/>
    <cellStyle name="dp*NumberLine 2 2 2 2 2 3 4" xfId="26356"/>
    <cellStyle name="dp*NumberLineEPS 2 2 2 2 2 3 4" xfId="26357"/>
    <cellStyle name="dp*SheetSubTitle 2 2 2 2 2 3 4" xfId="26358"/>
    <cellStyle name="Heading [Helv] 2 2 2 2 2 3 4" xfId="26359"/>
    <cellStyle name="Heading [Palat] 2 2 2 2 2 3 4" xfId="26360"/>
    <cellStyle name="Magic 2 2 2 2 2 3 4" xfId="26361"/>
    <cellStyle name="Outputs 2 2 2 2 2 3 4" xfId="26362"/>
    <cellStyle name="Table Head Aligned 2 2 2 2 2 3 4" xfId="26363"/>
    <cellStyle name="Table Head Green 2 2 2 2 2 3 4" xfId="26364"/>
    <cellStyle name="Title [Helv] 2 2 2 2 2 3 4" xfId="26365"/>
    <cellStyle name="Title [Palat] 2 2 2 2 2 3 4" xfId="26366"/>
    <cellStyle name="dp*ThinLineBelow 3 5 2 3 4" xfId="26367"/>
    <cellStyle name="Date [mm-d-yyyy] 2 2 3 2 3 4" xfId="26368"/>
    <cellStyle name="Afjusted 3 2 3 2 3 4" xfId="26369"/>
    <cellStyle name="Date [mm-d-yyyy] 3 2 3 2 3 4" xfId="26370"/>
    <cellStyle name="Style 51 4 2 3 2 3 4" xfId="26371"/>
    <cellStyle name="Style 49 4 2 3 2 3 4" xfId="26372"/>
    <cellStyle name="Style 45 4 2 3 2 3 4" xfId="26373"/>
    <cellStyle name="Style 44 4 2 3 2 3 4" xfId="26374"/>
    <cellStyle name="P-Green Rule 3 2 3 2 3 4" xfId="26375"/>
    <cellStyle name="PB Table Standard Row 3 2 3 2 3 4" xfId="26376"/>
    <cellStyle name="dp*ThinLineBelow 3 2 3 2 3 4" xfId="26377"/>
    <cellStyle name="dp*SubTitle 3 2 3 2 3 4" xfId="26378"/>
    <cellStyle name="Border Thin 3 2 3 2 3 4" xfId="26379"/>
    <cellStyle name="Afjusted 4 2 3 2 3 4" xfId="26380"/>
    <cellStyle name="ac 2 2 2 3 2 3 4" xfId="26381"/>
    <cellStyle name="Afjusted 2 2 2 3 2 3 4" xfId="26382"/>
    <cellStyle name="Bold/Border 2 2 2 3 2 3 4" xfId="26383"/>
    <cellStyle name="COL HEADINGS 2 2 2 3 2 3 4" xfId="26384"/>
    <cellStyle name="Date [mmm-yyyy] 2 2 2 3 2 3 4" xfId="26385"/>
    <cellStyle name="dp*NumberLine 2 2 2 3 2 3 4" xfId="26386"/>
    <cellStyle name="dp*NumberLineEPS 2 2 2 3 2 3 4" xfId="26387"/>
    <cellStyle name="dp*SheetSubTitle 2 2 2 3 2 3 4" xfId="26388"/>
    <cellStyle name="Heading [Helv] 2 2 2 3 2 3 4" xfId="26389"/>
    <cellStyle name="Heading [Palat] 2 2 2 3 2 3 4" xfId="26390"/>
    <cellStyle name="Magic 2 2 2 3 2 3 4" xfId="26391"/>
    <cellStyle name="Outputs 2 2 2 3 2 3 4" xfId="26392"/>
    <cellStyle name="Table Head Aligned 2 2 2 3 2 3 4" xfId="26393"/>
    <cellStyle name="Table Head Green 2 2 2 3 2 3 4" xfId="26394"/>
    <cellStyle name="Title [Helv] 2 2 2 3 2 3 4" xfId="26395"/>
    <cellStyle name="Title [Palat] 2 2 2 3 2 3 4" xfId="26396"/>
    <cellStyle name="Afjusted 3 2 4 2 3 4" xfId="26397"/>
    <cellStyle name="Date [mm-d-yyyy] 3 2 4 2 3 4" xfId="26398"/>
    <cellStyle name="Style 51 4 2 4 2 3 4" xfId="26399"/>
    <cellStyle name="Style 49 4 2 4 2 3 4" xfId="26400"/>
    <cellStyle name="Style 45 4 2 4 2 3 4" xfId="26401"/>
    <cellStyle name="Style 44 4 2 4 2 3 4" xfId="26402"/>
    <cellStyle name="P-Green Rule 3 2 4 2 3 4" xfId="26403"/>
    <cellStyle name="PB Table Standard Row 3 2 4 2 3 4" xfId="26404"/>
    <cellStyle name="dp*ThinLineBelow 3 2 4 2 3 4" xfId="26405"/>
    <cellStyle name="dp*SubTitle 3 2 4 2 3 4" xfId="26406"/>
    <cellStyle name="Border Thin 3 2 4 2 3 4" xfId="26407"/>
    <cellStyle name="Afjusted 4 2 4 2 3 4" xfId="26408"/>
    <cellStyle name="ac 2 2 2 4 2 3 4" xfId="26409"/>
    <cellStyle name="Afjusted 2 2 2 4 2 3 4" xfId="26410"/>
    <cellStyle name="Bold/Border 2 2 2 4 2 3 4" xfId="26411"/>
    <cellStyle name="COL HEADINGS 2 2 2 4 2 3 4" xfId="26412"/>
    <cellStyle name="Date [mmm-yyyy] 2 2 2 4 2 3 4" xfId="26413"/>
    <cellStyle name="dp*NumberLine 2 2 2 4 2 3 4" xfId="26414"/>
    <cellStyle name="dp*NumberLineEPS 2 2 2 4 2 3 4" xfId="26415"/>
    <cellStyle name="dp*SheetSubTitle 2 2 2 4 2 3 4" xfId="26416"/>
    <cellStyle name="Heading [Helv] 2 2 2 4 2 3 4" xfId="26417"/>
    <cellStyle name="Heading [Palat] 2 2 2 4 2 3 4" xfId="26418"/>
    <cellStyle name="Magic 2 2 2 4 2 3 4" xfId="26419"/>
    <cellStyle name="Outputs 2 2 2 4 2 3 4" xfId="26420"/>
    <cellStyle name="Table Head Aligned 2 2 2 4 2 3 4" xfId="26421"/>
    <cellStyle name="Table Head Green 2 2 2 4 2 3 4" xfId="26422"/>
    <cellStyle name="Title [Helv] 2 2 2 4 2 3 4" xfId="26423"/>
    <cellStyle name="Title [Palat] 2 2 2 4 2 3 4" xfId="26424"/>
    <cellStyle name="Border Thin 4 2 3 4" xfId="26425"/>
    <cellStyle name="Date [mm-d-yyyy] 4 2 3 4" xfId="26426"/>
    <cellStyle name="dp*SubTitle 4 2 3 4" xfId="26427"/>
    <cellStyle name="dp*ThinLineBelow 4 2 3 4" xfId="26428"/>
    <cellStyle name="PB Table Standard Row 4 2 3 4" xfId="26429"/>
    <cellStyle name="P-Green Rule 4 2 3 4" xfId="26430"/>
    <cellStyle name="Style 44 5 2 3 4" xfId="26431"/>
    <cellStyle name="Style 45 5 2 3 4" xfId="26432"/>
    <cellStyle name="Style 49 5 2 3 4" xfId="26433"/>
    <cellStyle name="Style 51 5 2 3 4" xfId="26434"/>
    <cellStyle name="Title [Palat] 3 2 3 4" xfId="26435"/>
    <cellStyle name="Title [Helv] 3 2 3 4" xfId="26436"/>
    <cellStyle name="Table Head Green 3 2 3 4" xfId="26437"/>
    <cellStyle name="Table Head Aligned 3 2 3 4" xfId="26438"/>
    <cellStyle name="Outputs 3 2 3 4" xfId="26439"/>
    <cellStyle name="Magic 3 2 3 4" xfId="26440"/>
    <cellStyle name="Heading [Palat] 3 2 3 4" xfId="26441"/>
    <cellStyle name="Heading [Helv] 3 2 3 4" xfId="26442"/>
    <cellStyle name="dp*SheetSubTitle 3 2 3 4" xfId="26443"/>
    <cellStyle name="dp*NumberLineEPS 3 2 3 4" xfId="26444"/>
    <cellStyle name="dp*NumberLine 3 2 3 4" xfId="26445"/>
    <cellStyle name="COL HEADINGS 3 2 3 4" xfId="26446"/>
    <cellStyle name="Bold/Border 3 2 3 4" xfId="26447"/>
    <cellStyle name="Afjusted 5 2 3 4" xfId="26448"/>
    <cellStyle name="ac 3 2 3 4" xfId="26449"/>
    <cellStyle name="Date [mmm-yyyy] 3 2 3 4" xfId="26450"/>
    <cellStyle name="ac 2 4 2 3 4" xfId="26451"/>
    <cellStyle name="Afjusted 2 3 2 3 4" xfId="26452"/>
    <cellStyle name="Bold/Border 2 4 2 3 4" xfId="26453"/>
    <cellStyle name="Border Thin 2 4 2 3 4" xfId="26454"/>
    <cellStyle name="COL HEADINGS 2 4 2 3 4" xfId="26455"/>
    <cellStyle name="Date [mmm-yyyy] 2 4 2 3 4" xfId="26456"/>
    <cellStyle name="dp*NumberLine 2 4 2 3 4" xfId="26457"/>
    <cellStyle name="dp*NumberLineEPS 2 4 2 3 4" xfId="26458"/>
    <cellStyle name="dp*SheetSubTitle 2 4 2 3 4" xfId="26459"/>
    <cellStyle name="dp*SubTitle 2 4 2 3 4" xfId="26460"/>
    <cellStyle name="dp*ThinLineBelow 2 4 2 3 4" xfId="26461"/>
    <cellStyle name="Heading [Helv] 2 4 2 3 4" xfId="26462"/>
    <cellStyle name="Heading [Palat] 2 4 2 3 4" xfId="26463"/>
    <cellStyle name="Magic 2 4 2 3 4" xfId="26464"/>
    <cellStyle name="Outputs 2 4 2 3 4" xfId="26465"/>
    <cellStyle name="PB Table Standard Row 2 4 2 3 4" xfId="26466"/>
    <cellStyle name="P-Green Rule 2 4 2 3 4" xfId="26467"/>
    <cellStyle name="Style 44 3 4 2 3 4" xfId="26468"/>
    <cellStyle name="Style 45 3 4 2 3 4" xfId="26469"/>
    <cellStyle name="Style 49 3 4 2 3 4" xfId="26470"/>
    <cellStyle name="Style 51 3 4 2 3 4" xfId="26471"/>
    <cellStyle name="Style 44 2 4 2 3 4" xfId="26472"/>
    <cellStyle name="Style 45 2 4 2 3 4" xfId="26473"/>
    <cellStyle name="Style 49 2 4 2 3 4" xfId="26474"/>
    <cellStyle name="Style 51 2 4 2 3 4" xfId="26475"/>
    <cellStyle name="Table Head Aligned 2 4 2 3 4" xfId="26476"/>
    <cellStyle name="Table Head Green 2 4 2 3 4" xfId="26477"/>
    <cellStyle name="Title [Helv] 2 4 2 3 4" xfId="26478"/>
    <cellStyle name="Title [Palat] 2 4 2 3 4" xfId="26479"/>
    <cellStyle name="ac 4 2 3 4" xfId="26480"/>
    <cellStyle name="Bold/Border 4 2 3 4" xfId="26481"/>
    <cellStyle name="Border Thin 5 2 3 4" xfId="26482"/>
    <cellStyle name="COL HEADINGS 4 2 3 4" xfId="26483"/>
    <cellStyle name="Date [mm-d-yyyy] 5 2 3 4" xfId="26484"/>
    <cellStyle name="Heading [Helv] 4 2 3 4" xfId="26485"/>
    <cellStyle name="Heading [Palat] 4 2 3 4" xfId="26486"/>
    <cellStyle name="Outputs 4 2 3 4" xfId="26487"/>
    <cellStyle name="PB Table Standard Row 5 2 3 4" xfId="26488"/>
    <cellStyle name="P-Green Rule 5 2 3 4" xfId="26489"/>
    <cellStyle name="Style 44 6 2 3 4" xfId="26490"/>
    <cellStyle name="Style 45 6 2 3 4" xfId="26491"/>
    <cellStyle name="Style 49 6 2 3 4" xfId="26492"/>
    <cellStyle name="Style 51 6 2 3 4" xfId="26493"/>
    <cellStyle name="Table Head Green 4 2 3 4" xfId="26494"/>
    <cellStyle name="Afjusted 6 2 3 4" xfId="26495"/>
    <cellStyle name="ac 2 5 2 3 4" xfId="26496"/>
    <cellStyle name="Afjusted 2 4 2 3 4" xfId="26497"/>
    <cellStyle name="Bold/Border 2 5 2 3 4" xfId="26498"/>
    <cellStyle name="Border Thin 2 5 2 3 4" xfId="26499"/>
    <cellStyle name="COL HEADINGS 2 5 2 3 4" xfId="26500"/>
    <cellStyle name="Date [mmm-yyyy] 2 5 2 3 4" xfId="26501"/>
    <cellStyle name="dp*NumberLine 2 5 2 3 4" xfId="26502"/>
    <cellStyle name="dp*NumberLineEPS 2 5 2 3 4" xfId="26503"/>
    <cellStyle name="dp*SheetSubTitle 2 5 2 3 4" xfId="26504"/>
    <cellStyle name="dp*SubTitle 2 5 2 3 4" xfId="26505"/>
    <cellStyle name="dp*ThinLineBelow 2 5 2 3 4" xfId="26506"/>
    <cellStyle name="Heading [Helv] 2 5 2 3 4" xfId="26507"/>
    <cellStyle name="Heading [Palat] 2 5 2 3 4" xfId="26508"/>
    <cellStyle name="Magic 2 5 2 3 4" xfId="26509"/>
    <cellStyle name="Outputs 2 5 2 3 4" xfId="26510"/>
    <cellStyle name="PB Table Standard Row 2 5 2 3 4" xfId="26511"/>
    <cellStyle name="P-Green Rule 2 5 2 3 4" xfId="26512"/>
    <cellStyle name="Style 44 3 5 2 3 4" xfId="26513"/>
    <cellStyle name="Style 45 3 5 2 3 4" xfId="26514"/>
    <cellStyle name="Style 49 3 5 2 3 4" xfId="26515"/>
    <cellStyle name="Style 51 3 5 2 3 4" xfId="26516"/>
    <cellStyle name="Style 44 2 5 2 3 4" xfId="26517"/>
    <cellStyle name="Style 45 2 5 2 3 4" xfId="26518"/>
    <cellStyle name="Style 49 2 5 2 3 4" xfId="26519"/>
    <cellStyle name="Style 51 2 5 2 3 4" xfId="26520"/>
    <cellStyle name="Table Head Aligned 2 5 2 3 4" xfId="26521"/>
    <cellStyle name="Table Head Green 2 5 2 3 4" xfId="26522"/>
    <cellStyle name="Title [Helv] 2 5 2 3 4" xfId="26523"/>
    <cellStyle name="Title [Palat] 2 5 2 3 4" xfId="26524"/>
    <cellStyle name="ac 5 2 3 4" xfId="26525"/>
    <cellStyle name="Bold/Border 5 2 3 4" xfId="26526"/>
    <cellStyle name="Border Thin 6 2 3 4" xfId="26527"/>
    <cellStyle name="COL HEADINGS 5 2 3 4" xfId="26528"/>
    <cellStyle name="Heading [Helv] 5 2 3 4" xfId="26529"/>
    <cellStyle name="Heading [Palat] 5 2 3 4" xfId="26530"/>
    <cellStyle name="Outputs 5 2 3 4" xfId="26531"/>
    <cellStyle name="PB Table Standard Row 6 2 3 4" xfId="26532"/>
    <cellStyle name="P-Green Rule 6 2 3 4" xfId="26533"/>
    <cellStyle name="Style 44 7 2 3 4" xfId="26534"/>
    <cellStyle name="Style 45 7 2 3 4" xfId="26535"/>
    <cellStyle name="Style 49 7 2 3 4" xfId="26536"/>
    <cellStyle name="Style 51 7 2 3 4" xfId="26537"/>
    <cellStyle name="Table Head Green 5 2 3 4" xfId="26538"/>
    <cellStyle name="Title [Palat] 4 2 3 4" xfId="26539"/>
    <cellStyle name="ac 2 6 2 3 4" xfId="26540"/>
    <cellStyle name="Bold/Border 2 6 2 3 4" xfId="26541"/>
    <cellStyle name="Border Thin 2 6 2 3 4" xfId="26542"/>
    <cellStyle name="COL HEADINGS 2 6 2 3 4" xfId="26543"/>
    <cellStyle name="Heading [Helv] 2 6 2 3 4" xfId="26544"/>
    <cellStyle name="Heading [Palat] 2 6 2 3 4" xfId="26545"/>
    <cellStyle name="Outputs 2 6 2 3 4" xfId="26546"/>
    <cellStyle name="PB Table Standard Row 2 6 2 3 4" xfId="26547"/>
    <cellStyle name="P-Green Rule 2 6 2 3 4" xfId="26548"/>
    <cellStyle name="Style 44 3 6 2 3 4" xfId="26549"/>
    <cellStyle name="Style 45 3 6 2 3 4" xfId="26550"/>
    <cellStyle name="Style 49 3 6 2 3 4" xfId="26551"/>
    <cellStyle name="Style 51 3 6 2 3 4" xfId="26552"/>
    <cellStyle name="Style 44 2 6 2 3 4" xfId="26553"/>
    <cellStyle name="Style 45 2 6 2 3 4" xfId="26554"/>
    <cellStyle name="Style 49 2 6 2 3 4" xfId="26555"/>
    <cellStyle name="Style 51 2 6 2 3 4" xfId="26556"/>
    <cellStyle name="Table Head Green 2 6 2 3 4" xfId="26557"/>
    <cellStyle name="Title [Palat] 2 6 2 3 4" xfId="26558"/>
    <cellStyle name="Title [Palat] 5 2 3 4" xfId="26559"/>
    <cellStyle name="Title [Helv] 4 2 3 4" xfId="26560"/>
    <cellStyle name="Table Head Green 6 2 3 4" xfId="26561"/>
    <cellStyle name="Table Head Aligned 4 2 3 4" xfId="26562"/>
    <cellStyle name="Style 51 9 2 3 4" xfId="26563"/>
    <cellStyle name="Style 49 9 2 3 4" xfId="26564"/>
    <cellStyle name="Style 45 9 2 3 4" xfId="26565"/>
    <cellStyle name="Style 44 9 2 3 4" xfId="26566"/>
    <cellStyle name="P-Green Rule 7 2 3 4" xfId="26567"/>
    <cellStyle name="PB Table Standard Row 7 2 3 4" xfId="26568"/>
    <cellStyle name="Outputs 6 2 3 4" xfId="26569"/>
    <cellStyle name="Magic 4 2 3 4" xfId="26570"/>
    <cellStyle name="Heading [Palat] 6 2 3 4" xfId="26571"/>
    <cellStyle name="Heading [Helv] 6 2 3 4" xfId="26572"/>
    <cellStyle name="dp*ThinLineBelow 5 2 3 4" xfId="26573"/>
    <cellStyle name="dp*SubTitle 5 2 3 4" xfId="26574"/>
    <cellStyle name="dp*SheetSubTitle 4 2 3 4" xfId="26575"/>
    <cellStyle name="dp*NumberLineEPS 4 2 3 4" xfId="26576"/>
    <cellStyle name="dp*NumberLine 4 2 3 4" xfId="26577"/>
    <cellStyle name="Date [mmm-yyyy] 4 2 3 4" xfId="26578"/>
    <cellStyle name="Date [mm-d-yyyy] 7 2 3 4" xfId="26579"/>
    <cellStyle name="COL HEADINGS 6 2 3 4" xfId="26580"/>
    <cellStyle name="Border Thin 7 2 3 4" xfId="26581"/>
    <cellStyle name="Bold/Border 6 2 3 4" xfId="26582"/>
    <cellStyle name="Afjusted 7 2 3 4" xfId="26583"/>
    <cellStyle name="ac 6 2 3 4" xfId="26584"/>
    <cellStyle name="Style 44 8 2 3 4" xfId="26585"/>
    <cellStyle name="Style 45 8 2 3 4" xfId="26586"/>
    <cellStyle name="Style 49 8 2 3 4" xfId="26587"/>
    <cellStyle name="Style 51 8 2 3 4" xfId="26588"/>
    <cellStyle name="Title [Palat] 6 2 3 4" xfId="26589"/>
    <cellStyle name="Title [Helv] 5 2 3 4" xfId="26590"/>
    <cellStyle name="Table Head Green 7 2 3 4" xfId="26591"/>
    <cellStyle name="Table Head Aligned 5 2 3 4" xfId="26592"/>
    <cellStyle name="Outputs 7 2 3 4" xfId="26593"/>
    <cellStyle name="Magic 5 2 3 4" xfId="26594"/>
    <cellStyle name="Heading [Palat] 7 2 3 4" xfId="26595"/>
    <cellStyle name="Heading [Helv] 7 2 3 4" xfId="26596"/>
    <cellStyle name="dp*SheetSubTitle 5 2 3 4" xfId="26597"/>
    <cellStyle name="dp*NumberLineEPS 5 2 3 4" xfId="26598"/>
    <cellStyle name="dp*NumberLine 5 2 3 4" xfId="26599"/>
    <cellStyle name="Date [mmm-yyyy] 5 2 3 4" xfId="26600"/>
    <cellStyle name="COL HEADINGS 7 2 3 4" xfId="26601"/>
    <cellStyle name="Bold/Border 7 2 3 4" xfId="26602"/>
    <cellStyle name="Afjusted 8 2 3 4" xfId="26603"/>
    <cellStyle name="ac 7 2 3 4" xfId="26604"/>
    <cellStyle name="Title [Palat] 7 2 3 4" xfId="26605"/>
    <cellStyle name="Title [Helv] 6 2 3 4" xfId="26606"/>
    <cellStyle name="Table Head Green 8 2 3 4" xfId="26607"/>
    <cellStyle name="Table Head Aligned 6 2 3 4" xfId="26608"/>
    <cellStyle name="Outputs 8 2 3 4" xfId="26609"/>
    <cellStyle name="Magic 6 2 3 4" xfId="26610"/>
    <cellStyle name="Heading [Palat] 8 2 3 4" xfId="26611"/>
    <cellStyle name="Heading [Helv] 8 2 3 4" xfId="26612"/>
    <cellStyle name="dp*SheetSubTitle 6 2 3 4" xfId="26613"/>
    <cellStyle name="dp*NumberLineEPS 6 2 3 4" xfId="26614"/>
    <cellStyle name="dp*NumberLine 6 2 3 4" xfId="26615"/>
    <cellStyle name="COL HEADINGS 8 2 3 4" xfId="26616"/>
    <cellStyle name="Bold/Border 8 2 3 4" xfId="26617"/>
    <cellStyle name="Afjusted 9 2 3 4" xfId="26618"/>
    <cellStyle name="ac 8 2 3 4" xfId="26619"/>
    <cellStyle name="Date [mmm-yyyy] 6 2 3 4" xfId="26620"/>
    <cellStyle name="Title [Palat] 8 2 3 4" xfId="26621"/>
    <cellStyle name="Title [Helv] 7 2 3 4" xfId="26622"/>
    <cellStyle name="Table Head Green 9 2 3 4" xfId="26623"/>
    <cellStyle name="Table Head Aligned 7 2 3 4" xfId="26624"/>
    <cellStyle name="Outputs 9 2 3 4" xfId="26625"/>
    <cellStyle name="Magic 7 2 3 4" xfId="26626"/>
    <cellStyle name="Heading [Palat] 9 2 3 4" xfId="26627"/>
    <cellStyle name="Heading [Helv] 9 2 3 4" xfId="26628"/>
    <cellStyle name="dp*SheetSubTitle 7 2 3 4" xfId="26629"/>
    <cellStyle name="dp*NumberLineEPS 7 2 3 4" xfId="26630"/>
    <cellStyle name="dp*NumberLine 7 2 3 4" xfId="26631"/>
    <cellStyle name="Date [mmm-yyyy] 7 2 3 4" xfId="26632"/>
    <cellStyle name="COL HEADINGS 9 2 3 4" xfId="26633"/>
    <cellStyle name="Bold/Border 9 2 3 4" xfId="26634"/>
    <cellStyle name="Afjusted 10 2 3 4" xfId="26635"/>
    <cellStyle name="ac 9 2 3 4" xfId="26636"/>
    <cellStyle name="dp*NumberLine 2 2 2 4 5 2 2" xfId="26637"/>
    <cellStyle name="Title [Helv] 2 2 2 4 5 2 2" xfId="26638"/>
    <cellStyle name="Title [Palat] 2 2 2 4 5 2 2" xfId="26639"/>
    <cellStyle name="Date [mm-d-yyyy] 4 5 2 2" xfId="26640"/>
    <cellStyle name="Title [Helv] 3 5 2 2" xfId="26641"/>
    <cellStyle name="Magic 3 5 2 2" xfId="26642"/>
    <cellStyle name="Heading [Palat] 3 5 2 2" xfId="26643"/>
    <cellStyle name="dp*NumberLineEPS 3 5 2 2" xfId="26644"/>
    <cellStyle name="Bold/Border 3 5 2 2" xfId="26645"/>
    <cellStyle name="COL HEADINGS 2 4 5 2 2" xfId="26646"/>
    <cellStyle name="Style 44 3 4 5 2 2" xfId="26647"/>
    <cellStyle name="Style 45 3 4 5 2 2" xfId="26648"/>
    <cellStyle name="Style 49 3 4 5 2 2" xfId="26649"/>
    <cellStyle name="Style 51 3 4 5 2 2" xfId="26650"/>
    <cellStyle name="Style 44 2 4 5 2 2" xfId="26651"/>
    <cellStyle name="Style 45 2 4 5 2 2" xfId="26652"/>
    <cellStyle name="Style 49 2 4 5 2 2" xfId="26653"/>
    <cellStyle name="Style 51 2 4 5 2 2" xfId="26654"/>
    <cellStyle name="Table Head Aligned 2 4 5 2 2" xfId="26655"/>
    <cellStyle name="Table Head Green 2 4 5 2 2" xfId="26656"/>
    <cellStyle name="Title [Helv] 2 4 5 2 2" xfId="26657"/>
    <cellStyle name="ac 4 5 2 2" xfId="26658"/>
    <cellStyle name="Bold/Border 4 5 2 2" xfId="26659"/>
    <cellStyle name="Heading [Palat] 4 5 2 2" xfId="26660"/>
    <cellStyle name="PB Table Standard Row 5 5 2 2" xfId="26661"/>
    <cellStyle name="Style 51 6 5 2 2" xfId="26662"/>
    <cellStyle name="ac 2 5 5 2 2" xfId="26663"/>
    <cellStyle name="Afjusted 2 4 5 2 2" xfId="26664"/>
    <cellStyle name="Bold/Border 2 5 5 2 2" xfId="26665"/>
    <cellStyle name="Date [mmm-yyyy] 2 5 5 2 2" xfId="26666"/>
    <cellStyle name="Style 45 2 5 5 2 2" xfId="26667"/>
    <cellStyle name="Bold/Border 5 5 2 2" xfId="26668"/>
    <cellStyle name="COL HEADINGS 5 5 2 2" xfId="26669"/>
    <cellStyle name="Heading [Helv] 5 5 2 2" xfId="26670"/>
    <cellStyle name="Outputs 5 5 2 2" xfId="26671"/>
    <cellStyle name="PB Table Standard Row 6 5 2 2" xfId="26672"/>
    <cellStyle name="P-Green Rule 6 5 2 2" xfId="26673"/>
    <cellStyle name="ac 9 6 2" xfId="26674"/>
    <cellStyle name="Afjusted 10 6 2" xfId="26675"/>
    <cellStyle name="Bold/Border 9 6 2" xfId="26676"/>
    <cellStyle name="dp*NumberLineEPS 7 6 2" xfId="26677"/>
    <cellStyle name="Heading [Palat] 9 6 2" xfId="26678"/>
    <cellStyle name="Outputs 9 6 2" xfId="26679"/>
    <cellStyle name="Table Head Green 9 6 2" xfId="26680"/>
    <cellStyle name="ac 8 6 2" xfId="26681"/>
    <cellStyle name="Bold/Border 8 6 2" xfId="26682"/>
    <cellStyle name="COL HEADINGS 8 6 2" xfId="26683"/>
    <cellStyle name="dp*NumberLine 6 6 2" xfId="26684"/>
    <cellStyle name="dp*NumberLineEPS 6 6 2" xfId="26685"/>
    <cellStyle name="dp*SheetSubTitle 6 6 2" xfId="26686"/>
    <cellStyle name="Heading [Helv] 8 6 2" xfId="26687"/>
    <cellStyle name="Heading [Palat] 8 6 2" xfId="26688"/>
    <cellStyle name="Table Head Aligned 6 6 2" xfId="26689"/>
    <cellStyle name="Table Head Green 8 6 2" xfId="26690"/>
    <cellStyle name="Title [Helv] 6 6 2" xfId="26691"/>
    <cellStyle name="Title [Palat] 7 6 2" xfId="26692"/>
    <cellStyle name="ac 10 2" xfId="26693"/>
    <cellStyle name="Style 45 8 7 2" xfId="26694"/>
    <cellStyle name="Style 44 8 7 2" xfId="26695"/>
    <cellStyle name="Afjusted 11 2" xfId="26696"/>
    <cellStyle name="Bold/Border 10 2" xfId="26697"/>
    <cellStyle name="Style 44 9 5 2" xfId="26698"/>
    <cellStyle name="Style 49 9 5 2" xfId="26699"/>
    <cellStyle name="Style 51 9 5 2" xfId="26700"/>
    <cellStyle name="Table Head Green 6 7 2" xfId="26701"/>
    <cellStyle name="Title [Palat] 5 7 2" xfId="26702"/>
    <cellStyle name="COL HEADINGS 10 2" xfId="26703"/>
    <cellStyle name="P-Green Rule 3 3 2 9" xfId="26704"/>
    <cellStyle name="Title [Palat] 4 7 2" xfId="26705"/>
    <cellStyle name="Date [mmm-yyyy] 8 2" xfId="26706"/>
    <cellStyle name="P-Green Rule 6 7 2" xfId="26707"/>
    <cellStyle name="PB Table Standard Row 6 7 2" xfId="26708"/>
    <cellStyle name="Heading [Palat] 5 7 2" xfId="26709"/>
    <cellStyle name="Heading [Helv] 5 7 2" xfId="26710"/>
    <cellStyle name="dp*NumberLine 8 2" xfId="26711"/>
    <cellStyle name="dp*NumberLineEPS 8 2" xfId="26712"/>
    <cellStyle name="Date [mm-d-yyyy] 6 5 2" xfId="26713"/>
    <cellStyle name="dp*SheetSubTitle 8 2" xfId="26714"/>
    <cellStyle name="Border Thin 6 7 2" xfId="26715"/>
    <cellStyle name="ac 5 7 2" xfId="26716"/>
    <cellStyle name="Title [Helv] 2 5 7 2" xfId="26717"/>
    <cellStyle name="Style 51 2 5 7 2" xfId="26718"/>
    <cellStyle name="Style 44 2 5 7 2" xfId="26719"/>
    <cellStyle name="Style 45 3 5 7 2" xfId="26720"/>
    <cellStyle name="PB Table Standard Row 2 5 7 2" xfId="26721"/>
    <cellStyle name="Heading [Palat] 2 5 7 2" xfId="26722"/>
    <cellStyle name="Table Head Green 4 7 2" xfId="26723"/>
    <cellStyle name="Heading [Helv] 10 2" xfId="26724"/>
    <cellStyle name="Heading [Palat] 10 2" xfId="26725"/>
    <cellStyle name="Outputs 4 7 2" xfId="26726"/>
    <cellStyle name="Heading [Helv] 4 7 2" xfId="26727"/>
    <cellStyle name="Magic 8 2" xfId="26728"/>
    <cellStyle name="Date [mm-d-yyyy] 5 7 2" xfId="26729"/>
    <cellStyle name="Border Thin 5 7 2" xfId="26730"/>
    <cellStyle name="Bold/Border 4 7 2" xfId="26731"/>
    <cellStyle name="ac 4 7 2" xfId="26732"/>
    <cellStyle name="Style 45 5 7 2" xfId="26733"/>
    <cellStyle name="Magic 2 2 2 3 7 2" xfId="26734"/>
    <cellStyle name="Date [mm-d-yyyy] 3 2 3 7 2" xfId="26735"/>
    <cellStyle name="ac 2 2 2 2 7 2" xfId="26736"/>
    <cellStyle name="Date [mm-d-yyyy] 2 2 9 2" xfId="26737"/>
    <cellStyle name="Style 45 4 3 9 2" xfId="26738"/>
    <cellStyle name="PB Table Standard Row 3 3 9 2" xfId="26739"/>
    <cellStyle name="Border Thin 3 3 9 2" xfId="26740"/>
    <cellStyle name="Afjusted 4 3 9 2" xfId="26741"/>
    <cellStyle name="Outputs 10 2" xfId="26742"/>
    <cellStyle name="ac 2 2 3 10 2" xfId="26743"/>
    <cellStyle name="COL HEADINGS 2 2 3 10 2" xfId="26744"/>
    <cellStyle name="dp*NumberLineEPS 2 2 3 10 2" xfId="26745"/>
    <cellStyle name="Heading [Palat] 2 2 3 10 2" xfId="26746"/>
    <cellStyle name="Magic 2 2 3 10 2" xfId="26747"/>
    <cellStyle name="Outputs 2 2 3 10 2" xfId="26748"/>
    <cellStyle name="Title [Helv] 2 2 3 10 2" xfId="26749"/>
    <cellStyle name="PB Table Standard Row 3 3 4 7 2" xfId="26750"/>
    <cellStyle name="Style 45 4 4 7 2" xfId="26751"/>
    <cellStyle name="Date [mm-d-yyyy] 3 4 7 2" xfId="26752"/>
    <cellStyle name="P-Green Rule 3 3 3 7 2" xfId="26753"/>
    <cellStyle name="dp*SheetSubTitle 2 2 3 3 7 2" xfId="26754"/>
    <cellStyle name="Heading [Palat] 2 2 3 3 7 2" xfId="26755"/>
    <cellStyle name="Table Head Aligned 2 2 4 7 2" xfId="26756"/>
    <cellStyle name="Heading [Helv] 2 2 4 7 2" xfId="26757"/>
    <cellStyle name="Style 51 2 3 7 2" xfId="26758"/>
    <cellStyle name="Style 49 3 3 7 2" xfId="26759"/>
    <cellStyle name="Style 45 4 3 3 7 2" xfId="26760"/>
    <cellStyle name="Date [mmm-yyyy] 2 3 7 2" xfId="26761"/>
    <cellStyle name="Afjusted 3 3 3 7 2" xfId="26762"/>
    <cellStyle name="Style 49 4 3 4 7 2" xfId="26763"/>
    <cellStyle name="COL HEADINGS 2 2 3 4 7 2" xfId="26764"/>
    <cellStyle name="Style 44 3 3 7 2" xfId="26765"/>
    <cellStyle name="dp*ThinLineBelow 2 3 7 2" xfId="26766"/>
    <cellStyle name="PB Table Standard Row 2 2 7 2" xfId="26767"/>
    <cellStyle name="Style 45 3 2 7 2" xfId="26768"/>
    <cellStyle name="Style 49 3 2 7 2" xfId="26769"/>
    <cellStyle name="Style 51 3 2 7 2" xfId="26770"/>
    <cellStyle name="Style 45 2 2 7 2" xfId="26771"/>
    <cellStyle name="Style 51 2 2 7 2" xfId="26772"/>
    <cellStyle name="Title [Helv] 2 2 3 4 7 2" xfId="26773"/>
    <cellStyle name="Bold/Border 2 2 3 4 7 2" xfId="26774"/>
    <cellStyle name="Border Thin 2 2 7 2" xfId="26775"/>
    <cellStyle name="Outputs 2 2 3 3 5 2 2" xfId="26776"/>
    <cellStyle name="Table Head Green 2 2 9 2" xfId="26777"/>
    <cellStyle name="Title [Palat] 2 11 2" xfId="26778"/>
    <cellStyle name="Style 44 3 10 2" xfId="26779"/>
    <cellStyle name="Heading [Helv] 2 11 2" xfId="26780"/>
    <cellStyle name="UNLOCKED 38 2" xfId="26781"/>
    <cellStyle name="Table Head Aligned 8 2" xfId="26782"/>
    <cellStyle name="Table Head Green 10 2" xfId="26783"/>
    <cellStyle name="Title [Helv] 8 2" xfId="26784"/>
    <cellStyle name="Title [Palat] 9 2" xfId="26785"/>
    <cellStyle name="Table Head Green 2 2 2 4 7 2" xfId="26786"/>
    <cellStyle name="COL HEADINGS 2 3 7 2" xfId="26787"/>
    <cellStyle name="Style 51 4 5 7 2" xfId="26788"/>
    <cellStyle name="Style 44 4 3 3 7 2" xfId="26789"/>
    <cellStyle name="PB Table Standard Row 2 4 7 2" xfId="26790"/>
    <cellStyle name="Style 44 5 7 2" xfId="26791"/>
    <cellStyle name="Style 44 2 6 7 2" xfId="26792"/>
    <cellStyle name="Afjusted 3 3 4 7 2" xfId="26793"/>
    <cellStyle name="Outputs 6 7 2" xfId="26794"/>
    <cellStyle name="dp*SubTitle 3 3 3 7 2" xfId="26795"/>
    <cellStyle name="Border Thin 2 6 7 2" xfId="26796"/>
    <cellStyle name="Style 51 7 7 2" xfId="26797"/>
    <cellStyle name="Border Thin 2 3 6 2" xfId="26798"/>
    <cellStyle name="P-Green Rule 3 3 4 7 2" xfId="26799"/>
    <cellStyle name="Style 51 4 3 4 7 2" xfId="26800"/>
    <cellStyle name="Title [Palat] 2 3 7 2" xfId="26801"/>
    <cellStyle name="Title [Helv] 2 3 7 2" xfId="26802"/>
    <cellStyle name="Table Head Green 2 3 7 2" xfId="26803"/>
    <cellStyle name="Table Head Aligned 2 3 7 2" xfId="26804"/>
    <cellStyle name="Date [mm-d-yyyy] 2 6 2" xfId="26805"/>
    <cellStyle name="Style 45 4 2 9 2" xfId="26806"/>
    <cellStyle name="Afjusted 5 7 2" xfId="26807"/>
    <cellStyle name="Style 49 2 4 7 2" xfId="26808"/>
    <cellStyle name="dp*ThinLineBelow 3 3 3 7 2" xfId="26809"/>
    <cellStyle name="Afjusted 3 10 2" xfId="26810"/>
    <cellStyle name="PB Table Standard Row 3 5 7 2" xfId="26811"/>
    <cellStyle name="Border Thin 3 3 3 7 2" xfId="26812"/>
    <cellStyle name="Style 45 4 3 3 5 2 2" xfId="26813"/>
    <cellStyle name="dp*SheetSubTitle 2 2 2 4 7 2" xfId="26814"/>
    <cellStyle name="dp*SubTitle 3 2 2 7 2" xfId="26815"/>
    <cellStyle name="Afjusted 3 2 2 7 2" xfId="26816"/>
    <cellStyle name="dp*SubTitle 3 3 2 6 2" xfId="26817"/>
    <cellStyle name="Afjusted 4 3 3 7 2" xfId="26818"/>
    <cellStyle name="ac 2 2 4 7 2" xfId="26819"/>
    <cellStyle name="ac 2 10 2" xfId="26820"/>
    <cellStyle name="Afjusted 2 7 2" xfId="26821"/>
    <cellStyle name="Bold/Border 2 10 2" xfId="26822"/>
    <cellStyle name="COL HEADINGS 2 10 2" xfId="26823"/>
    <cellStyle name="Date [mmm-yyyy] 2 9 2" xfId="26824"/>
    <cellStyle name="dp*NumberLine 2 9 2" xfId="26825"/>
    <cellStyle name="dp*NumberLineEPS 2 9 2" xfId="26826"/>
    <cellStyle name="dp*SheetSubTitle 2 9 2" xfId="26827"/>
    <cellStyle name="Heading [Helv] 2 10 2" xfId="26828"/>
    <cellStyle name="Heading [Palat] 2 10 2" xfId="26829"/>
    <cellStyle name="Magic 2 9 2" xfId="26830"/>
    <cellStyle name="dp*NumberCurrencyLine 3 3 2" xfId="26831"/>
    <cellStyle name="dp*LabelLine 3 4 2" xfId="26832"/>
    <cellStyle name="dp*LabelItalicsLineAbove 3 3 2" xfId="26833"/>
    <cellStyle name="Outputs 2 10 2" xfId="26834"/>
    <cellStyle name="Style 44 3 9 2" xfId="26835"/>
    <cellStyle name="Style 44 2 9 2" xfId="26836"/>
    <cellStyle name="Table Head Aligned 2 9 2" xfId="26837"/>
    <cellStyle name="Table Head Green 2 10 2" xfId="26838"/>
    <cellStyle name="Title [Helv] 2 9 2" xfId="26839"/>
    <cellStyle name="Title [Palat] 2 10 2" xfId="26840"/>
    <cellStyle name="Style 45 4 3 2 7 2" xfId="26841"/>
    <cellStyle name="dp*NumberLineEPS 2 2 3 3 7 2" xfId="26842"/>
    <cellStyle name="Date [mmm-yyyy] 2 2 3 2 7 2" xfId="26843"/>
    <cellStyle name="Heading [Helv] 2 2 3 3 7 2" xfId="26844"/>
    <cellStyle name="Style 44 4 2 2 7 2" xfId="26845"/>
    <cellStyle name="PB Table Standard Row 3 3 3 7 2" xfId="26846"/>
    <cellStyle name="Afjusted 3 3 2 7 2" xfId="26847"/>
    <cellStyle name="COL HEADINGS 2 2 3 3 7 2" xfId="26848"/>
    <cellStyle name="dp*NumberLineEPS 2 2 2 4 7 2" xfId="26849"/>
    <cellStyle name="dp*ThinLineBelow 3 2 2 7 2" xfId="26850"/>
    <cellStyle name="Date [mm-d-yyyy] 2 2 2 7 2" xfId="26851"/>
    <cellStyle name="Border Thin 3 3 2 6 2" xfId="26852"/>
    <cellStyle name="dp*SheetSubTitle 2 2 2 9 2" xfId="26853"/>
    <cellStyle name="ac 2 2 3 3 7 2" xfId="26854"/>
    <cellStyle name="dp*NumberLineEPS 2 2 2 9 2" xfId="26855"/>
    <cellStyle name="Style 49 3 4 7 2" xfId="26856"/>
    <cellStyle name="Date [mmm-yyyy] 2 2 3 3 7 2" xfId="26857"/>
    <cellStyle name="Style 51 4 2 3 7 2" xfId="26858"/>
    <cellStyle name="Style 49 3 6 7 2" xfId="26859"/>
    <cellStyle name="ac 2 2 3 4 7 2" xfId="26860"/>
    <cellStyle name="Heading [Helv] 2 4 7 2" xfId="26861"/>
    <cellStyle name="Heading [Helv] 2 5 7 2" xfId="26862"/>
    <cellStyle name="Table Head Aligned 2 2 9 2" xfId="26863"/>
    <cellStyle name="Title [Helv] 2 10 2" xfId="26864"/>
    <cellStyle name="dp*NumberLine 2 4 7 2" xfId="26865"/>
    <cellStyle name="Outputs 2 3 7 2" xfId="26866"/>
    <cellStyle name="Date [mm-d-yyyy] 3 7 2" xfId="26867"/>
    <cellStyle name="Style 51 4 7 2" xfId="26868"/>
    <cellStyle name="Style 49 4 7 2" xfId="26869"/>
    <cellStyle name="Style 45 4 7 2" xfId="26870"/>
    <cellStyle name="Magic 2 3 7 2" xfId="26871"/>
    <cellStyle name="Border Thin 2 4 7 2" xfId="26872"/>
    <cellStyle name="Heading [Palat] 2 3 7 2" xfId="26873"/>
    <cellStyle name="Heading [Helv] 2 3 7 2" xfId="26874"/>
    <cellStyle name="Afjusted 4 8 2" xfId="26875"/>
    <cellStyle name="ac 2 2 8 2" xfId="26876"/>
    <cellStyle name="Afjusted 2 2 8 2" xfId="26877"/>
    <cellStyle name="Bold/Border 2 2 8 2" xfId="26878"/>
    <cellStyle name="COL HEADINGS 2 2 8 2" xfId="26879"/>
    <cellStyle name="Date [mmm-yyyy] 2 2 8 2" xfId="26880"/>
    <cellStyle name="dp*NumberLine 2 2 8 2" xfId="26881"/>
    <cellStyle name="dp*NumberLineEPS 2 2 8 2" xfId="26882"/>
    <cellStyle name="dp*SheetSubTitle 2 2 8 2" xfId="26883"/>
    <cellStyle name="Heading [Helv] 2 2 8 2" xfId="26884"/>
    <cellStyle name="Heading [Palat] 2 2 8 2" xfId="26885"/>
    <cellStyle name="Magic 2 2 8 2" xfId="26886"/>
    <cellStyle name="Outputs 2 2 8 2" xfId="26887"/>
    <cellStyle name="Table Head Aligned 2 2 8 2" xfId="26888"/>
    <cellStyle name="Table Head Green 2 2 8 2" xfId="26889"/>
    <cellStyle name="Title [Helv] 2 2 8 2" xfId="26890"/>
    <cellStyle name="Title [Palat] 2 2 8 2" xfId="26891"/>
    <cellStyle name="COL HEADINGS 2 4 7 2" xfId="26892"/>
    <cellStyle name="Afjusted 2 2 3 3 7 2" xfId="26893"/>
    <cellStyle name="Afjusted 2 3 7 2" xfId="26894"/>
    <cellStyle name="ac 2 4 7 2" xfId="26895"/>
    <cellStyle name="dp*SubTitle 4 7 2" xfId="26896"/>
    <cellStyle name="Date [mm-d-yyyy] 4 7 2" xfId="26897"/>
    <cellStyle name="dp*SheetSubTitle 2 3 7 2" xfId="26898"/>
    <cellStyle name="dp*NumberLineEPS 2 3 7 2" xfId="26899"/>
    <cellStyle name="dp*NumberLine 2 3 7 2" xfId="26900"/>
    <cellStyle name="Title [Helv] 2 4 7 2" xfId="26901"/>
    <cellStyle name="Heading [Palat] 2 2 2 3 7 2" xfId="26902"/>
    <cellStyle name="P-Green Rule 2 4 7 2" xfId="26903"/>
    <cellStyle name="Title [Palat] 2 4 7 2" xfId="26904"/>
    <cellStyle name="Outputs 8 6 2" xfId="26905"/>
    <cellStyle name="ac 3 7 2" xfId="26906"/>
    <cellStyle name="Outputs 2 2 3 3 5 3" xfId="26907"/>
    <cellStyle name="Afjusted 3 5 5 3" xfId="26908"/>
    <cellStyle name="Style 45 7 5 3" xfId="26909"/>
    <cellStyle name="Afjusted 4 2 3 7 2" xfId="26910"/>
    <cellStyle name="COL HEADINGS 3 7 2" xfId="26911"/>
    <cellStyle name="Border Thin 3 2 4 7 2" xfId="26912"/>
    <cellStyle name="dp*SubTitle 2 2 6 2" xfId="26913"/>
    <cellStyle name="Border Thin 2 2 6 2" xfId="26914"/>
    <cellStyle name="Date [mmm-yyyy] 2 2 2 3 7 2" xfId="26915"/>
    <cellStyle name="Style 45 3 6 7 2" xfId="26916"/>
    <cellStyle name="Title [Helv] 2 2 3 3 7 2" xfId="26917"/>
    <cellStyle name="Title [Palat] 2 2 2 2 7 2" xfId="26918"/>
    <cellStyle name="Style 44 2 4 7 2" xfId="26919"/>
    <cellStyle name="ac 2 2 2 4 7 2" xfId="26920"/>
    <cellStyle name="Bold/Border 2 2 3 4 6 2" xfId="26921"/>
    <cellStyle name="Magic 2 2 3 4 6 2" xfId="26922"/>
    <cellStyle name="Title [Helv] 2 2 3 4 6 2" xfId="26923"/>
    <cellStyle name="Style 51 2 2 6 2" xfId="26924"/>
    <cellStyle name="Style 45 2 2 6 2" xfId="26925"/>
    <cellStyle name="Style 49 2 2 6 2" xfId="26926"/>
    <cellStyle name="Style 44 2 2 6 2" xfId="26927"/>
    <cellStyle name="Style 51 3 2 6 2" xfId="26928"/>
    <cellStyle name="Style 49 3 2 6 2" xfId="26929"/>
    <cellStyle name="Style 45 3 2 6 2" xfId="26930"/>
    <cellStyle name="Style 44 3 2 6 2" xfId="26931"/>
    <cellStyle name="P-Green Rule 2 2 6 2" xfId="26932"/>
    <cellStyle name="PB Table Standard Row 2 2 6 2" xfId="26933"/>
    <cellStyle name="dp*ThinLineBelow 2 2 6 2" xfId="26934"/>
    <cellStyle name="dp*ThinLineBelow 2 3 6 2" xfId="26935"/>
    <cellStyle name="Style 44 3 3 6 2" xfId="26936"/>
    <cellStyle name="COL HEADINGS 2 2 3 4 6 2" xfId="26937"/>
    <cellStyle name="Style 49 4 3 4 6 2" xfId="26938"/>
    <cellStyle name="Afjusted 3 3 4 6 2" xfId="26939"/>
    <cellStyle name="Date [mm-d-yyyy] 3 3 4 6 2" xfId="26940"/>
    <cellStyle name="Afjusted 4 3 4 6 2" xfId="26941"/>
    <cellStyle name="ac 2 2 3 4 6 2" xfId="26942"/>
    <cellStyle name="Afjusted 2 2 3 4 6 2" xfId="26943"/>
    <cellStyle name="Date [mmm-yyyy] 2 2 3 4 6 2" xfId="26944"/>
    <cellStyle name="dp*NumberLine 2 2 3 4 6 2" xfId="26945"/>
    <cellStyle name="dp*NumberLineEPS 2 2 3 4 6 2" xfId="26946"/>
    <cellStyle name="dp*SheetSubTitle 2 2 3 4 6 2" xfId="26947"/>
    <cellStyle name="Heading [Helv] 2 2 3 4 6 2" xfId="26948"/>
    <cellStyle name="Outputs 2 2 3 4 6 2" xfId="26949"/>
    <cellStyle name="Table Head Aligned 2 2 3 4 6 2" xfId="26950"/>
    <cellStyle name="Title [Palat] 2 2 3 4 6 2" xfId="26951"/>
    <cellStyle name="dp*NumberLineEPS 2 2 2 3 7 2" xfId="26952"/>
    <cellStyle name="Afjusted 3 2 3 7 2" xfId="26953"/>
    <cellStyle name="Table Head Aligned 2 2 3 3 7 2" xfId="26954"/>
    <cellStyle name="dp*ThinLineBelow 3 2 3 7 2" xfId="26955"/>
    <cellStyle name="Afjusted 3 5 6 2" xfId="26956"/>
    <cellStyle name="Style 45 3 3 6 2" xfId="26957"/>
    <cellStyle name="Style 51 3 3 6 2" xfId="26958"/>
    <cellStyle name="Style 44 2 3 6 2" xfId="26959"/>
    <cellStyle name="Style 45 2 3 6 2" xfId="26960"/>
    <cellStyle name="Style 49 2 3 6 2" xfId="26961"/>
    <cellStyle name="Border Thin 3 5 6 2" xfId="26962"/>
    <cellStyle name="ac 2 2 4 6 2" xfId="26963"/>
    <cellStyle name="Afjusted 2 2 5 6 2" xfId="26964"/>
    <cellStyle name="Bold/Border 2 2 4 6 2" xfId="26965"/>
    <cellStyle name="COL HEADINGS 2 2 4 6 2" xfId="26966"/>
    <cellStyle name="Date [mmm-yyyy] 2 2 4 6 2" xfId="26967"/>
    <cellStyle name="dp*NumberLine 2 2 4 6 2" xfId="26968"/>
    <cellStyle name="dp*NumberLineEPS 2 2 4 6 2" xfId="26969"/>
    <cellStyle name="dp*SheetSubTitle 2 2 4 6 2" xfId="26970"/>
    <cellStyle name="Heading [Palat] 2 2 4 6 2" xfId="26971"/>
    <cellStyle name="Outputs 2 2 4 6 2" xfId="26972"/>
    <cellStyle name="Magic 2 2 4 6 2" xfId="26973"/>
    <cellStyle name="Title [Helv] 2 2 4 6 2" xfId="26974"/>
    <cellStyle name="Title [Palat] 2 2 4 6 2" xfId="26975"/>
    <cellStyle name="Title [Palat] 2 2 3 3 6 2" xfId="26976"/>
    <cellStyle name="Title [Helv] 2 2 3 3 6 2" xfId="26977"/>
    <cellStyle name="Table Head Aligned 2 2 3 3 6 2" xfId="26978"/>
    <cellStyle name="Magic 2 2 3 3 6 2" xfId="26979"/>
    <cellStyle name="Heading [Helv] 2 2 3 3 6 2" xfId="26980"/>
    <cellStyle name="dp*NumberLineEPS 2 2 3 3 6 2" xfId="26981"/>
    <cellStyle name="COL HEADINGS 2 2 3 3 6 2" xfId="26982"/>
    <cellStyle name="ac 2 2 3 3 6 2" xfId="26983"/>
    <cellStyle name="Afjusted 4 3 3 6 2" xfId="26984"/>
    <cellStyle name="Border Thin 3 3 3 6 2" xfId="26985"/>
    <cellStyle name="PB Table Standard Row 3 3 3 6 2" xfId="26986"/>
    <cellStyle name="Style 44 4 3 3 6 2" xfId="26987"/>
    <cellStyle name="Style 51 4 3 3 6 2" xfId="26988"/>
    <cellStyle name="Afjusted 3 3 3 6 2" xfId="26989"/>
    <cellStyle name="Style 49 4 5 6 2" xfId="26990"/>
    <cellStyle name="Style 44 4 5 6 2" xfId="26991"/>
    <cellStyle name="P-Green Rule 3 5 6 2" xfId="26992"/>
    <cellStyle name="dp*SubTitle 3 5 6 2" xfId="26993"/>
    <cellStyle name="Afjusted 4 5 6 2" xfId="26994"/>
    <cellStyle name="Bold/Border 3 7 2" xfId="26995"/>
    <cellStyle name="Border Thin 3 2 3 7 2" xfId="26996"/>
    <cellStyle name="Table Head Green 2 4 7 2" xfId="26997"/>
    <cellStyle name="Style 45 2 4 7 2" xfId="26998"/>
    <cellStyle name="ac 2 3 6 2" xfId="26999"/>
    <cellStyle name="Bold/Border 2 3 6 2" xfId="27000"/>
    <cellStyle name="COL HEADINGS 2 3 6 2" xfId="27001"/>
    <cellStyle name="Date [mmm-yyyy] 2 3 6 2" xfId="27002"/>
    <cellStyle name="dp*NumberLine 2 3 6 2" xfId="27003"/>
    <cellStyle name="dp*NumberLineEPS 2 3 6 2" xfId="27004"/>
    <cellStyle name="dp*SheetSubTitle 2 3 6 2" xfId="27005"/>
    <cellStyle name="Heading [Helv] 2 3 6 2" xfId="27006"/>
    <cellStyle name="Heading [Palat] 2 3 6 2" xfId="27007"/>
    <cellStyle name="Magic 2 3 6 2" xfId="27008"/>
    <cellStyle name="Outputs 2 3 6 2" xfId="27009"/>
    <cellStyle name="Date [mmm-yyyy] 2 2 3 3 6 2" xfId="27010"/>
    <cellStyle name="Afjusted 2 2 3 3 6 2" xfId="27011"/>
    <cellStyle name="dp*ThinLineBelow 3 3 3 6 2" xfId="27012"/>
    <cellStyle name="Style 49 4 3 3 6 2" xfId="27013"/>
    <cellStyle name="Outputs 2 2 3 3 6 2" xfId="27014"/>
    <cellStyle name="dp*NumberLine 2 2 3 3 6 2" xfId="27015"/>
    <cellStyle name="Bold/Border 2 2 3 3 6 2" xfId="27016"/>
    <cellStyle name="dp*SubTitle 3 3 3 6 2" xfId="27017"/>
    <cellStyle name="Style 45 4 3 3 6 2" xfId="27018"/>
    <cellStyle name="Table Head Aligned 2 3 6 2" xfId="27019"/>
    <cellStyle name="Table Head Green 2 3 6 2" xfId="27020"/>
    <cellStyle name="Title [Helv] 2 3 6 2" xfId="27021"/>
    <cellStyle name="Title [Palat] 2 3 6 2" xfId="27022"/>
    <cellStyle name="Style 45 3 4 7 2" xfId="27023"/>
    <cellStyle name="Style 45 4 3 4 6 2" xfId="27024"/>
    <cellStyle name="Style 51 4 3 4 6 2" xfId="27025"/>
    <cellStyle name="dp*ThinLineBelow 2 4 7 2" xfId="27026"/>
    <cellStyle name="Afjusted 3 4 6 2" xfId="27027"/>
    <cellStyle name="P-Green Rule 3 3 4 6 2" xfId="27028"/>
    <cellStyle name="Style 49 3 3 6 2" xfId="27029"/>
    <cellStyle name="Style 51 2 3 6 2" xfId="27030"/>
    <cellStyle name="Heading [Helv] 2 2 4 6 2" xfId="27031"/>
    <cellStyle name="Table Head Aligned 2 2 4 6 2" xfId="27032"/>
    <cellStyle name="Table Head Green 2 2 4 6 2" xfId="27033"/>
    <cellStyle name="Table Head Green 2 2 3 3 6 2" xfId="27034"/>
    <cellStyle name="Heading [Palat] 2 2 3 3 6 2" xfId="27035"/>
    <cellStyle name="dp*SheetSubTitle 2 2 3 3 6 2" xfId="27036"/>
    <cellStyle name="P-Green Rule 3 3 3 6 2" xfId="27037"/>
    <cellStyle name="Date [mm-d-yyyy] 3 3 3 6 2" xfId="27038"/>
    <cellStyle name="Date [mmm-yyyy] 2 4 7 2" xfId="27039"/>
    <cellStyle name="Date [mm-d-yyyy] 3 4 6 2" xfId="27040"/>
    <cellStyle name="Style 51 4 4 6 2" xfId="27041"/>
    <cellStyle name="Style 49 4 4 6 2" xfId="27042"/>
    <cellStyle name="Style 45 4 4 6 2" xfId="27043"/>
    <cellStyle name="Style 44 4 4 6 2" xfId="27044"/>
    <cellStyle name="dp*ThinLineBelow 3 3 4 6 2" xfId="27045"/>
    <cellStyle name="dp*SubTitle 3 3 4 6 2" xfId="27046"/>
    <cellStyle name="Bold/Border 2 4 7 2" xfId="27047"/>
    <cellStyle name="Border Thin 3 3 4 6 2" xfId="27048"/>
    <cellStyle name="Afjusted 4 4 6 2" xfId="27049"/>
    <cellStyle name="Afjusted 2 2 4 6 2" xfId="27050"/>
    <cellStyle name="dp*SubTitle 3 2 3 7 2" xfId="27051"/>
    <cellStyle name="Style 44 4 3 4 6 2" xfId="27052"/>
    <cellStyle name="PB Table Standard Row 3 3 4 6 2" xfId="27053"/>
    <cellStyle name="Title [Palat] 2 2 3 9 2" xfId="27054"/>
    <cellStyle name="Title [Helv] 2 2 3 9 2" xfId="27055"/>
    <cellStyle name="Table Head Green 2 2 3 9 2" xfId="27056"/>
    <cellStyle name="Table Head Aligned 2 2 3 9 2" xfId="27057"/>
    <cellStyle name="Outputs 2 2 3 9 2" xfId="27058"/>
    <cellStyle name="Magic 2 2 3 9 2" xfId="27059"/>
    <cellStyle name="Heading [Palat] 2 2 3 9 2" xfId="27060"/>
    <cellStyle name="Heading [Helv] 2 2 3 9 2" xfId="27061"/>
    <cellStyle name="dp*SheetSubTitle 2 2 3 9 2" xfId="27062"/>
    <cellStyle name="dp*NumberLineEPS 2 2 3 9 2" xfId="27063"/>
    <cellStyle name="dp*NumberLine 2 2 3 9 2" xfId="27064"/>
    <cellStyle name="Date [mmm-yyyy] 2 2 3 9 2" xfId="27065"/>
    <cellStyle name="COL HEADINGS 2 2 3 9 2" xfId="27066"/>
    <cellStyle name="Bold/Border 2 2 3 9 2" xfId="27067"/>
    <cellStyle name="Afjusted 2 2 3 8 2" xfId="27068"/>
    <cellStyle name="ac 2 2 3 9 2" xfId="27069"/>
    <cellStyle name="Afjusted 4 3 8 2" xfId="27070"/>
    <cellStyle name="Border Thin 3 3 8 2" xfId="27071"/>
    <cellStyle name="dp*SubTitle 3 3 8 2" xfId="27072"/>
    <cellStyle name="dp*ThinLineBelow 3 3 8 2" xfId="27073"/>
    <cellStyle name="PB Table Standard Row 3 3 8 2" xfId="27074"/>
    <cellStyle name="P-Green Rule 3 3 8 2" xfId="27075"/>
    <cellStyle name="Style 44 4 3 8 2" xfId="27076"/>
    <cellStyle name="Style 45 4 3 8 2" xfId="27077"/>
    <cellStyle name="Style 49 4 3 8 2" xfId="27078"/>
    <cellStyle name="Style 51 4 3 8 2" xfId="27079"/>
    <cellStyle name="Table Head Green 2 2 2 3 7 2" xfId="27080"/>
    <cellStyle name="Date [mm-d-yyyy] 3 3 8 2" xfId="27081"/>
    <cellStyle name="dp*SheetSubTitle 5 6 2" xfId="27082"/>
    <cellStyle name="Table Head Green 7 6 2" xfId="27083"/>
    <cellStyle name="PB Table Standard Row 7 4 2" xfId="27084"/>
    <cellStyle name="Afjusted 3 3 9 2" xfId="27085"/>
    <cellStyle name="Style 45 6 7 2" xfId="27086"/>
    <cellStyle name="ac 2 2 2 3 7 2" xfId="27087"/>
    <cellStyle name="Table Head Aligned 2 2 2 3 7 2" xfId="27088"/>
    <cellStyle name="Style 51 5 7 2" xfId="27089"/>
    <cellStyle name="Afjusted 4 5 7 2" xfId="27090"/>
    <cellStyle name="Style 49 4 2 4 7 2" xfId="27091"/>
    <cellStyle name="Date [mm-d-yyyy] 3 2 4 7 2" xfId="27092"/>
    <cellStyle name="P-Green Rule 3 5 7 2" xfId="27093"/>
    <cellStyle name="Style 51 4 2 4 7 2" xfId="27094"/>
    <cellStyle name="Outputs 2 2 2 3 7 2" xfId="27095"/>
    <cellStyle name="Afjusted 3 2 4 7 2" xfId="27096"/>
    <cellStyle name="Title [Palat] 2 2 2 3 7 2" xfId="27097"/>
    <cellStyle name="Style 45 4 2 4 7 2" xfId="27098"/>
    <cellStyle name="Title [Helv] 2 2 2 3 7 2" xfId="27099"/>
    <cellStyle name="Style 44 4 5 7 2" xfId="27100"/>
    <cellStyle name="dp*SubTitle 3 5 7 2" xfId="27101"/>
    <cellStyle name="Title [Helv] 2 2 4 7 2" xfId="27102"/>
    <cellStyle name="Title [Palat] 2 2 3 3 7 2" xfId="27103"/>
    <cellStyle name="Title [Palat] 2 2 4 7 2" xfId="27104"/>
    <cellStyle name="Bold/Border 2 2 3 3 7 2" xfId="27105"/>
    <cellStyle name="Date [mm-d-yyyy] 2 2 8 2" xfId="27106"/>
    <cellStyle name="Afjusted 3 2 9 2" xfId="27107"/>
    <cellStyle name="ac 7 6 2" xfId="27108"/>
    <cellStyle name="Date [mm-d-yyyy] 3 2 9 2" xfId="27109"/>
    <cellStyle name="Style 51 4 2 8 2" xfId="27110"/>
    <cellStyle name="Style 49 4 2 8 2" xfId="27111"/>
    <cellStyle name="Style 45 4 2 8 2" xfId="27112"/>
    <cellStyle name="Style 44 4 2 8 2" xfId="27113"/>
    <cellStyle name="Afjusted 4 2 9 2" xfId="27114"/>
    <cellStyle name="ac 2 2 2 8 2" xfId="27115"/>
    <cellStyle name="Afjusted 2 2 2 9 2" xfId="27116"/>
    <cellStyle name="Bold/Border 2 2 2 8 2" xfId="27117"/>
    <cellStyle name="COL HEADINGS 2 2 2 8 2" xfId="27118"/>
    <cellStyle name="Date [mmm-yyyy] 2 2 2 8 2" xfId="27119"/>
    <cellStyle name="dp*NumberLine 2 2 2 8 2" xfId="27120"/>
    <cellStyle name="dp*NumberLineEPS 2 2 2 8 2" xfId="27121"/>
    <cellStyle name="dp*SheetSubTitle 2 2 2 8 2" xfId="27122"/>
    <cellStyle name="Heading [Helv] 2 2 2 8 2" xfId="27123"/>
    <cellStyle name="Heading [Palat] 2 2 2 8 2" xfId="27124"/>
    <cellStyle name="Magic 2 2 2 8 2" xfId="27125"/>
    <cellStyle name="Outputs 2 2 2 8 2" xfId="27126"/>
    <cellStyle name="Table Head Aligned 2 2 2 8 2" xfId="27127"/>
    <cellStyle name="Table Head Green 2 2 2 8 2" xfId="27128"/>
    <cellStyle name="Title [Helv] 2 2 2 8 2" xfId="27129"/>
    <cellStyle name="Title [Palat] 2 2 2 8 2" xfId="27130"/>
    <cellStyle name="Border Thin 3 5 5 2 2" xfId="27131"/>
    <cellStyle name="Style 51 7 5 2 2" xfId="27132"/>
    <cellStyle name="Style 49 4 5 7 2" xfId="27133"/>
    <cellStyle name="Table Head Green 2 2 3 4 6 2" xfId="27134"/>
    <cellStyle name="Heading [Palat] 2 2 3 4 6 2" xfId="27135"/>
    <cellStyle name="Border Thin 3 3 4 7 2" xfId="27136"/>
    <cellStyle name="P-Green Rule 2 3 6 2" xfId="27137"/>
    <cellStyle name="Title [Palat] 2 2 3 2 6 2" xfId="27138"/>
    <cellStyle name="Title [Helv] 2 2 3 2 6 2" xfId="27139"/>
    <cellStyle name="Table Head Green 2 2 3 2 6 2" xfId="27140"/>
    <cellStyle name="Table Head Aligned 2 2 3 2 6 2" xfId="27141"/>
    <cellStyle name="Outputs 2 2 3 2 6 2" xfId="27142"/>
    <cellStyle name="Magic 2 2 3 2 6 2" xfId="27143"/>
    <cellStyle name="Heading [Palat] 2 2 3 2 6 2" xfId="27144"/>
    <cellStyle name="Heading [Helv] 2 2 3 2 6 2" xfId="27145"/>
    <cellStyle name="dp*SheetSubTitle 2 2 3 2 6 2" xfId="27146"/>
    <cellStyle name="dp*NumberLineEPS 2 2 3 2 6 2" xfId="27147"/>
    <cellStyle name="dp*NumberLine 2 2 3 2 6 2" xfId="27148"/>
    <cellStyle name="Date [mmm-yyyy] 2 2 3 2 6 2" xfId="27149"/>
    <cellStyle name="COL HEADINGS 2 2 3 2 6 2" xfId="27150"/>
    <cellStyle name="Bold/Border 2 2 3 2 6 2" xfId="27151"/>
    <cellStyle name="Afjusted 2 2 3 2 6 2" xfId="27152"/>
    <cellStyle name="ac 2 2 3 2 6 2" xfId="27153"/>
    <cellStyle name="Afjusted 4 3 2 6 2" xfId="27154"/>
    <cellStyle name="dp*ThinLineBelow 3 3 2 6 2" xfId="27155"/>
    <cellStyle name="dp*SubTitle 3 3 4 7 2" xfId="27156"/>
    <cellStyle name="P-Green Rule 3 3 2 6 2" xfId="27157"/>
    <cellStyle name="Style 44 4 3 2 6 2" xfId="27158"/>
    <cellStyle name="Style 45 4 3 2 6 2" xfId="27159"/>
    <cellStyle name="Style 49 4 3 2 6 2" xfId="27160"/>
    <cellStyle name="Style 51 4 3 2 6 2" xfId="27161"/>
    <cellStyle name="Date [mm-d-yyyy] 3 3 2 6 2" xfId="27162"/>
    <cellStyle name="Afjusted 3 3 2 6 2" xfId="27163"/>
    <cellStyle name="Date [mm-d-yyyy] 3 5 6 2" xfId="27164"/>
    <cellStyle name="Date [mm-d-yyyy] 2 2 2 6 2" xfId="27165"/>
    <cellStyle name="Afjusted 3 2 2 6 2" xfId="27166"/>
    <cellStyle name="PB Table Standard Row 3 5 6 2" xfId="27167"/>
    <cellStyle name="Date [mm-d-yyyy] 3 2 2 6 2" xfId="27168"/>
    <cellStyle name="Style 51 4 2 2 6 2" xfId="27169"/>
    <cellStyle name="Style 49 4 2 2 6 2" xfId="27170"/>
    <cellStyle name="Style 45 4 2 2 6 2" xfId="27171"/>
    <cellStyle name="Style 44 4 2 2 6 2" xfId="27172"/>
    <cellStyle name="Style 45 4 5 6 2" xfId="27173"/>
    <cellStyle name="P-Green Rule 3 2 2 6 2" xfId="27174"/>
    <cellStyle name="PB Table Standard Row 3 2 2 6 2" xfId="27175"/>
    <cellStyle name="dp*ThinLineBelow 3 2 2 6 2" xfId="27176"/>
    <cellStyle name="dp*SubTitle 3 2 2 6 2" xfId="27177"/>
    <cellStyle name="Style 51 4 5 6 2" xfId="27178"/>
    <cellStyle name="Border Thin 3 2 2 6 2" xfId="27179"/>
    <cellStyle name="Afjusted 4 2 2 6 2" xfId="27180"/>
    <cellStyle name="ac 2 2 2 2 6 2" xfId="27181"/>
    <cellStyle name="Afjusted 2 2 2 2 6 2" xfId="27182"/>
    <cellStyle name="Bold/Border 2 2 2 2 6 2" xfId="27183"/>
    <cellStyle name="COL HEADINGS 2 2 2 2 6 2" xfId="27184"/>
    <cellStyle name="Date [mmm-yyyy] 2 2 2 2 6 2" xfId="27185"/>
    <cellStyle name="dp*NumberLine 2 2 2 2 6 2" xfId="27186"/>
    <cellStyle name="dp*NumberLineEPS 2 2 2 2 6 2" xfId="27187"/>
    <cellStyle name="dp*SheetSubTitle 2 2 2 2 6 2" xfId="27188"/>
    <cellStyle name="Heading [Helv] 2 2 2 2 6 2" xfId="27189"/>
    <cellStyle name="Heading [Palat] 2 2 2 2 6 2" xfId="27190"/>
    <cellStyle name="Magic 2 2 2 2 6 2" xfId="27191"/>
    <cellStyle name="Outputs 2 2 2 2 6 2" xfId="27192"/>
    <cellStyle name="Table Head Aligned 2 2 2 2 6 2" xfId="27193"/>
    <cellStyle name="Table Head Green 2 2 2 2 6 2" xfId="27194"/>
    <cellStyle name="Title [Helv] 2 2 2 2 6 2" xfId="27195"/>
    <cellStyle name="Title [Palat] 2 2 2 2 6 2" xfId="27196"/>
    <cellStyle name="dp*ThinLineBelow 3 5 6 2" xfId="27197"/>
    <cellStyle name="Date [mm-d-yyyy] 2 2 3 6 2" xfId="27198"/>
    <cellStyle name="Afjusted 3 2 3 6 2" xfId="27199"/>
    <cellStyle name="Date [mm-d-yyyy] 3 2 3 6 2" xfId="27200"/>
    <cellStyle name="Style 51 4 2 3 6 2" xfId="27201"/>
    <cellStyle name="Style 49 4 2 3 6 2" xfId="27202"/>
    <cellStyle name="Style 45 4 2 3 6 2" xfId="27203"/>
    <cellStyle name="Style 44 4 2 3 6 2" xfId="27204"/>
    <cellStyle name="P-Green Rule 3 2 3 6 2" xfId="27205"/>
    <cellStyle name="PB Table Standard Row 3 2 3 6 2" xfId="27206"/>
    <cellStyle name="dp*ThinLineBelow 3 2 3 6 2" xfId="27207"/>
    <cellStyle name="dp*SubTitle 3 2 3 6 2" xfId="27208"/>
    <cellStyle name="Border Thin 3 2 3 6 2" xfId="27209"/>
    <cellStyle name="Afjusted 4 2 3 6 2" xfId="27210"/>
    <cellStyle name="ac 2 2 2 3 6 2" xfId="27211"/>
    <cellStyle name="Afjusted 2 2 2 3 6 2" xfId="27212"/>
    <cellStyle name="Bold/Border 2 2 2 3 6 2" xfId="27213"/>
    <cellStyle name="COL HEADINGS 2 2 2 3 6 2" xfId="27214"/>
    <cellStyle name="Date [mmm-yyyy] 2 2 2 3 6 2" xfId="27215"/>
    <cellStyle name="dp*NumberLine 2 2 2 3 6 2" xfId="27216"/>
    <cellStyle name="dp*NumberLineEPS 2 2 2 3 6 2" xfId="27217"/>
    <cellStyle name="dp*SheetSubTitle 2 2 2 3 6 2" xfId="27218"/>
    <cellStyle name="Heading [Helv] 2 2 2 3 6 2" xfId="27219"/>
    <cellStyle name="Heading [Palat] 2 2 2 3 6 2" xfId="27220"/>
    <cellStyle name="Magic 2 2 2 3 6 2" xfId="27221"/>
    <cellStyle name="Outputs 2 2 2 3 6 2" xfId="27222"/>
    <cellStyle name="Table Head Aligned 2 2 2 3 6 2" xfId="27223"/>
    <cellStyle name="Table Head Green 2 2 2 3 6 2" xfId="27224"/>
    <cellStyle name="Title [Helv] 2 2 2 3 6 2" xfId="27225"/>
    <cellStyle name="Title [Palat] 2 2 2 3 6 2" xfId="27226"/>
    <cellStyle name="Afjusted 3 2 4 6 2" xfId="27227"/>
    <cellStyle name="Date [mm-d-yyyy] 3 2 4 6 2" xfId="27228"/>
    <cellStyle name="Style 51 4 2 4 6 2" xfId="27229"/>
    <cellStyle name="Style 49 4 2 4 6 2" xfId="27230"/>
    <cellStyle name="Style 45 4 2 4 6 2" xfId="27231"/>
    <cellStyle name="Style 44 4 2 4 6 2" xfId="27232"/>
    <cellStyle name="P-Green Rule 3 2 4 6 2" xfId="27233"/>
    <cellStyle name="PB Table Standard Row 3 2 4 6 2" xfId="27234"/>
    <cellStyle name="dp*ThinLineBelow 3 2 4 6 2" xfId="27235"/>
    <cellStyle name="dp*SubTitle 3 2 4 6 2" xfId="27236"/>
    <cellStyle name="Border Thin 3 2 4 6 2" xfId="27237"/>
    <cellStyle name="Afjusted 4 2 4 6 2" xfId="27238"/>
    <cellStyle name="ac 2 2 2 4 6 2" xfId="27239"/>
    <cellStyle name="Afjusted 2 2 2 4 6 2" xfId="27240"/>
    <cellStyle name="Bold/Border 2 2 2 4 6 2" xfId="27241"/>
    <cellStyle name="COL HEADINGS 2 2 2 4 6 2" xfId="27242"/>
    <cellStyle name="Date [mmm-yyyy] 2 2 2 4 6 2" xfId="27243"/>
    <cellStyle name="dp*NumberLine 2 2 2 4 6 2" xfId="27244"/>
    <cellStyle name="dp*NumberLineEPS 2 2 2 4 6 2" xfId="27245"/>
    <cellStyle name="dp*SheetSubTitle 2 2 2 4 6 2" xfId="27246"/>
    <cellStyle name="Heading [Helv] 2 2 2 4 6 2" xfId="27247"/>
    <cellStyle name="Heading [Palat] 2 2 2 4 6 2" xfId="27248"/>
    <cellStyle name="Magic 2 2 2 4 6 2" xfId="27249"/>
    <cellStyle name="Outputs 2 2 2 4 6 2" xfId="27250"/>
    <cellStyle name="Table Head Aligned 2 2 2 4 6 2" xfId="27251"/>
    <cellStyle name="Table Head Green 2 2 2 4 6 2" xfId="27252"/>
    <cellStyle name="Title [Helv] 2 2 2 4 6 2" xfId="27253"/>
    <cellStyle name="Title [Palat] 2 2 2 4 6 2" xfId="27254"/>
    <cellStyle name="PB Table Standard Row 3 2 3 7 2" xfId="27255"/>
    <cellStyle name="Magic 2 2 4 7 2" xfId="27256"/>
    <cellStyle name="Border Thin 4 6 2" xfId="27257"/>
    <cellStyle name="Date [mm-d-yyyy] 4 6 2" xfId="27258"/>
    <cellStyle name="dp*SubTitle 4 6 2" xfId="27259"/>
    <cellStyle name="dp*ThinLineBelow 4 6 2" xfId="27260"/>
    <cellStyle name="PB Table Standard Row 4 6 2" xfId="27261"/>
    <cellStyle name="P-Green Rule 4 6 2" xfId="27262"/>
    <cellStyle name="Style 44 5 6 2" xfId="27263"/>
    <cellStyle name="Style 45 5 6 2" xfId="27264"/>
    <cellStyle name="Style 49 5 6 2" xfId="27265"/>
    <cellStyle name="Style 51 5 6 2" xfId="27266"/>
    <cellStyle name="P-Green Rule 3 2 3 7 2" xfId="27267"/>
    <cellStyle name="Outputs 2 2 4 7 2" xfId="27268"/>
    <cellStyle name="Table Head Aligned 2 2 2 4 7 2" xfId="27269"/>
    <cellStyle name="Style 44 4 2 3 7 2" xfId="27270"/>
    <cellStyle name="Heading [Palat] 2 2 4 7 2" xfId="27271"/>
    <cellStyle name="Title [Palat] 3 6 2" xfId="27272"/>
    <cellStyle name="Title [Helv] 3 6 2" xfId="27273"/>
    <cellStyle name="Table Head Green 3 6 2" xfId="27274"/>
    <cellStyle name="Table Head Aligned 3 6 2" xfId="27275"/>
    <cellStyle name="Table Head Green 5 7 2" xfId="27276"/>
    <cellStyle name="Outputs 3 6 2" xfId="27277"/>
    <cellStyle name="Magic 3 6 2" xfId="27278"/>
    <cellStyle name="Heading [Palat] 3 6 2" xfId="27279"/>
    <cellStyle name="Heading [Helv] 3 6 2" xfId="27280"/>
    <cellStyle name="dp*SubTitle 2 5 7 2" xfId="27281"/>
    <cellStyle name="dp*SheetSubTitle 3 6 2" xfId="27282"/>
    <cellStyle name="dp*NumberLineEPS 3 6 2" xfId="27283"/>
    <cellStyle name="dp*NumberLine 3 6 2" xfId="27284"/>
    <cellStyle name="Outputs 5 7 2" xfId="27285"/>
    <cellStyle name="COL HEADINGS 3 6 2" xfId="27286"/>
    <cellStyle name="Bold/Border 3 6 2" xfId="27287"/>
    <cellStyle name="Afjusted 7 7 2" xfId="27288"/>
    <cellStyle name="Afjusted 5 6 2" xfId="27289"/>
    <cellStyle name="ac 3 6 2" xfId="27290"/>
    <cellStyle name="dp*SheetSubTitle 2 2 4 7 2" xfId="27291"/>
    <cellStyle name="Style 45 4 2 3 7 2" xfId="27292"/>
    <cellStyle name="Date [mmm-yyyy] 3 6 2" xfId="27293"/>
    <cellStyle name="Style 49 4 2 3 7 2" xfId="27294"/>
    <cellStyle name="Title [Palat] 2 6 7 2" xfId="27295"/>
    <cellStyle name="dp*NumberLineEPS 2 2 4 7 2" xfId="27296"/>
    <cellStyle name="Style 49 7 7 2" xfId="27297"/>
    <cellStyle name="Magic 2 2 2 2 7 2" xfId="27298"/>
    <cellStyle name="Table Head Green 2 6 7 2" xfId="27299"/>
    <cellStyle name="dp*NumberLine 2 2 4 7 2" xfId="27300"/>
    <cellStyle name="Heading [Palat] 2 2 2 2 7 2" xfId="27301"/>
    <cellStyle name="Date [mmm-yyyy] 2 2 4 7 2" xfId="27302"/>
    <cellStyle name="ac 2 4 6 2" xfId="27303"/>
    <cellStyle name="Afjusted 2 3 6 2" xfId="27304"/>
    <cellStyle name="Bold/Border 2 4 6 2" xfId="27305"/>
    <cellStyle name="Border Thin 2 4 6 2" xfId="27306"/>
    <cellStyle name="COL HEADINGS 2 4 6 2" xfId="27307"/>
    <cellStyle name="Date [mmm-yyyy] 2 4 6 2" xfId="27308"/>
    <cellStyle name="dp*NumberLine 2 4 6 2" xfId="27309"/>
    <cellStyle name="dp*NumberLineEPS 2 4 6 2" xfId="27310"/>
    <cellStyle name="dp*SheetSubTitle 2 4 6 2" xfId="27311"/>
    <cellStyle name="dp*SubTitle 2 4 6 2" xfId="27312"/>
    <cellStyle name="dp*ThinLineBelow 2 4 6 2" xfId="27313"/>
    <cellStyle name="Heading [Helv] 2 4 6 2" xfId="27314"/>
    <cellStyle name="Heading [Palat] 2 4 6 2" xfId="27315"/>
    <cellStyle name="Magic 2 4 6 2" xfId="27316"/>
    <cellStyle name="Outputs 2 4 6 2" xfId="27317"/>
    <cellStyle name="PB Table Standard Row 2 4 6 2" xfId="27318"/>
    <cellStyle name="P-Green Rule 2 4 6 2" xfId="27319"/>
    <cellStyle name="Style 44 3 4 6 2" xfId="27320"/>
    <cellStyle name="Style 45 3 4 6 2" xfId="27321"/>
    <cellStyle name="Style 49 3 4 6 2" xfId="27322"/>
    <cellStyle name="Style 51 3 4 6 2" xfId="27323"/>
    <cellStyle name="Style 44 2 4 6 2" xfId="27324"/>
    <cellStyle name="Style 45 2 4 6 2" xfId="27325"/>
    <cellStyle name="Style 49 2 4 6 2" xfId="27326"/>
    <cellStyle name="Style 51 2 4 6 2" xfId="27327"/>
    <cellStyle name="Table Head Aligned 2 4 6 2" xfId="27328"/>
    <cellStyle name="Table Head Green 2 4 6 2" xfId="27329"/>
    <cellStyle name="Title [Helv] 2 4 6 2" xfId="27330"/>
    <cellStyle name="Title [Palat] 2 4 6 2" xfId="27331"/>
    <cellStyle name="Heading [Helv] 2 2 2 2 7 2" xfId="27332"/>
    <cellStyle name="Style 51 2 6 7 2" xfId="27333"/>
    <cellStyle name="Style 49 2 3 7 2" xfId="27334"/>
    <cellStyle name="dp*SheetSubTitle 2 2 2 2 7 2" xfId="27335"/>
    <cellStyle name="Style 49 2 6 7 2" xfId="27336"/>
    <cellStyle name="Style 45 2 3 7 2" xfId="27337"/>
    <cellStyle name="dp*ThinLineBelow 3 2 4 7 2" xfId="27338"/>
    <cellStyle name="P-Green Rule 3 3 2 7 2" xfId="27339"/>
    <cellStyle name="Date [mm-d-yyyy] 3 4 5 2 2" xfId="27340"/>
    <cellStyle name="dp*SubTitle 3 3 4 5 2 2" xfId="27341"/>
    <cellStyle name="Title [Helv] 2 2 3 8 2 2" xfId="27342"/>
    <cellStyle name="Outputs 2 2 3 8 2 2" xfId="27343"/>
    <cellStyle name="dp*NumberLineEPS 2 2 3 8 2 2" xfId="27344"/>
    <cellStyle name="Date [mm-d-yyyy] 2 2 7 2 2" xfId="27345"/>
    <cellStyle name="PB Table Standard Row 3 2 6 2 2" xfId="27346"/>
    <cellStyle name="Date [mm-d-yyyy] 2 2 3 5 2 2" xfId="27347"/>
    <cellStyle name="Table Head Green 2 2 2 3 5 2 2" xfId="27348"/>
    <cellStyle name="P-Green Rule 3 2 4 5 2 2" xfId="27349"/>
    <cellStyle name="Afjusted 2 2 2 4 5 2 2" xfId="27350"/>
    <cellStyle name="dp*NumberLineEPS 2 2 2 4 5 2 2" xfId="27351"/>
    <cellStyle name="dp*NumberLine 3 5 2 2" xfId="27352"/>
    <cellStyle name="Afjusted 5 5 2 2" xfId="27353"/>
    <cellStyle name="Heading [Helv] 2 4 5 2 2" xfId="27354"/>
    <cellStyle name="Date [mmm-yyyy] 7 6 2" xfId="27355"/>
    <cellStyle name="dp*SheetSubTitle 7 6 2" xfId="27356"/>
    <cellStyle name="Magic 7 6 2" xfId="27357"/>
    <cellStyle name="Title [Helv] 7 6 2" xfId="27358"/>
    <cellStyle name="Afjusted 9 6 2" xfId="27359"/>
    <cellStyle name="ac 4 6 2" xfId="27360"/>
    <cellStyle name="Heading [Helv] 6 7 2" xfId="27361"/>
    <cellStyle name="P-Green Rule 7 5 2" xfId="27362"/>
    <cellStyle name="Bold/Border 4 6 2" xfId="27363"/>
    <cellStyle name="Border Thin 5 6 2" xfId="27364"/>
    <cellStyle name="Style 45 9 5 2" xfId="27365"/>
    <cellStyle name="COL HEADINGS 4 6 2" xfId="27366"/>
    <cellStyle name="Style 45 7 7 2" xfId="27367"/>
    <cellStyle name="Date [mm-d-yyyy] 5 6 2" xfId="27368"/>
    <cellStyle name="Table Head Green 2 5 7 2" xfId="27369"/>
    <cellStyle name="Style 49 2 5 7 2" xfId="27370"/>
    <cellStyle name="Style 51 3 5 7 2" xfId="27371"/>
    <cellStyle name="Style 44 3 5 7 2" xfId="27372"/>
    <cellStyle name="Outputs 2 5 7 2" xfId="27373"/>
    <cellStyle name="dp*NumberLineEPS 2 5 7 2" xfId="27374"/>
    <cellStyle name="Style 49 6 7 2" xfId="27375"/>
    <cellStyle name="Heading [Helv] 4 6 2" xfId="27376"/>
    <cellStyle name="Heading [Palat] 4 6 2" xfId="27377"/>
    <cellStyle name="dp*SheetSubTitle 3 7 2" xfId="27378"/>
    <cellStyle name="Border Thin 4 7 2" xfId="27379"/>
    <cellStyle name="Bold/Border 2 2 2 3 7 2" xfId="27380"/>
    <cellStyle name="Table Head Green 2 2 2 2 7 2" xfId="27381"/>
    <cellStyle name="dp*SheetSubTitle 2 2 3 2 7 2" xfId="27382"/>
    <cellStyle name="Style 51 4 3 9 2" xfId="27383"/>
    <cellStyle name="Style 44 4 3 9 2" xfId="27384"/>
    <cellStyle name="dp*ThinLineBelow 3 3 9 2" xfId="27385"/>
    <cellStyle name="Outputs 4 6 2" xfId="27386"/>
    <cellStyle name="Afjusted 2 2 3 9 2" xfId="27387"/>
    <cellStyle name="Date [mmm-yyyy] 2 2 3 10 2" xfId="27388"/>
    <cellStyle name="dp*SheetSubTitle 2 2 3 10 2" xfId="27389"/>
    <cellStyle name="Table Head Aligned 2 2 3 10 2" xfId="27390"/>
    <cellStyle name="Title [Palat] 2 2 3 10 2" xfId="27391"/>
    <cellStyle name="Style 44 4 3 4 7 2" xfId="27392"/>
    <cellStyle name="PB Table Standard Row 5 6 2" xfId="27393"/>
    <cellStyle name="dp*ThinLineBelow 3 3 4 7 2" xfId="27394"/>
    <cellStyle name="Style 49 4 4 7 2" xfId="27395"/>
    <cellStyle name="Table Head Green 2 2 3 3 7 2" xfId="27396"/>
    <cellStyle name="Afjusted 3 4 7 2" xfId="27397"/>
    <cellStyle name="Style 45 4 3 4 7 2" xfId="27398"/>
    <cellStyle name="dp*NumberLine 2 2 3 3 7 2" xfId="27399"/>
    <cellStyle name="P-Green Rule 2 2 7 2" xfId="27400"/>
    <cellStyle name="Style 44 2 2 7 2" xfId="27401"/>
    <cellStyle name="Magic 2 2 3 4 7 2" xfId="27402"/>
    <cellStyle name="P-Green Rule 5 6 2" xfId="27403"/>
    <cellStyle name="dp*SubTitle 2 2 7 2" xfId="27404"/>
    <cellStyle name="Title [Palat] 2 2 9 2" xfId="27405"/>
    <cellStyle name="Table Head Green 2 11 2" xfId="27406"/>
    <cellStyle name="Date [mm-d-yyyy] 2 7 2" xfId="27407"/>
    <cellStyle name="Style 44 6 6 2" xfId="27408"/>
    <cellStyle name="Style 45 6 6 2" xfId="27409"/>
    <cellStyle name="Style 49 6 6 2" xfId="27410"/>
    <cellStyle name="Style 51 6 6 2" xfId="27411"/>
    <cellStyle name="Table Head Green 4 6 2" xfId="27412"/>
    <cellStyle name="PB Table Standard Row 3 3 2 7" xfId="27413"/>
    <cellStyle name="Magic 2 2 2 4 7 2" xfId="27414"/>
    <cellStyle name="Style 49 4 2 2 7 2" xfId="27415"/>
    <cellStyle name="Outputs 2 4 7 2" xfId="27416"/>
    <cellStyle name="Style 49 4 2 9 2" xfId="27417"/>
    <cellStyle name="dp*NumberLineEPS 2 2 2 2 7 2" xfId="27418"/>
    <cellStyle name="Style 44 2 3 7 2" xfId="27419"/>
    <cellStyle name="Afjusted 6 6 2" xfId="27420"/>
    <cellStyle name="Style 44 7 7 2" xfId="27421"/>
    <cellStyle name="ac 2 5 6 2" xfId="27422"/>
    <cellStyle name="Afjusted 2 4 6 2" xfId="27423"/>
    <cellStyle name="Bold/Border 2 5 6 2" xfId="27424"/>
    <cellStyle name="Border Thin 2 5 6 2" xfId="27425"/>
    <cellStyle name="COL HEADINGS 2 5 6 2" xfId="27426"/>
    <cellStyle name="Date [mmm-yyyy] 2 5 6 2" xfId="27427"/>
    <cellStyle name="dp*NumberLine 2 5 6 2" xfId="27428"/>
    <cellStyle name="dp*NumberLineEPS 2 5 6 2" xfId="27429"/>
    <cellStyle name="dp*SheetSubTitle 2 5 6 2" xfId="27430"/>
    <cellStyle name="dp*SubTitle 2 5 6 2" xfId="27431"/>
    <cellStyle name="dp*ThinLineBelow 2 5 6 2" xfId="27432"/>
    <cellStyle name="Heading [Helv] 2 5 6 2" xfId="27433"/>
    <cellStyle name="Heading [Palat] 2 5 6 2" xfId="27434"/>
    <cellStyle name="Magic 2 5 6 2" xfId="27435"/>
    <cellStyle name="Outputs 2 5 6 2" xfId="27436"/>
    <cellStyle name="PB Table Standard Row 2 5 6 2" xfId="27437"/>
    <cellStyle name="P-Green Rule 2 5 6 2" xfId="27438"/>
    <cellStyle name="Style 44 3 5 6 2" xfId="27439"/>
    <cellStyle name="Style 45 3 5 6 2" xfId="27440"/>
    <cellStyle name="Style 49 3 5 6 2" xfId="27441"/>
    <cellStyle name="Style 51 3 5 6 2" xfId="27442"/>
    <cellStyle name="Style 44 2 5 6 2" xfId="27443"/>
    <cellStyle name="Style 45 2 5 6 2" xfId="27444"/>
    <cellStyle name="Style 49 2 5 6 2" xfId="27445"/>
    <cellStyle name="Style 51 2 5 6 2" xfId="27446"/>
    <cellStyle name="Table Head Aligned 2 5 6 2" xfId="27447"/>
    <cellStyle name="Table Head Green 2 5 6 2" xfId="27448"/>
    <cellStyle name="Title [Helv] 2 5 6 2" xfId="27449"/>
    <cellStyle name="Title [Palat] 2 5 6 2" xfId="27450"/>
    <cellStyle name="Style 51 6 7 2" xfId="27451"/>
    <cellStyle name="Afjusted 2 2 2 4 7 2" xfId="27452"/>
    <cellStyle name="Date [mm-d-yyyy] 3 2 2 7 2" xfId="27453"/>
    <cellStyle name="Style 45 4 5 7 2" xfId="27454"/>
    <cellStyle name="Style 49 4 3 2 7 2" xfId="27455"/>
    <cellStyle name="Date [mm-d-yyyy] 3 5 7 2" xfId="27456"/>
    <cellStyle name="COL HEADINGS 2 2 3 2 7 2" xfId="27457"/>
    <cellStyle name="COL HEADINGS 2 2 2 9 2" xfId="27458"/>
    <cellStyle name="dp*NumberLine 2 2 2 2 7 2" xfId="27459"/>
    <cellStyle name="Style 45 2 6 7 2" xfId="27460"/>
    <cellStyle name="Style 51 3 3 7 2" xfId="27461"/>
    <cellStyle name="Date [mmm-yyyy] 2 2 2 2 7 2" xfId="27462"/>
    <cellStyle name="P-Green Rule 2 6 7 2" xfId="27463"/>
    <cellStyle name="Style 45 3 3 7 2" xfId="27464"/>
    <cellStyle name="COL HEADINGS 2 2 2 2 7 2" xfId="27465"/>
    <cellStyle name="Afjusted 3 5 7 2" xfId="27466"/>
    <cellStyle name="P-Green Rule 3 2 4 7 2" xfId="27467"/>
    <cellStyle name="Style 45 4 4 5 2 2" xfId="27468"/>
    <cellStyle name="Border Thin 3 4 4 2 2" xfId="27469"/>
    <cellStyle name="Table Head Green 2 2 3 8 2 2" xfId="27470"/>
    <cellStyle name="Magic 2 2 3 8 2 2" xfId="27471"/>
    <cellStyle name="dp*NumberLine 2 2 3 8 2 2" xfId="27472"/>
    <cellStyle name="Style 49 4 2 7 2 2" xfId="27473"/>
    <cellStyle name="Afjusted 2 2 2 8 2 2" xfId="27474"/>
    <cellStyle name="PB Table Standard Row 3 2 3 5 2 2" xfId="27475"/>
    <cellStyle name="Afjusted 3 2 4 5 2 2" xfId="27476"/>
    <cellStyle name="dp*SubTitle 3 2 4 5 2 2" xfId="27477"/>
    <cellStyle name="Bold/Border 2 2 2 4 5 2 2" xfId="27478"/>
    <cellStyle name="Heading [Palat] 2 2 2 4 5 2 2" xfId="27479"/>
    <cellStyle name="COL HEADINGS 3 5 2 2" xfId="27480"/>
    <cellStyle name="Date [mmm-yyyy] 3 5 2 2" xfId="27481"/>
    <cellStyle name="Heading [Palat] 2 4 5 2 2" xfId="27482"/>
    <cellStyle name="dp*NumberLine 7 6 2" xfId="27483"/>
    <cellStyle name="Heading [Helv] 9 6 2" xfId="27484"/>
    <cellStyle name="Table Head Aligned 7 6 2" xfId="27485"/>
    <cellStyle name="Title [Palat] 8 6 2" xfId="27486"/>
    <cellStyle name="Date [mmm-yyyy] 6 6 2" xfId="27487"/>
    <cellStyle name="ac 5 6 2" xfId="27488"/>
    <cellStyle name="dp*NumberLine 4 7 2" xfId="27489"/>
    <cellStyle name="Bold/Border 5 6 2" xfId="27490"/>
    <cellStyle name="Border Thin 6 6 2" xfId="27491"/>
    <cellStyle name="Table Head Aligned 4 7 2" xfId="27492"/>
    <cellStyle name="Title [Helv] 4 7 2" xfId="27493"/>
    <cellStyle name="COL HEADINGS 5 6 2" xfId="27494"/>
    <cellStyle name="Date [mm-d-yyyy] 6 4 2" xfId="27495"/>
    <cellStyle name="Title [Palat] 2 5 7 2" xfId="27496"/>
    <cellStyle name="Table Head Aligned 2 5 7 2" xfId="27497"/>
    <cellStyle name="Style 45 2 5 7 2" xfId="27498"/>
    <cellStyle name="Style 49 3 5 7 2" xfId="27499"/>
    <cellStyle name="P-Green Rule 2 5 7 2" xfId="27500"/>
    <cellStyle name="Magic 2 5 7 2" xfId="27501"/>
    <cellStyle name="Date [mmm-yyyy] 2 5 7 2" xfId="27502"/>
    <cellStyle name="Heading [Helv] 5 6 2" xfId="27503"/>
    <cellStyle name="Heading [Palat] 5 6 2" xfId="27504"/>
    <cellStyle name="P-Green Rule 5 7 2" xfId="27505"/>
    <cellStyle name="PB Table Standard Row 5 7 2" xfId="27506"/>
    <cellStyle name="Heading [Palat] 4 7 2" xfId="27507"/>
    <cellStyle name="Afjusted 2 2 2 3 7 2" xfId="27508"/>
    <cellStyle name="Style 49 4 3 9 2" xfId="27509"/>
    <cellStyle name="P-Green Rule 3 3 9 2" xfId="27510"/>
    <cellStyle name="dp*SubTitle 3 3 9 2" xfId="27511"/>
    <cellStyle name="Outputs 5 6 2" xfId="27512"/>
    <cellStyle name="Bold/Border 2 2 3 10 2" xfId="27513"/>
    <cellStyle name="dp*NumberLine 2 2 3 10 2" xfId="27514"/>
    <cellStyle name="Heading [Helv] 2 2 3 10 2" xfId="27515"/>
    <cellStyle name="Table Head Green 2 2 3 10 2" xfId="27516"/>
    <cellStyle name="PB Table Standard Row 6 6 2" xfId="27517"/>
    <cellStyle name="Style 44 4 4 7 2" xfId="27518"/>
    <cellStyle name="Date [mm-d-yyyy] 3 3 3 7 2" xfId="27519"/>
    <cellStyle name="Table Head Green 2 2 4 7 2" xfId="27520"/>
    <cellStyle name="Outputs 2 2 3 3 7 2" xfId="27521"/>
    <cellStyle name="dp*ThinLineBelow 2 2 7 2" xfId="27522"/>
    <cellStyle name="Style 44 3 2 7 2" xfId="27523"/>
    <cellStyle name="Style 49 2 2 7 2" xfId="27524"/>
    <cellStyle name="P-Green Rule 6 6 2" xfId="27525"/>
    <cellStyle name="Title [Helv] 2 2 9 2" xfId="27526"/>
    <cellStyle name="Style 44 7 6 2" xfId="27527"/>
    <cellStyle name="Style 45 7 6 2" xfId="27528"/>
    <cellStyle name="Style 49 7 6 2" xfId="27529"/>
    <cellStyle name="Style 51 7 6 2" xfId="27530"/>
    <cellStyle name="Table Head Green 5 6 2" xfId="27531"/>
    <cellStyle name="Title [Palat] 4 6 2" xfId="27532"/>
    <cellStyle name="PB Table Standard Row 3 3 2 5 2" xfId="27533"/>
    <cellStyle name="Table Head Aligned 2 2 2 2 7 2" xfId="27534"/>
    <cellStyle name="Heading [Palat] 2 2 3 2 7 2" xfId="27535"/>
    <cellStyle name="Heading [Helv] 2 2 2 4 7 2" xfId="27536"/>
    <cellStyle name="Style 51 4 2 2 7 2" xfId="27537"/>
    <cellStyle name="Style 51 4 3 2 7 2" xfId="27538"/>
    <cellStyle name="Title [Helv] 2 3 5 2 2" xfId="27539"/>
    <cellStyle name="P-Green Rule 4 7 2" xfId="27540"/>
    <cellStyle name="Date [mmm-yyyy] 2 2 2 4 7 2" xfId="27541"/>
    <cellStyle name="P-Green Rule 3 2 2 7 2" xfId="27542"/>
    <cellStyle name="dp*SubTitle 2 3 6 2" xfId="27543"/>
    <cellStyle name="ac 2 2 3 2 7 2" xfId="27544"/>
    <cellStyle name="ac 2 6 6 2" xfId="27545"/>
    <cellStyle name="Bold/Border 2 6 6 2" xfId="27546"/>
    <cellStyle name="Border Thin 2 6 6 2" xfId="27547"/>
    <cellStyle name="COL HEADINGS 2 6 6 2" xfId="27548"/>
    <cellStyle name="Date [mm-d-yyyy] 2 3 4 2" xfId="27549"/>
    <cellStyle name="Heading [Helv] 2 6 6 2" xfId="27550"/>
    <cellStyle name="Heading [Palat] 2 6 6 2" xfId="27551"/>
    <cellStyle name="dp*LabelLine 3 2 3 2" xfId="27552"/>
    <cellStyle name="Outputs 2 6 6 2" xfId="27553"/>
    <cellStyle name="PB Table Standard Row 2 6 6 2" xfId="27554"/>
    <cellStyle name="P-Green Rule 2 6 6 2" xfId="27555"/>
    <cellStyle name="Style 44 3 6 6 2" xfId="27556"/>
    <cellStyle name="Style 45 3 6 6 2" xfId="27557"/>
    <cellStyle name="Style 49 3 6 6 2" xfId="27558"/>
    <cellStyle name="Style 51 3 6 6 2" xfId="27559"/>
    <cellStyle name="Style 44 2 6 6 2" xfId="27560"/>
    <cellStyle name="Style 45 2 6 6 2" xfId="27561"/>
    <cellStyle name="Style 49 2 6 6 2" xfId="27562"/>
    <cellStyle name="Style 51 2 6 6 2" xfId="27563"/>
    <cellStyle name="Table Head Green 2 6 6 2" xfId="27564"/>
    <cellStyle name="Title [Palat] 2 6 6 2" xfId="27565"/>
    <cellStyle name="Style 44 4 3 2 7 2" xfId="27566"/>
    <cellStyle name="dp*NumberLine 2 2 3 2 7 2" xfId="27567"/>
    <cellStyle name="Style 45 4 2 2 7 2" xfId="27568"/>
    <cellStyle name="Date [mm-d-yyyy] 3 3 2 7 2" xfId="27569"/>
    <cellStyle name="dp*NumberLine 2 2 2 4 7 2" xfId="27570"/>
    <cellStyle name="PB Table Standard Row 3 2 2 7 2" xfId="27571"/>
    <cellStyle name="Afjusted 4 3 2 7 2" xfId="27572"/>
    <cellStyle name="Date [mmm-yyyy] 2 2 2 9 2" xfId="27573"/>
    <cellStyle name="PB Table Standard Row 2 6 7 2" xfId="27574"/>
    <cellStyle name="Date [mm-d-yyyy] 3 2 10 2" xfId="27575"/>
    <cellStyle name="Border Thin 3 5 5 3" xfId="27576"/>
    <cellStyle name="Style 51 7 5 3" xfId="27577"/>
    <cellStyle name="Bold/Border 2 2 2 2 7 2" xfId="27578"/>
    <cellStyle name="Outputs 2 6 7 2" xfId="27579"/>
    <cellStyle name="Title [Helv] 2 2 3 2 7 2" xfId="27580"/>
    <cellStyle name="dp*ThinLineBelow 3 3 2 7 2" xfId="27581"/>
    <cellStyle name="COL HEADINGS 2 2 2 3 7 2" xfId="27582"/>
    <cellStyle name="PB Table Standard Row 3 2 4 7 2" xfId="27583"/>
    <cellStyle name="Title [Palat] 2 2 2 4 7 2" xfId="27584"/>
    <cellStyle name="Heading [Palat] 2 2 2 4 7 2" xfId="27585"/>
    <cellStyle name="Title [Helv] 2 2 2 2 7 2" xfId="27586"/>
    <cellStyle name="dp*SheetSubTitle 2 4 7 2" xfId="27587"/>
    <cellStyle name="Style 44 3 4 7 2" xfId="27588"/>
    <cellStyle name="dp*NumberLineEPS 2 2 3 2 7 2" xfId="27589"/>
    <cellStyle name="Afjusted 2 2 3 2 7 2" xfId="27590"/>
    <cellStyle name="Heading [Helv] 3 7 2" xfId="27591"/>
    <cellStyle name="Magic 3 7 2" xfId="27592"/>
    <cellStyle name="Outputs 3 7 2" xfId="27593"/>
    <cellStyle name="Date [mm-d-yyyy] 2 2 3 7 2" xfId="27594"/>
    <cellStyle name="Heading [Helv] 2 2 2 3 7 2" xfId="27595"/>
    <cellStyle name="Style 51 3 6 7 2" xfId="27596"/>
    <cellStyle name="ac 2 6 7 2" xfId="27597"/>
    <cellStyle name="Bold/Border 2 6 7 2" xfId="27598"/>
    <cellStyle name="Bold/Border 2 3 7 2" xfId="27599"/>
    <cellStyle name="dp*NumberLine 2 2 2 9 2" xfId="27600"/>
    <cellStyle name="Outputs 2 2 2 4 7 2" xfId="27601"/>
    <cellStyle name="dp*NumberLine 2 2 2 3 7 2" xfId="27602"/>
    <cellStyle name="Afjusted 2 2 5 7 2" xfId="27603"/>
    <cellStyle name="ac 2 2 2 9 2" xfId="27604"/>
    <cellStyle name="COL HEADINGS 2 2 2 4 7 2" xfId="27605"/>
    <cellStyle name="Table Head Aligned 3 7 2" xfId="27606"/>
    <cellStyle name="Table Head Green 3 7 2" xfId="27607"/>
    <cellStyle name="Title [Helv] 3 7 2" xfId="27608"/>
    <cellStyle name="dp*ThinLineBelow 4 7 2" xfId="27609"/>
    <cellStyle name="Title [Palat] 3 7 2" xfId="27610"/>
    <cellStyle name="Afjusted 4 2 4 7 2" xfId="27611"/>
    <cellStyle name="PB Table Standard Row 4 7 2" xfId="27612"/>
    <cellStyle name="dp*SubTitle 3 2 4 7 2" xfId="27613"/>
    <cellStyle name="Date [mmm-yyyy] 3 7 2" xfId="27614"/>
    <cellStyle name="dp*NumberLineEPS 3 7 2" xfId="27615"/>
    <cellStyle name="dp*NumberLine 3 7 2" xfId="27616"/>
    <cellStyle name="Table Head Aligned 2 4 7 2" xfId="27617"/>
    <cellStyle name="Heading [Helv] 2 2 3 2 7 2" xfId="27618"/>
    <cellStyle name="Magic 2 2 3 2 7 2" xfId="27619"/>
    <cellStyle name="Afjusted 2 2 2 2 7 2" xfId="27620"/>
    <cellStyle name="Title [Palat] 5 6 2" xfId="27621"/>
    <cellStyle name="Title [Helv] 4 6 2" xfId="27622"/>
    <cellStyle name="Table Head Green 6 6 2" xfId="27623"/>
    <cellStyle name="Table Head Aligned 4 6 2" xfId="27624"/>
    <cellStyle name="Style 51 9 4 2" xfId="27625"/>
    <cellStyle name="Style 49 9 4 2" xfId="27626"/>
    <cellStyle name="Style 45 9 4 2" xfId="27627"/>
    <cellStyle name="Style 44 9 4 2" xfId="27628"/>
    <cellStyle name="dp*NumberLineEPS 2 10 2" xfId="27629"/>
    <cellStyle name="COL HEADINGS 2 2 9 2" xfId="27630"/>
    <cellStyle name="Magic 2 2 9 2" xfId="27631"/>
    <cellStyle name="Style 45 7 5 2 2" xfId="27632"/>
    <cellStyle name="P-Green Rule 7 4 2" xfId="27633"/>
    <cellStyle name="Outputs 6 6 2" xfId="27634"/>
    <cellStyle name="Magic 4 6 2" xfId="27635"/>
    <cellStyle name="Afjusted 2 4 7 2" xfId="27636"/>
    <cellStyle name="Heading [Palat] 6 6 2" xfId="27637"/>
    <cellStyle name="Heading [Helv] 6 6 2" xfId="27638"/>
    <cellStyle name="Border Thin 2 5 7 2" xfId="27639"/>
    <cellStyle name="dp*ThinLineBelow 5 5 2" xfId="27640"/>
    <cellStyle name="dp*SheetSubTitle 4 6 2" xfId="27641"/>
    <cellStyle name="dp*NumberLineEPS 4 6 2" xfId="27642"/>
    <cellStyle name="dp*NumberLine 4 6 2" xfId="27643"/>
    <cellStyle name="Date [mmm-yyyy] 4 6 2" xfId="27644"/>
    <cellStyle name="Date [mm-d-yyyy] 7 5 2" xfId="27645"/>
    <cellStyle name="COL HEADINGS 6 6 2" xfId="27646"/>
    <cellStyle name="Bold/Border 6 6 2" xfId="27647"/>
    <cellStyle name="dp*SheetSubTitle 4 7 2" xfId="27648"/>
    <cellStyle name="Afjusted 7 6 2" xfId="27649"/>
    <cellStyle name="ac 6 6 2" xfId="27650"/>
    <cellStyle name="Heading [Helv] 2 2 9 2" xfId="27651"/>
    <cellStyle name="Style 44 2 10 2" xfId="27652"/>
    <cellStyle name="Style 44 8 6 2" xfId="27653"/>
    <cellStyle name="Style 45 8 6 2" xfId="27654"/>
    <cellStyle name="Style 49 8 6 2" xfId="27655"/>
    <cellStyle name="Style 51 8 6 2" xfId="27656"/>
    <cellStyle name="Heading [Palat] 2 6 7 2" xfId="27657"/>
    <cellStyle name="Title [Palat] 2 2 3 2 7 2" xfId="27658"/>
    <cellStyle name="Magic 2 4 7 2" xfId="27659"/>
    <cellStyle name="Bold/Border 2 2 2 4 7 2" xfId="27660"/>
    <cellStyle name="dp*SheetSubTitle 2 2 2 3 7 2" xfId="27661"/>
    <cellStyle name="Magic 2 2 2 9 2" xfId="27662"/>
    <cellStyle name="Style 44 3 6 7 2" xfId="27663"/>
    <cellStyle name="Style 51 3 4 7 2" xfId="27664"/>
    <cellStyle name="Heading [Palat] 2 4 7 2" xfId="27665"/>
    <cellStyle name="dp*SubTitle 2 4 7 2" xfId="27666"/>
    <cellStyle name="Heading [Palat] 3 7 2" xfId="27667"/>
    <cellStyle name="dp*ThinLineBelow 3 5 7 2" xfId="27668"/>
    <cellStyle name="Bold/Border 2 2 3 2 7 2" xfId="27669"/>
    <cellStyle name="ac 2 3 7 2" xfId="27670"/>
    <cellStyle name="Magic 2 2 3 3 7 2" xfId="27671"/>
    <cellStyle name="Border Thin 3 5 7 2" xfId="27672"/>
    <cellStyle name="dp*NumberLineEPS 2 4 7 2" xfId="27673"/>
    <cellStyle name="Date [mm-d-yyyy] 2 3 5 2" xfId="27674"/>
    <cellStyle name="Heading [Helv] 2 6 7 2" xfId="27675"/>
    <cellStyle name="P-Green Rule 2 3 7 2" xfId="27676"/>
    <cellStyle name="PB Table Standard Row 2 3 5 2" xfId="27677"/>
    <cellStyle name="Title [Palat] 6 5 2" xfId="27678"/>
    <cellStyle name="Title [Helv] 5 5 2" xfId="27679"/>
    <cellStyle name="Table Head Green 7 5 2" xfId="27680"/>
    <cellStyle name="Table Head Aligned 5 5 2" xfId="27681"/>
    <cellStyle name="Outputs 7 5 2" xfId="27682"/>
    <cellStyle name="Magic 5 5 2" xfId="27683"/>
    <cellStyle name="Heading [Palat] 7 5 2" xfId="27684"/>
    <cellStyle name="Heading [Helv] 7 5 2" xfId="27685"/>
    <cellStyle name="dp*SheetSubTitle 5 5 2" xfId="27686"/>
    <cellStyle name="dp*NumberLineEPS 5 5 2" xfId="27687"/>
    <cellStyle name="dp*NumberLine 5 5 2" xfId="27688"/>
    <cellStyle name="Date [mmm-yyyy] 5 5 2" xfId="27689"/>
    <cellStyle name="COL HEADINGS 7 5 2" xfId="27690"/>
    <cellStyle name="Bold/Border 7 5 2" xfId="27691"/>
    <cellStyle name="Afjusted 8 5 2" xfId="27692"/>
    <cellStyle name="ac 7 5 2" xfId="27693"/>
    <cellStyle name="Heading [Palat] 2 2 3 4 7 2" xfId="27694"/>
    <cellStyle name="Table Head Green 2 2 3 4 7 2" xfId="27695"/>
    <cellStyle name="COL HEADINGS 2 6 7 2" xfId="27696"/>
    <cellStyle name="Title [Palat] 2 2 3 4 7 2" xfId="27697"/>
    <cellStyle name="Title [Palat] 7 5 2" xfId="27698"/>
    <cellStyle name="Title [Helv] 6 5 2" xfId="27699"/>
    <cellStyle name="Table Head Green 8 5 2" xfId="27700"/>
    <cellStyle name="Table Head Aligned 6 5 2" xfId="27701"/>
    <cellStyle name="Magic 2 10 2" xfId="27702"/>
    <cellStyle name="dp*NumberLineEPS 2 2 9 2" xfId="27703"/>
    <cellStyle name="Afjusted 3 5 5 2 2" xfId="27704"/>
    <cellStyle name="Outputs 8 5 2" xfId="27705"/>
    <cellStyle name="Magic 6 5 2" xfId="27706"/>
    <cellStyle name="Heading [Palat] 8 5 2" xfId="27707"/>
    <cellStyle name="Heading [Helv] 8 5 2" xfId="27708"/>
    <cellStyle name="COL HEADINGS 5 7 2" xfId="27709"/>
    <cellStyle name="dp*SheetSubTitle 6 5 2" xfId="27710"/>
    <cellStyle name="dp*NumberLineEPS 6 5 2" xfId="27711"/>
    <cellStyle name="dp*NumberLine 6 5 2" xfId="27712"/>
    <cellStyle name="COL HEADINGS 8 5 2" xfId="27713"/>
    <cellStyle name="Bold/Border 8 5 2" xfId="27714"/>
    <cellStyle name="Afjusted 9 5 2" xfId="27715"/>
    <cellStyle name="ac 8 5 2" xfId="27716"/>
    <cellStyle name="Table Head Aligned 2 2 3 4 7 2" xfId="27717"/>
    <cellStyle name="Date [mmm-yyyy] 6 5 2" xfId="27718"/>
    <cellStyle name="Outputs 2 2 3 4 7 2" xfId="27719"/>
    <cellStyle name="Title [Palat] 8 5 2" xfId="27720"/>
    <cellStyle name="Title [Helv] 7 5 2" xfId="27721"/>
    <cellStyle name="Table Head Green 9 5 2" xfId="27722"/>
    <cellStyle name="Table Head Aligned 7 5 2" xfId="27723"/>
    <cellStyle name="Outputs 9 5 2" xfId="27724"/>
    <cellStyle name="Magic 7 5 2" xfId="27725"/>
    <cellStyle name="Heading [Palat] 9 5 2" xfId="27726"/>
    <cellStyle name="Heading [Helv] 9 5 2" xfId="27727"/>
    <cellStyle name="dp*SheetSubTitle 7 5 2" xfId="27728"/>
    <cellStyle name="dp*NumberLineEPS 7 5 2" xfId="27729"/>
    <cellStyle name="dp*NumberLine 7 5 2" xfId="27730"/>
    <cellStyle name="Date [mmm-yyyy] 7 5 2" xfId="27731"/>
    <cellStyle name="COL HEADINGS 9 5 2" xfId="27732"/>
    <cellStyle name="Bold/Border 9 5 2" xfId="27733"/>
    <cellStyle name="Afjusted 10 5 2" xfId="27734"/>
    <cellStyle name="ac 9 5 2" xfId="27735"/>
    <cellStyle name="Heading [Helv] 2 2 3 4 7 2" xfId="27736"/>
    <cellStyle name="P-Green Rule 6 5 3" xfId="27737"/>
    <cellStyle name="PB Table Standard Row 6 5 3" xfId="27738"/>
    <cellStyle name="Outputs 5 5 3" xfId="27739"/>
    <cellStyle name="Heading [Helv] 5 5 3" xfId="27740"/>
    <cellStyle name="COL HEADINGS 5 5 3" xfId="27741"/>
    <cellStyle name="Bold/Border 5 5 3" xfId="27742"/>
    <cellStyle name="Style 45 2 5 5 3" xfId="27743"/>
    <cellStyle name="Date [mmm-yyyy] 2 5 5 3" xfId="27744"/>
    <cellStyle name="Bold/Border 2 5 5 3" xfId="27745"/>
    <cellStyle name="Afjusted 2 4 5 3" xfId="27746"/>
    <cellStyle name="ac 2 5 5 3" xfId="27747"/>
    <cellStyle name="Style 51 6 5 3" xfId="27748"/>
    <cellStyle name="PB Table Standard Row 5 5 3" xfId="27749"/>
    <cellStyle name="Heading [Palat] 4 5 3" xfId="27750"/>
    <cellStyle name="Bold/Border 4 5 3" xfId="27751"/>
    <cellStyle name="ac 4 5 3" xfId="27752"/>
    <cellStyle name="Title [Helv] 2 4 5 3" xfId="27753"/>
    <cellStyle name="Table Head Green 2 4 5 3" xfId="27754"/>
    <cellStyle name="Table Head Aligned 2 4 5 3" xfId="27755"/>
    <cellStyle name="Style 51 2 4 5 3" xfId="27756"/>
    <cellStyle name="Style 49 2 4 5 3" xfId="27757"/>
    <cellStyle name="Style 45 2 4 5 3" xfId="27758"/>
    <cellStyle name="Style 44 2 4 5 3" xfId="27759"/>
    <cellStyle name="Style 51 3 4 5 3" xfId="27760"/>
    <cellStyle name="Style 49 3 4 5 3" xfId="27761"/>
    <cellStyle name="Style 45 3 4 5 3" xfId="27762"/>
    <cellStyle name="Style 44 3 4 5 3" xfId="27763"/>
    <cellStyle name="P-Green Rule 2 4 5 3" xfId="27764"/>
    <cellStyle name="PB Table Standard Row 2 4 5 3" xfId="27765"/>
    <cellStyle name="Outputs 2 4 5 3" xfId="27766"/>
    <cellStyle name="Magic 2 4 5 3" xfId="27767"/>
    <cellStyle name="Heading [Palat] 2 4 5 3" xfId="27768"/>
    <cellStyle name="Heading [Helv] 2 4 5 3" xfId="27769"/>
    <cellStyle name="COL HEADINGS 2 4 5 3" xfId="27770"/>
    <cellStyle name="Date [mmm-yyyy] 3 5 3" xfId="27771"/>
    <cellStyle name="Afjusted 5 5 3" xfId="27772"/>
    <cellStyle name="Bold/Border 3 5 3" xfId="27773"/>
    <cellStyle name="COL HEADINGS 3 5 3" xfId="27774"/>
    <cellStyle name="dp*NumberLine 3 5 3" xfId="27775"/>
    <cellStyle name="dp*NumberLineEPS 3 5 3" xfId="27776"/>
    <cellStyle name="Heading [Palat] 3 5 3" xfId="27777"/>
    <cellStyle name="Magic 3 5 3" xfId="27778"/>
    <cellStyle name="Title [Helv] 3 5 3" xfId="27779"/>
    <cellStyle name="Date [mm-d-yyyy] 4 5 3" xfId="27780"/>
    <cellStyle name="Title [Palat] 2 2 2 4 5 3" xfId="27781"/>
    <cellStyle name="Title [Helv] 2 2 2 4 5 3" xfId="27782"/>
    <cellStyle name="Heading [Palat] 2 2 2 4 5 3" xfId="27783"/>
    <cellStyle name="dp*NumberLineEPS 2 2 2 4 5 3" xfId="27784"/>
    <cellStyle name="dp*NumberLine 2 2 2 4 5 3" xfId="27785"/>
    <cellStyle name="Bold/Border 2 2 2 4 5 3" xfId="27786"/>
    <cellStyle name="Afjusted 2 2 2 4 5 3" xfId="27787"/>
    <cellStyle name="ac 2 2 2 4 5 3" xfId="27788"/>
    <cellStyle name="dp*SubTitle 3 2 4 5 3" xfId="27789"/>
    <cellStyle name="P-Green Rule 3 2 4 5 3" xfId="27790"/>
    <cellStyle name="Style 49 4 2 4 5 3" xfId="27791"/>
    <cellStyle name="Afjusted 3 2 4 5 3" xfId="27792"/>
    <cellStyle name="Table Head Green 2 2 2 3 5 3" xfId="27793"/>
    <cellStyle name="Magic 2 2 2 3 5 3" xfId="27794"/>
    <cellStyle name="dp*SheetSubTitle 2 2 2 3 5 3" xfId="27795"/>
    <cellStyle name="Date [mmm-yyyy] 2 2 2 3 5 3" xfId="27796"/>
    <cellStyle name="Afjusted 2 2 2 3 5 3" xfId="27797"/>
    <cellStyle name="Border Thin 3 2 3 5 3" xfId="27798"/>
    <cellStyle name="PB Table Standard Row 3 2 3 5 3" xfId="27799"/>
    <cellStyle name="Date [mm-d-yyyy] 2 2 3 5 3" xfId="27800"/>
    <cellStyle name="Heading [Palat] 2 2 2 2 5 3" xfId="27801"/>
    <cellStyle name="dp*NumberLineEPS 2 2 2 2 5 3" xfId="27802"/>
    <cellStyle name="dp*NumberLine 2 2 2 2 5 3" xfId="27803"/>
    <cellStyle name="Date [mmm-yyyy] 2 2 2 2 5 3" xfId="27804"/>
    <cellStyle name="COL HEADINGS 2 2 2 2 5 3" xfId="27805"/>
    <cellStyle name="Bold/Border 2 2 2 2 5 3" xfId="27806"/>
    <cellStyle name="Afjusted 2 2 2 2 5 3" xfId="27807"/>
    <cellStyle name="Style 51 4 5 5 3" xfId="27808"/>
    <cellStyle name="dp*SubTitle 3 2 2 5 3" xfId="27809"/>
    <cellStyle name="dp*ThinLineBelow 3 2 2 5 3" xfId="27810"/>
    <cellStyle name="PB Table Standard Row 3 2 2 5 3" xfId="27811"/>
    <cellStyle name="Style 44 4 2 2 5 3" xfId="27812"/>
    <cellStyle name="Style 49 4 2 2 5 3" xfId="27813"/>
    <cellStyle name="Style 51 4 2 2 5 3" xfId="27814"/>
    <cellStyle name="Afjusted 3 2 2 5 3" xfId="27815"/>
    <cellStyle name="Date [mm-d-yyyy] 2 2 2 5 3" xfId="27816"/>
    <cellStyle name="Afjusted 3 3 2 5 3" xfId="27817"/>
    <cellStyle name="Style 49 4 3 2 5 3" xfId="27818"/>
    <cellStyle name="Style 44 4 3 2 5 3" xfId="27819"/>
    <cellStyle name="P-Green Rule 3 3 2 5 3" xfId="27820"/>
    <cellStyle name="dp*SubTitle 3 3 2 5 3" xfId="27821"/>
    <cellStyle name="ac 2 2 3 2 5 3" xfId="27822"/>
    <cellStyle name="dp*NumberLineEPS 2 2 3 2 5 3" xfId="27823"/>
    <cellStyle name="Heading [Palat] 2 2 3 2 5 3" xfId="27824"/>
    <cellStyle name="Magic 2 2 3 2 5 3" xfId="27825"/>
    <cellStyle name="Outputs 2 2 3 2 5 3" xfId="27826"/>
    <cellStyle name="Afjusted 2 2 2 8 3" xfId="27827"/>
    <cellStyle name="PB Table Standard Row 3 2 6 3" xfId="27828"/>
    <cellStyle name="P-Green Rule 3 2 7 3" xfId="27829"/>
    <cellStyle name="Style 49 4 2 7 3" xfId="27830"/>
    <cellStyle name="Date [mm-d-yyyy] 2 2 7 3" xfId="27831"/>
    <cellStyle name="Bold/Border 2 2 3 8 3" xfId="27832"/>
    <cellStyle name="dp*NumberLine 2 2 3 8 3" xfId="27833"/>
    <cellStyle name="dp*NumberLineEPS 2 2 3 8 3" xfId="27834"/>
    <cellStyle name="dp*SheetSubTitle 2 2 3 8 3" xfId="27835"/>
    <cellStyle name="Magic 2 2 3 8 3" xfId="27836"/>
    <cellStyle name="Outputs 2 2 3 8 3" xfId="27837"/>
    <cellStyle name="Table Head Aligned 2 2 3 8 3" xfId="27838"/>
    <cellStyle name="Table Head Green 2 2 3 8 3" xfId="27839"/>
    <cellStyle name="Title [Helv] 2 2 3 8 3" xfId="27840"/>
    <cellStyle name="Title [Palat] 2 2 3 8 3" xfId="27841"/>
    <cellStyle name="Border Thin 3 4 4 3" xfId="27842"/>
    <cellStyle name="dp*SubTitle 3 3 4 5 3" xfId="27843"/>
    <cellStyle name="dp*SubTitle 3 4 4 3" xfId="27844"/>
    <cellStyle name="dp*ThinLineBelow 3 4 4 3" xfId="27845"/>
    <cellStyle name="PB Table Standard Row 3 4 3 3" xfId="27846"/>
    <cellStyle name="Style 44 4 4 5 3" xfId="27847"/>
    <cellStyle name="Style 45 4 4 5 3" xfId="27848"/>
    <cellStyle name="Date [mm-d-yyyy] 3 4 5 3" xfId="27849"/>
    <cellStyle name="Date [mm-d-yyyy] 3 3 3 5 3" xfId="27850"/>
    <cellStyle name="P-Green Rule 3 3 3 5 3" xfId="27851"/>
    <cellStyle name="dp*SheetSubTitle 2 2 3 3 5 3" xfId="27852"/>
    <cellStyle name="Heading [Palat] 2 2 3 3 5 3" xfId="27853"/>
    <cellStyle name="Table Head Aligned 2 2 4 5 3" xfId="27854"/>
    <cellStyle name="Afjusted 3 4 5 3" xfId="27855"/>
    <cellStyle name="Style 45 4 3 4 5 3" xfId="27856"/>
    <cellStyle name="Title [Helv] 2 3 5 3" xfId="27857"/>
    <cellStyle name="Style 45 4 3 3 5 3" xfId="27858"/>
    <cellStyle name="dp*SubTitle 3 3 3 5 3" xfId="27859"/>
    <cellStyle name="Style 49 4 3 3 5 3" xfId="27860"/>
    <cellStyle name="dp*ThinLineBelow 3 3 3 5 3" xfId="27861"/>
    <cellStyle name="Afjusted 2 2 3 3 5 3" xfId="27862"/>
    <cellStyle name="Date [mmm-yyyy] 2 2 3 3 5 3" xfId="27863"/>
    <cellStyle name="Magic 2 3 5 3" xfId="27864"/>
    <cellStyle name="Heading [Palat] 2 3 5 3" xfId="27865"/>
    <cellStyle name="Style 51 3 3 5 3" xfId="27866"/>
    <cellStyle name="Style 45 2 8 3" xfId="27867"/>
    <cellStyle name="Style 44 2 8 3" xfId="27868"/>
    <cellStyle name="Style 51 3 8 3" xfId="27869"/>
    <cellStyle name="P-Green Rule 2 8 3" xfId="27870"/>
    <cellStyle name="PB Table Standard Row 2 7 3" xfId="27871"/>
    <cellStyle name="dp*SubTitle 2 6 3" xfId="27872"/>
    <cellStyle name="Border Thin 2 7 3" xfId="27873"/>
    <cellStyle name="Style 49 4 3 3 7 2" xfId="27874"/>
    <cellStyle name="dp*SheetSubTitle 2 4 4 2 2" xfId="27875"/>
    <cellStyle name="Style 44 3 4 4 2 2" xfId="27876"/>
    <cellStyle name="Style 49 2 4 4 2 2" xfId="27877"/>
    <cellStyle name="Bold/Border 2 4 4 2 2" xfId="27878"/>
    <cellStyle name="Heading [Helv] 2 4 4 2 2" xfId="27879"/>
    <cellStyle name="Style 49 3 4 4 2 2" xfId="27880"/>
    <cellStyle name="Date [mmm-yyyy] 3 4 2 2" xfId="27881"/>
    <cellStyle name="PB Table Standard Row 2 4 4 2 2" xfId="27882"/>
    <cellStyle name="Table Head Aligned 2 2 2 7 2 2" xfId="27883"/>
    <cellStyle name="Style 44 2 4 4 2 2" xfId="27884"/>
    <cellStyle name="Table Head Aligned 2 2 2 3 4 2 2" xfId="27885"/>
    <cellStyle name="ac 2 2 2 4 4 2 2" xfId="27886"/>
    <cellStyle name="dp*SheetSubTitle 2 2 7 2 2" xfId="27887"/>
    <cellStyle name="COL HEADINGS 2 2 3 3 5 3" xfId="27888"/>
    <cellStyle name="Date [mmm-yyyy] 2 3 5 3" xfId="27889"/>
    <cellStyle name="Outputs 2 5 5 3" xfId="27890"/>
    <cellStyle name="dp*ThinLineBelow 2 5 5 3" xfId="27891"/>
    <cellStyle name="dp*NumberLineEPS 2 3 5 3" xfId="27892"/>
    <cellStyle name="Style 45 4 2 2 5 3" xfId="27893"/>
    <cellStyle name="Afjusted 4 5 5 3" xfId="27894"/>
    <cellStyle name="COL HEADINGS 2 3 5 3" xfId="27895"/>
    <cellStyle name="Heading [Helv] 2 2 3 4 5 3" xfId="27896"/>
    <cellStyle name="Afjusted 3 6 5 2" xfId="27897"/>
    <cellStyle name="ac 2 7 5 2" xfId="27898"/>
    <cellStyle name="Afjusted 2 5 5 2" xfId="27899"/>
    <cellStyle name="Bold/Border 2 7 5 2" xfId="27900"/>
    <cellStyle name="COL HEADINGS 2 7 5 2" xfId="27901"/>
    <cellStyle name="Date [mmm-yyyy] 2 6 5 2" xfId="27902"/>
    <cellStyle name="dp*ThinLineBelow 2 4 5 3" xfId="27903"/>
    <cellStyle name="Border Thin 2 4 5 3" xfId="27904"/>
    <cellStyle name="dp*NumberLine 2 6 5 2" xfId="27905"/>
    <cellStyle name="dp*NumberLineEPS 2 6 5 2" xfId="27906"/>
    <cellStyle name="dp*SheetSubTitle 2 6 5 2" xfId="27907"/>
    <cellStyle name="Heading [Helv] 3 5 3" xfId="27908"/>
    <cellStyle name="ac 2 2 2 2 5 3" xfId="27909"/>
    <cellStyle name="Afjusted 2 2 3 2 5 3" xfId="27910"/>
    <cellStyle name="Heading [Helv] 2 7 5 2" xfId="27911"/>
    <cellStyle name="Heading [Palat] 2 7 5 2" xfId="27912"/>
    <cellStyle name="Afjusted 2 2 4 5 3" xfId="27913"/>
    <cellStyle name="Magic 2 6 5 2" xfId="27914"/>
    <cellStyle name="Style 44 4 3 4 5 3" xfId="27915"/>
    <cellStyle name="ac 2 4 5 3" xfId="27916"/>
    <cellStyle name="dp*SheetSubTitle 2 4 5 3" xfId="27917"/>
    <cellStyle name="Outputs 2 7 5 2" xfId="27918"/>
    <cellStyle name="Afjusted 3 9 3" xfId="27919"/>
    <cellStyle name="Table Head Aligned 2 6 5 2" xfId="27920"/>
    <cellStyle name="Table Head Green 2 7 5 2" xfId="27921"/>
    <cellStyle name="Title [Helv] 2 6 5 2" xfId="27922"/>
    <cellStyle name="Title [Palat] 2 7 5 2" xfId="27923"/>
    <cellStyle name="PB Table Standard Row 3 3 3 5 3" xfId="27924"/>
    <cellStyle name="Afjusted 4 4 5 3" xfId="27925"/>
    <cellStyle name="dp*SubTitle 3 5 5 3" xfId="27926"/>
    <cellStyle name="Table Head Aligned 2 2 3 3 5 3" xfId="27927"/>
    <cellStyle name="Style 44 2 5 5 3" xfId="27928"/>
    <cellStyle name="dp*SheetSubTitle 3 5 3" xfId="27929"/>
    <cellStyle name="Outputs 3 5 3" xfId="27930"/>
    <cellStyle name="Table Head Green 2 2 2 4 5 3" xfId="27931"/>
    <cellStyle name="P-Green Rule 3 2 3 5 3" xfId="27932"/>
    <cellStyle name="dp*ThinLineBelow 3 5 5 3" xfId="27933"/>
    <cellStyle name="Magic 2 2 4 5 3" xfId="27934"/>
    <cellStyle name="Date [mm-d-yyyy] 3 6 5 2" xfId="27935"/>
    <cellStyle name="Style 51 4 6 5 2" xfId="27936"/>
    <cellStyle name="Style 49 4 6 5 2" xfId="27937"/>
    <cellStyle name="Style 45 4 6 5 2" xfId="27938"/>
    <cellStyle name="Style 44 4 6 5 2" xfId="27939"/>
    <cellStyle name="P-Green Rule 3 6 5 2" xfId="27940"/>
    <cellStyle name="PB Table Standard Row 3 6 5 2" xfId="27941"/>
    <cellStyle name="Border Thin 3 3 4 5 3" xfId="27942"/>
    <cellStyle name="dp*ThinLineBelow 3 6 5 2" xfId="27943"/>
    <cellStyle name="dp*SubTitle 3 6 5 2" xfId="27944"/>
    <cellStyle name="dp*NumberLineEPS 2 4 5 3" xfId="27945"/>
    <cellStyle name="Border Thin 3 6 5 2" xfId="27946"/>
    <cellStyle name="dp*SheetSubTitle 2 2 4 5 3" xfId="27947"/>
    <cellStyle name="Afjusted 4 6 5 2" xfId="27948"/>
    <cellStyle name="ac 2 2 5 5 2" xfId="27949"/>
    <cellStyle name="Afjusted 2 2 6 5 2" xfId="27950"/>
    <cellStyle name="Bold/Border 2 2 5 5 2" xfId="27951"/>
    <cellStyle name="COL HEADINGS 2 2 5 5 2" xfId="27952"/>
    <cellStyle name="Date [mmm-yyyy] 2 2 5 5 2" xfId="27953"/>
    <cellStyle name="dp*SubTitle 2 4 5 3" xfId="27954"/>
    <cellStyle name="Bold/Border 2 4 5 3" xfId="27955"/>
    <cellStyle name="dp*NumberLine 2 2 5 5 2" xfId="27956"/>
    <cellStyle name="dp*NumberLineEPS 2 2 5 5 2" xfId="27957"/>
    <cellStyle name="dp*SheetSubTitle 2 2 5 5 2" xfId="27958"/>
    <cellStyle name="Heading [Helv] 2 2 5 5 2" xfId="27959"/>
    <cellStyle name="Heading [Palat] 2 2 5 5 2" xfId="27960"/>
    <cellStyle name="Magic 2 2 5 5 2" xfId="27961"/>
    <cellStyle name="Outputs 2 2 5 5 2" xfId="27962"/>
    <cellStyle name="Table Head Aligned 2 2 5 5 2" xfId="27963"/>
    <cellStyle name="Table Head Green 2 2 5 5 2" xfId="27964"/>
    <cellStyle name="Title [Helv] 2 2 5 5 2" xfId="27965"/>
    <cellStyle name="Title [Palat] 2 2 5 5 2" xfId="27966"/>
    <cellStyle name="Heading [Palat] 2 2 4 5 3" xfId="27967"/>
    <cellStyle name="dp*NumberLine 2 2 4 5 3" xfId="27968"/>
    <cellStyle name="Date [mmm-yyyy] 2 2 4 5 3" xfId="27969"/>
    <cellStyle name="COL HEADINGS 2 2 4 5 3" xfId="27970"/>
    <cellStyle name="Bold/Border 2 2 4 5 3" xfId="27971"/>
    <cellStyle name="Afjusted 2 2 5 5 3" xfId="27972"/>
    <cellStyle name="ac 2 2 4 5 3" xfId="27973"/>
    <cellStyle name="dp*SubTitle 2 2 5 3" xfId="27974"/>
    <cellStyle name="Bold/Border 2 2 3 4 5 3" xfId="27975"/>
    <cellStyle name="Style 44 4 5 5 3" xfId="27976"/>
    <cellStyle name="dp*ThinLineBelow 4 5 3" xfId="27977"/>
    <cellStyle name="Style 51 5 5 3" xfId="27978"/>
    <cellStyle name="PB Table Standard Row 4 5 3" xfId="27979"/>
    <cellStyle name="ac 2 2 3 3 5 3" xfId="27980"/>
    <cellStyle name="P-Green Rule 3 5 5 3" xfId="27981"/>
    <cellStyle name="dp*SubTitle 4 5 3" xfId="27982"/>
    <cellStyle name="Style 44 5 5 3" xfId="27983"/>
    <cellStyle name="Style 49 5 5 3" xfId="27984"/>
    <cellStyle name="Style 45 5 5 3" xfId="27985"/>
    <cellStyle name="P-Green Rule 4 5 3" xfId="27986"/>
    <cellStyle name="Outputs 2 2 3 4 5 3" xfId="27987"/>
    <cellStyle name="Table Head Aligned 2 2 3 2 5 3" xfId="27988"/>
    <cellStyle name="Title [Helv] 2 2 3 2 5 3" xfId="27989"/>
    <cellStyle name="P-Green Rule 2 3 5 3" xfId="27990"/>
    <cellStyle name="Heading [Palat] 2 2 3 4 5 3" xfId="27991"/>
    <cellStyle name="Afjusted 4 2 2 5 3" xfId="27992"/>
    <cellStyle name="COL HEADINGS 2 5 5 3" xfId="27993"/>
    <cellStyle name="Style 49 6 5 3" xfId="27994"/>
    <cellStyle name="Title [Palat] 2 9 2 2" xfId="27995"/>
    <cellStyle name="Afjusted 4 3 4 5 3" xfId="27996"/>
    <cellStyle name="dp*NumberLine 2 2 3 4 5 3" xfId="27997"/>
    <cellStyle name="dp*SubTitle 2 2 2 5 2" xfId="27998"/>
    <cellStyle name="Border Thin 2 2 2 5 2" xfId="27999"/>
    <cellStyle name="Style 44 3 2 5 3" xfId="28000"/>
    <cellStyle name="Border Thin 2 3 5 3" xfId="28001"/>
    <cellStyle name="Style 51 4 3 3 5 3" xfId="28002"/>
    <cellStyle name="Bold/Border 2 2 3 4 2 5 2" xfId="28003"/>
    <cellStyle name="Magic 2 2 3 4 2 5 2" xfId="28004"/>
    <cellStyle name="Title [Helv] 2 2 3 4 2 5 2" xfId="28005"/>
    <cellStyle name="Style 51 2 2 2 5 2" xfId="28006"/>
    <cellStyle name="Style 45 2 2 2 5 2" xfId="28007"/>
    <cellStyle name="Style 49 2 2 2 5 2" xfId="28008"/>
    <cellStyle name="Style 44 2 2 2 5 2" xfId="28009"/>
    <cellStyle name="Style 51 3 2 2 5 2" xfId="28010"/>
    <cellStyle name="Style 49 3 2 2 5 2" xfId="28011"/>
    <cellStyle name="Style 45 3 2 2 5 2" xfId="28012"/>
    <cellStyle name="Style 44 3 2 2 5 2" xfId="28013"/>
    <cellStyle name="P-Green Rule 2 2 2 5 2" xfId="28014"/>
    <cellStyle name="PB Table Standard Row 2 2 2 5 2" xfId="28015"/>
    <cellStyle name="dp*ThinLineBelow 2 2 2 5 2" xfId="28016"/>
    <cellStyle name="dp*ThinLineBelow 2 3 2 5 2" xfId="28017"/>
    <cellStyle name="Style 44 3 3 2 5 2" xfId="28018"/>
    <cellStyle name="COL HEADINGS 2 2 3 4 2 5 2" xfId="28019"/>
    <cellStyle name="Style 49 4 3 4 2 5 2" xfId="28020"/>
    <cellStyle name="Afjusted 3 3 4 2 5 2" xfId="28021"/>
    <cellStyle name="Date [mm-d-yyyy] 3 3 4 2 5 2" xfId="28022"/>
    <cellStyle name="Afjusted 4 3 4 2 5 2" xfId="28023"/>
    <cellStyle name="ac 2 2 3 4 2 5 2" xfId="28024"/>
    <cellStyle name="Afjusted 2 2 3 4 2 5 2" xfId="28025"/>
    <cellStyle name="Date [mmm-yyyy] 2 2 3 4 2 5 2" xfId="28026"/>
    <cellStyle name="dp*NumberLine 2 2 3 4 2 5 2" xfId="28027"/>
    <cellStyle name="dp*NumberLineEPS 2 2 3 4 2 5 2" xfId="28028"/>
    <cellStyle name="dp*SheetSubTitle 2 2 3 4 2 5 2" xfId="28029"/>
    <cellStyle name="Heading [Helv] 2 2 3 4 2 5 2" xfId="28030"/>
    <cellStyle name="Outputs 2 2 3 4 2 5 2" xfId="28031"/>
    <cellStyle name="Table Head Aligned 2 2 3 4 2 5 2" xfId="28032"/>
    <cellStyle name="Title [Palat] 2 2 3 4 2 5 2" xfId="28033"/>
    <cellStyle name="Afjusted 3 5 2 5 2" xfId="28034"/>
    <cellStyle name="Style 45 3 3 2 5 2" xfId="28035"/>
    <cellStyle name="Style 51 3 3 2 5 2" xfId="28036"/>
    <cellStyle name="Style 44 2 3 2 5 2" xfId="28037"/>
    <cellStyle name="Style 45 2 3 2 5 2" xfId="28038"/>
    <cellStyle name="Style 49 2 3 2 5 2" xfId="28039"/>
    <cellStyle name="Border Thin 3 5 2 5 2" xfId="28040"/>
    <cellStyle name="ac 2 2 4 2 5 2" xfId="28041"/>
    <cellStyle name="Afjusted 2 2 5 2 5 2" xfId="28042"/>
    <cellStyle name="Bold/Border 2 2 4 2 5 2" xfId="28043"/>
    <cellStyle name="COL HEADINGS 2 2 4 2 5 2" xfId="28044"/>
    <cellStyle name="Date [mmm-yyyy] 2 2 4 2 5 2" xfId="28045"/>
    <cellStyle name="dp*NumberLine 2 2 4 2 5 2" xfId="28046"/>
    <cellStyle name="dp*NumberLineEPS 2 2 4 2 5 2" xfId="28047"/>
    <cellStyle name="dp*SheetSubTitle 2 2 4 2 5 2" xfId="28048"/>
    <cellStyle name="Heading [Palat] 2 2 4 2 5 2" xfId="28049"/>
    <cellStyle name="Outputs 2 2 4 2 5 2" xfId="28050"/>
    <cellStyle name="Magic 2 2 4 2 5 2" xfId="28051"/>
    <cellStyle name="Title [Helv] 2 2 4 2 5 2" xfId="28052"/>
    <cellStyle name="Title [Palat] 2 2 4 2 5 2" xfId="28053"/>
    <cellStyle name="Title [Palat] 2 2 3 3 2 5 2" xfId="28054"/>
    <cellStyle name="Title [Helv] 2 2 3 3 2 5 2" xfId="28055"/>
    <cellStyle name="Table Head Aligned 2 2 3 3 2 5 2" xfId="28056"/>
    <cellStyle name="Magic 2 2 3 3 2 5 2" xfId="28057"/>
    <cellStyle name="Heading [Helv] 2 2 3 3 2 5 2" xfId="28058"/>
    <cellStyle name="dp*NumberLineEPS 2 2 3 3 2 5 2" xfId="28059"/>
    <cellStyle name="COL HEADINGS 2 2 3 3 2 5 2" xfId="28060"/>
    <cellStyle name="ac 2 2 3 3 2 5 2" xfId="28061"/>
    <cellStyle name="Afjusted 4 3 3 2 5 2" xfId="28062"/>
    <cellStyle name="Border Thin 3 3 3 2 5 2" xfId="28063"/>
    <cellStyle name="PB Table Standard Row 3 3 3 2 5 2" xfId="28064"/>
    <cellStyle name="Style 44 4 3 3 2 5 2" xfId="28065"/>
    <cellStyle name="Style 51 4 3 3 2 5 2" xfId="28066"/>
    <cellStyle name="Afjusted 3 3 3 2 5 2" xfId="28067"/>
    <cellStyle name="Style 49 4 5 2 5 2" xfId="28068"/>
    <cellStyle name="Style 44 4 5 2 5 2" xfId="28069"/>
    <cellStyle name="P-Green Rule 3 5 2 5 2" xfId="28070"/>
    <cellStyle name="dp*SubTitle 3 5 2 5 2" xfId="28071"/>
    <cellStyle name="Afjusted 4 5 2 5 2" xfId="28072"/>
    <cellStyle name="Afjusted 2 2 3 4 5 3" xfId="28073"/>
    <cellStyle name="dp*ThinLineBelow 2 2 5 3" xfId="28074"/>
    <cellStyle name="Afjusted 3 3 3 5 3" xfId="28075"/>
    <cellStyle name="ac 2 3 2 5 2" xfId="28076"/>
    <cellStyle name="Bold/Border 2 3 2 5 2" xfId="28077"/>
    <cellStyle name="COL HEADINGS 2 3 2 5 2" xfId="28078"/>
    <cellStyle name="Date [mmm-yyyy] 2 3 2 5 2" xfId="28079"/>
    <cellStyle name="dp*NumberLine 2 3 2 5 2" xfId="28080"/>
    <cellStyle name="dp*NumberLineEPS 2 3 2 5 2" xfId="28081"/>
    <cellStyle name="dp*SheetSubTitle 2 3 2 5 2" xfId="28082"/>
    <cellStyle name="Heading [Helv] 2 3 2 5 2" xfId="28083"/>
    <cellStyle name="Heading [Palat] 2 3 2 5 2" xfId="28084"/>
    <cellStyle name="Magic 2 3 2 5 2" xfId="28085"/>
    <cellStyle name="Outputs 2 3 2 5 2" xfId="28086"/>
    <cellStyle name="Afjusted 6 5 3" xfId="28087"/>
    <cellStyle name="Date [mmm-yyyy] 2 2 3 3 2 5 2" xfId="28088"/>
    <cellStyle name="Afjusted 2 2 3 3 2 5 2" xfId="28089"/>
    <cellStyle name="dp*ThinLineBelow 3 3 3 2 5 2" xfId="28090"/>
    <cellStyle name="Style 49 4 3 3 2 5 2" xfId="28091"/>
    <cellStyle name="Outputs 2 2 3 3 2 5 2" xfId="28092"/>
    <cellStyle name="dp*NumberLine 2 2 3 3 2 5 2" xfId="28093"/>
    <cellStyle name="Bold/Border 2 2 3 3 2 5 2" xfId="28094"/>
    <cellStyle name="dp*SubTitle 3 3 3 2 5 2" xfId="28095"/>
    <cellStyle name="Style 45 4 3 3 2 5 2" xfId="28096"/>
    <cellStyle name="Table Head Aligned 2 3 2 5 2" xfId="28097"/>
    <cellStyle name="Table Head Green 2 3 2 5 2" xfId="28098"/>
    <cellStyle name="Title [Helv] 2 3 2 5 2" xfId="28099"/>
    <cellStyle name="Title [Palat] 2 3 2 5 2" xfId="28100"/>
    <cellStyle name="Border Thin 3 3 3 5 3" xfId="28101"/>
    <cellStyle name="Style 45 4 3 4 2 5 2" xfId="28102"/>
    <cellStyle name="Style 51 4 3 4 2 5 2" xfId="28103"/>
    <cellStyle name="Title [Helv] 2 2 3 3 5 3" xfId="28104"/>
    <cellStyle name="Afjusted 3 4 2 5 2" xfId="28105"/>
    <cellStyle name="P-Green Rule 3 3 4 2 5 2" xfId="28106"/>
    <cellStyle name="Border Thin 2 3 2 5 2" xfId="28107"/>
    <cellStyle name="Style 49 3 3 2 5 2" xfId="28108"/>
    <cellStyle name="Style 51 2 3 2 5 2" xfId="28109"/>
    <cellStyle name="Heading [Helv] 2 2 4 2 5 2" xfId="28110"/>
    <cellStyle name="Table Head Aligned 2 2 4 2 5 2" xfId="28111"/>
    <cellStyle name="Table Head Green 2 2 4 2 5 2" xfId="28112"/>
    <cellStyle name="Table Head Green 2 2 3 3 2 5 2" xfId="28113"/>
    <cellStyle name="Heading [Palat] 2 2 3 3 2 5 2" xfId="28114"/>
    <cellStyle name="dp*SheetSubTitle 2 2 3 3 2 5 2" xfId="28115"/>
    <cellStyle name="P-Green Rule 3 3 3 2 5 2" xfId="28116"/>
    <cellStyle name="Date [mm-d-yyyy] 3 3 3 2 5 2" xfId="28117"/>
    <cellStyle name="Outputs 2 2 4 5 3" xfId="28118"/>
    <cellStyle name="Date [mm-d-yyyy] 3 4 2 5 2" xfId="28119"/>
    <cellStyle name="Style 51 4 4 2 5 2" xfId="28120"/>
    <cellStyle name="Style 49 4 4 2 5 2" xfId="28121"/>
    <cellStyle name="Style 45 4 4 2 5 2" xfId="28122"/>
    <cellStyle name="Style 44 4 4 2 5 2" xfId="28123"/>
    <cellStyle name="dp*ThinLineBelow 3 3 4 2 5 2" xfId="28124"/>
    <cellStyle name="P-Green Rule 3 4 2 5 2" xfId="28125"/>
    <cellStyle name="dp*ThinLineBelow 3 4 2 5 2" xfId="28126"/>
    <cellStyle name="dp*SubTitle 3 3 4 2 5 2" xfId="28127"/>
    <cellStyle name="dp*NumberLineEPS 2 2 4 5 3" xfId="28128"/>
    <cellStyle name="Border Thin 3 3 4 2 5 2" xfId="28129"/>
    <cellStyle name="Border Thin 2 2 5 3" xfId="28130"/>
    <cellStyle name="Afjusted 4 4 2 5 2" xfId="28131"/>
    <cellStyle name="Afjusted 2 2 4 2 5 2" xfId="28132"/>
    <cellStyle name="Style 44 4 3 4 2 5 2" xfId="28133"/>
    <cellStyle name="PB Table Standard Row 3 3 4 2 5 2" xfId="28134"/>
    <cellStyle name="Title [Palat] 2 2 3 5 5 2" xfId="28135"/>
    <cellStyle name="Title [Helv] 2 2 3 5 5 2" xfId="28136"/>
    <cellStyle name="Table Head Green 2 2 3 5 5 2" xfId="28137"/>
    <cellStyle name="Table Head Aligned 2 2 3 5 5 2" xfId="28138"/>
    <cellStyle name="Outputs 2 2 3 5 5 2" xfId="28139"/>
    <cellStyle name="Magic 2 2 3 5 5 2" xfId="28140"/>
    <cellStyle name="Heading [Palat] 2 2 3 5 5 2" xfId="28141"/>
    <cellStyle name="Heading [Helv] 2 2 3 5 5 2" xfId="28142"/>
    <cellStyle name="dp*SheetSubTitle 2 2 3 5 5 2" xfId="28143"/>
    <cellStyle name="dp*NumberLineEPS 2 2 3 5 5 2" xfId="28144"/>
    <cellStyle name="dp*NumberLine 2 2 3 5 5 2" xfId="28145"/>
    <cellStyle name="Date [mmm-yyyy] 2 2 3 5 5 2" xfId="28146"/>
    <cellStyle name="COL HEADINGS 2 2 3 5 5 2" xfId="28147"/>
    <cellStyle name="Bold/Border 2 2 3 5 5 2" xfId="28148"/>
    <cellStyle name="Afjusted 2 2 3 5 5 2" xfId="28149"/>
    <cellStyle name="ac 2 2 3 5 5 2" xfId="28150"/>
    <cellStyle name="Afjusted 2 2 5 4 2 2" xfId="28151"/>
    <cellStyle name="Afjusted 4 3 5 5 2" xfId="28152"/>
    <cellStyle name="Border Thin 3 3 5 5 2" xfId="28153"/>
    <cellStyle name="dp*SubTitle 3 3 5 5 2" xfId="28154"/>
    <cellStyle name="dp*ThinLineBelow 3 3 5 5 2" xfId="28155"/>
    <cellStyle name="PB Table Standard Row 3 3 5 5 2" xfId="28156"/>
    <cellStyle name="P-Green Rule 3 3 5 5 2" xfId="28157"/>
    <cellStyle name="Style 44 4 3 5 5 2" xfId="28158"/>
    <cellStyle name="Style 45 4 3 5 5 2" xfId="28159"/>
    <cellStyle name="Style 49 4 3 5 5 2" xfId="28160"/>
    <cellStyle name="Style 51 4 3 5 5 2" xfId="28161"/>
    <cellStyle name="Title [Palat] 2 2 3 2 5 3" xfId="28162"/>
    <cellStyle name="Date [mm-d-yyyy] 3 3 5 5 2" xfId="28163"/>
    <cellStyle name="Magic 2 5 5 3" xfId="28164"/>
    <cellStyle name="dp*SubTitle 2 5 5 3" xfId="28165"/>
    <cellStyle name="Afjusted 3 3 5 5 2" xfId="28166"/>
    <cellStyle name="ac 5 5 3" xfId="28167"/>
    <cellStyle name="Border Thin 2 5 5 3" xfId="28168"/>
    <cellStyle name="Border Thin 3 2 2 5 3" xfId="28169"/>
    <cellStyle name="Table Head Green 2 2 3 2 5 3" xfId="28170"/>
    <cellStyle name="Table Head Green 2 2 3 4 5 3" xfId="28171"/>
    <cellStyle name="dp*SubTitle 3 2 7 3" xfId="28172"/>
    <cellStyle name="dp*ThinLineBelow 3 2 7 3" xfId="28173"/>
    <cellStyle name="dp*NumberLine 2 3 5 3" xfId="28174"/>
    <cellStyle name="Date [mm-d-yyyy] 2 2 4 5 2" xfId="28175"/>
    <cellStyle name="Afjusted 3 2 5 5 2" xfId="28176"/>
    <cellStyle name="P-Green Rule 3 3 4 5 3" xfId="28177"/>
    <cellStyle name="PB Table Standard Row 2 3 4 3" xfId="28178"/>
    <cellStyle name="Date [mm-d-yyyy] 3 2 5 5 2" xfId="28179"/>
    <cellStyle name="Style 51 4 2 5 5 2" xfId="28180"/>
    <cellStyle name="Style 49 4 2 5 5 2" xfId="28181"/>
    <cellStyle name="Style 45 4 2 5 5 2" xfId="28182"/>
    <cellStyle name="Style 44 4 2 5 5 2" xfId="28183"/>
    <cellStyle name="P-Green Rule 3 2 5 5 2" xfId="28184"/>
    <cellStyle name="dp*ThinLineBelow 3 2 5 5 2" xfId="28185"/>
    <cellStyle name="dp*SubTitle 3 2 5 5 2" xfId="28186"/>
    <cellStyle name="Border Thin 3 2 5 5 2" xfId="28187"/>
    <cellStyle name="Afjusted 4 2 5 5 2" xfId="28188"/>
    <cellStyle name="ac 2 2 2 5 5 2" xfId="28189"/>
    <cellStyle name="Afjusted 2 2 2 5 5 2" xfId="28190"/>
    <cellStyle name="Bold/Border 2 2 2 5 5 2" xfId="28191"/>
    <cellStyle name="COL HEADINGS 2 2 2 5 5 2" xfId="28192"/>
    <cellStyle name="Date [mmm-yyyy] 2 2 2 5 5 2" xfId="28193"/>
    <cellStyle name="dp*NumberLine 2 2 2 5 5 2" xfId="28194"/>
    <cellStyle name="dp*NumberLineEPS 2 2 2 5 5 2" xfId="28195"/>
    <cellStyle name="dp*SheetSubTitle 2 2 2 5 5 2" xfId="28196"/>
    <cellStyle name="Heading [Helv] 2 2 2 5 5 2" xfId="28197"/>
    <cellStyle name="Heading [Palat] 2 2 2 5 5 2" xfId="28198"/>
    <cellStyle name="Magic 2 2 2 5 5 2" xfId="28199"/>
    <cellStyle name="Outputs 2 2 2 5 5 2" xfId="28200"/>
    <cellStyle name="Table Head Aligned 2 2 2 5 5 2" xfId="28201"/>
    <cellStyle name="Table Head Green 2 2 2 5 5 2" xfId="28202"/>
    <cellStyle name="Title [Helv] 2 2 2 5 5 2" xfId="28203"/>
    <cellStyle name="Title [Palat] 2 2 2 5 5 2" xfId="28204"/>
    <cellStyle name="Table Head Green 2 2 3 4 2 5 2" xfId="28205"/>
    <cellStyle name="Heading [Palat] 2 2 3 4 2 5 2" xfId="28206"/>
    <cellStyle name="PB Table Standard Row 2 3 2 5 2" xfId="28207"/>
    <cellStyle name="P-Green Rule 2 3 2 5 2" xfId="28208"/>
    <cellStyle name="Title [Palat] 2 2 3 2 2 5 2" xfId="28209"/>
    <cellStyle name="Title [Helv] 2 2 3 2 2 5 2" xfId="28210"/>
    <cellStyle name="Table Head Green 2 2 3 2 2 5 2" xfId="28211"/>
    <cellStyle name="Table Head Aligned 2 2 3 2 2 5 2" xfId="28212"/>
    <cellStyle name="Outputs 2 2 3 2 2 5 2" xfId="28213"/>
    <cellStyle name="Magic 2 2 3 2 2 5 2" xfId="28214"/>
    <cellStyle name="Heading [Palat] 2 2 3 2 2 5 2" xfId="28215"/>
    <cellStyle name="Heading [Helv] 2 2 3 2 2 5 2" xfId="28216"/>
    <cellStyle name="dp*SheetSubTitle 2 2 3 2 2 5 2" xfId="28217"/>
    <cellStyle name="dp*NumberLineEPS 2 2 3 2 2 5 2" xfId="28218"/>
    <cellStyle name="dp*NumberLine 2 2 3 2 2 5 2" xfId="28219"/>
    <cellStyle name="Date [mmm-yyyy] 2 2 3 2 2 5 2" xfId="28220"/>
    <cellStyle name="COL HEADINGS 2 2 3 2 2 5 2" xfId="28221"/>
    <cellStyle name="Bold/Border 2 2 3 2 2 5 2" xfId="28222"/>
    <cellStyle name="Afjusted 2 2 3 2 2 5 2" xfId="28223"/>
    <cellStyle name="ac 2 2 3 2 2 5 2" xfId="28224"/>
    <cellStyle name="Afjusted 4 3 2 2 5 2" xfId="28225"/>
    <cellStyle name="Border Thin 3 3 2 2 5 2" xfId="28226"/>
    <cellStyle name="dp*SubTitle 3 3 2 2 5 2" xfId="28227"/>
    <cellStyle name="dp*ThinLineBelow 3 3 2 2 5 2" xfId="28228"/>
    <cellStyle name="PB Table Standard Row 3 3 2 2 5 2" xfId="28229"/>
    <cellStyle name="P-Green Rule 3 3 2 2 5 2" xfId="28230"/>
    <cellStyle name="Style 44 4 3 2 2 5 2" xfId="28231"/>
    <cellStyle name="Style 45 4 3 2 2 5 2" xfId="28232"/>
    <cellStyle name="Style 49 4 3 2 2 5 2" xfId="28233"/>
    <cellStyle name="Style 51 4 3 2 2 5 2" xfId="28234"/>
    <cellStyle name="Date [mm-d-yyyy] 3 3 2 2 5 2" xfId="28235"/>
    <cellStyle name="Afjusted 3 3 2 2 5 2" xfId="28236"/>
    <cellStyle name="Date [mm-d-yyyy] 3 5 2 5 2" xfId="28237"/>
    <cellStyle name="dp*SubTitle 2 3 2 5 2" xfId="28238"/>
    <cellStyle name="Date [mm-d-yyyy] 2 2 2 2 5 2" xfId="28239"/>
    <cellStyle name="Afjusted 3 2 2 2 5 2" xfId="28240"/>
    <cellStyle name="PB Table Standard Row 3 5 2 5 2" xfId="28241"/>
    <cellStyle name="Date [mm-d-yyyy] 3 2 2 2 5 2" xfId="28242"/>
    <cellStyle name="Style 51 4 2 2 2 5 2" xfId="28243"/>
    <cellStyle name="Style 49 4 2 2 2 5 2" xfId="28244"/>
    <cellStyle name="Style 45 4 2 2 2 5 2" xfId="28245"/>
    <cellStyle name="Style 44 4 2 2 2 5 2" xfId="28246"/>
    <cellStyle name="Style 45 4 5 2 5 2" xfId="28247"/>
    <cellStyle name="P-Green Rule 3 2 2 2 5 2" xfId="28248"/>
    <cellStyle name="PB Table Standard Row 3 2 2 2 5 2" xfId="28249"/>
    <cellStyle name="dp*ThinLineBelow 3 2 2 2 5 2" xfId="28250"/>
    <cellStyle name="dp*SubTitle 3 2 2 2 5 2" xfId="28251"/>
    <cellStyle name="Style 51 4 5 2 5 2" xfId="28252"/>
    <cellStyle name="Border Thin 3 2 2 2 5 2" xfId="28253"/>
    <cellStyle name="Afjusted 4 2 2 2 5 2" xfId="28254"/>
    <cellStyle name="ac 2 2 2 2 2 5 2" xfId="28255"/>
    <cellStyle name="Afjusted 2 2 2 2 2 5 2" xfId="28256"/>
    <cellStyle name="Bold/Border 2 2 2 2 2 5 2" xfId="28257"/>
    <cellStyle name="COL HEADINGS 2 2 2 2 2 5 2" xfId="28258"/>
    <cellStyle name="Date [mmm-yyyy] 2 2 2 2 2 5 2" xfId="28259"/>
    <cellStyle name="dp*NumberLine 2 2 2 2 2 5 2" xfId="28260"/>
    <cellStyle name="dp*NumberLineEPS 2 2 2 2 2 5 2" xfId="28261"/>
    <cellStyle name="dp*SheetSubTitle 2 2 2 2 2 5 2" xfId="28262"/>
    <cellStyle name="Heading [Helv] 2 2 2 2 2 5 2" xfId="28263"/>
    <cellStyle name="Heading [Palat] 2 2 2 2 2 5 2" xfId="28264"/>
    <cellStyle name="Magic 2 2 2 2 2 5 2" xfId="28265"/>
    <cellStyle name="Outputs 2 2 2 2 2 5 2" xfId="28266"/>
    <cellStyle name="Table Head Aligned 2 2 2 2 2 5 2" xfId="28267"/>
    <cellStyle name="Table Head Green 2 2 2 2 2 5 2" xfId="28268"/>
    <cellStyle name="Title [Helv] 2 2 2 2 2 5 2" xfId="28269"/>
    <cellStyle name="Title [Palat] 2 2 2 2 2 5 2" xfId="28270"/>
    <cellStyle name="dp*ThinLineBelow 3 5 2 5 2" xfId="28271"/>
    <cellStyle name="Date [mm-d-yyyy] 2 2 3 2 5 2" xfId="28272"/>
    <cellStyle name="Afjusted 3 2 3 2 5 2" xfId="28273"/>
    <cellStyle name="Date [mm-d-yyyy] 3 2 3 2 5 2" xfId="28274"/>
    <cellStyle name="Style 51 4 2 3 2 5 2" xfId="28275"/>
    <cellStyle name="Style 49 4 2 3 2 5 2" xfId="28276"/>
    <cellStyle name="Style 45 4 2 3 2 5 2" xfId="28277"/>
    <cellStyle name="Style 44 4 2 3 2 5 2" xfId="28278"/>
    <cellStyle name="P-Green Rule 3 2 3 2 5 2" xfId="28279"/>
    <cellStyle name="PB Table Standard Row 3 2 3 2 5 2" xfId="28280"/>
    <cellStyle name="dp*ThinLineBelow 3 2 3 2 5 2" xfId="28281"/>
    <cellStyle name="dp*SubTitle 3 2 3 2 5 2" xfId="28282"/>
    <cellStyle name="Border Thin 3 2 3 2 5 2" xfId="28283"/>
    <cellStyle name="Afjusted 4 2 3 2 5 2" xfId="28284"/>
    <cellStyle name="ac 2 2 2 3 2 5 2" xfId="28285"/>
    <cellStyle name="Afjusted 2 2 2 3 2 5 2" xfId="28286"/>
    <cellStyle name="Bold/Border 2 2 2 3 2 5 2" xfId="28287"/>
    <cellStyle name="COL HEADINGS 2 2 2 3 2 5 2" xfId="28288"/>
    <cellStyle name="Date [mmm-yyyy] 2 2 2 3 2 5 2" xfId="28289"/>
    <cellStyle name="dp*NumberLine 2 2 2 3 2 5 2" xfId="28290"/>
    <cellStyle name="dp*NumberLineEPS 2 2 2 3 2 5 2" xfId="28291"/>
    <cellStyle name="dp*SheetSubTitle 2 2 2 3 2 5 2" xfId="28292"/>
    <cellStyle name="Heading [Helv] 2 2 2 3 2 5 2" xfId="28293"/>
    <cellStyle name="Heading [Palat] 2 2 2 3 2 5 2" xfId="28294"/>
    <cellStyle name="Magic 2 2 2 3 2 5 2" xfId="28295"/>
    <cellStyle name="Outputs 2 2 2 3 2 5 2" xfId="28296"/>
    <cellStyle name="Table Head Aligned 2 2 2 3 2 5 2" xfId="28297"/>
    <cellStyle name="Table Head Green 2 2 2 3 2 5 2" xfId="28298"/>
    <cellStyle name="Title [Helv] 2 2 2 3 2 5 2" xfId="28299"/>
    <cellStyle name="Title [Palat] 2 2 2 3 2 5 2" xfId="28300"/>
    <cellStyle name="Afjusted 3 2 4 2 5 2" xfId="28301"/>
    <cellStyle name="Date [mm-d-yyyy] 3 2 4 2 5 2" xfId="28302"/>
    <cellStyle name="Style 51 4 2 4 2 5 2" xfId="28303"/>
    <cellStyle name="Style 49 4 2 4 2 5 2" xfId="28304"/>
    <cellStyle name="Style 45 4 2 4 2 5 2" xfId="28305"/>
    <cellStyle name="Style 44 4 2 4 2 5 2" xfId="28306"/>
    <cellStyle name="P-Green Rule 3 2 4 2 5 2" xfId="28307"/>
    <cellStyle name="PB Table Standard Row 3 2 4 2 5 2" xfId="28308"/>
    <cellStyle name="dp*ThinLineBelow 3 2 4 2 5 2" xfId="28309"/>
    <cellStyle name="dp*SubTitle 3 2 4 2 5 2" xfId="28310"/>
    <cellStyle name="Border Thin 3 2 4 2 5 2" xfId="28311"/>
    <cellStyle name="Afjusted 4 2 4 2 5 2" xfId="28312"/>
    <cellStyle name="ac 2 2 2 4 2 5 2" xfId="28313"/>
    <cellStyle name="Afjusted 2 2 2 4 2 5 2" xfId="28314"/>
    <cellStyle name="Bold/Border 2 2 2 4 2 5 2" xfId="28315"/>
    <cellStyle name="COL HEADINGS 2 2 2 4 2 5 2" xfId="28316"/>
    <cellStyle name="Date [mmm-yyyy] 2 2 2 4 2 5 2" xfId="28317"/>
    <cellStyle name="dp*NumberLine 2 2 2 4 2 5 2" xfId="28318"/>
    <cellStyle name="dp*NumberLineEPS 2 2 2 4 2 5 2" xfId="28319"/>
    <cellStyle name="dp*SheetSubTitle 2 2 2 4 2 5 2" xfId="28320"/>
    <cellStyle name="Heading [Helv] 2 2 2 4 2 5 2" xfId="28321"/>
    <cellStyle name="Heading [Palat] 2 2 2 4 2 5 2" xfId="28322"/>
    <cellStyle name="Magic 2 2 2 4 2 5 2" xfId="28323"/>
    <cellStyle name="Outputs 2 2 2 4 2 5 2" xfId="28324"/>
    <cellStyle name="Table Head Aligned 2 2 2 4 2 5 2" xfId="28325"/>
    <cellStyle name="Table Head Green 2 2 2 4 2 5 2" xfId="28326"/>
    <cellStyle name="Title [Helv] 2 2 2 4 2 5 2" xfId="28327"/>
    <cellStyle name="Title [Palat] 2 2 2 4 2 5 2" xfId="28328"/>
    <cellStyle name="Border Thin 4 2 5 2" xfId="28329"/>
    <cellStyle name="Date [mm-d-yyyy] 4 2 5 2" xfId="28330"/>
    <cellStyle name="dp*SubTitle 4 2 5 2" xfId="28331"/>
    <cellStyle name="dp*ThinLineBelow 4 2 5 2" xfId="28332"/>
    <cellStyle name="PB Table Standard Row 4 2 5 2" xfId="28333"/>
    <cellStyle name="P-Green Rule 4 2 5 2" xfId="28334"/>
    <cellStyle name="Style 44 5 2 5 2" xfId="28335"/>
    <cellStyle name="Style 45 5 2 5 2" xfId="28336"/>
    <cellStyle name="Style 49 5 2 5 2" xfId="28337"/>
    <cellStyle name="Style 51 5 2 5 2" xfId="28338"/>
    <cellStyle name="Style 49 2 3 5 3" xfId="28339"/>
    <cellStyle name="Outputs 4 5 3" xfId="28340"/>
    <cellStyle name="Table Head Aligned 2 2 2 4 5 3" xfId="28341"/>
    <cellStyle name="Title [Palat] 3 2 5 2" xfId="28342"/>
    <cellStyle name="Title [Helv] 3 2 5 2" xfId="28343"/>
    <cellStyle name="Table Head Green 3 2 5 2" xfId="28344"/>
    <cellStyle name="Table Head Aligned 3 2 5 2" xfId="28345"/>
    <cellStyle name="Outputs 3 2 5 2" xfId="28346"/>
    <cellStyle name="Magic 3 2 5 2" xfId="28347"/>
    <cellStyle name="Heading [Palat] 3 2 5 2" xfId="28348"/>
    <cellStyle name="Heading [Helv] 3 2 5 2" xfId="28349"/>
    <cellStyle name="Title [Palat] 2 2 2 2 5 3" xfId="28350"/>
    <cellStyle name="Style 44 4 2 3 5 3" xfId="28351"/>
    <cellStyle name="dp*SheetSubTitle 3 2 5 2" xfId="28352"/>
    <cellStyle name="dp*NumberLineEPS 3 2 5 2" xfId="28353"/>
    <cellStyle name="dp*NumberLine 3 2 5 2" xfId="28354"/>
    <cellStyle name="COL HEADINGS 3 2 5 2" xfId="28355"/>
    <cellStyle name="Bold/Border 3 2 5 2" xfId="28356"/>
    <cellStyle name="Style 51 3 5 5 3" xfId="28357"/>
    <cellStyle name="Title [Palat] 2 5 5 3" xfId="28358"/>
    <cellStyle name="Afjusted 5 2 5 2" xfId="28359"/>
    <cellStyle name="ac 3 2 5 2" xfId="28360"/>
    <cellStyle name="Date [mmm-yyyy] 3 2 5 2" xfId="28361"/>
    <cellStyle name="ac 2 4 2 5 2" xfId="28362"/>
    <cellStyle name="Afjusted 2 3 2 5 2" xfId="28363"/>
    <cellStyle name="Bold/Border 2 4 2 5 2" xfId="28364"/>
    <cellStyle name="Border Thin 2 4 2 5 2" xfId="28365"/>
    <cellStyle name="COL HEADINGS 2 4 2 5 2" xfId="28366"/>
    <cellStyle name="Date [mmm-yyyy] 2 4 2 5 2" xfId="28367"/>
    <cellStyle name="dp*NumberLine 2 4 2 5 2" xfId="28368"/>
    <cellStyle name="dp*NumberLineEPS 2 4 2 5 2" xfId="28369"/>
    <cellStyle name="dp*SheetSubTitle 2 4 2 5 2" xfId="28370"/>
    <cellStyle name="dp*SubTitle 2 4 2 5 2" xfId="28371"/>
    <cellStyle name="dp*ThinLineBelow 2 4 2 5 2" xfId="28372"/>
    <cellStyle name="Heading [Helv] 2 4 2 5 2" xfId="28373"/>
    <cellStyle name="Heading [Palat] 2 4 2 5 2" xfId="28374"/>
    <cellStyle name="Magic 2 4 2 5 2" xfId="28375"/>
    <cellStyle name="Outputs 2 4 2 5 2" xfId="28376"/>
    <cellStyle name="PB Table Standard Row 2 4 2 5 2" xfId="28377"/>
    <cellStyle name="P-Green Rule 2 4 2 5 2" xfId="28378"/>
    <cellStyle name="Style 44 3 4 2 5 2" xfId="28379"/>
    <cellStyle name="Style 45 3 4 2 5 2" xfId="28380"/>
    <cellStyle name="Style 49 3 4 2 5 2" xfId="28381"/>
    <cellStyle name="Style 51 3 4 2 5 2" xfId="28382"/>
    <cellStyle name="Style 44 2 4 2 5 2" xfId="28383"/>
    <cellStyle name="Style 45 2 4 2 5 2" xfId="28384"/>
    <cellStyle name="Style 49 2 4 2 5 2" xfId="28385"/>
    <cellStyle name="Style 51 2 4 2 5 2" xfId="28386"/>
    <cellStyle name="Table Head Aligned 2 4 2 5 2" xfId="28387"/>
    <cellStyle name="Table Head Green 2 4 2 5 2" xfId="28388"/>
    <cellStyle name="Title [Helv] 2 4 2 5 2" xfId="28389"/>
    <cellStyle name="Title [Palat] 2 4 2 5 2" xfId="28390"/>
    <cellStyle name="Style 45 2 3 5 3" xfId="28391"/>
    <cellStyle name="Style 44 7 5 3" xfId="28392"/>
    <cellStyle name="ac 4 2 5 2" xfId="28393"/>
    <cellStyle name="Title [Helv] 2 5 5 3" xfId="28394"/>
    <cellStyle name="Style 49 3 5 5 3" xfId="28395"/>
    <cellStyle name="Heading [Palat] 2 5 5 3" xfId="28396"/>
    <cellStyle name="dp*SheetSubTitle 2 5 5 3" xfId="28397"/>
    <cellStyle name="Bold/Border 4 2 5 2" xfId="28398"/>
    <cellStyle name="Border Thin 5 2 5 2" xfId="28399"/>
    <cellStyle name="Table Head Green 4 5 3" xfId="28400"/>
    <cellStyle name="Style 45 6 5 3" xfId="28401"/>
    <cellStyle name="COL HEADINGS 4 2 5 2" xfId="28402"/>
    <cellStyle name="Border Thin 5 5 3" xfId="28403"/>
    <cellStyle name="Date [mm-d-yyyy] 5 2 5 2" xfId="28404"/>
    <cellStyle name="Table Head Aligned 3 5 3" xfId="28405"/>
    <cellStyle name="Title [Palat] 3 5 3" xfId="28406"/>
    <cellStyle name="Heading [Helv] 2 2 2 4 5 3" xfId="28407"/>
    <cellStyle name="Date [mmm-yyyy] 2 2 2 4 5 3" xfId="28408"/>
    <cellStyle name="Afjusted 4 2 4 5 3" xfId="28409"/>
    <cellStyle name="dp*ThinLineBelow 3 2 4 5 3" xfId="28410"/>
    <cellStyle name="Style 44 4 2 4 5 3" xfId="28411"/>
    <cellStyle name="Style 51 4 2 4 5 3" xfId="28412"/>
    <cellStyle name="Title [Palat] 2 2 2 3 5 3" xfId="28413"/>
    <cellStyle name="Table Head Aligned 2 2 2 3 5 3" xfId="28414"/>
    <cellStyle name="Heading [Palat] 2 2 2 3 5 3" xfId="28415"/>
    <cellStyle name="dp*NumberLineEPS 2 2 2 3 5 3" xfId="28416"/>
    <cellStyle name="COL HEADINGS 2 2 2 3 5 3" xfId="28417"/>
    <cellStyle name="ac 2 2 2 3 5 3" xfId="28418"/>
    <cellStyle name="dp*SubTitle 3 2 3 5 3" xfId="28419"/>
    <cellStyle name="Style 45 4 2 3 5 3" xfId="28420"/>
    <cellStyle name="Title [Helv] 2 2 2 2 5 3" xfId="28421"/>
    <cellStyle name="Heading [Helv] 2 2 2 2 5 3" xfId="28422"/>
    <cellStyle name="P-Green Rule 3 2 2 5 3" xfId="28423"/>
    <cellStyle name="Date [mm-d-yyyy] 3 2 2 5 3" xfId="28424"/>
    <cellStyle name="PB Table Standard Row 3 3 2 4 3" xfId="28425"/>
    <cellStyle name="Border Thin 3 3 2 5 3" xfId="28426"/>
    <cellStyle name="COL HEADINGS 2 2 3 2 5 3" xfId="28427"/>
    <cellStyle name="dp*SheetSubTitle 2 2 3 2 5 3" xfId="28428"/>
    <cellStyle name="Heading [Helv] 4 2 5 2" xfId="28429"/>
    <cellStyle name="Heading [Palat] 4 2 5 2" xfId="28430"/>
    <cellStyle name="Style 44 4 2 7 3" xfId="28431"/>
    <cellStyle name="Style 51 4 2 7 3" xfId="28432"/>
    <cellStyle name="Afjusted 3 3 8 3" xfId="28433"/>
    <cellStyle name="ac 2 2 3 8 3" xfId="28434"/>
    <cellStyle name="COL HEADINGS 2 2 3 8 3" xfId="28435"/>
    <cellStyle name="Heading [Helv] 2 2 3 8 3" xfId="28436"/>
    <cellStyle name="P-Green Rule 3 4 4 3" xfId="28437"/>
    <cellStyle name="Style 49 4 4 5 3" xfId="28438"/>
    <cellStyle name="Table Head Green 2 2 3 3 5 3" xfId="28439"/>
    <cellStyle name="Heading [Helv] 2 2 4 5 3" xfId="28440"/>
    <cellStyle name="Style 51 4 3 4 5 3" xfId="28441"/>
    <cellStyle name="Table Head Green 2 3 5 3" xfId="28442"/>
    <cellStyle name="Bold/Border 2 2 3 3 5 3" xfId="28443"/>
    <cellStyle name="Heading [Helv] 2 3 5 3" xfId="28444"/>
    <cellStyle name="Style 49 4 3 4 5 3" xfId="28445"/>
    <cellStyle name="Style 51 2 8 3" xfId="28446"/>
    <cellStyle name="Style 49 3 9 3" xfId="28447"/>
    <cellStyle name="Outputs 4 2 5 2" xfId="28448"/>
    <cellStyle name="PB Table Standard Row 5 2 5 2" xfId="28449"/>
    <cellStyle name="P-Green Rule 5 2 5 2" xfId="28450"/>
    <cellStyle name="Style 44 6 2 5 2" xfId="28451"/>
    <cellStyle name="Style 45 6 2 5 2" xfId="28452"/>
    <cellStyle name="Style 49 6 2 5 2" xfId="28453"/>
    <cellStyle name="Style 51 6 2 5 2" xfId="28454"/>
    <cellStyle name="Table Head Green 4 2 5 2" xfId="28455"/>
    <cellStyle name="Magic 2 4 4 2 2" xfId="28456"/>
    <cellStyle name="Border Thin 4 4 2 2" xfId="28457"/>
    <cellStyle name="Style 49 3 2 5 3" xfId="28458"/>
    <cellStyle name="dp*NumberLineEPS 2 2 3 3 5 3" xfId="28459"/>
    <cellStyle name="Afjusted 6 2 5 2" xfId="28460"/>
    <cellStyle name="ac 2 5 2 5 2" xfId="28461"/>
    <cellStyle name="Afjusted 2 4 2 5 2" xfId="28462"/>
    <cellStyle name="Bold/Border 2 5 2 5 2" xfId="28463"/>
    <cellStyle name="Border Thin 2 5 2 5 2" xfId="28464"/>
    <cellStyle name="COL HEADINGS 2 5 2 5 2" xfId="28465"/>
    <cellStyle name="Date [mmm-yyyy] 2 5 2 5 2" xfId="28466"/>
    <cellStyle name="dp*NumberLine 2 5 2 5 2" xfId="28467"/>
    <cellStyle name="dp*NumberLineEPS 2 5 2 5 2" xfId="28468"/>
    <cellStyle name="dp*SheetSubTitle 2 5 2 5 2" xfId="28469"/>
    <cellStyle name="dp*SubTitle 2 5 2 5 2" xfId="28470"/>
    <cellStyle name="dp*ThinLineBelow 2 5 2 5 2" xfId="28471"/>
    <cellStyle name="Heading [Helv] 2 5 2 5 2" xfId="28472"/>
    <cellStyle name="Heading [Palat] 2 5 2 5 2" xfId="28473"/>
    <cellStyle name="Magic 2 5 2 5 2" xfId="28474"/>
    <cellStyle name="Outputs 2 5 2 5 2" xfId="28475"/>
    <cellStyle name="PB Table Standard Row 2 5 2 5 2" xfId="28476"/>
    <cellStyle name="P-Green Rule 2 5 2 5 2" xfId="28477"/>
    <cellStyle name="Style 44 3 5 2 5 2" xfId="28478"/>
    <cellStyle name="Style 45 3 5 2 5 2" xfId="28479"/>
    <cellStyle name="Style 49 3 5 2 5 2" xfId="28480"/>
    <cellStyle name="Style 51 3 5 2 5 2" xfId="28481"/>
    <cellStyle name="Style 44 2 5 2 5 2" xfId="28482"/>
    <cellStyle name="Style 45 2 5 2 5 2" xfId="28483"/>
    <cellStyle name="Style 49 2 5 2 5 2" xfId="28484"/>
    <cellStyle name="Style 51 2 5 2 5 2" xfId="28485"/>
    <cellStyle name="Table Head Aligned 2 5 2 5 2" xfId="28486"/>
    <cellStyle name="Table Head Green 2 5 2 5 2" xfId="28487"/>
    <cellStyle name="Title [Helv] 2 5 2 5 2" xfId="28488"/>
    <cellStyle name="Title [Palat] 2 5 2 5 2" xfId="28489"/>
    <cellStyle name="Date [mmm-yyyy] 2 4 5 3" xfId="28490"/>
    <cellStyle name="ac 3 5 3" xfId="28491"/>
    <cellStyle name="dp*NumberLine 2 2 3 2 5 3" xfId="28492"/>
    <cellStyle name="Style 44 2 3 5 3" xfId="28493"/>
    <cellStyle name="Style 49 7 5 3" xfId="28494"/>
    <cellStyle name="Border Thin 6 5 3" xfId="28495"/>
    <cellStyle name="ac 5 2 5 2" xfId="28496"/>
    <cellStyle name="Table Head Green 2 5 5 3" xfId="28497"/>
    <cellStyle name="Style 45 3 5 5 3" xfId="28498"/>
    <cellStyle name="Heading [Helv] 2 5 5 3" xfId="28499"/>
    <cellStyle name="dp*NumberLineEPS 2 5 5 3" xfId="28500"/>
    <cellStyle name="Bold/Border 5 2 5 2" xfId="28501"/>
    <cellStyle name="Border Thin 6 2 5 2" xfId="28502"/>
    <cellStyle name="Style 44 6 5 3" xfId="28503"/>
    <cellStyle name="COL HEADINGS 5 2 5 2" xfId="28504"/>
    <cellStyle name="Title [Palat] 2 4 5 3" xfId="28505"/>
    <cellStyle name="Table Head Green 3 5 3" xfId="28506"/>
    <cellStyle name="Border Thin 4 5 3" xfId="28507"/>
    <cellStyle name="dp*SheetSubTitle 2 2 2 4 5 3" xfId="28508"/>
    <cellStyle name="COL HEADINGS 2 2 2 4 5 3" xfId="28509"/>
    <cellStyle name="Border Thin 3 2 4 5 3" xfId="28510"/>
    <cellStyle name="PB Table Standard Row 3 2 4 5 3" xfId="28511"/>
    <cellStyle name="Style 45 4 2 4 5 3" xfId="28512"/>
    <cellStyle name="Date [mm-d-yyyy] 3 2 4 5 3" xfId="28513"/>
    <cellStyle name="Title [Helv] 2 2 2 3 5 3" xfId="28514"/>
    <cellStyle name="Outputs 2 2 2 3 5 3" xfId="28515"/>
    <cellStyle name="Heading [Helv] 2 2 2 3 5 3" xfId="28516"/>
    <cellStyle name="dp*NumberLine 2 2 2 3 5 3" xfId="28517"/>
    <cellStyle name="Bold/Border 2 2 2 3 5 3" xfId="28518"/>
    <cellStyle name="Afjusted 4 2 3 5 3" xfId="28519"/>
    <cellStyle name="dp*ThinLineBelow 3 2 3 5 3" xfId="28520"/>
    <cellStyle name="Style 49 4 2 3 5 3" xfId="28521"/>
    <cellStyle name="Table Head Green 2 2 2 2 5 3" xfId="28522"/>
    <cellStyle name="dp*SheetSubTitle 2 2 2 2 5 3" xfId="28523"/>
    <cellStyle name="Style 45 4 5 5 3" xfId="28524"/>
    <cellStyle name="PB Table Standard Row 3 5 5 3" xfId="28525"/>
    <cellStyle name="dp*ThinLineBelow 3 3 2 5 3" xfId="28526"/>
    <cellStyle name="Afjusted 4 3 2 5 3" xfId="28527"/>
    <cellStyle name="Date [mmm-yyyy] 2 2 3 2 5 3" xfId="28528"/>
    <cellStyle name="Heading [Helv] 2 2 3 2 5 3" xfId="28529"/>
    <cellStyle name="Heading [Helv] 5 2 5 2" xfId="28530"/>
    <cellStyle name="Heading [Palat] 5 2 5 2" xfId="28531"/>
    <cellStyle name="Afjusted 4 2 8 3" xfId="28532"/>
    <cellStyle name="Style 45 4 2 7 3" xfId="28533"/>
    <cellStyle name="Date [mm-d-yyyy] 3 2 8 3" xfId="28534"/>
    <cellStyle name="Afjusted 3 2 8 3" xfId="28535"/>
    <cellStyle name="Date [mmm-yyyy] 2 2 3 8 3" xfId="28536"/>
    <cellStyle name="Heading [Palat] 2 2 3 8 3" xfId="28537"/>
    <cellStyle name="dp*ThinLineBelow 3 3 4 5 3" xfId="28538"/>
    <cellStyle name="Style 51 4 4 5 3" xfId="28539"/>
    <cellStyle name="Table Head Green 2 2 4 5 3" xfId="28540"/>
    <cellStyle name="Style 51 2 3 5 3" xfId="28541"/>
    <cellStyle name="Title [Palat] 2 3 5 3" xfId="28542"/>
    <cellStyle name="Table Head Aligned 2 3 5 3" xfId="28543"/>
    <cellStyle name="dp*NumberLine 2 2 3 3 5 3" xfId="28544"/>
    <cellStyle name="Outputs 2 3 5 3" xfId="28545"/>
    <cellStyle name="dp*SheetSubTitle 2 3 5 3" xfId="28546"/>
    <cellStyle name="Style 49 2 9 3" xfId="28547"/>
    <cellStyle name="Style 45 3 8 3" xfId="28548"/>
    <cellStyle name="dp*ThinLineBelow 2 7 3" xfId="28549"/>
    <cellStyle name="Outputs 5 2 5 2" xfId="28550"/>
    <cellStyle name="PB Table Standard Row 6 2 5 2" xfId="28551"/>
    <cellStyle name="P-Green Rule 6 2 5 2" xfId="28552"/>
    <cellStyle name="Style 44 7 2 5 2" xfId="28553"/>
    <cellStyle name="Style 45 7 2 5 2" xfId="28554"/>
    <cellStyle name="Style 49 7 2 5 2" xfId="28555"/>
    <cellStyle name="Style 51 7 2 5 2" xfId="28556"/>
    <cellStyle name="Table Head Green 5 2 5 2" xfId="28557"/>
    <cellStyle name="Title [Palat] 4 2 5 2" xfId="28558"/>
    <cellStyle name="Date [mmm-yyyy] 2 4 4 2 2" xfId="28559"/>
    <cellStyle name="Style 44 3 3 5 3" xfId="28560"/>
    <cellStyle name="Style 44 2 2 5 3" xfId="28561"/>
    <cellStyle name="Table Head Aligned 2 2 3 4 5 3" xfId="28562"/>
    <cellStyle name="Table Head Green 5 5 3" xfId="28563"/>
    <cellStyle name="ac 2 6 2 5 2" xfId="28564"/>
    <cellStyle name="Bold/Border 2 6 2 5 2" xfId="28565"/>
    <cellStyle name="Border Thin 2 6 2 5 2" xfId="28566"/>
    <cellStyle name="COL HEADINGS 2 6 2 5 2" xfId="28567"/>
    <cellStyle name="Afjusted 2 3 5 3" xfId="28568"/>
    <cellStyle name="Bold/Border 2 2 3 2 5 3" xfId="28569"/>
    <cellStyle name="Heading [Helv] 2 6 2 5 2" xfId="28570"/>
    <cellStyle name="Heading [Palat] 2 6 2 5 2" xfId="28571"/>
    <cellStyle name="Outputs 2 6 2 5 2" xfId="28572"/>
    <cellStyle name="PB Table Standard Row 2 6 2 5 2" xfId="28573"/>
    <cellStyle name="P-Green Rule 2 6 2 5 2" xfId="28574"/>
    <cellStyle name="Style 44 3 6 2 5 2" xfId="28575"/>
    <cellStyle name="Style 45 3 6 2 5 2" xfId="28576"/>
    <cellStyle name="Style 49 3 6 2 5 2" xfId="28577"/>
    <cellStyle name="Style 51 3 6 2 5 2" xfId="28578"/>
    <cellStyle name="Style 44 2 6 2 5 2" xfId="28579"/>
    <cellStyle name="Style 45 2 6 2 5 2" xfId="28580"/>
    <cellStyle name="Style 49 2 6 2 5 2" xfId="28581"/>
    <cellStyle name="Style 51 2 6 2 5 2" xfId="28582"/>
    <cellStyle name="Table Head Green 2 6 2 5 2" xfId="28583"/>
    <cellStyle name="Title [Palat] 2 6 2 5 2" xfId="28584"/>
    <cellStyle name="Bold/Border 2 3 5 3" xfId="28585"/>
    <cellStyle name="Style 49 3 3 5 3" xfId="28586"/>
    <cellStyle name="dp*NumberLine 2 5 5 3" xfId="28587"/>
    <cellStyle name="Style 45 3 3 5 3" xfId="28588"/>
    <cellStyle name="Title [Palat] 2 2 3 4 5 3" xfId="28589"/>
    <cellStyle name="ac 2 2 3 4 5 3" xfId="28590"/>
    <cellStyle name="Date [mm-d-yyyy] 3 3 4 5 3" xfId="28591"/>
    <cellStyle name="Magic 2 2 3 4 5 3" xfId="28592"/>
    <cellStyle name="Title [Palat] 2 2 4 5 3" xfId="28593"/>
    <cellStyle name="Afjusted 4 3 3 5 3" xfId="28594"/>
    <cellStyle name="PB Table Standard Row 2 2 5 3" xfId="28595"/>
    <cellStyle name="Style 45 3 2 5 3" xfId="28596"/>
    <cellStyle name="Style 51 3 2 5 3" xfId="28597"/>
    <cellStyle name="Title [Helv] 2 2 3 4 5 3" xfId="28598"/>
    <cellStyle name="dp*SheetSubTitle 2 2 3 4 5 3" xfId="28599"/>
    <cellStyle name="Style 49 2 2 5 3" xfId="28600"/>
    <cellStyle name="Style 45 2 2 5 3" xfId="28601"/>
    <cellStyle name="Date [mmm-yyyy] 2 2 3 4 5 3" xfId="28602"/>
    <cellStyle name="ac 2 3 5 3" xfId="28603"/>
    <cellStyle name="Date [mm-d-yyyy] 5 5 3" xfId="28604"/>
    <cellStyle name="Style 51 2 2 5 3" xfId="28605"/>
    <cellStyle name="COL HEADINGS 2 2 3 4 5 3" xfId="28606"/>
    <cellStyle name="Afjusted 3 3 4 5 3" xfId="28607"/>
    <cellStyle name="dp*ThinLineBelow 2 3 5 3" xfId="28608"/>
    <cellStyle name="Style 49 4 5 5 3" xfId="28609"/>
    <cellStyle name="Outputs 2 2 2 4 5 3" xfId="28610"/>
    <cellStyle name="Title [Palat] 5 2 5 2" xfId="28611"/>
    <cellStyle name="Title [Helv] 4 2 5 2" xfId="28612"/>
    <cellStyle name="Table Head Green 6 2 5 2" xfId="28613"/>
    <cellStyle name="Table Head Aligned 4 2 5 2" xfId="28614"/>
    <cellStyle name="Style 51 9 2 5 2" xfId="28615"/>
    <cellStyle name="Style 49 9 2 5 2" xfId="28616"/>
    <cellStyle name="Style 45 9 2 5 2" xfId="28617"/>
    <cellStyle name="Style 44 9 2 5 2" xfId="28618"/>
    <cellStyle name="Style 51 2 5 5 3" xfId="28619"/>
    <cellStyle name="P-Green Rule 2 5 5 3" xfId="28620"/>
    <cellStyle name="P-Green Rule 7 2 5 2" xfId="28621"/>
    <cellStyle name="PB Table Standard Row 7 2 5 2" xfId="28622"/>
    <cellStyle name="Outputs 6 2 5 2" xfId="28623"/>
    <cellStyle name="Style 44 3 8 3" xfId="28624"/>
    <cellStyle name="Magic 4 2 5 2" xfId="28625"/>
    <cellStyle name="Date [mm-d-yyyy] 3 2 3 5 3" xfId="28626"/>
    <cellStyle name="Outputs 2 2 2 2 5 3" xfId="28627"/>
    <cellStyle name="Border Thin 3 2 7 3" xfId="28628"/>
    <cellStyle name="Heading [Palat] 6 2 5 2" xfId="28629"/>
    <cellStyle name="Heading [Helv] 6 2 5 2" xfId="28630"/>
    <cellStyle name="Date [mm-d-yyyy] 3 3 2 5 3" xfId="28631"/>
    <cellStyle name="dp*SubTitle 2 3 5 3" xfId="28632"/>
    <cellStyle name="Table Head Aligned 2 2 2 2 5 3" xfId="28633"/>
    <cellStyle name="Style 51 4 2 3 5 3" xfId="28634"/>
    <cellStyle name="dp*ThinLineBelow 5 2 5 2" xfId="28635"/>
    <cellStyle name="dp*SubTitle 5 2 5 2" xfId="28636"/>
    <cellStyle name="dp*SheetSubTitle 4 2 5 2" xfId="28637"/>
    <cellStyle name="dp*NumberLineEPS 4 2 5 2" xfId="28638"/>
    <cellStyle name="dp*NumberLine 4 2 5 2" xfId="28639"/>
    <cellStyle name="dp*NumberLine 2 4 5 3" xfId="28640"/>
    <cellStyle name="Date [mmm-yyyy] 4 2 5 2" xfId="28641"/>
    <cellStyle name="Date [mm-d-yyyy] 7 2 5 2" xfId="28642"/>
    <cellStyle name="COL HEADINGS 6 2 5 2" xfId="28643"/>
    <cellStyle name="Border Thin 7 2 5 2" xfId="28644"/>
    <cellStyle name="Bold/Border 6 2 5 2" xfId="28645"/>
    <cellStyle name="Style 44 3 5 5 3" xfId="28646"/>
    <cellStyle name="Table Head Aligned 2 5 5 3" xfId="28647"/>
    <cellStyle name="Afjusted 7 2 5 2" xfId="28648"/>
    <cellStyle name="ac 6 2 5 2" xfId="28649"/>
    <cellStyle name="Style 44 8 2 5 2" xfId="28650"/>
    <cellStyle name="Style 45 8 2 5 2" xfId="28651"/>
    <cellStyle name="Style 49 8 2 5 2" xfId="28652"/>
    <cellStyle name="Style 51 8 2 5 2" xfId="28653"/>
    <cellStyle name="COL HEADINGS 4 5 3" xfId="28654"/>
    <cellStyle name="Heading [Helv] 2 2 3 3 5 3" xfId="28655"/>
    <cellStyle name="P-Green Rule 5 5 3" xfId="28656"/>
    <cellStyle name="Heading [Palat] 5 5 3" xfId="28657"/>
    <cellStyle name="Heading [Helv] 4 5 3" xfId="28658"/>
    <cellStyle name="Style 45 4 3 2 5 3" xfId="28659"/>
    <cellStyle name="Style 44 4 3 3 5 3" xfId="28660"/>
    <cellStyle name="Magic 2 2 3 3 5 3" xfId="28661"/>
    <cellStyle name="Title [Palat] 2 2 3 3 5 3" xfId="28662"/>
    <cellStyle name="dp*NumberLineEPS 2 2 3 4 5 3" xfId="28663"/>
    <cellStyle name="P-Green Rule 2 2 5 3" xfId="28664"/>
    <cellStyle name="Title [Helv] 2 2 4 5 3" xfId="28665"/>
    <cellStyle name="Title [Palat] 6 2 5 2" xfId="28666"/>
    <cellStyle name="Title [Helv] 5 2 5 2" xfId="28667"/>
    <cellStyle name="Table Head Green 7 2 5 2" xfId="28668"/>
    <cellStyle name="Table Head Aligned 5 2 5 2" xfId="28669"/>
    <cellStyle name="Outputs 7 2 5 2" xfId="28670"/>
    <cellStyle name="PB Table Standard Row 3 3 4 5 3" xfId="28671"/>
    <cellStyle name="Magic 5 2 5 2" xfId="28672"/>
    <cellStyle name="Heading [Palat] 7 2 5 2" xfId="28673"/>
    <cellStyle name="Heading [Helv] 7 2 5 2" xfId="28674"/>
    <cellStyle name="dp*SheetSubTitle 5 2 5 2" xfId="28675"/>
    <cellStyle name="dp*NumberLineEPS 5 2 5 2" xfId="28676"/>
    <cellStyle name="dp*NumberLine 5 2 5 2" xfId="28677"/>
    <cellStyle name="Date [mmm-yyyy] 5 2 5 2" xfId="28678"/>
    <cellStyle name="COL HEADINGS 7 2 5 2" xfId="28679"/>
    <cellStyle name="Bold/Border 7 2 5 2" xfId="28680"/>
    <cellStyle name="Afjusted 8 2 5 2" xfId="28681"/>
    <cellStyle name="ac 7 2 5 2" xfId="28682"/>
    <cellStyle name="Magic 2 2 2 4 5 3" xfId="28683"/>
    <cellStyle name="Title [Palat] 7 2 5 2" xfId="28684"/>
    <cellStyle name="Title [Helv] 6 2 5 2" xfId="28685"/>
    <cellStyle name="Table Head Green 8 2 5 2" xfId="28686"/>
    <cellStyle name="Table Head Aligned 6 2 5 2" xfId="28687"/>
    <cellStyle name="Outputs 8 2 5 2" xfId="28688"/>
    <cellStyle name="Magic 6 2 5 2" xfId="28689"/>
    <cellStyle name="Heading [Palat] 8 2 5 2" xfId="28690"/>
    <cellStyle name="Heading [Helv] 8 2 5 2" xfId="28691"/>
    <cellStyle name="Style 51 4 3 2 5 3" xfId="28692"/>
    <cellStyle name="Date [mm-d-yyyy] 3 5 5 3" xfId="28693"/>
    <cellStyle name="Magic 2 2 2 2 5 3" xfId="28694"/>
    <cellStyle name="Afjusted 3 2 3 5 3" xfId="28695"/>
    <cellStyle name="dp*SheetSubTitle 6 2 5 2" xfId="28696"/>
    <cellStyle name="dp*NumberLineEPS 6 2 5 2" xfId="28697"/>
    <cellStyle name="dp*NumberLine 6 2 5 2" xfId="28698"/>
    <cellStyle name="COL HEADINGS 8 2 5 2" xfId="28699"/>
    <cellStyle name="Bold/Border 8 2 5 2" xfId="28700"/>
    <cellStyle name="PB Table Standard Row 2 5 5 3" xfId="28701"/>
    <cellStyle name="Style 49 2 5 5 3" xfId="28702"/>
    <cellStyle name="Afjusted 9 2 5 2" xfId="28703"/>
    <cellStyle name="ac 8 2 5 2" xfId="28704"/>
    <cellStyle name="Date [mmm-yyyy] 6 2 5 2" xfId="28705"/>
    <cellStyle name="Title [Palat] 8 2 5 2" xfId="28706"/>
    <cellStyle name="Title [Helv] 7 2 5 2" xfId="28707"/>
    <cellStyle name="Table Head Green 9 2 5 2" xfId="28708"/>
    <cellStyle name="Table Head Aligned 7 2 5 2" xfId="28709"/>
    <cellStyle name="Outputs 9 2 5 2" xfId="28710"/>
    <cellStyle name="Magic 7 2 5 2" xfId="28711"/>
    <cellStyle name="Heading [Palat] 9 2 5 2" xfId="28712"/>
    <cellStyle name="Heading [Helv] 9 2 5 2" xfId="28713"/>
    <cellStyle name="dp*SheetSubTitle 7 2 5 2" xfId="28714"/>
    <cellStyle name="dp*NumberLineEPS 7 2 5 2" xfId="28715"/>
    <cellStyle name="dp*NumberLine 7 2 5 2" xfId="28716"/>
    <cellStyle name="Date [mmm-yyyy] 7 2 5 2" xfId="28717"/>
    <cellStyle name="COL HEADINGS 9 2 5 2" xfId="28718"/>
    <cellStyle name="Bold/Border 9 2 5 2" xfId="28719"/>
    <cellStyle name="Afjusted 10 2 5 2" xfId="28720"/>
    <cellStyle name="ac 9 2 5 2" xfId="28721"/>
    <cellStyle name="Title [Palat] 4 5 3" xfId="28722"/>
    <cellStyle name="ac 2 6 5 3" xfId="28723"/>
    <cellStyle name="Bold/Border 2 6 5 3" xfId="28724"/>
    <cellStyle name="Border Thin 2 6 5 3" xfId="28725"/>
    <cellStyle name="COL HEADINGS 2 6 5 3" xfId="28726"/>
    <cellStyle name="Heading [Helv] 2 6 5 3" xfId="28727"/>
    <cellStyle name="Heading [Palat] 2 6 5 3" xfId="28728"/>
    <cellStyle name="Outputs 2 6 5 3" xfId="28729"/>
    <cellStyle name="PB Table Standard Row 2 6 5 3" xfId="28730"/>
    <cellStyle name="P-Green Rule 2 6 5 3" xfId="28731"/>
    <cellStyle name="Style 44 3 6 5 3" xfId="28732"/>
    <cellStyle name="Style 45 3 6 5 3" xfId="28733"/>
    <cellStyle name="Style 49 3 6 5 3" xfId="28734"/>
    <cellStyle name="Style 51 3 6 5 3" xfId="28735"/>
    <cellStyle name="Style 44 2 6 5 3" xfId="28736"/>
    <cellStyle name="Style 45 2 6 5 3" xfId="28737"/>
    <cellStyle name="Style 49 2 6 5 3" xfId="28738"/>
    <cellStyle name="Style 51 2 6 5 3" xfId="28739"/>
    <cellStyle name="Table Head Green 2 6 5 3" xfId="28740"/>
    <cellStyle name="Title [Palat] 2 6 5 3" xfId="28741"/>
    <cellStyle name="Title [Palat] 5 5 3" xfId="28742"/>
    <cellStyle name="Title [Helv] 4 5 3" xfId="28743"/>
    <cellStyle name="Table Head Green 6 5 3" xfId="28744"/>
    <cellStyle name="Table Head Aligned 4 5 3" xfId="28745"/>
    <cellStyle name="Outputs 6 5 3" xfId="28746"/>
    <cellStyle name="Magic 4 5 3" xfId="28747"/>
    <cellStyle name="Heading [Palat] 6 5 3" xfId="28748"/>
    <cellStyle name="Heading [Helv] 6 5 3" xfId="28749"/>
    <cellStyle name="dp*SheetSubTitle 4 5 3" xfId="28750"/>
    <cellStyle name="dp*NumberLineEPS 4 5 3" xfId="28751"/>
    <cellStyle name="dp*NumberLine 4 5 3" xfId="28752"/>
    <cellStyle name="Date [mmm-yyyy] 4 5 3" xfId="28753"/>
    <cellStyle name="COL HEADINGS 6 5 3" xfId="28754"/>
    <cellStyle name="Bold/Border 6 5 3" xfId="28755"/>
    <cellStyle name="Afjusted 7 5 3" xfId="28756"/>
    <cellStyle name="ac 6 5 3" xfId="28757"/>
    <cellStyle name="Style 44 8 5 3" xfId="28758"/>
    <cellStyle name="Style 45 8 5 3" xfId="28759"/>
    <cellStyle name="Style 49 8 5 3" xfId="28760"/>
    <cellStyle name="Style 51 8 5 3" xfId="28761"/>
    <cellStyle name="Afjusted 3 6 4 3" xfId="28762"/>
    <cellStyle name="ac 2 7 4 3" xfId="28763"/>
    <cellStyle name="Afjusted 2 5 4 3" xfId="28764"/>
    <cellStyle name="Bold/Border 2 7 4 3" xfId="28765"/>
    <cellStyle name="COL HEADINGS 2 7 4 3" xfId="28766"/>
    <cellStyle name="Date [mmm-yyyy] 2 6 4 3" xfId="28767"/>
    <cellStyle name="dp*NumberLine 2 6 4 3" xfId="28768"/>
    <cellStyle name="dp*NumberLineEPS 2 6 4 3" xfId="28769"/>
    <cellStyle name="dp*SheetSubTitle 2 6 4 3" xfId="28770"/>
    <cellStyle name="Heading [Helv] 2 7 4 3" xfId="28771"/>
    <cellStyle name="Heading [Palat] 2 7 4 3" xfId="28772"/>
    <cellStyle name="Magic 2 6 4 3" xfId="28773"/>
    <cellStyle name="Outputs 2 7 4 3" xfId="28774"/>
    <cellStyle name="Table Head Aligned 2 6 4 3" xfId="28775"/>
    <cellStyle name="Table Head Green 2 7 4 3" xfId="28776"/>
    <cellStyle name="Title [Helv] 2 6 4 3" xfId="28777"/>
    <cellStyle name="Title [Palat] 2 7 4 3" xfId="28778"/>
    <cellStyle name="Date [mm-d-yyyy] 3 6 4 3" xfId="28779"/>
    <cellStyle name="Style 51 4 6 4 3" xfId="28780"/>
    <cellStyle name="Style 49 4 6 4 3" xfId="28781"/>
    <cellStyle name="Style 45 4 6 4 3" xfId="28782"/>
    <cellStyle name="Style 44 4 6 4 3" xfId="28783"/>
    <cellStyle name="P-Green Rule 3 6 4 3" xfId="28784"/>
    <cellStyle name="PB Table Standard Row 3 6 4 3" xfId="28785"/>
    <cellStyle name="dp*ThinLineBelow 3 6 4 3" xfId="28786"/>
    <cellStyle name="dp*SubTitle 3 6 4 3" xfId="28787"/>
    <cellStyle name="Border Thin 3 6 4 3" xfId="28788"/>
    <cellStyle name="Afjusted 4 6 4 3" xfId="28789"/>
    <cellStyle name="ac 2 2 5 4 3" xfId="28790"/>
    <cellStyle name="Afjusted 2 2 6 4 3" xfId="28791"/>
    <cellStyle name="Bold/Border 2 2 5 4 3" xfId="28792"/>
    <cellStyle name="COL HEADINGS 2 2 5 4 3" xfId="28793"/>
    <cellStyle name="Date [mmm-yyyy] 2 2 5 4 3" xfId="28794"/>
    <cellStyle name="dp*NumberLine 2 2 5 4 3" xfId="28795"/>
    <cellStyle name="dp*NumberLineEPS 2 2 5 4 3" xfId="28796"/>
    <cellStyle name="dp*SheetSubTitle 2 2 5 4 3" xfId="28797"/>
    <cellStyle name="Heading [Helv] 2 2 5 4 3" xfId="28798"/>
    <cellStyle name="Heading [Palat] 2 2 5 4 3" xfId="28799"/>
    <cellStyle name="Magic 2 2 5 4 3" xfId="28800"/>
    <cellStyle name="Outputs 2 2 5 4 3" xfId="28801"/>
    <cellStyle name="Table Head Aligned 2 2 5 4 3" xfId="28802"/>
    <cellStyle name="Table Head Green 2 2 5 4 3" xfId="28803"/>
    <cellStyle name="Title [Helv] 2 2 5 4 3" xfId="28804"/>
    <cellStyle name="Title [Palat] 2 2 5 4 3" xfId="28805"/>
    <cellStyle name="dp*SubTitle 2 2 2 4 3" xfId="28806"/>
    <cellStyle name="Border Thin 2 2 2 4 3" xfId="28807"/>
    <cellStyle name="Bold/Border 2 2 3 4 2 4 3" xfId="28808"/>
    <cellStyle name="Magic 2 2 3 4 2 4 3" xfId="28809"/>
    <cellStyle name="Title [Helv] 2 2 3 4 2 4 3" xfId="28810"/>
    <cellStyle name="Style 51 2 2 2 4 3" xfId="28811"/>
    <cellStyle name="Style 45 2 2 2 4 3" xfId="28812"/>
    <cellStyle name="Style 49 2 2 2 4 3" xfId="28813"/>
    <cellStyle name="Style 44 2 2 2 4 3" xfId="28814"/>
    <cellStyle name="Style 51 3 2 2 4 3" xfId="28815"/>
    <cellStyle name="Style 49 3 2 2 4 3" xfId="28816"/>
    <cellStyle name="Style 45 3 2 2 4 3" xfId="28817"/>
    <cellStyle name="Style 44 3 2 2 4 3" xfId="28818"/>
    <cellStyle name="P-Green Rule 2 2 2 4 3" xfId="28819"/>
    <cellStyle name="PB Table Standard Row 2 2 2 4 3" xfId="28820"/>
    <cellStyle name="dp*ThinLineBelow 2 2 2 4 3" xfId="28821"/>
    <cellStyle name="dp*ThinLineBelow 2 3 2 4 3" xfId="28822"/>
    <cellStyle name="Style 44 3 3 2 4 3" xfId="28823"/>
    <cellStyle name="COL HEADINGS 2 2 3 4 2 4 3" xfId="28824"/>
    <cellStyle name="Style 49 4 3 4 2 4 3" xfId="28825"/>
    <cellStyle name="Afjusted 3 3 4 2 4 3" xfId="28826"/>
    <cellStyle name="Date [mm-d-yyyy] 3 3 4 2 4 3" xfId="28827"/>
    <cellStyle name="Afjusted 4 3 4 2 4 3" xfId="28828"/>
    <cellStyle name="ac 2 2 3 4 2 4 3" xfId="28829"/>
    <cellStyle name="Afjusted 2 2 3 4 2 4 3" xfId="28830"/>
    <cellStyle name="Date [mmm-yyyy] 2 2 3 4 2 4 3" xfId="28831"/>
    <cellStyle name="dp*NumberLine 2 2 3 4 2 4 3" xfId="28832"/>
    <cellStyle name="dp*NumberLineEPS 2 2 3 4 2 4 3" xfId="28833"/>
    <cellStyle name="dp*SheetSubTitle 2 2 3 4 2 4 3" xfId="28834"/>
    <cellStyle name="Heading [Helv] 2 2 3 4 2 4 3" xfId="28835"/>
    <cellStyle name="Outputs 2 2 3 4 2 4 3" xfId="28836"/>
    <cellStyle name="Table Head Aligned 2 2 3 4 2 4 3" xfId="28837"/>
    <cellStyle name="Title [Palat] 2 2 3 4 2 4 3" xfId="28838"/>
    <cellStyle name="Afjusted 3 5 2 4 3" xfId="28839"/>
    <cellStyle name="Style 45 3 3 2 4 3" xfId="28840"/>
    <cellStyle name="Style 51 3 3 2 4 3" xfId="28841"/>
    <cellStyle name="Style 44 2 3 2 4 3" xfId="28842"/>
    <cellStyle name="Style 45 2 3 2 4 3" xfId="28843"/>
    <cellStyle name="Style 49 2 3 2 4 3" xfId="28844"/>
    <cellStyle name="Border Thin 3 5 2 4 3" xfId="28845"/>
    <cellStyle name="ac 2 2 4 2 4 3" xfId="28846"/>
    <cellStyle name="Afjusted 2 2 5 2 4 3" xfId="28847"/>
    <cellStyle name="Bold/Border 2 2 4 2 4 3" xfId="28848"/>
    <cellStyle name="COL HEADINGS 2 2 4 2 4 3" xfId="28849"/>
    <cellStyle name="Date [mmm-yyyy] 2 2 4 2 4 3" xfId="28850"/>
    <cellStyle name="dp*NumberLine 2 2 4 2 4 3" xfId="28851"/>
    <cellStyle name="dp*NumberLineEPS 2 2 4 2 4 3" xfId="28852"/>
    <cellStyle name="dp*SheetSubTitle 2 2 4 2 4 3" xfId="28853"/>
    <cellStyle name="Heading [Palat] 2 2 4 2 4 3" xfId="28854"/>
    <cellStyle name="Outputs 2 2 4 2 4 3" xfId="28855"/>
    <cellStyle name="Magic 2 2 4 2 4 3" xfId="28856"/>
    <cellStyle name="Title [Helv] 2 2 4 2 4 3" xfId="28857"/>
    <cellStyle name="Title [Palat] 2 2 4 2 4 3" xfId="28858"/>
    <cellStyle name="Title [Palat] 2 2 3 3 2 4 3" xfId="28859"/>
    <cellStyle name="Title [Helv] 2 2 3 3 2 4 3" xfId="28860"/>
    <cellStyle name="Table Head Aligned 2 2 3 3 2 4 3" xfId="28861"/>
    <cellStyle name="Magic 2 2 3 3 2 4 3" xfId="28862"/>
    <cellStyle name="Heading [Helv] 2 2 3 3 2 4 3" xfId="28863"/>
    <cellStyle name="dp*NumberLineEPS 2 2 3 3 2 4 3" xfId="28864"/>
    <cellStyle name="COL HEADINGS 2 2 3 3 2 4 3" xfId="28865"/>
    <cellStyle name="ac 2 2 3 3 2 4 3" xfId="28866"/>
    <cellStyle name="Afjusted 4 3 3 2 4 3" xfId="28867"/>
    <cellStyle name="Border Thin 3 3 3 2 4 3" xfId="28868"/>
    <cellStyle name="PB Table Standard Row 3 3 3 2 4 3" xfId="28869"/>
    <cellStyle name="Style 44 4 3 3 2 4 3" xfId="28870"/>
    <cellStyle name="Style 51 4 3 3 2 4 3" xfId="28871"/>
    <cellStyle name="Afjusted 3 3 3 2 4 3" xfId="28872"/>
    <cellStyle name="Style 49 4 5 2 4 3" xfId="28873"/>
    <cellStyle name="Style 44 4 5 2 4 3" xfId="28874"/>
    <cellStyle name="P-Green Rule 3 5 2 4 3" xfId="28875"/>
    <cellStyle name="dp*SubTitle 3 5 2 4 3" xfId="28876"/>
    <cellStyle name="Afjusted 4 5 2 4 3" xfId="28877"/>
    <cellStyle name="ac 2 3 2 4 3" xfId="28878"/>
    <cellStyle name="Bold/Border 2 3 2 4 3" xfId="28879"/>
    <cellStyle name="COL HEADINGS 2 3 2 4 3" xfId="28880"/>
    <cellStyle name="Date [mmm-yyyy] 2 3 2 4 3" xfId="28881"/>
    <cellStyle name="dp*NumberLine 2 3 2 4 3" xfId="28882"/>
    <cellStyle name="dp*NumberLineEPS 2 3 2 4 3" xfId="28883"/>
    <cellStyle name="dp*SheetSubTitle 2 3 2 4 3" xfId="28884"/>
    <cellStyle name="Heading [Helv] 2 3 2 4 3" xfId="28885"/>
    <cellStyle name="Heading [Palat] 2 3 2 4 3" xfId="28886"/>
    <cellStyle name="Magic 2 3 2 4 3" xfId="28887"/>
    <cellStyle name="Outputs 2 3 2 4 3" xfId="28888"/>
    <cellStyle name="Date [mmm-yyyy] 2 2 3 3 2 4 3" xfId="28889"/>
    <cellStyle name="Afjusted 2 2 3 3 2 4 3" xfId="28890"/>
    <cellStyle name="dp*ThinLineBelow 3 3 3 2 4 3" xfId="28891"/>
    <cellStyle name="Style 49 4 3 3 2 4 3" xfId="28892"/>
    <cellStyle name="Outputs 2 2 3 3 2 4 3" xfId="28893"/>
    <cellStyle name="dp*NumberLine 2 2 3 3 2 4 3" xfId="28894"/>
    <cellStyle name="Bold/Border 2 2 3 3 2 4 3" xfId="28895"/>
    <cellStyle name="dp*SubTitle 3 3 3 2 4 3" xfId="28896"/>
    <cellStyle name="Style 45 4 3 3 2 4 3" xfId="28897"/>
    <cellStyle name="Table Head Aligned 2 3 2 4 3" xfId="28898"/>
    <cellStyle name="Table Head Green 2 3 2 4 3" xfId="28899"/>
    <cellStyle name="Title [Helv] 2 3 2 4 3" xfId="28900"/>
    <cellStyle name="Title [Palat] 2 3 2 4 3" xfId="28901"/>
    <cellStyle name="Style 45 4 3 4 2 4 3" xfId="28902"/>
    <cellStyle name="Style 51 4 3 4 2 4 3" xfId="28903"/>
    <cellStyle name="Afjusted 3 4 2 4 3" xfId="28904"/>
    <cellStyle name="P-Green Rule 3 3 4 2 4 3" xfId="28905"/>
    <cellStyle name="Border Thin 2 3 2 4 3" xfId="28906"/>
    <cellStyle name="Style 49 3 3 2 4 3" xfId="28907"/>
    <cellStyle name="Style 51 2 3 2 4 3" xfId="28908"/>
    <cellStyle name="Heading [Helv] 2 2 4 2 4 3" xfId="28909"/>
    <cellStyle name="Table Head Aligned 2 2 4 2 4 3" xfId="28910"/>
    <cellStyle name="Table Head Green 2 2 4 2 4 3" xfId="28911"/>
    <cellStyle name="Table Head Green 2 2 3 3 2 4 3" xfId="28912"/>
    <cellStyle name="Heading [Palat] 2 2 3 3 2 4 3" xfId="28913"/>
    <cellStyle name="dp*SheetSubTitle 2 2 3 3 2 4 3" xfId="28914"/>
    <cellStyle name="P-Green Rule 3 3 3 2 4 3" xfId="28915"/>
    <cellStyle name="Date [mm-d-yyyy] 3 3 3 2 4 3" xfId="28916"/>
    <cellStyle name="Date [mm-d-yyyy] 3 4 2 4 3" xfId="28917"/>
    <cellStyle name="Style 51 4 4 2 4 3" xfId="28918"/>
    <cellStyle name="Style 49 4 4 2 4 3" xfId="28919"/>
    <cellStyle name="Style 45 4 4 2 4 3" xfId="28920"/>
    <cellStyle name="Style 44 4 4 2 4 3" xfId="28921"/>
    <cellStyle name="dp*ThinLineBelow 3 3 4 2 4 3" xfId="28922"/>
    <cellStyle name="P-Green Rule 3 4 2 4 3" xfId="28923"/>
    <cellStyle name="PB Table Standard Row 3 4 2 3 3" xfId="28924"/>
    <cellStyle name="dp*ThinLineBelow 3 4 2 4 3" xfId="28925"/>
    <cellStyle name="dp*SubTitle 3 4 2 4 3" xfId="28926"/>
    <cellStyle name="dp*SubTitle 3 3 4 2 4 3" xfId="28927"/>
    <cellStyle name="Border Thin 3 4 2 4 3" xfId="28928"/>
    <cellStyle name="Border Thin 3 3 4 2 4 3" xfId="28929"/>
    <cellStyle name="Afjusted 4 4 2 4 3" xfId="28930"/>
    <cellStyle name="Afjusted 2 2 4 2 4 3" xfId="28931"/>
    <cellStyle name="Style 44 4 3 4 2 4 3" xfId="28932"/>
    <cellStyle name="PB Table Standard Row 3 3 4 2 4 3" xfId="28933"/>
    <cellStyle name="Title [Palat] 2 2 3 5 4 3" xfId="28934"/>
    <cellStyle name="Title [Helv] 2 2 3 5 4 3" xfId="28935"/>
    <cellStyle name="Table Head Green 2 2 3 5 4 3" xfId="28936"/>
    <cellStyle name="Table Head Aligned 2 2 3 5 4 3" xfId="28937"/>
    <cellStyle name="Outputs 2 2 3 5 4 3" xfId="28938"/>
    <cellStyle name="Magic 2 2 3 5 4 3" xfId="28939"/>
    <cellStyle name="Heading [Palat] 2 2 3 5 4 3" xfId="28940"/>
    <cellStyle name="Heading [Helv] 2 2 3 5 4 3" xfId="28941"/>
    <cellStyle name="dp*SheetSubTitle 2 2 3 5 4 3" xfId="28942"/>
    <cellStyle name="dp*NumberLineEPS 2 2 3 5 4 3" xfId="28943"/>
    <cellStyle name="dp*NumberLine 2 2 3 5 4 3" xfId="28944"/>
    <cellStyle name="Date [mmm-yyyy] 2 2 3 5 4 3" xfId="28945"/>
    <cellStyle name="COL HEADINGS 2 2 3 5 4 3" xfId="28946"/>
    <cellStyle name="Bold/Border 2 2 3 5 4 3" xfId="28947"/>
    <cellStyle name="Afjusted 2 2 3 5 4 3" xfId="28948"/>
    <cellStyle name="ac 2 2 3 5 4 3" xfId="28949"/>
    <cellStyle name="Afjusted 4 3 5 4 3" xfId="28950"/>
    <cellStyle name="Border Thin 3 3 5 4 3" xfId="28951"/>
    <cellStyle name="dp*SubTitle 3 3 5 4 3" xfId="28952"/>
    <cellStyle name="dp*ThinLineBelow 3 3 5 4 3" xfId="28953"/>
    <cellStyle name="PB Table Standard Row 3 3 5 4 3" xfId="28954"/>
    <cellStyle name="P-Green Rule 3 3 5 4 3" xfId="28955"/>
    <cellStyle name="Style 44 4 3 5 4 3" xfId="28956"/>
    <cellStyle name="Style 45 4 3 5 4 3" xfId="28957"/>
    <cellStyle name="Style 49 4 3 5 4 3" xfId="28958"/>
    <cellStyle name="Style 51 4 3 5 4 3" xfId="28959"/>
    <cellStyle name="Date [mm-d-yyyy] 3 3 5 4 3" xfId="28960"/>
    <cellStyle name="Afjusted 3 3 5 4 3" xfId="28961"/>
    <cellStyle name="Date [mm-d-yyyy] 2 2 4 4 3" xfId="28962"/>
    <cellStyle name="Afjusted 3 2 5 4 3" xfId="28963"/>
    <cellStyle name="Date [mm-d-yyyy] 3 2 5 4 3" xfId="28964"/>
    <cellStyle name="Style 51 4 2 5 4 3" xfId="28965"/>
    <cellStyle name="Style 49 4 2 5 4 3" xfId="28966"/>
    <cellStyle name="Style 45 4 2 5 4 3" xfId="28967"/>
    <cellStyle name="Style 44 4 2 5 4 3" xfId="28968"/>
    <cellStyle name="P-Green Rule 3 2 5 4 3" xfId="28969"/>
    <cellStyle name="PB Table Standard Row 3 2 5 3 3" xfId="28970"/>
    <cellStyle name="dp*ThinLineBelow 3 2 5 4 3" xfId="28971"/>
    <cellStyle name="dp*SubTitle 3 2 5 4 3" xfId="28972"/>
    <cellStyle name="Border Thin 3 2 5 4 3" xfId="28973"/>
    <cellStyle name="Afjusted 4 2 5 4 3" xfId="28974"/>
    <cellStyle name="ac 2 2 2 5 4 3" xfId="28975"/>
    <cellStyle name="Afjusted 2 2 2 5 4 3" xfId="28976"/>
    <cellStyle name="Bold/Border 2 2 2 5 4 3" xfId="28977"/>
    <cellStyle name="COL HEADINGS 2 2 2 5 4 3" xfId="28978"/>
    <cellStyle name="Date [mmm-yyyy] 2 2 2 5 4 3" xfId="28979"/>
    <cellStyle name="dp*NumberLine 2 2 2 5 4 3" xfId="28980"/>
    <cellStyle name="dp*NumberLineEPS 2 2 2 5 4 3" xfId="28981"/>
    <cellStyle name="dp*SheetSubTitle 2 2 2 5 4 3" xfId="28982"/>
    <cellStyle name="Heading [Helv] 2 2 2 5 4 3" xfId="28983"/>
    <cellStyle name="Heading [Palat] 2 2 2 5 4 3" xfId="28984"/>
    <cellStyle name="Magic 2 2 2 5 4 3" xfId="28985"/>
    <cellStyle name="Outputs 2 2 2 5 4 3" xfId="28986"/>
    <cellStyle name="Table Head Aligned 2 2 2 5 4 3" xfId="28987"/>
    <cellStyle name="Table Head Green 2 2 2 5 4 3" xfId="28988"/>
    <cellStyle name="Title [Helv] 2 2 2 5 4 3" xfId="28989"/>
    <cellStyle name="Title [Palat] 2 2 2 5 4 3" xfId="28990"/>
    <cellStyle name="Table Head Green 2 2 3 4 2 4 3" xfId="28991"/>
    <cellStyle name="Heading [Palat] 2 2 3 4 2 4 3" xfId="28992"/>
    <cellStyle name="PB Table Standard Row 2 3 2 4 3" xfId="28993"/>
    <cellStyle name="P-Green Rule 2 3 2 4 3" xfId="28994"/>
    <cellStyle name="Title [Palat] 2 2 3 2 2 4 3" xfId="28995"/>
    <cellStyle name="Title [Helv] 2 2 3 2 2 4 3" xfId="28996"/>
    <cellStyle name="Table Head Green 2 2 3 2 2 4 3" xfId="28997"/>
    <cellStyle name="Table Head Aligned 2 2 3 2 2 4 3" xfId="28998"/>
    <cellStyle name="Outputs 2 2 3 2 2 4 3" xfId="28999"/>
    <cellStyle name="Magic 2 2 3 2 2 4 3" xfId="29000"/>
    <cellStyle name="Heading [Palat] 2 2 3 2 2 4 3" xfId="29001"/>
    <cellStyle name="Heading [Helv] 2 2 3 2 2 4 3" xfId="29002"/>
    <cellStyle name="dp*SheetSubTitle 2 2 3 2 2 4 3" xfId="29003"/>
    <cellStyle name="dp*NumberLineEPS 2 2 3 2 2 4 3" xfId="29004"/>
    <cellStyle name="dp*NumberLine 2 2 3 2 2 4 3" xfId="29005"/>
    <cellStyle name="Date [mmm-yyyy] 2 2 3 2 2 4 3" xfId="29006"/>
    <cellStyle name="COL HEADINGS 2 2 3 2 2 4 3" xfId="29007"/>
    <cellStyle name="Bold/Border 2 2 3 2 2 4 3" xfId="29008"/>
    <cellStyle name="Afjusted 2 2 3 2 2 4 3" xfId="29009"/>
    <cellStyle name="ac 2 2 3 2 2 4 3" xfId="29010"/>
    <cellStyle name="Afjusted 4 3 2 2 4 3" xfId="29011"/>
    <cellStyle name="Border Thin 3 3 2 2 4 3" xfId="29012"/>
    <cellStyle name="dp*SubTitle 3 3 2 2 4 3" xfId="29013"/>
    <cellStyle name="dp*ThinLineBelow 3 3 2 2 4 3" xfId="29014"/>
    <cellStyle name="PB Table Standard Row 3 3 2 2 4 3" xfId="29015"/>
    <cellStyle name="P-Green Rule 3 3 2 2 4 3" xfId="29016"/>
    <cellStyle name="Style 44 4 3 2 2 4 3" xfId="29017"/>
    <cellStyle name="Style 45 4 3 2 2 4 3" xfId="29018"/>
    <cellStyle name="Style 49 4 3 2 2 4 3" xfId="29019"/>
    <cellStyle name="Style 51 4 3 2 2 4 3" xfId="29020"/>
    <cellStyle name="Date [mm-d-yyyy] 3 3 2 2 4 3" xfId="29021"/>
    <cellStyle name="Afjusted 3 3 2 2 4 3" xfId="29022"/>
    <cellStyle name="Date [mm-d-yyyy] 3 5 2 4 3" xfId="29023"/>
    <cellStyle name="dp*SubTitle 2 3 2 4 3" xfId="29024"/>
    <cellStyle name="Date [mm-d-yyyy] 2 2 2 2 4 3" xfId="29025"/>
    <cellStyle name="Afjusted 3 2 2 2 4 3" xfId="29026"/>
    <cellStyle name="PB Table Standard Row 3 5 2 4 3" xfId="29027"/>
    <cellStyle name="Date [mm-d-yyyy] 3 2 2 2 4 3" xfId="29028"/>
    <cellStyle name="Style 51 4 2 2 2 4 3" xfId="29029"/>
    <cellStyle name="Style 49 4 2 2 2 4 3" xfId="29030"/>
    <cellStyle name="Style 45 4 2 2 2 4 3" xfId="29031"/>
    <cellStyle name="Style 44 4 2 2 2 4 3" xfId="29032"/>
    <cellStyle name="Style 45 4 5 2 4 3" xfId="29033"/>
    <cellStyle name="P-Green Rule 3 2 2 2 4 3" xfId="29034"/>
    <cellStyle name="PB Table Standard Row 3 2 2 2 4 3" xfId="29035"/>
    <cellStyle name="dp*ThinLineBelow 3 2 2 2 4 3" xfId="29036"/>
    <cellStyle name="dp*SubTitle 3 2 2 2 4 3" xfId="29037"/>
    <cellStyle name="Style 51 4 5 2 4 3" xfId="29038"/>
    <cellStyle name="Border Thin 3 2 2 2 4 3" xfId="29039"/>
    <cellStyle name="Afjusted 4 2 2 2 4 3" xfId="29040"/>
    <cellStyle name="ac 2 2 2 2 2 4 3" xfId="29041"/>
    <cellStyle name="Afjusted 2 2 2 2 2 4 3" xfId="29042"/>
    <cellStyle name="Bold/Border 2 2 2 2 2 4 3" xfId="29043"/>
    <cellStyle name="COL HEADINGS 2 2 2 2 2 4 3" xfId="29044"/>
    <cellStyle name="Date [mmm-yyyy] 2 2 2 2 2 4 3" xfId="29045"/>
    <cellStyle name="dp*NumberLine 2 2 2 2 2 4 3" xfId="29046"/>
    <cellStyle name="dp*NumberLineEPS 2 2 2 2 2 4 3" xfId="29047"/>
    <cellStyle name="dp*SheetSubTitle 2 2 2 2 2 4 3" xfId="29048"/>
    <cellStyle name="Heading [Helv] 2 2 2 2 2 4 3" xfId="29049"/>
    <cellStyle name="Heading [Palat] 2 2 2 2 2 4 3" xfId="29050"/>
    <cellStyle name="Magic 2 2 2 2 2 4 3" xfId="29051"/>
    <cellStyle name="Outputs 2 2 2 2 2 4 3" xfId="29052"/>
    <cellStyle name="Table Head Aligned 2 2 2 2 2 4 3" xfId="29053"/>
    <cellStyle name="Table Head Green 2 2 2 2 2 4 3" xfId="29054"/>
    <cellStyle name="Title [Helv] 2 2 2 2 2 4 3" xfId="29055"/>
    <cellStyle name="Title [Palat] 2 2 2 2 2 4 3" xfId="29056"/>
    <cellStyle name="dp*ThinLineBelow 3 5 2 4 3" xfId="29057"/>
    <cellStyle name="Date [mm-d-yyyy] 2 2 3 2 4 3" xfId="29058"/>
    <cellStyle name="Afjusted 3 2 3 2 4 3" xfId="29059"/>
    <cellStyle name="Date [mm-d-yyyy] 3 2 3 2 4 3" xfId="29060"/>
    <cellStyle name="Style 51 4 2 3 2 4 3" xfId="29061"/>
    <cellStyle name="Style 49 4 2 3 2 4 3" xfId="29062"/>
    <cellStyle name="Style 45 4 2 3 2 4 3" xfId="29063"/>
    <cellStyle name="Style 44 4 2 3 2 4 3" xfId="29064"/>
    <cellStyle name="P-Green Rule 3 2 3 2 4 3" xfId="29065"/>
    <cellStyle name="PB Table Standard Row 3 2 3 2 4 3" xfId="29066"/>
    <cellStyle name="dp*ThinLineBelow 3 2 3 2 4 3" xfId="29067"/>
    <cellStyle name="dp*SubTitle 3 2 3 2 4 3" xfId="29068"/>
    <cellStyle name="Border Thin 3 2 3 2 4 3" xfId="29069"/>
    <cellStyle name="Afjusted 4 2 3 2 4 3" xfId="29070"/>
    <cellStyle name="ac 2 2 2 3 2 4 3" xfId="29071"/>
    <cellStyle name="Afjusted 2 2 2 3 2 4 3" xfId="29072"/>
    <cellStyle name="Bold/Border 2 2 2 3 2 4 3" xfId="29073"/>
    <cellStyle name="COL HEADINGS 2 2 2 3 2 4 3" xfId="29074"/>
    <cellStyle name="Date [mmm-yyyy] 2 2 2 3 2 4 3" xfId="29075"/>
    <cellStyle name="dp*NumberLine 2 2 2 3 2 4 3" xfId="29076"/>
    <cellStyle name="dp*NumberLineEPS 2 2 2 3 2 4 3" xfId="29077"/>
    <cellStyle name="dp*SheetSubTitle 2 2 2 3 2 4 3" xfId="29078"/>
    <cellStyle name="Heading [Helv] 2 2 2 3 2 4 3" xfId="29079"/>
    <cellStyle name="Heading [Palat] 2 2 2 3 2 4 3" xfId="29080"/>
    <cellStyle name="Magic 2 2 2 3 2 4 3" xfId="29081"/>
    <cellStyle name="Outputs 2 2 2 3 2 4 3" xfId="29082"/>
    <cellStyle name="Table Head Aligned 2 2 2 3 2 4 3" xfId="29083"/>
    <cellStyle name="Table Head Green 2 2 2 3 2 4 3" xfId="29084"/>
    <cellStyle name="Title [Helv] 2 2 2 3 2 4 3" xfId="29085"/>
    <cellStyle name="Title [Palat] 2 2 2 3 2 4 3" xfId="29086"/>
    <cellStyle name="Afjusted 3 2 4 2 4 3" xfId="29087"/>
    <cellStyle name="Date [mm-d-yyyy] 3 2 4 2 4 3" xfId="29088"/>
    <cellStyle name="Style 51 4 2 4 2 4 3" xfId="29089"/>
    <cellStyle name="Style 49 4 2 4 2 4 3" xfId="29090"/>
    <cellStyle name="Style 45 4 2 4 2 4 3" xfId="29091"/>
    <cellStyle name="Style 44 4 2 4 2 4 3" xfId="29092"/>
    <cellStyle name="P-Green Rule 3 2 4 2 4 3" xfId="29093"/>
    <cellStyle name="PB Table Standard Row 3 2 4 2 4 3" xfId="29094"/>
    <cellStyle name="dp*ThinLineBelow 3 2 4 2 4 3" xfId="29095"/>
    <cellStyle name="dp*SubTitle 3 2 4 2 4 3" xfId="29096"/>
    <cellStyle name="Border Thin 3 2 4 2 4 3" xfId="29097"/>
    <cellStyle name="Afjusted 4 2 4 2 4 3" xfId="29098"/>
    <cellStyle name="ac 2 2 2 4 2 4 3" xfId="29099"/>
    <cellStyle name="Afjusted 2 2 2 4 2 4 3" xfId="29100"/>
    <cellStyle name="Bold/Border 2 2 2 4 2 4 3" xfId="29101"/>
    <cellStyle name="COL HEADINGS 2 2 2 4 2 4 3" xfId="29102"/>
    <cellStyle name="Date [mmm-yyyy] 2 2 2 4 2 4 3" xfId="29103"/>
    <cellStyle name="dp*NumberLine 2 2 2 4 2 4 3" xfId="29104"/>
    <cellStyle name="dp*NumberLineEPS 2 2 2 4 2 4 3" xfId="29105"/>
    <cellStyle name="dp*SheetSubTitle 2 2 2 4 2 4 3" xfId="29106"/>
    <cellStyle name="Heading [Helv] 2 2 2 4 2 4 3" xfId="29107"/>
    <cellStyle name="Heading [Palat] 2 2 2 4 2 4 3" xfId="29108"/>
    <cellStyle name="Magic 2 2 2 4 2 4 3" xfId="29109"/>
    <cellStyle name="Outputs 2 2 2 4 2 4 3" xfId="29110"/>
    <cellStyle name="Table Head Aligned 2 2 2 4 2 4 3" xfId="29111"/>
    <cellStyle name="Table Head Green 2 2 2 4 2 4 3" xfId="29112"/>
    <cellStyle name="Title [Helv] 2 2 2 4 2 4 3" xfId="29113"/>
    <cellStyle name="Title [Palat] 2 2 2 4 2 4 3" xfId="29114"/>
    <cellStyle name="Border Thin 4 2 4 3" xfId="29115"/>
    <cellStyle name="Date [mm-d-yyyy] 4 2 4 3" xfId="29116"/>
    <cellStyle name="dp*SubTitle 4 2 4 3" xfId="29117"/>
    <cellStyle name="dp*ThinLineBelow 4 2 4 3" xfId="29118"/>
    <cellStyle name="PB Table Standard Row 4 2 4 3" xfId="29119"/>
    <cellStyle name="P-Green Rule 4 2 4 3" xfId="29120"/>
    <cellStyle name="Style 44 5 2 4 3" xfId="29121"/>
    <cellStyle name="Style 45 5 2 4 3" xfId="29122"/>
    <cellStyle name="Style 49 5 2 4 3" xfId="29123"/>
    <cellStyle name="Style 51 5 2 4 3" xfId="29124"/>
    <cellStyle name="Title [Palat] 3 2 4 3" xfId="29125"/>
    <cellStyle name="Title [Helv] 3 2 4 3" xfId="29126"/>
    <cellStyle name="Table Head Green 3 2 4 3" xfId="29127"/>
    <cellStyle name="Table Head Aligned 3 2 4 3" xfId="29128"/>
    <cellStyle name="Outputs 3 2 4 3" xfId="29129"/>
    <cellStyle name="Magic 3 2 4 3" xfId="29130"/>
    <cellStyle name="Heading [Palat] 3 2 4 3" xfId="29131"/>
    <cellStyle name="Heading [Helv] 3 2 4 3" xfId="29132"/>
    <cellStyle name="dp*SheetSubTitle 3 2 4 3" xfId="29133"/>
    <cellStyle name="dp*NumberLineEPS 3 2 4 3" xfId="29134"/>
    <cellStyle name="dp*NumberLine 3 2 4 3" xfId="29135"/>
    <cellStyle name="COL HEADINGS 3 2 4 3" xfId="29136"/>
    <cellStyle name="Bold/Border 3 2 4 3" xfId="29137"/>
    <cellStyle name="Afjusted 5 2 4 3" xfId="29138"/>
    <cellStyle name="ac 3 2 4 3" xfId="29139"/>
    <cellStyle name="Date [mmm-yyyy] 3 2 4 3" xfId="29140"/>
    <cellStyle name="ac 2 4 2 4 3" xfId="29141"/>
    <cellStyle name="Afjusted 2 3 2 4 3" xfId="29142"/>
    <cellStyle name="Bold/Border 2 4 2 4 3" xfId="29143"/>
    <cellStyle name="Border Thin 2 4 2 4 3" xfId="29144"/>
    <cellStyle name="COL HEADINGS 2 4 2 4 3" xfId="29145"/>
    <cellStyle name="Date [mmm-yyyy] 2 4 2 4 3" xfId="29146"/>
    <cellStyle name="dp*NumberLine 2 4 2 4 3" xfId="29147"/>
    <cellStyle name="dp*NumberLineEPS 2 4 2 4 3" xfId="29148"/>
    <cellStyle name="dp*SheetSubTitle 2 4 2 4 3" xfId="29149"/>
    <cellStyle name="dp*SubTitle 2 4 2 4 3" xfId="29150"/>
    <cellStyle name="dp*ThinLineBelow 2 4 2 4 3" xfId="29151"/>
    <cellStyle name="Heading [Helv] 2 4 2 4 3" xfId="29152"/>
    <cellStyle name="Heading [Palat] 2 4 2 4 3" xfId="29153"/>
    <cellStyle name="Magic 2 4 2 4 3" xfId="29154"/>
    <cellStyle name="Outputs 2 4 2 4 3" xfId="29155"/>
    <cellStyle name="PB Table Standard Row 2 4 2 4 3" xfId="29156"/>
    <cellStyle name="P-Green Rule 2 4 2 4 3" xfId="29157"/>
    <cellStyle name="Style 44 3 4 2 4 3" xfId="29158"/>
    <cellStyle name="Style 45 3 4 2 4 3" xfId="29159"/>
    <cellStyle name="Style 49 3 4 2 4 3" xfId="29160"/>
    <cellStyle name="Style 51 3 4 2 4 3" xfId="29161"/>
    <cellStyle name="Style 44 2 4 2 4 3" xfId="29162"/>
    <cellStyle name="Style 45 2 4 2 4 3" xfId="29163"/>
    <cellStyle name="Style 49 2 4 2 4 3" xfId="29164"/>
    <cellStyle name="Style 51 2 4 2 4 3" xfId="29165"/>
    <cellStyle name="Table Head Aligned 2 4 2 4 3" xfId="29166"/>
    <cellStyle name="Table Head Green 2 4 2 4 3" xfId="29167"/>
    <cellStyle name="Title [Helv] 2 4 2 4 3" xfId="29168"/>
    <cellStyle name="Title [Palat] 2 4 2 4 3" xfId="29169"/>
    <cellStyle name="ac 4 2 4 3" xfId="29170"/>
    <cellStyle name="Bold/Border 4 2 4 3" xfId="29171"/>
    <cellStyle name="Border Thin 5 2 4 3" xfId="29172"/>
    <cellStyle name="COL HEADINGS 4 2 4 3" xfId="29173"/>
    <cellStyle name="Date [mm-d-yyyy] 5 2 4 3" xfId="29174"/>
    <cellStyle name="Heading [Helv] 4 2 4 3" xfId="29175"/>
    <cellStyle name="Heading [Palat] 4 2 4 3" xfId="29176"/>
    <cellStyle name="Outputs 4 2 4 3" xfId="29177"/>
    <cellStyle name="PB Table Standard Row 5 2 4 3" xfId="29178"/>
    <cellStyle name="P-Green Rule 5 2 4 3" xfId="29179"/>
    <cellStyle name="Style 44 6 2 4 3" xfId="29180"/>
    <cellStyle name="Style 45 6 2 4 3" xfId="29181"/>
    <cellStyle name="Style 49 6 2 4 3" xfId="29182"/>
    <cellStyle name="Style 51 6 2 4 3" xfId="29183"/>
    <cellStyle name="Table Head Green 4 2 4 3" xfId="29184"/>
    <cellStyle name="Afjusted 6 2 4 3" xfId="29185"/>
    <cellStyle name="ac 2 5 2 4 3" xfId="29186"/>
    <cellStyle name="Afjusted 2 4 2 4 3" xfId="29187"/>
    <cellStyle name="Bold/Border 2 5 2 4 3" xfId="29188"/>
    <cellStyle name="Border Thin 2 5 2 4 3" xfId="29189"/>
    <cellStyle name="COL HEADINGS 2 5 2 4 3" xfId="29190"/>
    <cellStyle name="Date [mmm-yyyy] 2 5 2 4 3" xfId="29191"/>
    <cellStyle name="dp*NumberLine 2 5 2 4 3" xfId="29192"/>
    <cellStyle name="dp*NumberLineEPS 2 5 2 4 3" xfId="29193"/>
    <cellStyle name="dp*SheetSubTitle 2 5 2 4 3" xfId="29194"/>
    <cellStyle name="dp*SubTitle 2 5 2 4 3" xfId="29195"/>
    <cellStyle name="dp*ThinLineBelow 2 5 2 4 3" xfId="29196"/>
    <cellStyle name="Heading [Helv] 2 5 2 4 3" xfId="29197"/>
    <cellStyle name="Heading [Palat] 2 5 2 4 3" xfId="29198"/>
    <cellStyle name="Magic 2 5 2 4 3" xfId="29199"/>
    <cellStyle name="Outputs 2 5 2 4 3" xfId="29200"/>
    <cellStyle name="PB Table Standard Row 2 5 2 4 3" xfId="29201"/>
    <cellStyle name="P-Green Rule 2 5 2 4 3" xfId="29202"/>
    <cellStyle name="Style 44 3 5 2 4 3" xfId="29203"/>
    <cellStyle name="Style 45 3 5 2 4 3" xfId="29204"/>
    <cellStyle name="Style 49 3 5 2 4 3" xfId="29205"/>
    <cellStyle name="Style 51 3 5 2 4 3" xfId="29206"/>
    <cellStyle name="Style 44 2 5 2 4 3" xfId="29207"/>
    <cellStyle name="Style 45 2 5 2 4 3" xfId="29208"/>
    <cellStyle name="Style 49 2 5 2 4 3" xfId="29209"/>
    <cellStyle name="Style 51 2 5 2 4 3" xfId="29210"/>
    <cellStyle name="Table Head Aligned 2 5 2 4 3" xfId="29211"/>
    <cellStyle name="Table Head Green 2 5 2 4 3" xfId="29212"/>
    <cellStyle name="Title [Helv] 2 5 2 4 3" xfId="29213"/>
    <cellStyle name="Title [Palat] 2 5 2 4 3" xfId="29214"/>
    <cellStyle name="ac 5 2 4 3" xfId="29215"/>
    <cellStyle name="Bold/Border 5 2 4 3" xfId="29216"/>
    <cellStyle name="Border Thin 6 2 4 3" xfId="29217"/>
    <cellStyle name="COL HEADINGS 5 2 4 3" xfId="29218"/>
    <cellStyle name="Heading [Helv] 5 2 4 3" xfId="29219"/>
    <cellStyle name="Heading [Palat] 5 2 4 3" xfId="29220"/>
    <cellStyle name="Outputs 5 2 4 3" xfId="29221"/>
    <cellStyle name="PB Table Standard Row 6 2 4 3" xfId="29222"/>
    <cellStyle name="P-Green Rule 6 2 4 3" xfId="29223"/>
    <cellStyle name="Style 44 7 2 4 3" xfId="29224"/>
    <cellStyle name="Style 45 7 2 4 3" xfId="29225"/>
    <cellStyle name="Style 49 7 2 4 3" xfId="29226"/>
    <cellStyle name="Style 51 7 2 4 3" xfId="29227"/>
    <cellStyle name="Table Head Green 5 2 4 3" xfId="29228"/>
    <cellStyle name="Title [Palat] 4 2 4 3" xfId="29229"/>
    <cellStyle name="ac 2 6 2 4 3" xfId="29230"/>
    <cellStyle name="Bold/Border 2 6 2 4 3" xfId="29231"/>
    <cellStyle name="Border Thin 2 6 2 4 3" xfId="29232"/>
    <cellStyle name="COL HEADINGS 2 6 2 4 3" xfId="29233"/>
    <cellStyle name="Heading [Helv] 2 6 2 4 3" xfId="29234"/>
    <cellStyle name="Heading [Palat] 2 6 2 4 3" xfId="29235"/>
    <cellStyle name="Outputs 2 6 2 4 3" xfId="29236"/>
    <cellStyle name="PB Table Standard Row 2 6 2 4 3" xfId="29237"/>
    <cellStyle name="P-Green Rule 2 6 2 4 3" xfId="29238"/>
    <cellStyle name="Style 44 3 6 2 4 3" xfId="29239"/>
    <cellStyle name="Style 45 3 6 2 4 3" xfId="29240"/>
    <cellStyle name="Style 49 3 6 2 4 3" xfId="29241"/>
    <cellStyle name="Style 51 3 6 2 4 3" xfId="29242"/>
    <cellStyle name="Style 44 2 6 2 4 3" xfId="29243"/>
    <cellStyle name="Style 45 2 6 2 4 3" xfId="29244"/>
    <cellStyle name="Style 49 2 6 2 4 3" xfId="29245"/>
    <cellStyle name="Style 51 2 6 2 4 3" xfId="29246"/>
    <cellStyle name="Table Head Green 2 6 2 4 3" xfId="29247"/>
    <cellStyle name="Title [Palat] 2 6 2 4 3" xfId="29248"/>
    <cellStyle name="Title [Palat] 5 2 4 3" xfId="29249"/>
    <cellStyle name="Title [Helv] 4 2 4 3" xfId="29250"/>
    <cellStyle name="Table Head Green 6 2 4 3" xfId="29251"/>
    <cellStyle name="Table Head Aligned 4 2 4 3" xfId="29252"/>
    <cellStyle name="Style 51 9 2 4 3" xfId="29253"/>
    <cellStyle name="Style 49 9 2 4 3" xfId="29254"/>
    <cellStyle name="Style 45 9 2 4 3" xfId="29255"/>
    <cellStyle name="Style 44 9 2 4 3" xfId="29256"/>
    <cellStyle name="P-Green Rule 7 2 4 3" xfId="29257"/>
    <cellStyle name="PB Table Standard Row 7 2 4 3" xfId="29258"/>
    <cellStyle name="Outputs 6 2 4 3" xfId="29259"/>
    <cellStyle name="Magic 4 2 4 3" xfId="29260"/>
    <cellStyle name="Heading [Palat] 6 2 4 3" xfId="29261"/>
    <cellStyle name="Heading [Helv] 6 2 4 3" xfId="29262"/>
    <cellStyle name="dp*ThinLineBelow 5 2 4 3" xfId="29263"/>
    <cellStyle name="dp*SubTitle 5 2 4 3" xfId="29264"/>
    <cellStyle name="dp*SheetSubTitle 4 2 4 3" xfId="29265"/>
    <cellStyle name="dp*NumberLineEPS 4 2 4 3" xfId="29266"/>
    <cellStyle name="dp*NumberLine 4 2 4 3" xfId="29267"/>
    <cellStyle name="Date [mmm-yyyy] 4 2 4 3" xfId="29268"/>
    <cellStyle name="Date [mm-d-yyyy] 7 2 4 3" xfId="29269"/>
    <cellStyle name="COL HEADINGS 6 2 4 3" xfId="29270"/>
    <cellStyle name="Border Thin 7 2 4 3" xfId="29271"/>
    <cellStyle name="Bold/Border 6 2 4 3" xfId="29272"/>
    <cellStyle name="Afjusted 7 2 4 3" xfId="29273"/>
    <cellStyle name="ac 6 2 4 3" xfId="29274"/>
    <cellStyle name="Style 44 8 2 4 3" xfId="29275"/>
    <cellStyle name="Style 45 8 2 4 3" xfId="29276"/>
    <cellStyle name="Style 49 8 2 4 3" xfId="29277"/>
    <cellStyle name="Style 51 8 2 4 3" xfId="29278"/>
    <cellStyle name="Title [Palat] 6 2 4 3" xfId="29279"/>
    <cellStyle name="Title [Helv] 5 2 4 3" xfId="29280"/>
    <cellStyle name="Table Head Green 7 2 4 3" xfId="29281"/>
    <cellStyle name="Table Head Aligned 5 2 4 3" xfId="29282"/>
    <cellStyle name="Outputs 7 2 4 3" xfId="29283"/>
    <cellStyle name="Magic 5 2 4 3" xfId="29284"/>
    <cellStyle name="Heading [Palat] 7 2 4 3" xfId="29285"/>
    <cellStyle name="Heading [Helv] 7 2 4 3" xfId="29286"/>
    <cellStyle name="dp*SheetSubTitle 5 2 4 3" xfId="29287"/>
    <cellStyle name="dp*NumberLineEPS 5 2 4 3" xfId="29288"/>
    <cellStyle name="dp*NumberLine 5 2 4 3" xfId="29289"/>
    <cellStyle name="Date [mmm-yyyy] 5 2 4 3" xfId="29290"/>
    <cellStyle name="COL HEADINGS 7 2 4 3" xfId="29291"/>
    <cellStyle name="Bold/Border 7 2 4 3" xfId="29292"/>
    <cellStyle name="Afjusted 8 2 4 3" xfId="29293"/>
    <cellStyle name="ac 7 2 4 3" xfId="29294"/>
    <cellStyle name="Title [Palat] 7 2 4 3" xfId="29295"/>
    <cellStyle name="Title [Helv] 6 2 4 3" xfId="29296"/>
    <cellStyle name="Table Head Green 8 2 4 3" xfId="29297"/>
    <cellStyle name="Table Head Aligned 6 2 4 3" xfId="29298"/>
    <cellStyle name="Outputs 8 2 4 3" xfId="29299"/>
    <cellStyle name="Magic 6 2 4 3" xfId="29300"/>
    <cellStyle name="Heading [Palat] 8 2 4 3" xfId="29301"/>
    <cellStyle name="Heading [Helv] 8 2 4 3" xfId="29302"/>
    <cellStyle name="dp*SheetSubTitle 6 2 4 3" xfId="29303"/>
    <cellStyle name="dp*NumberLineEPS 6 2 4 3" xfId="29304"/>
    <cellStyle name="dp*NumberLine 6 2 4 3" xfId="29305"/>
    <cellStyle name="COL HEADINGS 8 2 4 3" xfId="29306"/>
    <cellStyle name="Bold/Border 8 2 4 3" xfId="29307"/>
    <cellStyle name="Afjusted 9 2 4 3" xfId="29308"/>
    <cellStyle name="ac 8 2 4 3" xfId="29309"/>
    <cellStyle name="Date [mmm-yyyy] 6 2 4 3" xfId="29310"/>
    <cellStyle name="Title [Palat] 8 2 4 3" xfId="29311"/>
    <cellStyle name="Title [Helv] 7 2 4 3" xfId="29312"/>
    <cellStyle name="Table Head Green 9 2 4 3" xfId="29313"/>
    <cellStyle name="Table Head Aligned 7 2 4 3" xfId="29314"/>
    <cellStyle name="Outputs 9 2 4 3" xfId="29315"/>
    <cellStyle name="Magic 7 2 4 3" xfId="29316"/>
    <cellStyle name="Heading [Palat] 9 2 4 3" xfId="29317"/>
    <cellStyle name="Heading [Helv] 9 2 4 3" xfId="29318"/>
    <cellStyle name="dp*SheetSubTitle 7 2 4 3" xfId="29319"/>
    <cellStyle name="dp*NumberLineEPS 7 2 4 3" xfId="29320"/>
    <cellStyle name="dp*NumberLine 7 2 4 3" xfId="29321"/>
    <cellStyle name="Date [mmm-yyyy] 7 2 4 3" xfId="29322"/>
    <cellStyle name="COL HEADINGS 9 2 4 3" xfId="29323"/>
    <cellStyle name="Bold/Border 9 2 4 3" xfId="29324"/>
    <cellStyle name="Afjusted 10 2 4 3" xfId="29325"/>
    <cellStyle name="ac 9 2 4 3" xfId="29326"/>
    <cellStyle name="Afjusted 3 8 2 2" xfId="29327"/>
    <cellStyle name="Bold/Border 2 2 2 2 4 2 2" xfId="29328"/>
    <cellStyle name="Outputs 2 9 2 2" xfId="29329"/>
    <cellStyle name="Table Head Green 2 2 3 2 4 2 2" xfId="29330"/>
    <cellStyle name="Title [Helv] 2 2 2 9 2" xfId="29331"/>
    <cellStyle name="PB Table Standard Row 5 4 2 2" xfId="29332"/>
    <cellStyle name="Outputs 4 4 2 2" xfId="29333"/>
    <cellStyle name="Heading [Palat] 4 4 2 2" xfId="29334"/>
    <cellStyle name="Heading [Helv] 4 4 2 2" xfId="29335"/>
    <cellStyle name="COL HEADINGS 4 4 2 2" xfId="29336"/>
    <cellStyle name="Border Thin 5 4 2 2" xfId="29337"/>
    <cellStyle name="Title [Helv] 2 4 4 2 2" xfId="29338"/>
    <cellStyle name="Style 51 2 4 4 2 2" xfId="29339"/>
    <cellStyle name="dp*SheetSubTitle 2 2 3 4 7 2" xfId="29340"/>
    <cellStyle name="ac 3 4 2 2" xfId="29341"/>
    <cellStyle name="Afjusted 5 4 2 2" xfId="29342"/>
    <cellStyle name="COL HEADINGS 3 4 2 2" xfId="29343"/>
    <cellStyle name="Date [mmm-yyyy] 4 7 2" xfId="29344"/>
    <cellStyle name="Table Head Green 3 4 2 2" xfId="29345"/>
    <cellStyle name="Style 51 5 4 2 2" xfId="29346"/>
    <cellStyle name="Style 49 5 4 2 2" xfId="29347"/>
    <cellStyle name="Style 45 5 4 2 2" xfId="29348"/>
    <cellStyle name="Style 44 5 4 2 2" xfId="29349"/>
    <cellStyle name="dp*ThinLineBelow 4 4 2 2" xfId="29350"/>
    <cellStyle name="Title [Helv] 2 2 2 4 4 2 2" xfId="29351"/>
    <cellStyle name="Outputs 2 2 2 4 4 2 2" xfId="29352"/>
    <cellStyle name="Magic 2 2 2 4 4 2 2" xfId="29353"/>
    <cellStyle name="dp*NumberLine 2 2 2 4 4 2 2" xfId="29354"/>
    <cellStyle name="Bold/Border 2 2 2 4 4 2 2" xfId="29355"/>
    <cellStyle name="Afjusted 2 2 2 4 4 2 2" xfId="29356"/>
    <cellStyle name="Border Thin 3 2 4 4 2 2" xfId="29357"/>
    <cellStyle name="dp*SubTitle 3 2 4 4 2 2" xfId="29358"/>
    <cellStyle name="Style 45 4 2 4 4 2 2" xfId="29359"/>
    <cellStyle name="Style 49 4 2 4 4 2 2" xfId="29360"/>
    <cellStyle name="Style 51 4 2 4 4 2 2" xfId="29361"/>
    <cellStyle name="Title [Palat] 2 2 2 3 4 2 2" xfId="29362"/>
    <cellStyle name="Title [Helv] 2 2 2 3 4 2 2" xfId="29363"/>
    <cellStyle name="Table Head Green 2 2 2 3 4 2 2" xfId="29364"/>
    <cellStyle name="Outputs 2 2 2 3 4 2 2" xfId="29365"/>
    <cellStyle name="Heading [Helv] 2 2 2 3 4 2 2" xfId="29366"/>
    <cellStyle name="dp*NumberLine 2 2 2 3 4 2 2" xfId="29367"/>
    <cellStyle name="Bold/Border 2 2 2 3 4 2 2" xfId="29368"/>
    <cellStyle name="Afjusted 4 2 3 4 2 2" xfId="29369"/>
    <cellStyle name="dp*ThinLineBelow 3 2 3 4 2 2" xfId="29370"/>
    <cellStyle name="Style 44 4 2 3 4 2 2" xfId="29371"/>
    <cellStyle name="Style 51 4 2 3 4 2 2" xfId="29372"/>
    <cellStyle name="Date [mm-d-yyyy] 2 2 3 4 2 2" xfId="29373"/>
    <cellStyle name="dp*ThinLineBelow 3 5 4 2 2" xfId="29374"/>
    <cellStyle name="Table Head Green 2 2 2 2 4 2 2" xfId="29375"/>
    <cellStyle name="Table Head Aligned 2 2 2 2 4 2 2" xfId="29376"/>
    <cellStyle name="Outputs 2 2 2 2 4 2 2" xfId="29377"/>
    <cellStyle name="Magic 2 2 2 2 4 2 2" xfId="29378"/>
    <cellStyle name="dp*ThinLineBelow 3 2 2 4 2 2" xfId="29379"/>
    <cellStyle name="dp*SubTitle 3 3 2 4 2 2" xfId="29380"/>
    <cellStyle name="Afjusted 2 2 3 2 4 2 2" xfId="29381"/>
    <cellStyle name="dp*NumberLineEPS 2 2 2 7 2 2" xfId="29382"/>
    <cellStyle name="dp*NumberLine 2 2 2 7 2 2" xfId="29383"/>
    <cellStyle name="Date [mmm-yyyy] 2 2 2 7 2 2" xfId="29384"/>
    <cellStyle name="COL HEADINGS 2 2 2 7 2 2" xfId="29385"/>
    <cellStyle name="ac 2 2 2 7 2 2" xfId="29386"/>
    <cellStyle name="Afjusted 4 2 7 2 2" xfId="29387"/>
    <cellStyle name="Date [mm-d-yyyy] 3 2 7 2 2" xfId="29388"/>
    <cellStyle name="Afjusted 3 3 7 2 2" xfId="29389"/>
    <cellStyle name="Style 49 4 3 7 2 2" xfId="29390"/>
    <cellStyle name="P-Green Rule 3 3 7 2 2" xfId="29391"/>
    <cellStyle name="dp*SubTitle 3 3 7 2 2" xfId="29392"/>
    <cellStyle name="Border Thin 3 3 7 2 2" xfId="29393"/>
    <cellStyle name="Style 49 8 7 2" xfId="29394"/>
    <cellStyle name="Afjusted 2 2 3 7 2 2" xfId="29395"/>
    <cellStyle name="Date [mmm-yyyy] 2 2 3 7 2 2" xfId="29396"/>
    <cellStyle name="dp*NumberLine 2 2 3 7 2 2" xfId="29397"/>
    <cellStyle name="dp*NumberLineEPS 2 2 3 7 2 2" xfId="29398"/>
    <cellStyle name="dp*SheetSubTitle 2 2 3 7 2 2" xfId="29399"/>
    <cellStyle name="Heading [Helv] 2 2 3 7 2 2" xfId="29400"/>
    <cellStyle name="Heading [Palat] 2 2 3 7 2 2" xfId="29401"/>
    <cellStyle name="Magic 2 2 3 7 2 2" xfId="29402"/>
    <cellStyle name="Outputs 2 2 3 7 2 2" xfId="29403"/>
    <cellStyle name="Table Head Aligned 2 2 3 7 2 2" xfId="29404"/>
    <cellStyle name="Table Head Green 2 2 3 7 2 2" xfId="29405"/>
    <cellStyle name="PB Table Standard Row 3 3 4 4 2 2" xfId="29406"/>
    <cellStyle name="Style 44 4 3 4 4 2 2" xfId="29407"/>
    <cellStyle name="Afjusted 4 4 4 2 2" xfId="29408"/>
    <cellStyle name="dp*SubTitle 3 3 4 4 2 2" xfId="29409"/>
    <cellStyle name="dp*ThinLineBelow 3 3 4 4 2 2" xfId="29410"/>
    <cellStyle name="Style 44 4 4 4 2 2" xfId="29411"/>
    <cellStyle name="Style 51 4 4 4 2 2" xfId="29412"/>
    <cellStyle name="Date [mm-d-yyyy] 3 4 4 2 2" xfId="29413"/>
    <cellStyle name="Date [mm-d-yyyy] 3 3 3 4 2 2" xfId="29414"/>
    <cellStyle name="P-Green Rule 3 3 3 4 2 2" xfId="29415"/>
    <cellStyle name="dp*SheetSubTitle 2 2 3 3 4 2 2" xfId="29416"/>
    <cellStyle name="Heading [Palat] 2 2 3 3 4 2 2" xfId="29417"/>
    <cellStyle name="Table Head Green 2 2 3 3 4 2 2" xfId="29418"/>
    <cellStyle name="Table Head Green 2 2 4 4 2 2" xfId="29419"/>
    <cellStyle name="Table Head Aligned 2 2 4 4 2 2" xfId="29420"/>
    <cellStyle name="Heading [Helv] 2 2 4 4 2 2" xfId="29421"/>
    <cellStyle name="Style 51 2 3 4 2 2" xfId="29422"/>
    <cellStyle name="Style 49 3 3 4 2 2" xfId="29423"/>
    <cellStyle name="Border Thin 2 3 4 2 2" xfId="29424"/>
    <cellStyle name="P-Green Rule 3 3 4 4 2 2" xfId="29425"/>
    <cellStyle name="Afjusted 3 4 4 2 2" xfId="29426"/>
    <cellStyle name="Style 51 4 3 4 4 2 2" xfId="29427"/>
    <cellStyle name="Table Head Aligned 2 3 4 2 2" xfId="29428"/>
    <cellStyle name="Outputs 2 3 4 2 2" xfId="29429"/>
    <cellStyle name="Magic 2 3 4 2 2" xfId="29430"/>
    <cellStyle name="Heading [Palat] 2 3 4 2 2" xfId="29431"/>
    <cellStyle name="Heading [Helv] 2 3 4 2 2" xfId="29432"/>
    <cellStyle name="dp*SheetSubTitle 2 3 4 2 2" xfId="29433"/>
    <cellStyle name="dp*NumberLineEPS 2 3 4 2 2" xfId="29434"/>
    <cellStyle name="dp*SubTitle 3 5 4 2 2" xfId="29435"/>
    <cellStyle name="P-Green Rule 3 5 4 2 2" xfId="29436"/>
    <cellStyle name="Style 44 4 5 4 2 2" xfId="29437"/>
    <cellStyle name="Style 49 4 5 4 2 2" xfId="29438"/>
    <cellStyle name="Afjusted 3 3 3 4 2 2" xfId="29439"/>
    <cellStyle name="Style 51 4 3 3 4 2 2" xfId="29440"/>
    <cellStyle name="Style 44 4 3 3 4 2 2" xfId="29441"/>
    <cellStyle name="Afjusted 4 3 3 4 2 2" xfId="29442"/>
    <cellStyle name="dp*NumberLineEPS 2 2 3 3 4 2 2" xfId="29443"/>
    <cellStyle name="Table Head Aligned 2 2 3 3 4 2 2" xfId="29444"/>
    <cellStyle name="Title [Helv] 2 2 3 3 4 2 2" xfId="29445"/>
    <cellStyle name="Title [Palat] 2 2 3 3 4 2 2" xfId="29446"/>
    <cellStyle name="Magic 2 2 4 4 2 2" xfId="29447"/>
    <cellStyle name="dp*SheetSubTitle 2 2 4 4 2 2" xfId="29448"/>
    <cellStyle name="dp*NumberLineEPS 2 2 4 4 2 2" xfId="29449"/>
    <cellStyle name="dp*NumberLine 2 2 4 4 2 2" xfId="29450"/>
    <cellStyle name="Date [mmm-yyyy] 2 2 4 4 2 2" xfId="29451"/>
    <cellStyle name="COL HEADINGS 2 2 4 4 2 2" xfId="29452"/>
    <cellStyle name="Bold/Border 2 2 4 4 2 2" xfId="29453"/>
    <cellStyle name="Outputs 2 2 3 4 4 2 2" xfId="29454"/>
    <cellStyle name="Heading [Helv] 2 2 3 4 4 2 2" xfId="29455"/>
    <cellStyle name="dp*NumberLine 2 2 3 4 4 2 2" xfId="29456"/>
    <cellStyle name="Date [mmm-yyyy] 2 2 3 4 4 2 2" xfId="29457"/>
    <cellStyle name="Afjusted 2 2 3 4 4 2 2" xfId="29458"/>
    <cellStyle name="Date [mm-d-yyyy] 3 3 4 4 2 2" xfId="29459"/>
    <cellStyle name="Style 49 4 3 4 4 2 2" xfId="29460"/>
    <cellStyle name="dp*ThinLineBelow 2 3 4 2 2" xfId="29461"/>
    <cellStyle name="PB Table Standard Row 2 2 4 2 2" xfId="29462"/>
    <cellStyle name="Style 45 3 2 4 2 2" xfId="29463"/>
    <cellStyle name="Style 44 2 2 4 2 2" xfId="29464"/>
    <cellStyle name="Style 51 2 2 4 2 2" xfId="29465"/>
    <cellStyle name="Afjusted 6 7 2" xfId="29466"/>
    <cellStyle name="Border Thin 2 2 4 2 2" xfId="29467"/>
    <cellStyle name="dp*SubTitle 2 2 4 2 2" xfId="29468"/>
    <cellStyle name="Outputs 2 2 2 9 2" xfId="29469"/>
    <cellStyle name="Title [Palat] 2 2 7 2 2" xfId="29470"/>
    <cellStyle name="Outputs 2 2 7 2 2" xfId="29471"/>
    <cellStyle name="Magic 2 2 7 2 2" xfId="29472"/>
    <cellStyle name="dp*NumberLineEPS 2 2 7 2 2" xfId="29473"/>
    <cellStyle name="Date [mmm-yyyy] 2 2 7 2 2" xfId="29474"/>
    <cellStyle name="Date [mm-d-yyyy] 3 3 9 2" xfId="29475"/>
    <cellStyle name="Heading [Helv] 2 2 2 9 2" xfId="29476"/>
    <cellStyle name="Title [Helv] 2 8 2 2" xfId="29477"/>
    <cellStyle name="Table Head Green 2 9 2 2" xfId="29478"/>
    <cellStyle name="Table Head Aligned 2 8 2 2" xfId="29479"/>
    <cellStyle name="Style 45 3 9 2" xfId="29480"/>
    <cellStyle name="Heading [Palat] 2 11 2" xfId="29481"/>
    <cellStyle name="COL HEADINGS 2 9 2 2" xfId="29482"/>
    <cellStyle name="Table Head Aligned 2 2 3 2 4 2 2" xfId="29483"/>
    <cellStyle name="Magic 3 4 2 2" xfId="29484"/>
    <cellStyle name="Style 49 3 8 2 2" xfId="29485"/>
    <cellStyle name="Table Head Aligned 3 4 2 2" xfId="29486"/>
    <cellStyle name="Heading [Palat] 2 2 2 2 4 2 2" xfId="29487"/>
    <cellStyle name="dp*SubTitle 2 3 4 2 2" xfId="29488"/>
    <cellStyle name="Date [mm-d-yyyy] 2 2 6 2 2" xfId="29489"/>
    <cellStyle name="Title [Helv] 2 2 2 7 2 2" xfId="29490"/>
    <cellStyle name="Date [mm-d-yyyy] 2 4 2 2" xfId="29491"/>
    <cellStyle name="dp*NumberLine 2 8 2 2" xfId="29492"/>
    <cellStyle name="Afjusted 3 7 2 2" xfId="29493"/>
    <cellStyle name="Date [mmm-yyyy] 2 2 3 4 7 2" xfId="29494"/>
    <cellStyle name="ac 2 8 2 2" xfId="29495"/>
    <cellStyle name="Afjusted 2 6 2 2" xfId="29496"/>
    <cellStyle name="Bold/Border 2 8 2 2" xfId="29497"/>
    <cellStyle name="COL HEADINGS 2 8 2 2" xfId="29498"/>
    <cellStyle name="Border Thin 3 3 2 4 2 2" xfId="29499"/>
    <cellStyle name="Date [mmm-yyyy] 2 7 2 2" xfId="29500"/>
    <cellStyle name="Style 45 4 3 3 4 2 2" xfId="29501"/>
    <cellStyle name="dp*NumberLine 2 3 4 2 2" xfId="29502"/>
    <cellStyle name="dp*NumberLine 2 7 2 2" xfId="29503"/>
    <cellStyle name="dp*NumberLineEPS 2 7 2 2" xfId="29504"/>
    <cellStyle name="dp*SheetSubTitle 2 7 2 2" xfId="29505"/>
    <cellStyle name="Afjusted 4 5 4 2 2" xfId="29506"/>
    <cellStyle name="dp*ThinLineBelow 2 6 2 2" xfId="29507"/>
    <cellStyle name="Heading [Helv] 2 8 2 2" xfId="29508"/>
    <cellStyle name="Heading [Palat] 2 8 2 2" xfId="29509"/>
    <cellStyle name="COL HEADINGS 4 7 2" xfId="29510"/>
    <cellStyle name="Magic 2 7 2 2" xfId="29511"/>
    <cellStyle name="COL HEADINGS 2 3 4 2 2" xfId="29512"/>
    <cellStyle name="dp*NumberLine 2 2 3 3 4 2 2" xfId="29513"/>
    <cellStyle name="Outputs 2 8 2 2" xfId="29514"/>
    <cellStyle name="P-Green Rule 2 7 2 2" xfId="29515"/>
    <cellStyle name="Style 44 3 7 2 2" xfId="29516"/>
    <cellStyle name="Style 45 3 7 2 2" xfId="29517"/>
    <cellStyle name="Style 49 3 7 2 2" xfId="29518"/>
    <cellStyle name="Style 51 3 7 2 2" xfId="29519"/>
    <cellStyle name="Style 44 2 7 2 2" xfId="29520"/>
    <cellStyle name="Style 45 2 7 2 2" xfId="29521"/>
    <cellStyle name="Style 49 2 7 2 2" xfId="29522"/>
    <cellStyle name="Style 51 2 7 2 2" xfId="29523"/>
    <cellStyle name="Table Head Aligned 2 7 2 2" xfId="29524"/>
    <cellStyle name="Table Head Green 2 8 2 2" xfId="29525"/>
    <cellStyle name="Title [Helv] 2 7 2 2" xfId="29526"/>
    <cellStyle name="Title [Palat] 2 8 2 2" xfId="29527"/>
    <cellStyle name="Magic 2 8 2 2" xfId="29528"/>
    <cellStyle name="Date [mmm-yyyy] 2 8 2 2" xfId="29529"/>
    <cellStyle name="Magic 2 2 2 7 2 2" xfId="29530"/>
    <cellStyle name="Title [Palat] 2 2 3 2 4 2 2" xfId="29531"/>
    <cellStyle name="ac 2 9 2 2" xfId="29532"/>
    <cellStyle name="Heading [Palat] 2 2 2 7 2 2" xfId="29533"/>
    <cellStyle name="ac 6 7 2" xfId="29534"/>
    <cellStyle name="Bold/Border 5 7 2" xfId="29535"/>
    <cellStyle name="dp*ThinLineBelow 2 5 7 2" xfId="29536"/>
    <cellStyle name="Outputs 2 2 9 2" xfId="29537"/>
    <cellStyle name="Date [mmm-yyyy] 2 2 9 2" xfId="29538"/>
    <cellStyle name="COL HEADINGS 2 11 2" xfId="29539"/>
    <cellStyle name="dp*SheetSubTitle 2 2 2 7 2 2" xfId="29540"/>
    <cellStyle name="ac 2 2 3 7 2 2" xfId="29541"/>
    <cellStyle name="dp*SubTitle 3 7 2 2" xfId="29542"/>
    <cellStyle name="Bold/Border 2 3 4 2 2" xfId="29543"/>
    <cellStyle name="Style 49 4 3 3 4 2 2" xfId="29544"/>
    <cellStyle name="Title [Palat] 2 3 4 2 2" xfId="29545"/>
    <cellStyle name="Border Thin 3 7 2 2" xfId="29546"/>
    <cellStyle name="dp*SheetSubTitle 2 2 2 2 4 2 2" xfId="29547"/>
    <cellStyle name="dp*NumberLineEPS 2 2 2 2 4 2 2" xfId="29548"/>
    <cellStyle name="Afjusted 4 7 2 2" xfId="29549"/>
    <cellStyle name="Bold/Border 4 4 2 2" xfId="29550"/>
    <cellStyle name="ac 2 2 6 2 2" xfId="29551"/>
    <cellStyle name="Afjusted 2 2 7 2 2" xfId="29552"/>
    <cellStyle name="Bold/Border 2 2 6 2 2" xfId="29553"/>
    <cellStyle name="COL HEADINGS 2 2 6 2 2" xfId="29554"/>
    <cellStyle name="Date [mmm-yyyy] 2 2 6 2 2" xfId="29555"/>
    <cellStyle name="Style 45 4 3 4 4 2 2" xfId="29556"/>
    <cellStyle name="dp*SubTitle 3 3 3 4 2 2" xfId="29557"/>
    <cellStyle name="Date [mmm-yyyy] 2 3 4 2 2" xfId="29558"/>
    <cellStyle name="dp*NumberLine 2 2 6 2 2" xfId="29559"/>
    <cellStyle name="dp*NumberLineEPS 2 2 6 2 2" xfId="29560"/>
    <cellStyle name="dp*SheetSubTitle 2 2 6 2 2" xfId="29561"/>
    <cellStyle name="Heading [Helv] 2 2 6 2 2" xfId="29562"/>
    <cellStyle name="Heading [Palat] 2 2 6 2 2" xfId="29563"/>
    <cellStyle name="Magic 2 2 6 2 2" xfId="29564"/>
    <cellStyle name="Outputs 2 2 6 2 2" xfId="29565"/>
    <cellStyle name="Table Head Aligned 2 2 6 2 2" xfId="29566"/>
    <cellStyle name="Table Head Green 2 2 6 2 2" xfId="29567"/>
    <cellStyle name="Title [Helv] 2 2 6 2 2" xfId="29568"/>
    <cellStyle name="Title [Palat] 2 2 6 2 2" xfId="29569"/>
    <cellStyle name="Date [mmm-yyyy] 2 2 2 2 4 2 2" xfId="29570"/>
    <cellStyle name="COL HEADINGS 2 2 2 2 4 2 2" xfId="29571"/>
    <cellStyle name="dp*NumberLine 2 2 2 2 4 2 2" xfId="29572"/>
    <cellStyle name="Date [mm-d-yyyy] 2 5 2 2" xfId="29573"/>
    <cellStyle name="PB Table Standard Row 3 2 2 4 2 2" xfId="29574"/>
    <cellStyle name="Afjusted 2 2 2 2 4 2 2" xfId="29575"/>
    <cellStyle name="ac 2 2 2 2 4 2 2" xfId="29576"/>
    <cellStyle name="Afjusted 4 2 2 4 2 2" xfId="29577"/>
    <cellStyle name="Style 45 3 3 4 2 2" xfId="29578"/>
    <cellStyle name="Style 49 2 3 4 2 2" xfId="29579"/>
    <cellStyle name="Style 51 3 3 4 2 2" xfId="29580"/>
    <cellStyle name="Border Thin 3 5 4 2 2" xfId="29581"/>
    <cellStyle name="Afjusted 3 5 4 2 2" xfId="29582"/>
    <cellStyle name="Style 45 2 3 4 2 2" xfId="29583"/>
    <cellStyle name="Style 44 2 3 4 2 2" xfId="29584"/>
    <cellStyle name="Style 45 4 2 2 4 2 2" xfId="29585"/>
    <cellStyle name="Outputs 2 4 5 2 2" xfId="29586"/>
    <cellStyle name="dp*SubTitle 2 2 3 2 2" xfId="29587"/>
    <cellStyle name="Border Thin 2 2 3 2 2" xfId="29588"/>
    <cellStyle name="P-Green Rule 2 3 4 2 2" xfId="29589"/>
    <cellStyle name="Date [mm-d-yyyy] 2 2 2 4 2 2" xfId="29590"/>
    <cellStyle name="dp*ThinLineBelow 2 4 4 2 2" xfId="29591"/>
    <cellStyle name="dp*NumberLineEPS 2 4 4 2 2" xfId="29592"/>
    <cellStyle name="COL HEADINGS 2 4 4 2 2" xfId="29593"/>
    <cellStyle name="Afjusted 2 3 4 2 2" xfId="29594"/>
    <cellStyle name="Bold/Border 2 2 3 4 3 2 2" xfId="29595"/>
    <cellStyle name="Magic 2 2 3 4 3 2 2" xfId="29596"/>
    <cellStyle name="Title [Helv] 2 2 3 4 3 2 2" xfId="29597"/>
    <cellStyle name="Style 51 2 2 3 2 2" xfId="29598"/>
    <cellStyle name="Style 45 2 2 3 2 2" xfId="29599"/>
    <cellStyle name="Style 49 2 2 3 2 2" xfId="29600"/>
    <cellStyle name="Style 44 2 2 3 2 2" xfId="29601"/>
    <cellStyle name="Style 51 3 2 3 2 2" xfId="29602"/>
    <cellStyle name="Style 49 3 2 3 2 2" xfId="29603"/>
    <cellStyle name="Style 45 3 2 3 2 2" xfId="29604"/>
    <cellStyle name="Style 44 3 2 3 2 2" xfId="29605"/>
    <cellStyle name="P-Green Rule 2 2 3 2 2" xfId="29606"/>
    <cellStyle name="PB Table Standard Row 2 2 3 2 2" xfId="29607"/>
    <cellStyle name="dp*ThinLineBelow 2 2 3 2 2" xfId="29608"/>
    <cellStyle name="dp*ThinLineBelow 2 3 3 2 2" xfId="29609"/>
    <cellStyle name="Style 44 3 3 3 2 2" xfId="29610"/>
    <cellStyle name="COL HEADINGS 2 2 3 4 3 2 2" xfId="29611"/>
    <cellStyle name="Style 49 4 3 4 3 2 2" xfId="29612"/>
    <cellStyle name="Date [mm-d-yyyy] 3 2 2 4 2 2" xfId="29613"/>
    <cellStyle name="Afjusted 3 3 4 3 2 2" xfId="29614"/>
    <cellStyle name="Date [mm-d-yyyy] 3 3 4 3 2 2" xfId="29615"/>
    <cellStyle name="Afjusted 4 3 4 3 2 2" xfId="29616"/>
    <cellStyle name="ac 2 2 3 4 3 2 2" xfId="29617"/>
    <cellStyle name="Afjusted 2 2 3 4 3 2 2" xfId="29618"/>
    <cellStyle name="Date [mmm-yyyy] 2 2 3 4 3 2 2" xfId="29619"/>
    <cellStyle name="dp*NumberLine 2 2 3 4 3 2 2" xfId="29620"/>
    <cellStyle name="dp*NumberLineEPS 2 2 3 4 3 2 2" xfId="29621"/>
    <cellStyle name="dp*SheetSubTitle 2 2 3 4 3 2 2" xfId="29622"/>
    <cellStyle name="Heading [Helv] 2 2 3 4 3 2 2" xfId="29623"/>
    <cellStyle name="Outputs 2 2 3 4 3 2 2" xfId="29624"/>
    <cellStyle name="Table Head Aligned 2 2 3 4 3 2 2" xfId="29625"/>
    <cellStyle name="Title [Palat] 2 2 3 4 3 2 2" xfId="29626"/>
    <cellStyle name="Afjusted 3 5 3 2 2" xfId="29627"/>
    <cellStyle name="Style 45 3 3 3 2 2" xfId="29628"/>
    <cellStyle name="Style 51 3 3 3 2 2" xfId="29629"/>
    <cellStyle name="Style 44 2 3 3 2 2" xfId="29630"/>
    <cellStyle name="Style 45 2 3 3 2 2" xfId="29631"/>
    <cellStyle name="Style 49 2 3 3 2 2" xfId="29632"/>
    <cellStyle name="Border Thin 3 5 3 2 2" xfId="29633"/>
    <cellStyle name="ac 2 2 4 3 2 2" xfId="29634"/>
    <cellStyle name="Afjusted 2 2 5 3 2 2" xfId="29635"/>
    <cellStyle name="Bold/Border 2 2 4 3 2 2" xfId="29636"/>
    <cellStyle name="COL HEADINGS 2 2 4 3 2 2" xfId="29637"/>
    <cellStyle name="Date [mmm-yyyy] 2 2 4 3 2 2" xfId="29638"/>
    <cellStyle name="dp*NumberLine 2 2 4 3 2 2" xfId="29639"/>
    <cellStyle name="dp*NumberLineEPS 2 2 4 3 2 2" xfId="29640"/>
    <cellStyle name="dp*SheetSubTitle 2 2 4 3 2 2" xfId="29641"/>
    <cellStyle name="Heading [Palat] 2 2 4 3 2 2" xfId="29642"/>
    <cellStyle name="Outputs 2 2 4 3 2 2" xfId="29643"/>
    <cellStyle name="Magic 2 2 4 3 2 2" xfId="29644"/>
    <cellStyle name="Title [Helv] 2 2 4 3 2 2" xfId="29645"/>
    <cellStyle name="Title [Palat] 2 2 4 3 2 2" xfId="29646"/>
    <cellStyle name="Title [Palat] 2 2 3 3 3 2 2" xfId="29647"/>
    <cellStyle name="Title [Helv] 2 2 3 3 3 2 2" xfId="29648"/>
    <cellStyle name="Table Head Aligned 2 2 3 3 3 2 2" xfId="29649"/>
    <cellStyle name="Magic 2 2 3 3 3 2 2" xfId="29650"/>
    <cellStyle name="Heading [Helv] 2 2 3 3 3 2 2" xfId="29651"/>
    <cellStyle name="dp*NumberLineEPS 2 2 3 3 3 2 2" xfId="29652"/>
    <cellStyle name="COL HEADINGS 2 2 3 3 3 2 2" xfId="29653"/>
    <cellStyle name="ac 2 2 3 3 3 2 2" xfId="29654"/>
    <cellStyle name="Afjusted 4 3 3 3 2 2" xfId="29655"/>
    <cellStyle name="Border Thin 3 3 3 3 2 2" xfId="29656"/>
    <cellStyle name="PB Table Standard Row 3 3 3 3 2 2" xfId="29657"/>
    <cellStyle name="Style 44 4 3 3 3 2 2" xfId="29658"/>
    <cellStyle name="Style 51 4 3 3 3 2 2" xfId="29659"/>
    <cellStyle name="Afjusted 3 3 3 3 2 2" xfId="29660"/>
    <cellStyle name="Style 49 4 5 3 2 2" xfId="29661"/>
    <cellStyle name="Style 44 4 5 3 2 2" xfId="29662"/>
    <cellStyle name="P-Green Rule 3 5 3 2 2" xfId="29663"/>
    <cellStyle name="dp*SubTitle 3 5 3 2 2" xfId="29664"/>
    <cellStyle name="Afjusted 4 5 3 2 2" xfId="29665"/>
    <cellStyle name="P-Green Rule 2 4 5 2 2" xfId="29666"/>
    <cellStyle name="dp*SheetSubTitle 2 8 2 2" xfId="29667"/>
    <cellStyle name="ac 2 3 3 2 2" xfId="29668"/>
    <cellStyle name="Bold/Border 2 3 3 2 2" xfId="29669"/>
    <cellStyle name="COL HEADINGS 2 3 3 2 2" xfId="29670"/>
    <cellStyle name="Date [mmm-yyyy] 2 3 3 2 2" xfId="29671"/>
    <cellStyle name="dp*NumberLine 2 3 3 2 2" xfId="29672"/>
    <cellStyle name="dp*NumberLineEPS 2 3 3 2 2" xfId="29673"/>
    <cellStyle name="dp*SheetSubTitle 2 3 3 2 2" xfId="29674"/>
    <cellStyle name="Heading [Helv] 2 3 3 2 2" xfId="29675"/>
    <cellStyle name="Heading [Palat] 2 3 3 2 2" xfId="29676"/>
    <cellStyle name="Magic 2 3 3 2 2" xfId="29677"/>
    <cellStyle name="Outputs 2 3 3 2 2" xfId="29678"/>
    <cellStyle name="Date [mmm-yyyy] 2 2 3 3 3 2 2" xfId="29679"/>
    <cellStyle name="Afjusted 2 2 3 3 3 2 2" xfId="29680"/>
    <cellStyle name="dp*ThinLineBelow 3 3 3 3 2 2" xfId="29681"/>
    <cellStyle name="Style 49 4 3 3 3 2 2" xfId="29682"/>
    <cellStyle name="Outputs 2 2 3 3 3 2 2" xfId="29683"/>
    <cellStyle name="dp*NumberLine 2 2 3 3 3 2 2" xfId="29684"/>
    <cellStyle name="Bold/Border 2 2 3 3 3 2 2" xfId="29685"/>
    <cellStyle name="dp*SubTitle 3 3 3 3 2 2" xfId="29686"/>
    <cellStyle name="Style 45 4 3 3 3 2 2" xfId="29687"/>
    <cellStyle name="Table Head Aligned 2 3 3 2 2" xfId="29688"/>
    <cellStyle name="Table Head Green 2 3 3 2 2" xfId="29689"/>
    <cellStyle name="Title [Helv] 2 3 3 2 2" xfId="29690"/>
    <cellStyle name="Title [Palat] 2 3 3 2 2" xfId="29691"/>
    <cellStyle name="Style 45 4 3 4 3 2 2" xfId="29692"/>
    <cellStyle name="Style 51 4 3 4 3 2 2" xfId="29693"/>
    <cellStyle name="Afjusted 3 4 3 2 2" xfId="29694"/>
    <cellStyle name="P-Green Rule 3 3 4 3 2 2" xfId="29695"/>
    <cellStyle name="Border Thin 2 3 3 2 2" xfId="29696"/>
    <cellStyle name="Style 49 3 3 3 2 2" xfId="29697"/>
    <cellStyle name="Style 51 2 3 3 2 2" xfId="29698"/>
    <cellStyle name="Heading [Helv] 2 2 4 3 2 2" xfId="29699"/>
    <cellStyle name="Table Head Aligned 2 2 4 3 2 2" xfId="29700"/>
    <cellStyle name="Table Head Green 2 2 4 3 2 2" xfId="29701"/>
    <cellStyle name="Table Head Green 2 2 3 3 3 2 2" xfId="29702"/>
    <cellStyle name="Heading [Palat] 2 2 3 3 3 2 2" xfId="29703"/>
    <cellStyle name="dp*SheetSubTitle 2 2 3 3 3 2 2" xfId="29704"/>
    <cellStyle name="P-Green Rule 3 3 3 3 2 2" xfId="29705"/>
    <cellStyle name="Date [mm-d-yyyy] 3 3 3 3 2 2" xfId="29706"/>
    <cellStyle name="Date [mm-d-yyyy] 3 4 3 2 2" xfId="29707"/>
    <cellStyle name="Style 51 4 4 3 2 2" xfId="29708"/>
    <cellStyle name="Style 49 4 4 3 2 2" xfId="29709"/>
    <cellStyle name="Style 45 4 4 3 2 2" xfId="29710"/>
    <cellStyle name="Style 44 4 4 3 2 2" xfId="29711"/>
    <cellStyle name="dp*ThinLineBelow 3 3 4 3 2 2" xfId="29712"/>
    <cellStyle name="P-Green Rule 3 4 3 2 2" xfId="29713"/>
    <cellStyle name="dp*ThinLineBelow 3 4 3 2 2" xfId="29714"/>
    <cellStyle name="dp*SubTitle 3 4 3 2 2" xfId="29715"/>
    <cellStyle name="dp*SubTitle 3 3 4 3 2 2" xfId="29716"/>
    <cellStyle name="Border Thin 3 4 3 2 2" xfId="29717"/>
    <cellStyle name="Border Thin 3 3 4 3 2 2" xfId="29718"/>
    <cellStyle name="Afjusted 4 4 3 2 2" xfId="29719"/>
    <cellStyle name="Afjusted 2 2 4 3 2 2" xfId="29720"/>
    <cellStyle name="Style 44 4 3 4 3 2 2" xfId="29721"/>
    <cellStyle name="PB Table Standard Row 3 3 4 3 2 2" xfId="29722"/>
    <cellStyle name="Title [Palat] 2 2 3 6 2 2" xfId="29723"/>
    <cellStyle name="Title [Helv] 2 2 3 6 2 2" xfId="29724"/>
    <cellStyle name="Table Head Green 2 2 3 6 2 2" xfId="29725"/>
    <cellStyle name="Table Head Aligned 2 2 3 6 2 2" xfId="29726"/>
    <cellStyle name="Outputs 2 2 3 6 2 2" xfId="29727"/>
    <cellStyle name="Magic 2 2 3 6 2 2" xfId="29728"/>
    <cellStyle name="Heading [Palat] 2 2 3 6 2 2" xfId="29729"/>
    <cellStyle name="Heading [Helv] 2 2 3 6 2 2" xfId="29730"/>
    <cellStyle name="dp*SheetSubTitle 2 2 3 6 2 2" xfId="29731"/>
    <cellStyle name="dp*NumberLineEPS 2 2 3 6 2 2" xfId="29732"/>
    <cellStyle name="dp*NumberLine 2 2 3 6 2 2" xfId="29733"/>
    <cellStyle name="Date [mmm-yyyy] 2 2 3 6 2 2" xfId="29734"/>
    <cellStyle name="COL HEADINGS 2 2 3 6 2 2" xfId="29735"/>
    <cellStyle name="Bold/Border 2 2 3 6 2 2" xfId="29736"/>
    <cellStyle name="Afjusted 2 2 3 6 2 2" xfId="29737"/>
    <cellStyle name="ac 2 2 3 6 2 2" xfId="29738"/>
    <cellStyle name="Afjusted 4 3 6 2 2" xfId="29739"/>
    <cellStyle name="Border Thin 3 3 6 2 2" xfId="29740"/>
    <cellStyle name="dp*SubTitle 3 3 6 2 2" xfId="29741"/>
    <cellStyle name="dp*ThinLineBelow 3 3 6 2 2" xfId="29742"/>
    <cellStyle name="PB Table Standard Row 3 3 6 2 2" xfId="29743"/>
    <cellStyle name="P-Green Rule 3 3 6 2 2" xfId="29744"/>
    <cellStyle name="Style 44 4 3 6 2 2" xfId="29745"/>
    <cellStyle name="Style 45 4 3 6 2 2" xfId="29746"/>
    <cellStyle name="Style 49 4 3 6 2 2" xfId="29747"/>
    <cellStyle name="Style 51 4 3 6 2 2" xfId="29748"/>
    <cellStyle name="Date [mm-d-yyyy] 3 3 6 2 2" xfId="29749"/>
    <cellStyle name="Title [Palat] 2 4 4 2 2" xfId="29750"/>
    <cellStyle name="Style 51 3 4 4 2 2" xfId="29751"/>
    <cellStyle name="Afjusted 3 3 6 2 2" xfId="29752"/>
    <cellStyle name="Border Thin 2 4 4 2 2" xfId="29753"/>
    <cellStyle name="Afjusted 4 2 4 4 2 2" xfId="29754"/>
    <cellStyle name="ac 2 2 4 4 2 2" xfId="29755"/>
    <cellStyle name="Date [mm-d-yyyy] 3 5 4 2 2" xfId="29756"/>
    <cellStyle name="Afjusted 3 3 2 4 2 2" xfId="29757"/>
    <cellStyle name="PB Table Standard Row 3 3 2 3 2 2" xfId="29758"/>
    <cellStyle name="P-Green Rule 3 3 2 4 2 2" xfId="29759"/>
    <cellStyle name="Date [mm-d-yyyy] 3 3 2 4 2 2" xfId="29760"/>
    <cellStyle name="ac 2 4 4 2 2" xfId="29761"/>
    <cellStyle name="Date [mm-d-yyyy] 2 2 5 2 2" xfId="29762"/>
    <cellStyle name="Afjusted 3 2 6 2 2" xfId="29763"/>
    <cellStyle name="dp*SubTitle 3 2 2 4 2 2" xfId="29764"/>
    <cellStyle name="Style 45 2 4 4 2 2" xfId="29765"/>
    <cellStyle name="P-Green Rule 2 4 4 2 2" xfId="29766"/>
    <cellStyle name="Style 51 4 5 4 2 2" xfId="29767"/>
    <cellStyle name="Date [mm-d-yyyy] 3 2 6 2 2" xfId="29768"/>
    <cellStyle name="Style 51 4 2 6 2 2" xfId="29769"/>
    <cellStyle name="Style 49 4 2 6 2 2" xfId="29770"/>
    <cellStyle name="Style 45 4 2 6 2 2" xfId="29771"/>
    <cellStyle name="Style 44 4 2 6 2 2" xfId="29772"/>
    <cellStyle name="Heading [Palat] 2 4 4 2 2" xfId="29773"/>
    <cellStyle name="P-Green Rule 3 2 6 2 2" xfId="29774"/>
    <cellStyle name="dp*ThinLineBelow 3 2 6 2 2" xfId="29775"/>
    <cellStyle name="dp*SubTitle 3 2 6 2 2" xfId="29776"/>
    <cellStyle name="dp*SubTitle 2 4 4 2 2" xfId="29777"/>
    <cellStyle name="Border Thin 3 2 6 2 2" xfId="29778"/>
    <cellStyle name="dp*NumberLine 2 4 4 2 2" xfId="29779"/>
    <cellStyle name="Afjusted 4 2 6 2 2" xfId="29780"/>
    <cellStyle name="ac 2 2 2 6 2 2" xfId="29781"/>
    <cellStyle name="Afjusted 2 2 2 6 2 2" xfId="29782"/>
    <cellStyle name="Bold/Border 2 2 2 6 2 2" xfId="29783"/>
    <cellStyle name="COL HEADINGS 2 2 2 6 2 2" xfId="29784"/>
    <cellStyle name="Date [mmm-yyyy] 2 2 2 6 2 2" xfId="29785"/>
    <cellStyle name="dp*NumberLine 2 2 2 6 2 2" xfId="29786"/>
    <cellStyle name="dp*NumberLineEPS 2 2 2 6 2 2" xfId="29787"/>
    <cellStyle name="dp*SheetSubTitle 2 2 2 6 2 2" xfId="29788"/>
    <cellStyle name="Heading [Helv] 2 2 2 6 2 2" xfId="29789"/>
    <cellStyle name="Heading [Palat] 2 2 2 6 2 2" xfId="29790"/>
    <cellStyle name="Magic 2 2 2 6 2 2" xfId="29791"/>
    <cellStyle name="Outputs 2 2 2 6 2 2" xfId="29792"/>
    <cellStyle name="Table Head Aligned 2 2 2 6 2 2" xfId="29793"/>
    <cellStyle name="Table Head Green 2 2 2 6 2 2" xfId="29794"/>
    <cellStyle name="Title [Helv] 2 2 2 6 2 2" xfId="29795"/>
    <cellStyle name="Title [Palat] 2 2 2 6 2 2" xfId="29796"/>
    <cellStyle name="Style 45 3 4 4 2 2" xfId="29797"/>
    <cellStyle name="Border Thin 3 2 2 4 2 2" xfId="29798"/>
    <cellStyle name="Outputs 2 4 4 2 2" xfId="29799"/>
    <cellStyle name="Style 51 4 3 2 4 2 2" xfId="29800"/>
    <cellStyle name="Style 45 4 3 2 4 2 2" xfId="29801"/>
    <cellStyle name="Style 49 4 3 2 4 2 2" xfId="29802"/>
    <cellStyle name="Style 44 4 3 2 4 2 2" xfId="29803"/>
    <cellStyle name="dp*ThinLineBelow 3 3 2 4 2 2" xfId="29804"/>
    <cellStyle name="Table Head Green 2 2 3 4 3 2 2" xfId="29805"/>
    <cellStyle name="Heading [Palat] 2 2 3 4 3 2 2" xfId="29806"/>
    <cellStyle name="P-Green Rule 2 3 3 2 2" xfId="29807"/>
    <cellStyle name="Title [Palat] 2 2 3 2 3 2 2" xfId="29808"/>
    <cellStyle name="Title [Helv] 2 2 3 2 3 2 2" xfId="29809"/>
    <cellStyle name="Table Head Green 2 2 3 2 3 2 2" xfId="29810"/>
    <cellStyle name="Table Head Aligned 2 2 3 2 3 2 2" xfId="29811"/>
    <cellStyle name="Outputs 2 2 3 2 3 2 2" xfId="29812"/>
    <cellStyle name="Magic 2 2 3 2 3 2 2" xfId="29813"/>
    <cellStyle name="Heading [Palat] 2 2 3 2 3 2 2" xfId="29814"/>
    <cellStyle name="Heading [Helv] 2 2 3 2 3 2 2" xfId="29815"/>
    <cellStyle name="dp*SheetSubTitle 2 2 3 2 3 2 2" xfId="29816"/>
    <cellStyle name="dp*NumberLineEPS 2 2 3 2 3 2 2" xfId="29817"/>
    <cellStyle name="dp*NumberLine 2 2 3 2 3 2 2" xfId="29818"/>
    <cellStyle name="Date [mmm-yyyy] 2 2 3 2 3 2 2" xfId="29819"/>
    <cellStyle name="COL HEADINGS 2 2 3 2 3 2 2" xfId="29820"/>
    <cellStyle name="Bold/Border 2 2 3 2 3 2 2" xfId="29821"/>
    <cellStyle name="Afjusted 2 2 3 2 3 2 2" xfId="29822"/>
    <cellStyle name="ac 2 2 3 2 3 2 2" xfId="29823"/>
    <cellStyle name="Afjusted 4 3 2 3 2 2" xfId="29824"/>
    <cellStyle name="Border Thin 3 3 2 3 2 2" xfId="29825"/>
    <cellStyle name="dp*SubTitle 3 3 2 3 2 2" xfId="29826"/>
    <cellStyle name="dp*ThinLineBelow 3 3 2 3 2 2" xfId="29827"/>
    <cellStyle name="P-Green Rule 3 3 2 3 2 2" xfId="29828"/>
    <cellStyle name="Style 44 4 3 2 3 2 2" xfId="29829"/>
    <cellStyle name="Style 45 4 3 2 3 2 2" xfId="29830"/>
    <cellStyle name="Style 49 4 3 2 3 2 2" xfId="29831"/>
    <cellStyle name="Style 51 4 3 2 3 2 2" xfId="29832"/>
    <cellStyle name="Date [mm-d-yyyy] 3 3 2 3 2 2" xfId="29833"/>
    <cellStyle name="Afjusted 3 3 2 3 2 2" xfId="29834"/>
    <cellStyle name="Date [mm-d-yyyy] 3 5 3 2 2" xfId="29835"/>
    <cellStyle name="dp*SubTitle 2 3 3 2 2" xfId="29836"/>
    <cellStyle name="Date [mm-d-yyyy] 2 2 2 3 2 2" xfId="29837"/>
    <cellStyle name="Afjusted 3 2 2 3 2 2" xfId="29838"/>
    <cellStyle name="PB Table Standard Row 3 5 3 2 2" xfId="29839"/>
    <cellStyle name="Date [mm-d-yyyy] 3 2 2 3 2 2" xfId="29840"/>
    <cellStyle name="Style 51 4 2 2 3 2 2" xfId="29841"/>
    <cellStyle name="Style 49 4 2 2 3 2 2" xfId="29842"/>
    <cellStyle name="Style 45 4 2 2 3 2 2" xfId="29843"/>
    <cellStyle name="Style 44 4 2 2 3 2 2" xfId="29844"/>
    <cellStyle name="Style 45 4 5 3 2 2" xfId="29845"/>
    <cellStyle name="P-Green Rule 3 2 2 3 2 2" xfId="29846"/>
    <cellStyle name="PB Table Standard Row 3 2 2 3 2 2" xfId="29847"/>
    <cellStyle name="dp*ThinLineBelow 3 2 2 3 2 2" xfId="29848"/>
    <cellStyle name="dp*SubTitle 3 2 2 3 2 2" xfId="29849"/>
    <cellStyle name="Style 51 4 5 3 2 2" xfId="29850"/>
    <cellStyle name="Border Thin 3 2 2 3 2 2" xfId="29851"/>
    <cellStyle name="Afjusted 4 2 2 3 2 2" xfId="29852"/>
    <cellStyle name="ac 2 2 2 2 3 2 2" xfId="29853"/>
    <cellStyle name="Afjusted 2 2 2 2 3 2 2" xfId="29854"/>
    <cellStyle name="Bold/Border 2 2 2 2 3 2 2" xfId="29855"/>
    <cellStyle name="COL HEADINGS 2 2 2 2 3 2 2" xfId="29856"/>
    <cellStyle name="Date [mmm-yyyy] 2 2 2 2 3 2 2" xfId="29857"/>
    <cellStyle name="dp*NumberLine 2 2 2 2 3 2 2" xfId="29858"/>
    <cellStyle name="dp*NumberLineEPS 2 2 2 2 3 2 2" xfId="29859"/>
    <cellStyle name="dp*SheetSubTitle 2 2 2 2 3 2 2" xfId="29860"/>
    <cellStyle name="Heading [Helv] 2 2 2 2 3 2 2" xfId="29861"/>
    <cellStyle name="Heading [Palat] 2 2 2 2 3 2 2" xfId="29862"/>
    <cellStyle name="Magic 2 2 2 2 3 2 2" xfId="29863"/>
    <cellStyle name="Outputs 2 2 2 2 3 2 2" xfId="29864"/>
    <cellStyle name="Table Head Aligned 2 2 2 2 3 2 2" xfId="29865"/>
    <cellStyle name="Table Head Green 2 2 2 2 3 2 2" xfId="29866"/>
    <cellStyle name="Title [Helv] 2 2 2 2 3 2 2" xfId="29867"/>
    <cellStyle name="Title [Palat] 2 2 2 2 3 2 2" xfId="29868"/>
    <cellStyle name="dp*ThinLineBelow 3 5 3 2 2" xfId="29869"/>
    <cellStyle name="Date [mm-d-yyyy] 2 2 3 3 2 2" xfId="29870"/>
    <cellStyle name="Afjusted 3 2 3 3 2 2" xfId="29871"/>
    <cellStyle name="Date [mm-d-yyyy] 3 2 3 3 2 2" xfId="29872"/>
    <cellStyle name="Style 51 4 2 3 3 2 2" xfId="29873"/>
    <cellStyle name="Style 49 4 2 3 3 2 2" xfId="29874"/>
    <cellStyle name="Style 45 4 2 3 3 2 2" xfId="29875"/>
    <cellStyle name="Style 44 4 2 3 3 2 2" xfId="29876"/>
    <cellStyle name="P-Green Rule 3 2 3 3 2 2" xfId="29877"/>
    <cellStyle name="PB Table Standard Row 3 2 3 3 2 2" xfId="29878"/>
    <cellStyle name="dp*ThinLineBelow 3 2 3 3 2 2" xfId="29879"/>
    <cellStyle name="dp*SubTitle 3 2 3 3 2 2" xfId="29880"/>
    <cellStyle name="Border Thin 3 2 3 3 2 2" xfId="29881"/>
    <cellStyle name="Afjusted 4 2 3 3 2 2" xfId="29882"/>
    <cellStyle name="ac 2 2 2 3 3 2 2" xfId="29883"/>
    <cellStyle name="Afjusted 2 2 2 3 3 2 2" xfId="29884"/>
    <cellStyle name="Bold/Border 2 2 2 3 3 2 2" xfId="29885"/>
    <cellStyle name="COL HEADINGS 2 2 2 3 3 2 2" xfId="29886"/>
    <cellStyle name="Date [mmm-yyyy] 2 2 2 3 3 2 2" xfId="29887"/>
    <cellStyle name="dp*NumberLine 2 2 2 3 3 2 2" xfId="29888"/>
    <cellStyle name="dp*NumberLineEPS 2 2 2 3 3 2 2" xfId="29889"/>
    <cellStyle name="dp*SheetSubTitle 2 2 2 3 3 2 2" xfId="29890"/>
    <cellStyle name="Heading [Helv] 2 2 2 3 3 2 2" xfId="29891"/>
    <cellStyle name="Heading [Palat] 2 2 2 3 3 2 2" xfId="29892"/>
    <cellStyle name="Magic 2 2 2 3 3 2 2" xfId="29893"/>
    <cellStyle name="Outputs 2 2 2 3 3 2 2" xfId="29894"/>
    <cellStyle name="Table Head Aligned 2 2 2 3 3 2 2" xfId="29895"/>
    <cellStyle name="Table Head Green 2 2 2 3 3 2 2" xfId="29896"/>
    <cellStyle name="Title [Helv] 2 2 2 3 3 2 2" xfId="29897"/>
    <cellStyle name="Title [Palat] 2 2 2 3 3 2 2" xfId="29898"/>
    <cellStyle name="Afjusted 3 2 4 3 2 2" xfId="29899"/>
    <cellStyle name="Date [mm-d-yyyy] 3 2 4 3 2 2" xfId="29900"/>
    <cellStyle name="Style 51 4 2 4 3 2 2" xfId="29901"/>
    <cellStyle name="Style 49 4 2 4 3 2 2" xfId="29902"/>
    <cellStyle name="Style 45 4 2 4 3 2 2" xfId="29903"/>
    <cellStyle name="Style 44 4 2 4 3 2 2" xfId="29904"/>
    <cellStyle name="P-Green Rule 3 2 4 3 2 2" xfId="29905"/>
    <cellStyle name="PB Table Standard Row 3 2 4 3 2 2" xfId="29906"/>
    <cellStyle name="dp*ThinLineBelow 3 2 4 3 2 2" xfId="29907"/>
    <cellStyle name="dp*SubTitle 3 2 4 3 2 2" xfId="29908"/>
    <cellStyle name="Border Thin 3 2 4 3 2 2" xfId="29909"/>
    <cellStyle name="Afjusted 4 2 4 3 2 2" xfId="29910"/>
    <cellStyle name="ac 2 2 2 4 3 2 2" xfId="29911"/>
    <cellStyle name="Afjusted 2 2 2 4 3 2 2" xfId="29912"/>
    <cellStyle name="Bold/Border 2 2 2 4 3 2 2" xfId="29913"/>
    <cellStyle name="COL HEADINGS 2 2 2 4 3 2 2" xfId="29914"/>
    <cellStyle name="Date [mmm-yyyy] 2 2 2 4 3 2 2" xfId="29915"/>
    <cellStyle name="dp*NumberLine 2 2 2 4 3 2 2" xfId="29916"/>
    <cellStyle name="dp*NumberLineEPS 2 2 2 4 3 2 2" xfId="29917"/>
    <cellStyle name="dp*SheetSubTitle 2 2 2 4 3 2 2" xfId="29918"/>
    <cellStyle name="Heading [Helv] 2 2 2 4 3 2 2" xfId="29919"/>
    <cellStyle name="Heading [Palat] 2 2 2 4 3 2 2" xfId="29920"/>
    <cellStyle name="Magic 2 2 2 4 3 2 2" xfId="29921"/>
    <cellStyle name="Outputs 2 2 2 4 3 2 2" xfId="29922"/>
    <cellStyle name="Table Head Aligned 2 2 2 4 3 2 2" xfId="29923"/>
    <cellStyle name="Table Head Green 2 2 2 4 3 2 2" xfId="29924"/>
    <cellStyle name="Title [Helv] 2 2 2 4 3 2 2" xfId="29925"/>
    <cellStyle name="Title [Palat] 2 2 2 4 3 2 2" xfId="29926"/>
    <cellStyle name="Bold/Border 2 2 3 2 4 2 2" xfId="29927"/>
    <cellStyle name="Border Thin 4 3 2 2" xfId="29928"/>
    <cellStyle name="Date [mm-d-yyyy] 4 3 2 2" xfId="29929"/>
    <cellStyle name="dp*SubTitle 4 3 2 2" xfId="29930"/>
    <cellStyle name="dp*ThinLineBelow 4 3 2 2" xfId="29931"/>
    <cellStyle name="PB Table Standard Row 4 3 2 2" xfId="29932"/>
    <cellStyle name="P-Green Rule 4 3 2 2" xfId="29933"/>
    <cellStyle name="Style 44 5 3 2 2" xfId="29934"/>
    <cellStyle name="Style 45 5 3 2 2" xfId="29935"/>
    <cellStyle name="Style 49 5 3 2 2" xfId="29936"/>
    <cellStyle name="Style 51 5 3 2 2" xfId="29937"/>
    <cellStyle name="COL HEADINGS 2 2 3 2 4 2 2" xfId="29938"/>
    <cellStyle name="ac 2 2 3 2 4 2 2" xfId="29939"/>
    <cellStyle name="Date [mmm-yyyy] 2 2 3 2 4 2 2" xfId="29940"/>
    <cellStyle name="Title [Palat] 3 3 2 2" xfId="29941"/>
    <cellStyle name="Title [Helv] 3 3 2 2" xfId="29942"/>
    <cellStyle name="Table Head Green 3 3 2 2" xfId="29943"/>
    <cellStyle name="Table Head Aligned 3 3 2 2" xfId="29944"/>
    <cellStyle name="Outputs 3 3 2 2" xfId="29945"/>
    <cellStyle name="Magic 3 3 2 2" xfId="29946"/>
    <cellStyle name="Heading [Palat] 3 3 2 2" xfId="29947"/>
    <cellStyle name="Heading [Helv] 3 3 2 2" xfId="29948"/>
    <cellStyle name="dp*SheetSubTitle 2 5 7 2" xfId="29949"/>
    <cellStyle name="dp*SheetSubTitle 3 3 2 2" xfId="29950"/>
    <cellStyle name="dp*NumberLineEPS 3 3 2 2" xfId="29951"/>
    <cellStyle name="dp*NumberLine 3 3 2 2" xfId="29952"/>
    <cellStyle name="COL HEADINGS 3 3 2 2" xfId="29953"/>
    <cellStyle name="Bold/Border 3 3 2 2" xfId="29954"/>
    <cellStyle name="Afjusted 5 3 2 2" xfId="29955"/>
    <cellStyle name="ac 3 3 2 2" xfId="29956"/>
    <cellStyle name="dp*NumberLine 2 2 3 2 4 2 2" xfId="29957"/>
    <cellStyle name="Date [mmm-yyyy] 3 3 2 2" xfId="29958"/>
    <cellStyle name="dp*NumberLineEPS 2 2 3 2 4 2 2" xfId="29959"/>
    <cellStyle name="Heading [Palat] 2 9 2 2" xfId="29960"/>
    <cellStyle name="dp*SheetSubTitle 2 2 3 2 4 2 2" xfId="29961"/>
    <cellStyle name="Table Head Aligned 2 2 7 2 2" xfId="29962"/>
    <cellStyle name="ac 2 4 3 2 2" xfId="29963"/>
    <cellStyle name="Afjusted 2 3 3 2 2" xfId="29964"/>
    <cellStyle name="Bold/Border 2 4 3 2 2" xfId="29965"/>
    <cellStyle name="Border Thin 2 4 3 2 2" xfId="29966"/>
    <cellStyle name="COL HEADINGS 2 4 3 2 2" xfId="29967"/>
    <cellStyle name="Date [mmm-yyyy] 2 4 3 2 2" xfId="29968"/>
    <cellStyle name="dp*NumberLine 2 4 3 2 2" xfId="29969"/>
    <cellStyle name="dp*NumberLineEPS 2 4 3 2 2" xfId="29970"/>
    <cellStyle name="dp*SheetSubTitle 2 4 3 2 2" xfId="29971"/>
    <cellStyle name="dp*SubTitle 2 4 3 2 2" xfId="29972"/>
    <cellStyle name="dp*ThinLineBelow 2 4 3 2 2" xfId="29973"/>
    <cellStyle name="Heading [Helv] 2 4 3 2 2" xfId="29974"/>
    <cellStyle name="Heading [Palat] 2 4 3 2 2" xfId="29975"/>
    <cellStyle name="Magic 2 4 3 2 2" xfId="29976"/>
    <cellStyle name="Outputs 2 4 3 2 2" xfId="29977"/>
    <cellStyle name="PB Table Standard Row 2 4 3 2 2" xfId="29978"/>
    <cellStyle name="P-Green Rule 2 4 3 2 2" xfId="29979"/>
    <cellStyle name="Style 44 3 4 3 2 2" xfId="29980"/>
    <cellStyle name="Style 45 3 4 3 2 2" xfId="29981"/>
    <cellStyle name="Style 49 3 4 3 2 2" xfId="29982"/>
    <cellStyle name="Style 51 3 4 3 2 2" xfId="29983"/>
    <cellStyle name="Style 44 2 4 3 2 2" xfId="29984"/>
    <cellStyle name="Style 45 2 4 3 2 2" xfId="29985"/>
    <cellStyle name="Style 49 2 4 3 2 2" xfId="29986"/>
    <cellStyle name="Style 51 2 4 3 2 2" xfId="29987"/>
    <cellStyle name="Table Head Aligned 2 4 3 2 2" xfId="29988"/>
    <cellStyle name="Table Head Green 2 4 3 2 2" xfId="29989"/>
    <cellStyle name="Title [Helv] 2 4 3 2 2" xfId="29990"/>
    <cellStyle name="Title [Palat] 2 4 3 2 2" xfId="29991"/>
    <cellStyle name="Heading [Helv] 2 2 3 2 4 2 2" xfId="29992"/>
    <cellStyle name="Heading [Palat] 2 2 3 2 4 2 2" xfId="29993"/>
    <cellStyle name="Table Head Green 2 2 2 9 2" xfId="29994"/>
    <cellStyle name="Table Head Green 2 4 4 2 2" xfId="29995"/>
    <cellStyle name="ac 4 3 2 2" xfId="29996"/>
    <cellStyle name="dp*SheetSubTitle 3 4 2 2" xfId="29997"/>
    <cellStyle name="dp*NumberLine 3 4 2 2" xfId="29998"/>
    <cellStyle name="Heading [Palat] 6 7 2" xfId="29999"/>
    <cellStyle name="Outputs 3 4 2 2" xfId="30000"/>
    <cellStyle name="Title [Helv] 3 4 2 2" xfId="30001"/>
    <cellStyle name="Bold/Border 4 3 2 2" xfId="30002"/>
    <cellStyle name="Border Thin 5 3 2 2" xfId="30003"/>
    <cellStyle name="P-Green Rule 4 4 2 2" xfId="30004"/>
    <cellStyle name="dp*SubTitle 4 4 2 2" xfId="30005"/>
    <cellStyle name="Table Head Green 2 2 2 4 4 2 2" xfId="30006"/>
    <cellStyle name="Heading [Palat] 2 2 2 4 4 2 2" xfId="30007"/>
    <cellStyle name="Date [mmm-yyyy] 2 2 2 4 4 2 2" xfId="30008"/>
    <cellStyle name="P-Green Rule 3 2 4 4 2 2" xfId="30009"/>
    <cellStyle name="dp*ThinLineBelow 3 2 4 4 2 2" xfId="30010"/>
    <cellStyle name="COL HEADINGS 4 3 2 2" xfId="30011"/>
    <cellStyle name="Date [mm-d-yyyy] 3 2 4 4 2 2" xfId="30012"/>
    <cellStyle name="Magic 2 2 2 3 4 2 2" xfId="30013"/>
    <cellStyle name="dp*SheetSubTitle 2 2 2 3 4 2 2" xfId="30014"/>
    <cellStyle name="Date [mmm-yyyy] 2 2 2 3 4 2 2" xfId="30015"/>
    <cellStyle name="Afjusted 2 2 2 3 4 2 2" xfId="30016"/>
    <cellStyle name="Border Thin 3 2 3 4 2 2" xfId="30017"/>
    <cellStyle name="PB Table Standard Row 3 2 3 4 2 2" xfId="30018"/>
    <cellStyle name="Style 45 4 2 3 4 2 2" xfId="30019"/>
    <cellStyle name="Date [mm-d-yyyy] 3 2 3 4 2 2" xfId="30020"/>
    <cellStyle name="Title [Palat] 2 2 2 2 4 2 2" xfId="30021"/>
    <cellStyle name="Bold/Border 2 2 2 7 2 2" xfId="30022"/>
    <cellStyle name="Style 45 4 3 7 2 2" xfId="30023"/>
    <cellStyle name="PB Table Standard Row 3 3 7 2 2" xfId="30024"/>
    <cellStyle name="Date [mm-d-yyyy] 5 3 2 2" xfId="30025"/>
    <cellStyle name="Bold/Border 2 2 3 7 2 2" xfId="30026"/>
    <cellStyle name="Title [Helv] 2 2 3 7 2 2" xfId="30027"/>
    <cellStyle name="Style 45 4 4 4 2 2" xfId="30028"/>
    <cellStyle name="dp*ThinLineBelow 3 3 3 4 2 2" xfId="30029"/>
    <cellStyle name="PB Table Standard Row 3 3 3 4 2 2" xfId="30030"/>
    <cellStyle name="ac 2 2 3 3 4 2 2" xfId="30031"/>
    <cellStyle name="Heading [Helv] 2 2 3 3 4 2 2" xfId="30032"/>
    <cellStyle name="Title [Palat] 2 2 4 4 2 2" xfId="30033"/>
    <cellStyle name="Outputs 2 2 4 4 2 2" xfId="30034"/>
    <cellStyle name="Title [Palat] 2 2 3 4 4 2 2" xfId="30035"/>
    <cellStyle name="dp*SheetSubTitle 2 2 3 4 4 2 2" xfId="30036"/>
    <cellStyle name="ac 2 2 3 4 4 2 2" xfId="30037"/>
    <cellStyle name="Afjusted 3 3 4 4 2 2" xfId="30038"/>
    <cellStyle name="COL HEADINGS 2 2 3 4 4 2 2" xfId="30039"/>
    <cellStyle name="P-Green Rule 2 2 4 2 2" xfId="30040"/>
    <cellStyle name="Style 49 3 2 4 2 2" xfId="30041"/>
    <cellStyle name="Style 49 2 2 4 2 2" xfId="30042"/>
    <cellStyle name="Title [Helv] 2 2 3 4 4 2 2" xfId="30043"/>
    <cellStyle name="Bold/Border 2 2 3 4 4 2 2" xfId="30044"/>
    <cellStyle name="dp*NumberLine 2 5 7 2" xfId="30045"/>
    <cellStyle name="Heading [Helv] 4 3 2 2" xfId="30046"/>
    <cellStyle name="Heading [Palat] 4 3 2 2" xfId="30047"/>
    <cellStyle name="Title [Helv] 2 2 7 2 2" xfId="30048"/>
    <cellStyle name="Heading [Palat] 2 2 7 2 2" xfId="30049"/>
    <cellStyle name="COL HEADINGS 2 2 7 2 2" xfId="30050"/>
    <cellStyle name="ac 2 2 7 2 2" xfId="30051"/>
    <cellStyle name="Style 51 2 4 7 2" xfId="30052"/>
    <cellStyle name="Outputs 4 3 2 2" xfId="30053"/>
    <cellStyle name="PB Table Standard Row 5 3 2 2" xfId="30054"/>
    <cellStyle name="P-Green Rule 5 3 2 2" xfId="30055"/>
    <cellStyle name="Table Head Aligned 2 10 2" xfId="30056"/>
    <cellStyle name="Bold/Border 2 11 2" xfId="30057"/>
    <cellStyle name="Style 44 6 3 2 2" xfId="30058"/>
    <cellStyle name="Style 45 6 3 2 2" xfId="30059"/>
    <cellStyle name="Style 49 6 3 2 2" xfId="30060"/>
    <cellStyle name="Style 51 6 3 2 2" xfId="30061"/>
    <cellStyle name="Table Head Green 4 3 2 2" xfId="30062"/>
    <cellStyle name="Heading [Helv] 2 9 2 2" xfId="30063"/>
    <cellStyle name="Afjusted 6 3 2 2" xfId="30064"/>
    <cellStyle name="ac 2 5 3 2 2" xfId="30065"/>
    <cellStyle name="Afjusted 2 4 3 2 2" xfId="30066"/>
    <cellStyle name="Bold/Border 2 5 3 2 2" xfId="30067"/>
    <cellStyle name="Border Thin 2 5 3 2 2" xfId="30068"/>
    <cellStyle name="COL HEADINGS 2 5 3 2 2" xfId="30069"/>
    <cellStyle name="Date [mmm-yyyy] 2 5 3 2 2" xfId="30070"/>
    <cellStyle name="dp*NumberLine 2 5 3 2 2" xfId="30071"/>
    <cellStyle name="dp*NumberLineEPS 2 5 3 2 2" xfId="30072"/>
    <cellStyle name="dp*SheetSubTitle 2 5 3 2 2" xfId="30073"/>
    <cellStyle name="dp*SubTitle 2 5 3 2 2" xfId="30074"/>
    <cellStyle name="dp*ThinLineBelow 2 5 3 2 2" xfId="30075"/>
    <cellStyle name="Heading [Helv] 2 5 3 2 2" xfId="30076"/>
    <cellStyle name="Heading [Palat] 2 5 3 2 2" xfId="30077"/>
    <cellStyle name="Magic 2 5 3 2 2" xfId="30078"/>
    <cellStyle name="Outputs 2 5 3 2 2" xfId="30079"/>
    <cellStyle name="PB Table Standard Row 2 5 3 2 2" xfId="30080"/>
    <cellStyle name="P-Green Rule 2 5 3 2 2" xfId="30081"/>
    <cellStyle name="Style 44 3 5 3 2 2" xfId="30082"/>
    <cellStyle name="Style 45 3 5 3 2 2" xfId="30083"/>
    <cellStyle name="Style 49 3 5 3 2 2" xfId="30084"/>
    <cellStyle name="Style 51 3 5 3 2 2" xfId="30085"/>
    <cellStyle name="Style 44 2 5 3 2 2" xfId="30086"/>
    <cellStyle name="Style 45 2 5 3 2 2" xfId="30087"/>
    <cellStyle name="Style 49 2 5 3 2 2" xfId="30088"/>
    <cellStyle name="Style 51 2 5 3 2 2" xfId="30089"/>
    <cellStyle name="Table Head Aligned 2 5 3 2 2" xfId="30090"/>
    <cellStyle name="Table Head Green 2 5 3 2 2" xfId="30091"/>
    <cellStyle name="Title [Helv] 2 5 3 2 2" xfId="30092"/>
    <cellStyle name="Title [Palat] 2 5 3 2 2" xfId="30093"/>
    <cellStyle name="Magic 2 2 3 2 4 2 2" xfId="30094"/>
    <cellStyle name="Table Head Green 2 3 4 2 2" xfId="30095"/>
    <cellStyle name="Outputs 2 2 3 2 4 2 2" xfId="30096"/>
    <cellStyle name="Heading [Palat] 2 2 3 4 4 2 2" xfId="30097"/>
    <cellStyle name="P-Green Rule 5 4 2 2" xfId="30098"/>
    <cellStyle name="Date [mm-d-yyyy] 5 4 2 2" xfId="30099"/>
    <cellStyle name="ac 4 4 2 2" xfId="30100"/>
    <cellStyle name="Table Head Aligned 2 4 4 2 2" xfId="30101"/>
    <cellStyle name="ac 5 3 2 2" xfId="30102"/>
    <cellStyle name="Bold/Border 3 4 2 2" xfId="30103"/>
    <cellStyle name="dp*NumberLineEPS 3 4 2 2" xfId="30104"/>
    <cellStyle name="Bold/Border 6 7 2" xfId="30105"/>
    <cellStyle name="dp*NumberLineEPS 4 7 2" xfId="30106"/>
    <cellStyle name="Heading [Helv] 3 4 2 2" xfId="30107"/>
    <cellStyle name="Title [Palat] 3 4 2 2" xfId="30108"/>
    <cellStyle name="Bold/Border 5 3 2 2" xfId="30109"/>
    <cellStyle name="Border Thin 6 3 2 2" xfId="30110"/>
    <cellStyle name="PB Table Standard Row 4 4 2 2" xfId="30111"/>
    <cellStyle name="Date [mm-d-yyyy] 4 4 2 2" xfId="30112"/>
    <cellStyle name="Title [Palat] 2 2 2 4 4 2 2" xfId="30113"/>
    <cellStyle name="Table Head Aligned 2 2 2 4 4 2 2" xfId="30114"/>
    <cellStyle name="Heading [Helv] 2 2 2 4 4 2 2" xfId="30115"/>
    <cellStyle name="COL HEADINGS 2 2 2 4 4 2 2" xfId="30116"/>
    <cellStyle name="Style 44 4 2 4 4 2 2" xfId="30117"/>
    <cellStyle name="PB Table Standard Row 3 2 4 4 2 2" xfId="30118"/>
    <cellStyle name="COL HEADINGS 5 3 2 2" xfId="30119"/>
    <cellStyle name="Afjusted 3 2 4 4 2 2" xfId="30120"/>
    <cellStyle name="Heading [Palat] 2 2 2 3 4 2 2" xfId="30121"/>
    <cellStyle name="dp*NumberLineEPS 2 2 2 3 4 2 2" xfId="30122"/>
    <cellStyle name="COL HEADINGS 2 2 2 3 4 2 2" xfId="30123"/>
    <cellStyle name="ac 2 2 2 3 4 2 2" xfId="30124"/>
    <cellStyle name="dp*SubTitle 3 2 3 4 2 2" xfId="30125"/>
    <cellStyle name="P-Green Rule 3 2 3 4 2 2" xfId="30126"/>
    <cellStyle name="Style 49 4 2 3 4 2 2" xfId="30127"/>
    <cellStyle name="Afjusted 3 2 3 4 2 2" xfId="30128"/>
    <cellStyle name="Title [Helv] 2 2 2 2 4 2 2" xfId="30129"/>
    <cellStyle name="Afjusted 2 2 2 7 2 2" xfId="30130"/>
    <cellStyle name="Date [mm-d-yyyy] 3 3 7 2 2" xfId="30131"/>
    <cellStyle name="Style 51 4 3 7 2 2" xfId="30132"/>
    <cellStyle name="Style 44 4 3 7 2 2" xfId="30133"/>
    <cellStyle name="dp*ThinLineBelow 3 3 7 2 2" xfId="30134"/>
    <cellStyle name="Afjusted 4 3 7 2 2" xfId="30135"/>
    <cellStyle name="Date [mm-d-yyyy] 6 2 2 2" xfId="30136"/>
    <cellStyle name="COL HEADINGS 2 2 3 7 2 2" xfId="30137"/>
    <cellStyle name="Title [Palat] 2 2 3 7 2 2" xfId="30138"/>
    <cellStyle name="Afjusted 2 2 4 4 2 2" xfId="30139"/>
    <cellStyle name="Border Thin 3 3 4 4 2 2" xfId="30140"/>
    <cellStyle name="Style 49 4 4 4 2 2" xfId="30141"/>
    <cellStyle name="Afjusted 2 2 3 3 4 2 2" xfId="30142"/>
    <cellStyle name="Border Thin 3 3 3 4 2 2" xfId="30143"/>
    <cellStyle name="COL HEADINGS 2 2 3 3 4 2 2" xfId="30144"/>
    <cellStyle name="Magic 2 2 3 3 4 2 2" xfId="30145"/>
    <cellStyle name="Title [Helv] 2 2 4 4 2 2" xfId="30146"/>
    <cellStyle name="Heading [Palat] 2 2 4 4 2 2" xfId="30147"/>
    <cellStyle name="Table Head Aligned 2 2 3 4 4 2 2" xfId="30148"/>
    <cellStyle name="dp*NumberLineEPS 2 2 3 4 4 2 2" xfId="30149"/>
    <cellStyle name="Afjusted 4 3 4 4 2 2" xfId="30150"/>
    <cellStyle name="Style 44 3 3 4 2 2" xfId="30151"/>
    <cellStyle name="dp*ThinLineBelow 2 2 4 2 2" xfId="30152"/>
    <cellStyle name="Style 44 3 2 4 2 2" xfId="30153"/>
    <cellStyle name="Style 51 3 2 4 2 2" xfId="30154"/>
    <cellStyle name="Style 45 2 2 4 2 2" xfId="30155"/>
    <cellStyle name="Magic 2 2 3 4 4 2 2" xfId="30156"/>
    <cellStyle name="COL HEADINGS 2 5 7 2" xfId="30157"/>
    <cellStyle name="Heading [Helv] 5 3 2 2" xfId="30158"/>
    <cellStyle name="Heading [Palat] 5 3 2 2" xfId="30159"/>
    <cellStyle name="Table Head Green 2 2 7 2 2" xfId="30160"/>
    <cellStyle name="Heading [Helv] 2 2 7 2 2" xfId="30161"/>
    <cellStyle name="Bold/Border 2 2 7 2 2" xfId="30162"/>
    <cellStyle name="Style 49 2 8 2 2" xfId="30163"/>
    <cellStyle name="Table Head Aligned 2 2 3 2 7 2" xfId="30164"/>
    <cellStyle name="Outputs 5 3 2 2" xfId="30165"/>
    <cellStyle name="PB Table Standard Row 6 3 2 2" xfId="30166"/>
    <cellStyle name="P-Green Rule 6 3 2 2" xfId="30167"/>
    <cellStyle name="Style 49 2 10 2" xfId="30168"/>
    <cellStyle name="Outputs 2 11 2" xfId="30169"/>
    <cellStyle name="dp*SheetSubTitle 2 10 2" xfId="30170"/>
    <cellStyle name="ac 2 11 2" xfId="30171"/>
    <cellStyle name="Style 44 7 3 2 2" xfId="30172"/>
    <cellStyle name="Style 45 7 3 2 2" xfId="30173"/>
    <cellStyle name="Style 49 7 3 2 2" xfId="30174"/>
    <cellStyle name="Style 51 7 3 2 2" xfId="30175"/>
    <cellStyle name="Table Head Green 5 3 2 2" xfId="30176"/>
    <cellStyle name="Title [Palat] 4 3 2 2" xfId="30177"/>
    <cellStyle name="Style 51 8 7 2" xfId="30178"/>
    <cellStyle name="Style 44 6 7 2" xfId="30179"/>
    <cellStyle name="ac 2 6 3 2 2" xfId="30180"/>
    <cellStyle name="Bold/Border 2 6 3 2 2" xfId="30181"/>
    <cellStyle name="Border Thin 2 6 3 2 2" xfId="30182"/>
    <cellStyle name="COL HEADINGS 2 6 3 2 2" xfId="30183"/>
    <cellStyle name="Date [mm-d-yyyy] 2 3 2 2 2" xfId="30184"/>
    <cellStyle name="Bold/Border 2 2 3 3 4 2 2" xfId="30185"/>
    <cellStyle name="Heading [Helv] 2 6 3 2 2" xfId="30186"/>
    <cellStyle name="Heading [Palat] 2 6 3 2 2" xfId="30187"/>
    <cellStyle name="Outputs 2 2 3 3 4 2 2" xfId="30188"/>
    <cellStyle name="Outputs 2 6 3 2 2" xfId="30189"/>
    <cellStyle name="PB Table Standard Row 2 6 3 2 2" xfId="30190"/>
    <cellStyle name="P-Green Rule 2 6 3 2 2" xfId="30191"/>
    <cellStyle name="Style 44 3 6 3 2 2" xfId="30192"/>
    <cellStyle name="Style 45 3 6 3 2 2" xfId="30193"/>
    <cellStyle name="Style 49 3 6 3 2 2" xfId="30194"/>
    <cellStyle name="Style 51 3 6 3 2 2" xfId="30195"/>
    <cellStyle name="Style 44 2 6 3 2 2" xfId="30196"/>
    <cellStyle name="Style 45 2 6 3 2 2" xfId="30197"/>
    <cellStyle name="Style 49 2 6 3 2 2" xfId="30198"/>
    <cellStyle name="Style 51 2 6 3 2 2" xfId="30199"/>
    <cellStyle name="Table Head Green 2 6 3 2 2" xfId="30200"/>
    <cellStyle name="Title [Palat] 2 6 3 2 2" xfId="30201"/>
    <cellStyle name="Table Head Green 2 2 3 4 4 2 2" xfId="30202"/>
    <cellStyle name="Table Head Green 2 2 2 7 2 2" xfId="30203"/>
    <cellStyle name="Outputs 2 2 2 7 2 2" xfId="30204"/>
    <cellStyle name="PB Table Standard Row 2 4 5 2 2" xfId="30205"/>
    <cellStyle name="Magic 6 6 2" xfId="30206"/>
    <cellStyle name="Outputs 7 6 2" xfId="30207"/>
    <cellStyle name="Title [Helv] 2 2 3 2 4 2 2" xfId="30208"/>
    <cellStyle name="dp*NumberLine 5 6 2" xfId="30209"/>
    <cellStyle name="Heading [Palat] 7 6 2" xfId="30210"/>
    <cellStyle name="Heading [Helv] 7 6 2" xfId="30211"/>
    <cellStyle name="PB Table Standard Row 3 5 4 2 2" xfId="30212"/>
    <cellStyle name="P-Green Rule 3 2 2 4 2 2" xfId="30213"/>
    <cellStyle name="Style 49 4 2 2 4 2 2" xfId="30214"/>
    <cellStyle name="dp*NumberLineEPS 2 8 2 2" xfId="30215"/>
    <cellStyle name="Heading [Helv] 2 2 2 7 2 2" xfId="30216"/>
    <cellStyle name="Title [Palat] 5 3 2 2" xfId="30217"/>
    <cellStyle name="Title [Helv] 4 3 2 2" xfId="30218"/>
    <cellStyle name="Table Head Green 6 3 2 2" xfId="30219"/>
    <cellStyle name="Table Head Aligned 4 3 2 2" xfId="30220"/>
    <cellStyle name="dp*NumberLine 2 10 2" xfId="30221"/>
    <cellStyle name="Style 45 2 9 2" xfId="30222"/>
    <cellStyle name="Bold/Border 2 2 9 2" xfId="30223"/>
    <cellStyle name="Heading [Palat] 2 2 9 2" xfId="30224"/>
    <cellStyle name="COL HEADINGS 6 7 2" xfId="30225"/>
    <cellStyle name="dp*ThinLineBelow 5 6 2" xfId="30226"/>
    <cellStyle name="Outputs 6 3 2 2" xfId="30227"/>
    <cellStyle name="Magic 4 3 2 2" xfId="30228"/>
    <cellStyle name="ac 2 5 7 2" xfId="30229"/>
    <cellStyle name="dp*NumberLine 2 2 7 2 2" xfId="30230"/>
    <cellStyle name="Heading [Palat] 6 3 2 2" xfId="30231"/>
    <cellStyle name="Heading [Helv] 6 3 2 2" xfId="30232"/>
    <cellStyle name="Bold/Border 2 5 7 2" xfId="30233"/>
    <cellStyle name="dp*ThinLineBelow 5 3 2 2" xfId="30234"/>
    <cellStyle name="dp*SubTitle 5 3 2 2" xfId="30235"/>
    <cellStyle name="dp*SheetSubTitle 4 3 2 2" xfId="30236"/>
    <cellStyle name="dp*NumberLineEPS 4 3 2 2" xfId="30237"/>
    <cellStyle name="dp*NumberLine 4 3 2 2" xfId="30238"/>
    <cellStyle name="ac 2 3 4 2 2" xfId="30239"/>
    <cellStyle name="Date [mmm-yyyy] 2 2 3 3 4 2 2" xfId="30240"/>
    <cellStyle name="Title [Helv] 2 3 4 2 2" xfId="30241"/>
    <cellStyle name="Date [mmm-yyyy] 4 3 2 2" xfId="30242"/>
    <cellStyle name="Date [mm-d-yyyy] 7 3 2 2" xfId="30243"/>
    <cellStyle name="COL HEADINGS 6 3 2 2" xfId="30244"/>
    <cellStyle name="dp*SheetSubTitle 2 2 2 4 4 2 2" xfId="30245"/>
    <cellStyle name="Border Thin 7 3 2 2" xfId="30246"/>
    <cellStyle name="Bold/Border 6 3 2 2" xfId="30247"/>
    <cellStyle name="dp*SubTitle 5 5 2" xfId="30248"/>
    <cellStyle name="Border Thin 7 5 2" xfId="30249"/>
    <cellStyle name="Afjusted 7 3 2 2" xfId="30250"/>
    <cellStyle name="ac 6 3 2 2" xfId="30251"/>
    <cellStyle name="dp*SheetSubTitle 2 2 9 2" xfId="30252"/>
    <cellStyle name="ac 2 2 9 2" xfId="30253"/>
    <cellStyle name="Style 44 8 3 2 2" xfId="30254"/>
    <cellStyle name="Style 45 8 3 2 2" xfId="30255"/>
    <cellStyle name="Style 49 8 3 2 2" xfId="30256"/>
    <cellStyle name="Style 51 8 3 2 2" xfId="30257"/>
    <cellStyle name="Bold/Border 2 9 2 2" xfId="30258"/>
    <cellStyle name="Afjusted 3 2 2 4 2 2" xfId="30259"/>
    <cellStyle name="Style 44 4 2 2 4 2 2" xfId="30260"/>
    <cellStyle name="Heading [Helv] 2 2 2 2 4 2 2" xfId="30261"/>
    <cellStyle name="Style 45 4 5 4 2 2" xfId="30262"/>
    <cellStyle name="Afjusted 4 3 2 4 2 2" xfId="30263"/>
    <cellStyle name="PB Table Standard Row 2 3 3 2 2" xfId="30264"/>
    <cellStyle name="Style 51 4 2 2 4 2 2" xfId="30265"/>
    <cellStyle name="Title [Palat] 6 3 2 2" xfId="30266"/>
    <cellStyle name="Title [Helv] 5 3 2 2" xfId="30267"/>
    <cellStyle name="Table Head Green 7 3 2 2" xfId="30268"/>
    <cellStyle name="Table Head Aligned 5 3 2 2" xfId="30269"/>
    <cellStyle name="Outputs 7 3 2 2" xfId="30270"/>
    <cellStyle name="Magic 5 3 2 2" xfId="30271"/>
    <cellStyle name="Heading [Palat] 7 3 2 2" xfId="30272"/>
    <cellStyle name="Heading [Helv] 7 3 2 2" xfId="30273"/>
    <cellStyle name="dp*SheetSubTitle 5 3 2 2" xfId="30274"/>
    <cellStyle name="dp*NumberLineEPS 5 3 2 2" xfId="30275"/>
    <cellStyle name="dp*NumberLine 5 3 2 2" xfId="30276"/>
    <cellStyle name="Date [mmm-yyyy] 5 3 2 2" xfId="30277"/>
    <cellStyle name="COL HEADINGS 7 3 2 2" xfId="30278"/>
    <cellStyle name="Bold/Border 7 3 2 2" xfId="30279"/>
    <cellStyle name="Afjusted 8 3 2 2" xfId="30280"/>
    <cellStyle name="ac 7 3 2 2" xfId="30281"/>
    <cellStyle name="Title [Palat] 7 3 2 2" xfId="30282"/>
    <cellStyle name="Title [Helv] 6 3 2 2" xfId="30283"/>
    <cellStyle name="Table Head Green 8 3 2 2" xfId="30284"/>
    <cellStyle name="Table Head Aligned 6 3 2 2" xfId="30285"/>
    <cellStyle name="Date [mmm-yyyy] 2 10 2" xfId="30286"/>
    <cellStyle name="Style 49 3 10 2" xfId="30287"/>
    <cellStyle name="dp*NumberLine 2 2 9 2" xfId="30288"/>
    <cellStyle name="Outputs 8 3 2 2" xfId="30289"/>
    <cellStyle name="Magic 6 3 2 2" xfId="30290"/>
    <cellStyle name="Heading [Palat] 8 3 2 2" xfId="30291"/>
    <cellStyle name="Heading [Helv] 8 3 2 2" xfId="30292"/>
    <cellStyle name="dp*SheetSubTitle 6 3 2 2" xfId="30293"/>
    <cellStyle name="dp*NumberLineEPS 6 3 2 2" xfId="30294"/>
    <cellStyle name="dp*NumberLine 6 3 2 2" xfId="30295"/>
    <cellStyle name="COL HEADINGS 8 3 2 2" xfId="30296"/>
    <cellStyle name="dp*NumberLineEPS 2 2 2 4 4 2 2" xfId="30297"/>
    <cellStyle name="Bold/Border 8 3 2 2" xfId="30298"/>
    <cellStyle name="Magic 4 7 2" xfId="30299"/>
    <cellStyle name="Date [mm-d-yyyy] 7 6 2" xfId="30300"/>
    <cellStyle name="Afjusted 9 3 2 2" xfId="30301"/>
    <cellStyle name="ac 8 3 2 2" xfId="30302"/>
    <cellStyle name="Date [mmm-yyyy] 6 3 2 2" xfId="30303"/>
    <cellStyle name="Title [Palat] 8 3 2 2" xfId="30304"/>
    <cellStyle name="Title [Helv] 7 3 2 2" xfId="30305"/>
    <cellStyle name="Table Head Green 9 3 2 2" xfId="30306"/>
    <cellStyle name="Table Head Aligned 7 3 2 2" xfId="30307"/>
    <cellStyle name="Outputs 9 3 2 2" xfId="30308"/>
    <cellStyle name="Magic 7 3 2 2" xfId="30309"/>
    <cellStyle name="Heading [Palat] 9 3 2 2" xfId="30310"/>
    <cellStyle name="Heading [Helv] 9 3 2 2" xfId="30311"/>
    <cellStyle name="dp*SheetSubTitle 7 3 2 2" xfId="30312"/>
    <cellStyle name="dp*NumberLineEPS 7 3 2 2" xfId="30313"/>
    <cellStyle name="dp*NumberLine 7 3 2 2" xfId="30314"/>
    <cellStyle name="Date [mmm-yyyy] 7 3 2 2" xfId="30315"/>
    <cellStyle name="COL HEADINGS 9 3 2 2" xfId="30316"/>
    <cellStyle name="Bold/Border 9 3 2 2" xfId="30317"/>
    <cellStyle name="Afjusted 10 3 2 2" xfId="30318"/>
    <cellStyle name="ac 9 3 2 2" xfId="30319"/>
    <cellStyle name="Title [Palat] 2 2 2 7 2 2" xfId="30320"/>
    <cellStyle name="Heading [Palat] 3 4 2 2" xfId="30321"/>
    <cellStyle name="Afjusted 3 2 7 2 2" xfId="30322"/>
    <cellStyle name="dp*NumberLine 2 2 3 4 7 2" xfId="30323"/>
    <cellStyle name="Afjusted 3 6 2 2 2" xfId="30324"/>
    <cellStyle name="ac 2 7 2 2 2" xfId="30325"/>
    <cellStyle name="Afjusted 2 5 2 2 2" xfId="30326"/>
    <cellStyle name="Bold/Border 2 7 2 2 2" xfId="30327"/>
    <cellStyle name="COL HEADINGS 2 7 2 2 2" xfId="30328"/>
    <cellStyle name="Date [mmm-yyyy] 2 6 2 2 2" xfId="30329"/>
    <cellStyle name="dp*NumberLine 2 6 2 2 2" xfId="30330"/>
    <cellStyle name="dp*NumberLineEPS 2 6 2 2 2" xfId="30331"/>
    <cellStyle name="dp*SheetSubTitle 2 6 2 2 2" xfId="30332"/>
    <cellStyle name="Heading [Helv] 2 7 2 2 2" xfId="30333"/>
    <cellStyle name="Heading [Palat] 2 7 2 2 2" xfId="30334"/>
    <cellStyle name="Magic 2 6 2 2 2" xfId="30335"/>
    <cellStyle name="Outputs 2 7 2 2 2" xfId="30336"/>
    <cellStyle name="Table Head Aligned 2 6 2 2 2" xfId="30337"/>
    <cellStyle name="Table Head Green 2 7 2 2 2" xfId="30338"/>
    <cellStyle name="Title [Helv] 2 6 2 2 2" xfId="30339"/>
    <cellStyle name="Title [Palat] 2 7 2 2 2" xfId="30340"/>
    <cellStyle name="Date [mm-d-yyyy] 3 6 2 2 2" xfId="30341"/>
    <cellStyle name="Style 51 4 6 2 2 2" xfId="30342"/>
    <cellStyle name="Style 49 4 6 2 2 2" xfId="30343"/>
    <cellStyle name="Style 45 4 6 2 2 2" xfId="30344"/>
    <cellStyle name="Style 44 4 6 2 2 2" xfId="30345"/>
    <cellStyle name="P-Green Rule 3 6 2 2 2" xfId="30346"/>
    <cellStyle name="PB Table Standard Row 3 6 2 2 2" xfId="30347"/>
    <cellStyle name="dp*ThinLineBelow 3 6 2 2 2" xfId="30348"/>
    <cellStyle name="dp*SubTitle 3 6 2 2 2" xfId="30349"/>
    <cellStyle name="Border Thin 3 6 2 2 2" xfId="30350"/>
    <cellStyle name="Afjusted 4 6 2 2 2" xfId="30351"/>
    <cellStyle name="ac 2 2 5 2 2 2" xfId="30352"/>
    <cellStyle name="Afjusted 2 2 6 2 2 2" xfId="30353"/>
    <cellStyle name="Bold/Border 2 2 5 2 2 2" xfId="30354"/>
    <cellStyle name="COL HEADINGS 2 2 5 2 2 2" xfId="30355"/>
    <cellStyle name="Date [mmm-yyyy] 2 2 5 2 2 2" xfId="30356"/>
    <cellStyle name="dp*NumberLine 2 2 5 2 2 2" xfId="30357"/>
    <cellStyle name="dp*NumberLineEPS 2 2 5 2 2 2" xfId="30358"/>
    <cellStyle name="dp*SheetSubTitle 2 2 5 2 2 2" xfId="30359"/>
    <cellStyle name="Heading [Helv] 2 2 5 2 2 2" xfId="30360"/>
    <cellStyle name="Heading [Palat] 2 2 5 2 2 2" xfId="30361"/>
    <cellStyle name="Magic 2 2 5 2 2 2" xfId="30362"/>
    <cellStyle name="Outputs 2 2 5 2 2 2" xfId="30363"/>
    <cellStyle name="Table Head Aligned 2 2 5 2 2 2" xfId="30364"/>
    <cellStyle name="Table Head Green 2 2 5 2 2 2" xfId="30365"/>
    <cellStyle name="Title [Helv] 2 2 5 2 2 2" xfId="30366"/>
    <cellStyle name="Title [Palat] 2 2 5 2 2 2" xfId="30367"/>
    <cellStyle name="dp*SubTitle 2 2 2 2 2 2" xfId="30368"/>
    <cellStyle name="Border Thin 2 2 2 2 2 2" xfId="30369"/>
    <cellStyle name="Bold/Border 2 2 3 4 2 2 2 2" xfId="30370"/>
    <cellStyle name="Magic 2 2 3 4 2 2 2 2" xfId="30371"/>
    <cellStyle name="Title [Helv] 2 2 3 4 2 2 2 2" xfId="30372"/>
    <cellStyle name="Style 51 2 2 2 2 2 2" xfId="30373"/>
    <cellStyle name="Style 45 2 2 2 2 2 2" xfId="30374"/>
    <cellStyle name="Style 49 2 2 2 2 2 2" xfId="30375"/>
    <cellStyle name="Style 44 2 2 2 2 2 2" xfId="30376"/>
    <cellStyle name="Style 51 3 2 2 2 2 2" xfId="30377"/>
    <cellStyle name="Style 49 3 2 2 2 2 2" xfId="30378"/>
    <cellStyle name="Style 45 3 2 2 2 2 2" xfId="30379"/>
    <cellStyle name="Style 44 3 2 2 2 2 2" xfId="30380"/>
    <cellStyle name="P-Green Rule 2 2 2 2 2 2" xfId="30381"/>
    <cellStyle name="PB Table Standard Row 2 2 2 2 2 2" xfId="30382"/>
    <cellStyle name="dp*ThinLineBelow 2 2 2 2 2 2" xfId="30383"/>
    <cellStyle name="dp*ThinLineBelow 2 3 2 2 2 2" xfId="30384"/>
    <cellStyle name="Style 44 3 3 2 2 2 2" xfId="30385"/>
    <cellStyle name="COL HEADINGS 2 2 3 4 2 2 2 2" xfId="30386"/>
    <cellStyle name="Style 49 4 3 4 2 2 2 2" xfId="30387"/>
    <cellStyle name="Afjusted 3 3 4 2 2 2 2" xfId="30388"/>
    <cellStyle name="Date [mm-d-yyyy] 3 3 4 2 2 2 2" xfId="30389"/>
    <cellStyle name="Afjusted 4 3 4 2 2 2 2" xfId="30390"/>
    <cellStyle name="ac 2 2 3 4 2 2 2 2" xfId="30391"/>
    <cellStyle name="Afjusted 2 2 3 4 2 2 2 2" xfId="30392"/>
    <cellStyle name="Date [mmm-yyyy] 2 2 3 4 2 2 2 2" xfId="30393"/>
    <cellStyle name="dp*NumberLine 2 2 3 4 2 2 2 2" xfId="30394"/>
    <cellStyle name="dp*NumberLineEPS 2 2 3 4 2 2 2 2" xfId="30395"/>
    <cellStyle name="dp*SheetSubTitle 2 2 3 4 2 2 2 2" xfId="30396"/>
    <cellStyle name="Heading [Helv] 2 2 3 4 2 2 2 2" xfId="30397"/>
    <cellStyle name="Outputs 2 2 3 4 2 2 2 2" xfId="30398"/>
    <cellStyle name="Table Head Aligned 2 2 3 4 2 2 2 2" xfId="30399"/>
    <cellStyle name="Title [Palat] 2 2 3 4 2 2 2 2" xfId="30400"/>
    <cellStyle name="Afjusted 3 5 2 2 2 2" xfId="30401"/>
    <cellStyle name="Style 45 3 3 2 2 2 2" xfId="30402"/>
    <cellStyle name="Style 51 3 3 2 2 2 2" xfId="30403"/>
    <cellStyle name="Style 44 2 3 2 2 2 2" xfId="30404"/>
    <cellStyle name="Style 45 2 3 2 2 2 2" xfId="30405"/>
    <cellStyle name="Style 49 2 3 2 2 2 2" xfId="30406"/>
    <cellStyle name="Border Thin 3 5 2 2 2 2" xfId="30407"/>
    <cellStyle name="ac 2 2 4 2 2 2 2" xfId="30408"/>
    <cellStyle name="Afjusted 2 2 5 2 2 2 2" xfId="30409"/>
    <cellStyle name="Bold/Border 2 2 4 2 2 2 2" xfId="30410"/>
    <cellStyle name="COL HEADINGS 2 2 4 2 2 2 2" xfId="30411"/>
    <cellStyle name="Date [mmm-yyyy] 2 2 4 2 2 2 2" xfId="30412"/>
    <cellStyle name="dp*NumberLine 2 2 4 2 2 2 2" xfId="30413"/>
    <cellStyle name="dp*NumberLineEPS 2 2 4 2 2 2 2" xfId="30414"/>
    <cellStyle name="dp*SheetSubTitle 2 2 4 2 2 2 2" xfId="30415"/>
    <cellStyle name="Heading [Palat] 2 2 4 2 2 2 2" xfId="30416"/>
    <cellStyle name="Outputs 2 2 4 2 2 2 2" xfId="30417"/>
    <cellStyle name="Magic 2 2 4 2 2 2 2" xfId="30418"/>
    <cellStyle name="Title [Helv] 2 2 4 2 2 2 2" xfId="30419"/>
    <cellStyle name="Title [Palat] 2 2 4 2 2 2 2" xfId="30420"/>
    <cellStyle name="Title [Palat] 2 2 3 3 2 2 2 2" xfId="30421"/>
    <cellStyle name="Title [Helv] 2 2 3 3 2 2 2 2" xfId="30422"/>
    <cellStyle name="Table Head Aligned 2 2 3 3 2 2 2 2" xfId="30423"/>
    <cellStyle name="Magic 2 2 3 3 2 2 2 2" xfId="30424"/>
    <cellStyle name="Heading [Helv] 2 2 3 3 2 2 2 2" xfId="30425"/>
    <cellStyle name="dp*NumberLineEPS 2 2 3 3 2 2 2 2" xfId="30426"/>
    <cellStyle name="COL HEADINGS 2 2 3 3 2 2 2 2" xfId="30427"/>
    <cellStyle name="ac 2 2 3 3 2 2 2 2" xfId="30428"/>
    <cellStyle name="Afjusted 4 3 3 2 2 2 2" xfId="30429"/>
    <cellStyle name="Border Thin 3 3 3 2 2 2 2" xfId="30430"/>
    <cellStyle name="PB Table Standard Row 3 3 3 2 2 2 2" xfId="30431"/>
    <cellStyle name="Style 44 4 3 3 2 2 2 2" xfId="30432"/>
    <cellStyle name="Style 51 4 3 3 2 2 2 2" xfId="30433"/>
    <cellStyle name="Afjusted 3 3 3 2 2 2 2" xfId="30434"/>
    <cellStyle name="Style 49 4 5 2 2 2 2" xfId="30435"/>
    <cellStyle name="Style 44 4 5 2 2 2 2" xfId="30436"/>
    <cellStyle name="P-Green Rule 3 5 2 2 2 2" xfId="30437"/>
    <cellStyle name="dp*SubTitle 3 5 2 2 2 2" xfId="30438"/>
    <cellStyle name="Afjusted 4 5 2 2 2 2" xfId="30439"/>
    <cellStyle name="ac 2 3 2 2 2 2" xfId="30440"/>
    <cellStyle name="Bold/Border 2 3 2 2 2 2" xfId="30441"/>
    <cellStyle name="COL HEADINGS 2 3 2 2 2 2" xfId="30442"/>
    <cellStyle name="Date [mmm-yyyy] 2 3 2 2 2 2" xfId="30443"/>
    <cellStyle name="dp*NumberLine 2 3 2 2 2 2" xfId="30444"/>
    <cellStyle name="dp*NumberLineEPS 2 3 2 2 2 2" xfId="30445"/>
    <cellStyle name="dp*SheetSubTitle 2 3 2 2 2 2" xfId="30446"/>
    <cellStyle name="Heading [Helv] 2 3 2 2 2 2" xfId="30447"/>
    <cellStyle name="Heading [Palat] 2 3 2 2 2 2" xfId="30448"/>
    <cellStyle name="Magic 2 3 2 2 2 2" xfId="30449"/>
    <cellStyle name="Outputs 2 3 2 2 2 2" xfId="30450"/>
    <cellStyle name="Date [mmm-yyyy] 2 2 3 3 2 2 2 2" xfId="30451"/>
    <cellStyle name="Afjusted 2 2 3 3 2 2 2 2" xfId="30452"/>
    <cellStyle name="dp*ThinLineBelow 3 3 3 2 2 2 2" xfId="30453"/>
    <cellStyle name="Style 49 4 3 3 2 2 2 2" xfId="30454"/>
    <cellStyle name="Outputs 2 2 3 3 2 2 2 2" xfId="30455"/>
    <cellStyle name="dp*NumberLine 2 2 3 3 2 2 2 2" xfId="30456"/>
    <cellStyle name="Bold/Border 2 2 3 3 2 2 2 2" xfId="30457"/>
    <cellStyle name="dp*SubTitle 3 3 3 2 2 2 2" xfId="30458"/>
    <cellStyle name="Style 45 4 3 3 2 2 2 2" xfId="30459"/>
    <cellStyle name="Table Head Aligned 2 3 2 2 2 2" xfId="30460"/>
    <cellStyle name="Table Head Green 2 3 2 2 2 2" xfId="30461"/>
    <cellStyle name="Title [Helv] 2 3 2 2 2 2" xfId="30462"/>
    <cellStyle name="Title [Palat] 2 3 2 2 2 2" xfId="30463"/>
    <cellStyle name="Style 45 4 3 4 2 2 2 2" xfId="30464"/>
    <cellStyle name="Style 51 4 3 4 2 2 2 2" xfId="30465"/>
    <cellStyle name="Afjusted 3 4 2 2 2 2" xfId="30466"/>
    <cellStyle name="P-Green Rule 3 3 4 2 2 2 2" xfId="30467"/>
    <cellStyle name="Border Thin 2 3 2 2 2 2" xfId="30468"/>
    <cellStyle name="Style 49 3 3 2 2 2 2" xfId="30469"/>
    <cellStyle name="Style 51 2 3 2 2 2 2" xfId="30470"/>
    <cellStyle name="Heading [Helv] 2 2 4 2 2 2 2" xfId="30471"/>
    <cellStyle name="Table Head Aligned 2 2 4 2 2 2 2" xfId="30472"/>
    <cellStyle name="Table Head Green 2 2 4 2 2 2 2" xfId="30473"/>
    <cellStyle name="Table Head Green 2 2 3 3 2 2 2 2" xfId="30474"/>
    <cellStyle name="Heading [Palat] 2 2 3 3 2 2 2 2" xfId="30475"/>
    <cellStyle name="dp*SheetSubTitle 2 2 3 3 2 2 2 2" xfId="30476"/>
    <cellStyle name="P-Green Rule 3 3 3 2 2 2 2" xfId="30477"/>
    <cellStyle name="Date [mm-d-yyyy] 3 3 3 2 2 2 2" xfId="30478"/>
    <cellStyle name="Date [mm-d-yyyy] 3 4 2 2 2 2" xfId="30479"/>
    <cellStyle name="Style 51 4 4 2 2 2 2" xfId="30480"/>
    <cellStyle name="Style 49 4 4 2 2 2 2" xfId="30481"/>
    <cellStyle name="Style 45 4 4 2 2 2 2" xfId="30482"/>
    <cellStyle name="Style 44 4 4 2 2 2 2" xfId="30483"/>
    <cellStyle name="dp*ThinLineBelow 3 3 4 2 2 2 2" xfId="30484"/>
    <cellStyle name="P-Green Rule 3 4 2 2 2 2" xfId="30485"/>
    <cellStyle name="dp*ThinLineBelow 3 4 2 2 2 2" xfId="30486"/>
    <cellStyle name="dp*SubTitle 3 4 2 2 2 2" xfId="30487"/>
    <cellStyle name="dp*SubTitle 3 3 4 2 2 2 2" xfId="30488"/>
    <cellStyle name="Border Thin 3 4 2 2 2 2" xfId="30489"/>
    <cellStyle name="Border Thin 3 3 4 2 2 2 2" xfId="30490"/>
    <cellStyle name="Afjusted 4 4 2 2 2 2" xfId="30491"/>
    <cellStyle name="Afjusted 2 2 4 2 2 2 2" xfId="30492"/>
    <cellStyle name="Style 44 4 3 4 2 2 2 2" xfId="30493"/>
    <cellStyle name="PB Table Standard Row 3 3 4 2 2 2 2" xfId="30494"/>
    <cellStyle name="Title [Palat] 2 2 3 5 2 2 2" xfId="30495"/>
    <cellStyle name="Title [Helv] 2 2 3 5 2 2 2" xfId="30496"/>
    <cellStyle name="Table Head Green 2 2 3 5 2 2 2" xfId="30497"/>
    <cellStyle name="Table Head Aligned 2 2 3 5 2 2 2" xfId="30498"/>
    <cellStyle name="Outputs 2 2 3 5 2 2 2" xfId="30499"/>
    <cellStyle name="Magic 2 2 3 5 2 2 2" xfId="30500"/>
    <cellStyle name="Heading [Palat] 2 2 3 5 2 2 2" xfId="30501"/>
    <cellStyle name="Heading [Helv] 2 2 3 5 2 2 2" xfId="30502"/>
    <cellStyle name="dp*SheetSubTitle 2 2 3 5 2 2 2" xfId="30503"/>
    <cellStyle name="dp*NumberLineEPS 2 2 3 5 2 2 2" xfId="30504"/>
    <cellStyle name="dp*NumberLine 2 2 3 5 2 2 2" xfId="30505"/>
    <cellStyle name="Date [mmm-yyyy] 2 2 3 5 2 2 2" xfId="30506"/>
    <cellStyle name="COL HEADINGS 2 2 3 5 2 2 2" xfId="30507"/>
    <cellStyle name="Bold/Border 2 2 3 5 2 2 2" xfId="30508"/>
    <cellStyle name="Afjusted 2 2 3 5 2 2 2" xfId="30509"/>
    <cellStyle name="ac 2 2 3 5 2 2 2" xfId="30510"/>
    <cellStyle name="Afjusted 4 3 5 2 2 2" xfId="30511"/>
    <cellStyle name="Border Thin 3 3 5 2 2 2" xfId="30512"/>
    <cellStyle name="dp*SubTitle 3 3 5 2 2 2" xfId="30513"/>
    <cellStyle name="dp*ThinLineBelow 3 3 5 2 2 2" xfId="30514"/>
    <cellStyle name="PB Table Standard Row 3 3 5 2 2 2" xfId="30515"/>
    <cellStyle name="P-Green Rule 3 3 5 2 2 2" xfId="30516"/>
    <cellStyle name="Style 44 4 3 5 2 2 2" xfId="30517"/>
    <cellStyle name="Style 45 4 3 5 2 2 2" xfId="30518"/>
    <cellStyle name="Style 49 4 3 5 2 2 2" xfId="30519"/>
    <cellStyle name="Style 51 4 3 5 2 2 2" xfId="30520"/>
    <cellStyle name="Date [mm-d-yyyy] 3 3 5 2 2 2" xfId="30521"/>
    <cellStyle name="Afjusted 3 3 5 2 2 2" xfId="30522"/>
    <cellStyle name="Date [mm-d-yyyy] 2 2 4 2 2 2" xfId="30523"/>
    <cellStyle name="Afjusted 3 2 5 2 2 2" xfId="30524"/>
    <cellStyle name="Date [mm-d-yyyy] 3 2 5 2 2 2" xfId="30525"/>
    <cellStyle name="Style 51 4 2 5 2 2 2" xfId="30526"/>
    <cellStyle name="Style 49 4 2 5 2 2 2" xfId="30527"/>
    <cellStyle name="Style 45 4 2 5 2 2 2" xfId="30528"/>
    <cellStyle name="Style 44 4 2 5 2 2 2" xfId="30529"/>
    <cellStyle name="P-Green Rule 3 2 5 2 2 2" xfId="30530"/>
    <cellStyle name="dp*ThinLineBelow 3 2 5 2 2 2" xfId="30531"/>
    <cellStyle name="dp*SubTitle 3 2 5 2 2 2" xfId="30532"/>
    <cellStyle name="Border Thin 3 2 5 2 2 2" xfId="30533"/>
    <cellStyle name="Afjusted 4 2 5 2 2 2" xfId="30534"/>
    <cellStyle name="ac 2 2 2 5 2 2 2" xfId="30535"/>
    <cellStyle name="Afjusted 2 2 2 5 2 2 2" xfId="30536"/>
    <cellStyle name="Bold/Border 2 2 2 5 2 2 2" xfId="30537"/>
    <cellStyle name="COL HEADINGS 2 2 2 5 2 2 2" xfId="30538"/>
    <cellStyle name="Date [mmm-yyyy] 2 2 2 5 2 2 2" xfId="30539"/>
    <cellStyle name="dp*NumberLine 2 2 2 5 2 2 2" xfId="30540"/>
    <cellStyle name="dp*NumberLineEPS 2 2 2 5 2 2 2" xfId="30541"/>
    <cellStyle name="dp*SheetSubTitle 2 2 2 5 2 2 2" xfId="30542"/>
    <cellStyle name="Heading [Helv] 2 2 2 5 2 2 2" xfId="30543"/>
    <cellStyle name="Heading [Palat] 2 2 2 5 2 2 2" xfId="30544"/>
    <cellStyle name="Magic 2 2 2 5 2 2 2" xfId="30545"/>
    <cellStyle name="Outputs 2 2 2 5 2 2 2" xfId="30546"/>
    <cellStyle name="Table Head Aligned 2 2 2 5 2 2 2" xfId="30547"/>
    <cellStyle name="Table Head Green 2 2 2 5 2 2 2" xfId="30548"/>
    <cellStyle name="Title [Helv] 2 2 2 5 2 2 2" xfId="30549"/>
    <cellStyle name="Title [Palat] 2 2 2 5 2 2 2" xfId="30550"/>
    <cellStyle name="Table Head Green 2 2 3 4 2 2 2 2" xfId="30551"/>
    <cellStyle name="Heading [Palat] 2 2 3 4 2 2 2 2" xfId="30552"/>
    <cellStyle name="PB Table Standard Row 2 3 2 2 2 2" xfId="30553"/>
    <cellStyle name="P-Green Rule 2 3 2 2 2 2" xfId="30554"/>
    <cellStyle name="Title [Palat] 2 2 3 2 2 2 2 2" xfId="30555"/>
    <cellStyle name="Title [Helv] 2 2 3 2 2 2 2 2" xfId="30556"/>
    <cellStyle name="Table Head Green 2 2 3 2 2 2 2 2" xfId="30557"/>
    <cellStyle name="Table Head Aligned 2 2 3 2 2 2 2 2" xfId="30558"/>
    <cellStyle name="Outputs 2 2 3 2 2 2 2 2" xfId="30559"/>
    <cellStyle name="Magic 2 2 3 2 2 2 2 2" xfId="30560"/>
    <cellStyle name="Heading [Palat] 2 2 3 2 2 2 2 2" xfId="30561"/>
    <cellStyle name="Heading [Helv] 2 2 3 2 2 2 2 2" xfId="30562"/>
    <cellStyle name="dp*SheetSubTitle 2 2 3 2 2 2 2 2" xfId="30563"/>
    <cellStyle name="dp*NumberLineEPS 2 2 3 2 2 2 2 2" xfId="30564"/>
    <cellStyle name="dp*NumberLine 2 2 3 2 2 2 2 2" xfId="30565"/>
    <cellStyle name="Date [mmm-yyyy] 2 2 3 2 2 2 2 2" xfId="30566"/>
    <cellStyle name="COL HEADINGS 2 2 3 2 2 2 2 2" xfId="30567"/>
    <cellStyle name="Bold/Border 2 2 3 2 2 2 2 2" xfId="30568"/>
    <cellStyle name="Afjusted 2 2 3 2 2 2 2 2" xfId="30569"/>
    <cellStyle name="ac 2 2 3 2 2 2 2 2" xfId="30570"/>
    <cellStyle name="Afjusted 4 3 2 2 2 2 2" xfId="30571"/>
    <cellStyle name="Border Thin 3 3 2 2 2 2 2" xfId="30572"/>
    <cellStyle name="dp*SubTitle 3 3 2 2 2 2 2" xfId="30573"/>
    <cellStyle name="dp*ThinLineBelow 3 3 2 2 2 2 2" xfId="30574"/>
    <cellStyle name="PB Table Standard Row 3 3 2 2 2 2 2" xfId="30575"/>
    <cellStyle name="P-Green Rule 3 3 2 2 2 2 2" xfId="30576"/>
    <cellStyle name="Style 44 4 3 2 2 2 2 2" xfId="30577"/>
    <cellStyle name="Style 45 4 3 2 2 2 2 2" xfId="30578"/>
    <cellStyle name="Style 49 4 3 2 2 2 2 2" xfId="30579"/>
    <cellStyle name="Style 51 4 3 2 2 2 2 2" xfId="30580"/>
    <cellStyle name="Date [mm-d-yyyy] 3 3 2 2 2 2 2" xfId="30581"/>
    <cellStyle name="Afjusted 3 3 2 2 2 2 2" xfId="30582"/>
    <cellStyle name="Date [mm-d-yyyy] 3 5 2 2 2 2" xfId="30583"/>
    <cellStyle name="dp*SubTitle 2 3 2 2 2 2" xfId="30584"/>
    <cellStyle name="Date [mm-d-yyyy] 2 2 2 2 2 2 2" xfId="30585"/>
    <cellStyle name="Afjusted 3 2 2 2 2 2 2" xfId="30586"/>
    <cellStyle name="PB Table Standard Row 3 5 2 2 2 2" xfId="30587"/>
    <cellStyle name="Date [mm-d-yyyy] 3 2 2 2 2 2 2" xfId="30588"/>
    <cellStyle name="Style 51 4 2 2 2 2 2 2" xfId="30589"/>
    <cellStyle name="Style 49 4 2 2 2 2 2 2" xfId="30590"/>
    <cellStyle name="Style 45 4 2 2 2 2 2 2" xfId="30591"/>
    <cellStyle name="Style 44 4 2 2 2 2 2 2" xfId="30592"/>
    <cellStyle name="Style 45 4 5 2 2 2 2" xfId="30593"/>
    <cellStyle name="P-Green Rule 3 2 2 2 2 2 2" xfId="30594"/>
    <cellStyle name="PB Table Standard Row 3 2 2 2 2 2 2" xfId="30595"/>
    <cellStyle name="dp*ThinLineBelow 3 2 2 2 2 2 2" xfId="30596"/>
    <cellStyle name="dp*SubTitle 3 2 2 2 2 2 2" xfId="30597"/>
    <cellStyle name="Style 51 4 5 2 2 2 2" xfId="30598"/>
    <cellStyle name="Border Thin 3 2 2 2 2 2 2" xfId="30599"/>
    <cellStyle name="Afjusted 4 2 2 2 2 2 2" xfId="30600"/>
    <cellStyle name="ac 2 2 2 2 2 2 2 2" xfId="30601"/>
    <cellStyle name="Afjusted 2 2 2 2 2 2 2 2" xfId="30602"/>
    <cellStyle name="Bold/Border 2 2 2 2 2 2 2 2" xfId="30603"/>
    <cellStyle name="COL HEADINGS 2 2 2 2 2 2 2 2" xfId="30604"/>
    <cellStyle name="Date [mmm-yyyy] 2 2 2 2 2 2 2 2" xfId="30605"/>
    <cellStyle name="dp*NumberLine 2 2 2 2 2 2 2 2" xfId="30606"/>
    <cellStyle name="dp*NumberLineEPS 2 2 2 2 2 2 2 2" xfId="30607"/>
    <cellStyle name="dp*SheetSubTitle 2 2 2 2 2 2 2 2" xfId="30608"/>
    <cellStyle name="Heading [Helv] 2 2 2 2 2 2 2 2" xfId="30609"/>
    <cellStyle name="Heading [Palat] 2 2 2 2 2 2 2 2" xfId="30610"/>
    <cellStyle name="Magic 2 2 2 2 2 2 2 2" xfId="30611"/>
    <cellStyle name="Outputs 2 2 2 2 2 2 2 2" xfId="30612"/>
    <cellStyle name="Table Head Aligned 2 2 2 2 2 2 2 2" xfId="30613"/>
    <cellStyle name="Table Head Green 2 2 2 2 2 2 2 2" xfId="30614"/>
    <cellStyle name="Title [Helv] 2 2 2 2 2 2 2 2" xfId="30615"/>
    <cellStyle name="Title [Palat] 2 2 2 2 2 2 2 2" xfId="30616"/>
    <cellStyle name="dp*ThinLineBelow 3 5 2 2 2 2" xfId="30617"/>
    <cellStyle name="Date [mm-d-yyyy] 2 2 3 2 2 2 2" xfId="30618"/>
    <cellStyle name="Afjusted 3 2 3 2 2 2 2" xfId="30619"/>
    <cellStyle name="Date [mm-d-yyyy] 3 2 3 2 2 2 2" xfId="30620"/>
    <cellStyle name="Style 51 4 2 3 2 2 2 2" xfId="30621"/>
    <cellStyle name="Style 49 4 2 3 2 2 2 2" xfId="30622"/>
    <cellStyle name="Style 45 4 2 3 2 2 2 2" xfId="30623"/>
    <cellStyle name="Style 44 4 2 3 2 2 2 2" xfId="30624"/>
    <cellStyle name="P-Green Rule 3 2 3 2 2 2 2" xfId="30625"/>
    <cellStyle name="PB Table Standard Row 3 2 3 2 2 2 2" xfId="30626"/>
    <cellStyle name="dp*ThinLineBelow 3 2 3 2 2 2 2" xfId="30627"/>
    <cellStyle name="dp*SubTitle 3 2 3 2 2 2 2" xfId="30628"/>
    <cellStyle name="Border Thin 3 2 3 2 2 2 2" xfId="30629"/>
    <cellStyle name="Afjusted 4 2 3 2 2 2 2" xfId="30630"/>
    <cellStyle name="ac 2 2 2 3 2 2 2 2" xfId="30631"/>
    <cellStyle name="Afjusted 2 2 2 3 2 2 2 2" xfId="30632"/>
    <cellStyle name="Bold/Border 2 2 2 3 2 2 2 2" xfId="30633"/>
    <cellStyle name="COL HEADINGS 2 2 2 3 2 2 2 2" xfId="30634"/>
    <cellStyle name="Date [mmm-yyyy] 2 2 2 3 2 2 2 2" xfId="30635"/>
    <cellStyle name="dp*NumberLine 2 2 2 3 2 2 2 2" xfId="30636"/>
    <cellStyle name="dp*NumberLineEPS 2 2 2 3 2 2 2 2" xfId="30637"/>
    <cellStyle name="dp*SheetSubTitle 2 2 2 3 2 2 2 2" xfId="30638"/>
    <cellStyle name="Heading [Helv] 2 2 2 3 2 2 2 2" xfId="30639"/>
    <cellStyle name="Heading [Palat] 2 2 2 3 2 2 2 2" xfId="30640"/>
    <cellStyle name="Magic 2 2 2 3 2 2 2 2" xfId="30641"/>
    <cellStyle name="Outputs 2 2 2 3 2 2 2 2" xfId="30642"/>
    <cellStyle name="Table Head Aligned 2 2 2 3 2 2 2 2" xfId="30643"/>
    <cellStyle name="Table Head Green 2 2 2 3 2 2 2 2" xfId="30644"/>
    <cellStyle name="Title [Helv] 2 2 2 3 2 2 2 2" xfId="30645"/>
    <cellStyle name="Title [Palat] 2 2 2 3 2 2 2 2" xfId="30646"/>
    <cellStyle name="Afjusted 3 2 4 2 2 2 2" xfId="30647"/>
    <cellStyle name="Date [mm-d-yyyy] 3 2 4 2 2 2 2" xfId="30648"/>
    <cellStyle name="Style 51 4 2 4 2 2 2 2" xfId="30649"/>
    <cellStyle name="Style 49 4 2 4 2 2 2 2" xfId="30650"/>
    <cellStyle name="Style 45 4 2 4 2 2 2 2" xfId="30651"/>
    <cellStyle name="Style 44 4 2 4 2 2 2 2" xfId="30652"/>
    <cellStyle name="P-Green Rule 3 2 4 2 2 2 2" xfId="30653"/>
    <cellStyle name="PB Table Standard Row 3 2 4 2 2 2 2" xfId="30654"/>
    <cellStyle name="dp*ThinLineBelow 3 2 4 2 2 2 2" xfId="30655"/>
    <cellStyle name="dp*SubTitle 3 2 4 2 2 2 2" xfId="30656"/>
    <cellStyle name="Border Thin 3 2 4 2 2 2 2" xfId="30657"/>
    <cellStyle name="Afjusted 4 2 4 2 2 2 2" xfId="30658"/>
    <cellStyle name="ac 2 2 2 4 2 2 2 2" xfId="30659"/>
    <cellStyle name="Afjusted 2 2 2 4 2 2 2 2" xfId="30660"/>
    <cellStyle name="Bold/Border 2 2 2 4 2 2 2 2" xfId="30661"/>
    <cellStyle name="COL HEADINGS 2 2 2 4 2 2 2 2" xfId="30662"/>
    <cellStyle name="Date [mmm-yyyy] 2 2 2 4 2 2 2 2" xfId="30663"/>
    <cellStyle name="dp*NumberLine 2 2 2 4 2 2 2 2" xfId="30664"/>
    <cellStyle name="dp*NumberLineEPS 2 2 2 4 2 2 2 2" xfId="30665"/>
    <cellStyle name="dp*SheetSubTitle 2 2 2 4 2 2 2 2" xfId="30666"/>
    <cellStyle name="Heading [Helv] 2 2 2 4 2 2 2 2" xfId="30667"/>
    <cellStyle name="Heading [Palat] 2 2 2 4 2 2 2 2" xfId="30668"/>
    <cellStyle name="Magic 2 2 2 4 2 2 2 2" xfId="30669"/>
    <cellStyle name="Outputs 2 2 2 4 2 2 2 2" xfId="30670"/>
    <cellStyle name="Table Head Aligned 2 2 2 4 2 2 2 2" xfId="30671"/>
    <cellStyle name="Table Head Green 2 2 2 4 2 2 2 2" xfId="30672"/>
    <cellStyle name="Title [Helv] 2 2 2 4 2 2 2 2" xfId="30673"/>
    <cellStyle name="Title [Palat] 2 2 2 4 2 2 2 2" xfId="30674"/>
    <cellStyle name="Border Thin 4 2 2 2 2" xfId="30675"/>
    <cellStyle name="Date [mm-d-yyyy] 4 2 2 2 2" xfId="30676"/>
    <cellStyle name="dp*SubTitle 4 2 2 2 2" xfId="30677"/>
    <cellStyle name="dp*ThinLineBelow 4 2 2 2 2" xfId="30678"/>
    <cellStyle name="PB Table Standard Row 4 2 2 2 2" xfId="30679"/>
    <cellStyle name="P-Green Rule 4 2 2 2 2" xfId="30680"/>
    <cellStyle name="Style 44 5 2 2 2 2" xfId="30681"/>
    <cellStyle name="Style 45 5 2 2 2 2" xfId="30682"/>
    <cellStyle name="Style 49 5 2 2 2 2" xfId="30683"/>
    <cellStyle name="Style 51 5 2 2 2 2" xfId="30684"/>
    <cellStyle name="Title [Palat] 3 2 2 2 2" xfId="30685"/>
    <cellStyle name="Title [Helv] 3 2 2 2 2" xfId="30686"/>
    <cellStyle name="Table Head Green 3 2 2 2 2" xfId="30687"/>
    <cellStyle name="Table Head Aligned 3 2 2 2 2" xfId="30688"/>
    <cellStyle name="Outputs 3 2 2 2 2" xfId="30689"/>
    <cellStyle name="Magic 3 2 2 2 2" xfId="30690"/>
    <cellStyle name="Heading [Palat] 3 2 2 2 2" xfId="30691"/>
    <cellStyle name="Heading [Helv] 3 2 2 2 2" xfId="30692"/>
    <cellStyle name="dp*SheetSubTitle 3 2 2 2 2" xfId="30693"/>
    <cellStyle name="dp*NumberLineEPS 3 2 2 2 2" xfId="30694"/>
    <cellStyle name="dp*NumberLine 3 2 2 2 2" xfId="30695"/>
    <cellStyle name="COL HEADINGS 3 2 2 2 2" xfId="30696"/>
    <cellStyle name="Bold/Border 3 2 2 2 2" xfId="30697"/>
    <cellStyle name="Afjusted 5 2 2 2 2" xfId="30698"/>
    <cellStyle name="ac 3 2 2 2 2" xfId="30699"/>
    <cellStyle name="Date [mmm-yyyy] 3 2 2 2 2" xfId="30700"/>
    <cellStyle name="ac 2 4 2 2 2 2" xfId="30701"/>
    <cellStyle name="Afjusted 2 3 2 2 2 2" xfId="30702"/>
    <cellStyle name="Bold/Border 2 4 2 2 2 2" xfId="30703"/>
    <cellStyle name="Border Thin 2 4 2 2 2 2" xfId="30704"/>
    <cellStyle name="COL HEADINGS 2 4 2 2 2 2" xfId="30705"/>
    <cellStyle name="Date [mmm-yyyy] 2 4 2 2 2 2" xfId="30706"/>
    <cellStyle name="dp*NumberLine 2 4 2 2 2 2" xfId="30707"/>
    <cellStyle name="dp*NumberLineEPS 2 4 2 2 2 2" xfId="30708"/>
    <cellStyle name="dp*SheetSubTitle 2 4 2 2 2 2" xfId="30709"/>
    <cellStyle name="dp*SubTitle 2 4 2 2 2 2" xfId="30710"/>
    <cellStyle name="dp*ThinLineBelow 2 4 2 2 2 2" xfId="30711"/>
    <cellStyle name="Heading [Helv] 2 4 2 2 2 2" xfId="30712"/>
    <cellStyle name="Heading [Palat] 2 4 2 2 2 2" xfId="30713"/>
    <cellStyle name="Magic 2 4 2 2 2 2" xfId="30714"/>
    <cellStyle name="Outputs 2 4 2 2 2 2" xfId="30715"/>
    <cellStyle name="PB Table Standard Row 2 4 2 2 2 2" xfId="30716"/>
    <cellStyle name="P-Green Rule 2 4 2 2 2 2" xfId="30717"/>
    <cellStyle name="Style 44 3 4 2 2 2 2" xfId="30718"/>
    <cellStyle name="Style 45 3 4 2 2 2 2" xfId="30719"/>
    <cellStyle name="Style 49 3 4 2 2 2 2" xfId="30720"/>
    <cellStyle name="Style 51 3 4 2 2 2 2" xfId="30721"/>
    <cellStyle name="Style 44 2 4 2 2 2 2" xfId="30722"/>
    <cellStyle name="Style 45 2 4 2 2 2 2" xfId="30723"/>
    <cellStyle name="Style 49 2 4 2 2 2 2" xfId="30724"/>
    <cellStyle name="Style 51 2 4 2 2 2 2" xfId="30725"/>
    <cellStyle name="Table Head Aligned 2 4 2 2 2 2" xfId="30726"/>
    <cellStyle name="Table Head Green 2 4 2 2 2 2" xfId="30727"/>
    <cellStyle name="Title [Helv] 2 4 2 2 2 2" xfId="30728"/>
    <cellStyle name="Title [Palat] 2 4 2 2 2 2" xfId="30729"/>
    <cellStyle name="ac 4 2 2 2 2" xfId="30730"/>
    <cellStyle name="Bold/Border 4 2 2 2 2" xfId="30731"/>
    <cellStyle name="Border Thin 5 2 2 2 2" xfId="30732"/>
    <cellStyle name="COL HEADINGS 4 2 2 2 2" xfId="30733"/>
    <cellStyle name="Date [mm-d-yyyy] 5 2 2 2 2" xfId="30734"/>
    <cellStyle name="Heading [Helv] 4 2 2 2 2" xfId="30735"/>
    <cellStyle name="Heading [Palat] 4 2 2 2 2" xfId="30736"/>
    <cellStyle name="Outputs 4 2 2 2 2" xfId="30737"/>
    <cellStyle name="PB Table Standard Row 5 2 2 2 2" xfId="30738"/>
    <cellStyle name="P-Green Rule 5 2 2 2 2" xfId="30739"/>
    <cellStyle name="Style 44 6 2 2 2 2" xfId="30740"/>
    <cellStyle name="Style 45 6 2 2 2 2" xfId="30741"/>
    <cellStyle name="Style 49 6 2 2 2 2" xfId="30742"/>
    <cellStyle name="Style 51 6 2 2 2 2" xfId="30743"/>
    <cellStyle name="Table Head Green 4 2 2 2 2" xfId="30744"/>
    <cellStyle name="Afjusted 6 2 2 2 2" xfId="30745"/>
    <cellStyle name="ac 2 5 2 2 2 2" xfId="30746"/>
    <cellStyle name="Afjusted 2 4 2 2 2 2" xfId="30747"/>
    <cellStyle name="Bold/Border 2 5 2 2 2 2" xfId="30748"/>
    <cellStyle name="Border Thin 2 5 2 2 2 2" xfId="30749"/>
    <cellStyle name="COL HEADINGS 2 5 2 2 2 2" xfId="30750"/>
    <cellStyle name="Date [mmm-yyyy] 2 5 2 2 2 2" xfId="30751"/>
    <cellStyle name="dp*NumberLine 2 5 2 2 2 2" xfId="30752"/>
    <cellStyle name="dp*NumberLineEPS 2 5 2 2 2 2" xfId="30753"/>
    <cellStyle name="dp*SheetSubTitle 2 5 2 2 2 2" xfId="30754"/>
    <cellStyle name="dp*SubTitle 2 5 2 2 2 2" xfId="30755"/>
    <cellStyle name="dp*ThinLineBelow 2 5 2 2 2 2" xfId="30756"/>
    <cellStyle name="Heading [Helv] 2 5 2 2 2 2" xfId="30757"/>
    <cellStyle name="Heading [Palat] 2 5 2 2 2 2" xfId="30758"/>
    <cellStyle name="Magic 2 5 2 2 2 2" xfId="30759"/>
    <cellStyle name="Outputs 2 5 2 2 2 2" xfId="30760"/>
    <cellStyle name="PB Table Standard Row 2 5 2 2 2 2" xfId="30761"/>
    <cellStyle name="P-Green Rule 2 5 2 2 2 2" xfId="30762"/>
    <cellStyle name="Style 44 3 5 2 2 2 2" xfId="30763"/>
    <cellStyle name="Style 45 3 5 2 2 2 2" xfId="30764"/>
    <cellStyle name="Style 49 3 5 2 2 2 2" xfId="30765"/>
    <cellStyle name="Style 51 3 5 2 2 2 2" xfId="30766"/>
    <cellStyle name="Style 44 2 5 2 2 2 2" xfId="30767"/>
    <cellStyle name="Style 45 2 5 2 2 2 2" xfId="30768"/>
    <cellStyle name="Style 49 2 5 2 2 2 2" xfId="30769"/>
    <cellStyle name="Style 51 2 5 2 2 2 2" xfId="30770"/>
    <cellStyle name="Table Head Aligned 2 5 2 2 2 2" xfId="30771"/>
    <cellStyle name="Table Head Green 2 5 2 2 2 2" xfId="30772"/>
    <cellStyle name="Title [Helv] 2 5 2 2 2 2" xfId="30773"/>
    <cellStyle name="Title [Palat] 2 5 2 2 2 2" xfId="30774"/>
    <cellStyle name="ac 5 2 2 2 2" xfId="30775"/>
    <cellStyle name="Bold/Border 5 2 2 2 2" xfId="30776"/>
    <cellStyle name="Border Thin 6 2 2 2 2" xfId="30777"/>
    <cellStyle name="COL HEADINGS 5 2 2 2 2" xfId="30778"/>
    <cellStyle name="Heading [Helv] 5 2 2 2 2" xfId="30779"/>
    <cellStyle name="Heading [Palat] 5 2 2 2 2" xfId="30780"/>
    <cellStyle name="Outputs 5 2 2 2 2" xfId="30781"/>
    <cellStyle name="PB Table Standard Row 6 2 2 2 2" xfId="30782"/>
    <cellStyle name="P-Green Rule 6 2 2 2 2" xfId="30783"/>
    <cellStyle name="Style 44 7 2 2 2 2" xfId="30784"/>
    <cellStyle name="Style 45 7 2 2 2 2" xfId="30785"/>
    <cellStyle name="Style 49 7 2 2 2 2" xfId="30786"/>
    <cellStyle name="Style 51 7 2 2 2 2" xfId="30787"/>
    <cellStyle name="Table Head Green 5 2 2 2 2" xfId="30788"/>
    <cellStyle name="Title [Palat] 4 2 2 2 2" xfId="30789"/>
    <cellStyle name="ac 2 6 2 2 2 2" xfId="30790"/>
    <cellStyle name="Bold/Border 2 6 2 2 2 2" xfId="30791"/>
    <cellStyle name="Border Thin 2 6 2 2 2 2" xfId="30792"/>
    <cellStyle name="COL HEADINGS 2 6 2 2 2 2" xfId="30793"/>
    <cellStyle name="Heading [Helv] 2 6 2 2 2 2" xfId="30794"/>
    <cellStyle name="Heading [Palat] 2 6 2 2 2 2" xfId="30795"/>
    <cellStyle name="Outputs 2 6 2 2 2 2" xfId="30796"/>
    <cellStyle name="PB Table Standard Row 2 6 2 2 2 2" xfId="30797"/>
    <cellStyle name="P-Green Rule 2 6 2 2 2 2" xfId="30798"/>
    <cellStyle name="Style 44 3 6 2 2 2 2" xfId="30799"/>
    <cellStyle name="Style 45 3 6 2 2 2 2" xfId="30800"/>
    <cellStyle name="Style 49 3 6 2 2 2 2" xfId="30801"/>
    <cellStyle name="Style 51 3 6 2 2 2 2" xfId="30802"/>
    <cellStyle name="Style 44 2 6 2 2 2 2" xfId="30803"/>
    <cellStyle name="Style 45 2 6 2 2 2 2" xfId="30804"/>
    <cellStyle name="Style 49 2 6 2 2 2 2" xfId="30805"/>
    <cellStyle name="Style 51 2 6 2 2 2 2" xfId="30806"/>
    <cellStyle name="Table Head Green 2 6 2 2 2 2" xfId="30807"/>
    <cellStyle name="Title [Palat] 2 6 2 2 2 2" xfId="30808"/>
    <cellStyle name="Title [Palat] 5 2 2 2 2" xfId="30809"/>
    <cellStyle name="Title [Helv] 4 2 2 2 2" xfId="30810"/>
    <cellStyle name="Table Head Green 6 2 2 2 2" xfId="30811"/>
    <cellStyle name="Table Head Aligned 4 2 2 2 2" xfId="30812"/>
    <cellStyle name="Style 51 9 2 2 2 2" xfId="30813"/>
    <cellStyle name="Style 49 9 2 2 2 2" xfId="30814"/>
    <cellStyle name="Style 45 9 2 2 2 2" xfId="30815"/>
    <cellStyle name="Style 44 9 2 2 2 2" xfId="30816"/>
    <cellStyle name="P-Green Rule 7 2 2 2 2" xfId="30817"/>
    <cellStyle name="PB Table Standard Row 7 2 2 2 2" xfId="30818"/>
    <cellStyle name="Outputs 6 2 2 2 2" xfId="30819"/>
    <cellStyle name="Magic 4 2 2 2 2" xfId="30820"/>
    <cellStyle name="Heading [Palat] 6 2 2 2 2" xfId="30821"/>
    <cellStyle name="Heading [Helv] 6 2 2 2 2" xfId="30822"/>
    <cellStyle name="dp*ThinLineBelow 5 2 2 2 2" xfId="30823"/>
    <cellStyle name="dp*SubTitle 5 2 2 2 2" xfId="30824"/>
    <cellStyle name="dp*SheetSubTitle 4 2 2 2 2" xfId="30825"/>
    <cellStyle name="dp*NumberLineEPS 4 2 2 2 2" xfId="30826"/>
    <cellStyle name="dp*NumberLine 4 2 2 2 2" xfId="30827"/>
    <cellStyle name="Date [mmm-yyyy] 4 2 2 2 2" xfId="30828"/>
    <cellStyle name="Date [mm-d-yyyy] 7 2 2 2 2" xfId="30829"/>
    <cellStyle name="COL HEADINGS 6 2 2 2 2" xfId="30830"/>
    <cellStyle name="Border Thin 7 2 2 2 2" xfId="30831"/>
    <cellStyle name="Bold/Border 6 2 2 2 2" xfId="30832"/>
    <cellStyle name="Afjusted 7 2 2 2 2" xfId="30833"/>
    <cellStyle name="ac 6 2 2 2 2" xfId="30834"/>
    <cellStyle name="Style 44 8 2 2 2 2" xfId="30835"/>
    <cellStyle name="Style 45 8 2 2 2 2" xfId="30836"/>
    <cellStyle name="Style 49 8 2 2 2 2" xfId="30837"/>
    <cellStyle name="Style 51 8 2 2 2 2" xfId="30838"/>
    <cellStyle name="Title [Palat] 6 2 2 2 2" xfId="30839"/>
    <cellStyle name="Title [Helv] 5 2 2 2 2" xfId="30840"/>
    <cellStyle name="Table Head Green 7 2 2 2 2" xfId="30841"/>
    <cellStyle name="Table Head Aligned 5 2 2 2 2" xfId="30842"/>
    <cellStyle name="Outputs 7 2 2 2 2" xfId="30843"/>
    <cellStyle name="Magic 5 2 2 2 2" xfId="30844"/>
    <cellStyle name="Heading [Palat] 7 2 2 2 2" xfId="30845"/>
    <cellStyle name="Heading [Helv] 7 2 2 2 2" xfId="30846"/>
    <cellStyle name="dp*SheetSubTitle 5 2 2 2 2" xfId="30847"/>
    <cellStyle name="dp*NumberLineEPS 5 2 2 2 2" xfId="30848"/>
    <cellStyle name="dp*NumberLine 5 2 2 2 2" xfId="30849"/>
    <cellStyle name="Date [mmm-yyyy] 5 2 2 2 2" xfId="30850"/>
    <cellStyle name="COL HEADINGS 7 2 2 2 2" xfId="30851"/>
    <cellStyle name="Bold/Border 7 2 2 2 2" xfId="30852"/>
    <cellStyle name="Afjusted 8 2 2 2 2" xfId="30853"/>
    <cellStyle name="ac 7 2 2 2 2" xfId="30854"/>
    <cellStyle name="Title [Palat] 7 2 2 2 2" xfId="30855"/>
    <cellStyle name="Title [Helv] 6 2 2 2 2" xfId="30856"/>
    <cellStyle name="Table Head Green 8 2 2 2 2" xfId="30857"/>
    <cellStyle name="Table Head Aligned 6 2 2 2 2" xfId="30858"/>
    <cellStyle name="Outputs 8 2 2 2 2" xfId="30859"/>
    <cellStyle name="Magic 6 2 2 2 2" xfId="30860"/>
    <cellStyle name="Heading [Palat] 8 2 2 2 2" xfId="30861"/>
    <cellStyle name="Heading [Helv] 8 2 2 2 2" xfId="30862"/>
    <cellStyle name="dp*SheetSubTitle 6 2 2 2 2" xfId="30863"/>
    <cellStyle name="dp*NumberLineEPS 6 2 2 2 2" xfId="30864"/>
    <cellStyle name="dp*NumberLine 6 2 2 2 2" xfId="30865"/>
    <cellStyle name="COL HEADINGS 8 2 2 2 2" xfId="30866"/>
    <cellStyle name="Bold/Border 8 2 2 2 2" xfId="30867"/>
    <cellStyle name="Afjusted 9 2 2 2 2" xfId="30868"/>
    <cellStyle name="ac 8 2 2 2 2" xfId="30869"/>
    <cellStyle name="Date [mmm-yyyy] 6 2 2 2 2" xfId="30870"/>
    <cellStyle name="Title [Palat] 8 2 2 2 2" xfId="30871"/>
    <cellStyle name="Title [Helv] 7 2 2 2 2" xfId="30872"/>
    <cellStyle name="Table Head Green 9 2 2 2 2" xfId="30873"/>
    <cellStyle name="Table Head Aligned 7 2 2 2 2" xfId="30874"/>
    <cellStyle name="Outputs 9 2 2 2 2" xfId="30875"/>
    <cellStyle name="Magic 7 2 2 2 2" xfId="30876"/>
    <cellStyle name="Heading [Palat] 9 2 2 2 2" xfId="30877"/>
    <cellStyle name="Heading [Helv] 9 2 2 2 2" xfId="30878"/>
    <cellStyle name="dp*SheetSubTitle 7 2 2 2 2" xfId="30879"/>
    <cellStyle name="dp*NumberLineEPS 7 2 2 2 2" xfId="30880"/>
    <cellStyle name="dp*NumberLine 7 2 2 2 2" xfId="30881"/>
    <cellStyle name="Date [mmm-yyyy] 7 2 2 2 2" xfId="30882"/>
    <cellStyle name="COL HEADINGS 9 2 2 2 2" xfId="30883"/>
    <cellStyle name="Bold/Border 9 2 2 2 2" xfId="30884"/>
    <cellStyle name="Afjusted 10 2 2 2 2" xfId="30885"/>
    <cellStyle name="ac 9 2 2 2 2" xfId="30886"/>
    <cellStyle name="Table Head Green 2 2 3 2 7 2" xfId="30887"/>
    <cellStyle name="Style 44 6 4 2 2" xfId="30888"/>
    <cellStyle name="Style 45 6 4 2 2" xfId="30889"/>
    <cellStyle name="Style 49 6 4 2 2" xfId="30890"/>
    <cellStyle name="Style 51 6 4 2 2" xfId="30891"/>
    <cellStyle name="Table Head Green 4 4 2 2" xfId="30892"/>
    <cellStyle name="Afjusted 8 6 2" xfId="30893"/>
    <cellStyle name="Magic 2 4 5 2 2" xfId="30894"/>
    <cellStyle name="Afjusted 6 4 2 2" xfId="30895"/>
    <cellStyle name="ac 2 5 4 2 2" xfId="30896"/>
    <cellStyle name="Afjusted 2 4 4 2 2" xfId="30897"/>
    <cellStyle name="Bold/Border 2 5 4 2 2" xfId="30898"/>
    <cellStyle name="Border Thin 2 5 4 2 2" xfId="30899"/>
    <cellStyle name="COL HEADINGS 2 5 4 2 2" xfId="30900"/>
    <cellStyle name="Date [mmm-yyyy] 2 5 4 2 2" xfId="30901"/>
    <cellStyle name="dp*NumberLine 2 5 4 2 2" xfId="30902"/>
    <cellStyle name="dp*NumberLineEPS 2 5 4 2 2" xfId="30903"/>
    <cellStyle name="dp*SheetSubTitle 2 5 4 2 2" xfId="30904"/>
    <cellStyle name="dp*SubTitle 2 5 4 2 2" xfId="30905"/>
    <cellStyle name="dp*ThinLineBelow 2 5 4 2 2" xfId="30906"/>
    <cellStyle name="Heading [Helv] 2 5 4 2 2" xfId="30907"/>
    <cellStyle name="Heading [Palat] 2 5 4 2 2" xfId="30908"/>
    <cellStyle name="Magic 2 5 4 2 2" xfId="30909"/>
    <cellStyle name="Outputs 2 5 4 2 2" xfId="30910"/>
    <cellStyle name="PB Table Standard Row 2 5 4 2 2" xfId="30911"/>
    <cellStyle name="P-Green Rule 2 5 4 2 2" xfId="30912"/>
    <cellStyle name="Style 44 3 5 4 2 2" xfId="30913"/>
    <cellStyle name="Style 45 3 5 4 2 2" xfId="30914"/>
    <cellStyle name="Style 49 3 5 4 2 2" xfId="30915"/>
    <cellStyle name="Style 51 3 5 4 2 2" xfId="30916"/>
    <cellStyle name="Style 44 2 5 4 2 2" xfId="30917"/>
    <cellStyle name="Style 45 2 5 4 2 2" xfId="30918"/>
    <cellStyle name="Style 49 2 5 4 2 2" xfId="30919"/>
    <cellStyle name="Style 51 2 5 4 2 2" xfId="30920"/>
    <cellStyle name="Table Head Aligned 2 5 4 2 2" xfId="30921"/>
    <cellStyle name="Table Head Green 2 5 4 2 2" xfId="30922"/>
    <cellStyle name="Title [Helv] 2 5 4 2 2" xfId="30923"/>
    <cellStyle name="Title [Palat] 2 5 4 2 2" xfId="30924"/>
    <cellStyle name="Date [mm-d-yyyy] 3 3 4 7 2" xfId="30925"/>
    <cellStyle name="ac 5 4 2 2" xfId="30926"/>
    <cellStyle name="Bold/Border 5 4 2 2" xfId="30927"/>
    <cellStyle name="Border Thin 6 4 2 2" xfId="30928"/>
    <cellStyle name="COL HEADINGS 5 4 2 2" xfId="30929"/>
    <cellStyle name="Date [mm-d-yyyy] 6 3 2 2" xfId="30930"/>
    <cellStyle name="Heading [Helv] 5 4 2 2" xfId="30931"/>
    <cellStyle name="Heading [Palat] 5 4 2 2" xfId="30932"/>
    <cellStyle name="Outputs 5 4 2 2" xfId="30933"/>
    <cellStyle name="PB Table Standard Row 6 4 2 2" xfId="30934"/>
    <cellStyle name="P-Green Rule 6 4 2 2" xfId="30935"/>
    <cellStyle name="Afjusted 4 2 2 7 2" xfId="30936"/>
    <cellStyle name="Style 44 7 4 2 2" xfId="30937"/>
    <cellStyle name="Style 45 7 4 2 2" xfId="30938"/>
    <cellStyle name="Style 49 7 4 2 2" xfId="30939"/>
    <cellStyle name="Style 51 7 4 2 2" xfId="30940"/>
    <cellStyle name="Table Head Green 5 4 2 2" xfId="30941"/>
    <cellStyle name="Title [Palat] 4 4 2 2" xfId="30942"/>
    <cellStyle name="Date [mmm-yyyy] 5 6 2" xfId="30943"/>
    <cellStyle name="Bold/Border 7 6 2" xfId="30944"/>
    <cellStyle name="COL HEADINGS 9 6 2" xfId="30945"/>
    <cellStyle name="ac 2 6 4 2 2" xfId="30946"/>
    <cellStyle name="Bold/Border 2 6 4 2 2" xfId="30947"/>
    <cellStyle name="Border Thin 2 6 4 2 2" xfId="30948"/>
    <cellStyle name="COL HEADINGS 2 6 4 2 2" xfId="30949"/>
    <cellStyle name="Date [mm-d-yyyy] 2 3 3 2 2" xfId="30950"/>
    <cellStyle name="Heading [Helv] 2 6 4 2 2" xfId="30951"/>
    <cellStyle name="Heading [Palat] 2 6 4 2 2" xfId="30952"/>
    <cellStyle name="Outputs 2 6 4 2 2" xfId="30953"/>
    <cellStyle name="PB Table Standard Row 2 6 4 2 2" xfId="30954"/>
    <cellStyle name="P-Green Rule 2 6 4 2 2" xfId="30955"/>
    <cellStyle name="Style 44 3 6 4 2 2" xfId="30956"/>
    <cellStyle name="Style 45 3 6 4 2 2" xfId="30957"/>
    <cellStyle name="Style 49 3 6 4 2 2" xfId="30958"/>
    <cellStyle name="Style 51 3 6 4 2 2" xfId="30959"/>
    <cellStyle name="Style 44 2 6 4 2 2" xfId="30960"/>
    <cellStyle name="Style 45 2 6 4 2 2" xfId="30961"/>
    <cellStyle name="Style 49 2 6 4 2 2" xfId="30962"/>
    <cellStyle name="Style 51 2 6 4 2 2" xfId="30963"/>
    <cellStyle name="Table Head Green 2 6 4 2 2" xfId="30964"/>
    <cellStyle name="Title [Palat] 2 6 4 2 2" xfId="30965"/>
    <cellStyle name="Title [Palat] 5 4 2 2" xfId="30966"/>
    <cellStyle name="Title [Helv] 4 4 2 2" xfId="30967"/>
    <cellStyle name="Table Head Green 6 4 2 2" xfId="30968"/>
    <cellStyle name="Table Head Aligned 4 4 2 2" xfId="30969"/>
    <cellStyle name="Style 51 9 3 2 2" xfId="30970"/>
    <cellStyle name="Style 49 9 3 2 2" xfId="30971"/>
    <cellStyle name="Style 45 9 3 2 2" xfId="30972"/>
    <cellStyle name="Style 44 9 3 2 2" xfId="30973"/>
    <cellStyle name="P-Green Rule 7 3 2 2" xfId="30974"/>
    <cellStyle name="PB Table Standard Row 7 3 2 2" xfId="30975"/>
    <cellStyle name="Outputs 6 4 2 2" xfId="30976"/>
    <cellStyle name="Magic 4 4 2 2" xfId="30977"/>
    <cellStyle name="Table Head Aligned 2 2 2 9 2" xfId="30978"/>
    <cellStyle name="Heading [Palat] 6 4 2 2" xfId="30979"/>
    <cellStyle name="Heading [Helv] 6 4 2 2" xfId="30980"/>
    <cellStyle name="dp*ThinLineBelow 5 4 2 2" xfId="30981"/>
    <cellStyle name="dp*SubTitle 5 4 2 2" xfId="30982"/>
    <cellStyle name="dp*SheetSubTitle 4 4 2 2" xfId="30983"/>
    <cellStyle name="dp*NumberLineEPS 4 4 2 2" xfId="30984"/>
    <cellStyle name="dp*NumberLine 4 4 2 2" xfId="30985"/>
    <cellStyle name="Date [mmm-yyyy] 4 4 2 2" xfId="30986"/>
    <cellStyle name="Date [mm-d-yyyy] 7 4 2 2" xfId="30987"/>
    <cellStyle name="Afjusted 4 3 4 7 2" xfId="30988"/>
    <cellStyle name="COL HEADINGS 6 4 2 2" xfId="30989"/>
    <cellStyle name="Border Thin 7 4 2 2" xfId="30990"/>
    <cellStyle name="Bold/Border 6 4 2 2" xfId="30991"/>
    <cellStyle name="Afjusted 7 4 2 2" xfId="30992"/>
    <cellStyle name="ac 6 4 2 2" xfId="30993"/>
    <cellStyle name="Style 44 8 4 2 2" xfId="30994"/>
    <cellStyle name="Style 45 8 4 2 2" xfId="30995"/>
    <cellStyle name="Style 49 8 4 2 2" xfId="30996"/>
    <cellStyle name="Style 51 8 4 2 2" xfId="30997"/>
    <cellStyle name="Title [Helv] 5 6 2" xfId="30998"/>
    <cellStyle name="Outputs 2 2 3 2 7 2" xfId="30999"/>
    <cellStyle name="Title [Palat] 6 4 2 2" xfId="31000"/>
    <cellStyle name="Title [Helv] 5 4 2 2" xfId="31001"/>
    <cellStyle name="Table Head Green 7 4 2 2" xfId="31002"/>
    <cellStyle name="Table Head Aligned 5 4 2 2" xfId="31003"/>
    <cellStyle name="Outputs 7 4 2 2" xfId="31004"/>
    <cellStyle name="Magic 5 4 2 2" xfId="31005"/>
    <cellStyle name="Heading [Palat] 7 4 2 2" xfId="31006"/>
    <cellStyle name="Heading [Helv] 7 4 2 2" xfId="31007"/>
    <cellStyle name="dp*SheetSubTitle 5 4 2 2" xfId="31008"/>
    <cellStyle name="dp*NumberLineEPS 5 4 2 2" xfId="31009"/>
    <cellStyle name="dp*NumberLine 5 4 2 2" xfId="31010"/>
    <cellStyle name="Date [mmm-yyyy] 5 4 2 2" xfId="31011"/>
    <cellStyle name="COL HEADINGS 7 4 2 2" xfId="31012"/>
    <cellStyle name="Bold/Border 7 4 2 2" xfId="31013"/>
    <cellStyle name="Afjusted 8 4 2 2" xfId="31014"/>
    <cellStyle name="ac 7 4 2 2" xfId="31015"/>
    <cellStyle name="Title [Palat] 2 2 2 9 2" xfId="31016"/>
    <cellStyle name="Title [Palat] 6 6 2" xfId="31017"/>
    <cellStyle name="Title [Palat] 7 4 2 2" xfId="31018"/>
    <cellStyle name="Title [Helv] 6 4 2 2" xfId="31019"/>
    <cellStyle name="Table Head Green 8 4 2 2" xfId="31020"/>
    <cellStyle name="Table Head Aligned 6 4 2 2" xfId="31021"/>
    <cellStyle name="dp*NumberLineEPS 2 2 3 4 7 2" xfId="31022"/>
    <cellStyle name="Outputs 8 4 2 2" xfId="31023"/>
    <cellStyle name="Magic 6 4 2 2" xfId="31024"/>
    <cellStyle name="Heading [Palat] 8 4 2 2" xfId="31025"/>
    <cellStyle name="Heading [Helv] 8 4 2 2" xfId="31026"/>
    <cellStyle name="dp*SheetSubTitle 6 4 2 2" xfId="31027"/>
    <cellStyle name="dp*NumberLineEPS 6 4 2 2" xfId="31028"/>
    <cellStyle name="dp*NumberLine 6 4 2 2" xfId="31029"/>
    <cellStyle name="COL HEADINGS 8 4 2 2" xfId="31030"/>
    <cellStyle name="Bold/Border 8 4 2 2" xfId="31031"/>
    <cellStyle name="Afjusted 9 4 2 2" xfId="31032"/>
    <cellStyle name="ac 8 4 2 2" xfId="31033"/>
    <cellStyle name="Outputs 2 2 2 2 7 2" xfId="31034"/>
    <cellStyle name="Date [mmm-yyyy] 6 4 2 2" xfId="31035"/>
    <cellStyle name="Title [Helv] 2 2 2 4 7 2" xfId="31036"/>
    <cellStyle name="Title [Palat] 8 4 2 2" xfId="31037"/>
    <cellStyle name="Title [Helv] 7 4 2 2" xfId="31038"/>
    <cellStyle name="Table Head Green 9 4 2 2" xfId="31039"/>
    <cellStyle name="Table Head Aligned 7 4 2 2" xfId="31040"/>
    <cellStyle name="Outputs 9 4 2 2" xfId="31041"/>
    <cellStyle name="Magic 7 4 2 2" xfId="31042"/>
    <cellStyle name="Heading [Palat] 9 4 2 2" xfId="31043"/>
    <cellStyle name="Heading [Helv] 9 4 2 2" xfId="31044"/>
    <cellStyle name="dp*SheetSubTitle 7 4 2 2" xfId="31045"/>
    <cellStyle name="dp*NumberLineEPS 7 4 2 2" xfId="31046"/>
    <cellStyle name="dp*NumberLine 7 4 2 2" xfId="31047"/>
    <cellStyle name="Date [mmm-yyyy] 7 4 2 2" xfId="31048"/>
    <cellStyle name="COL HEADINGS 9 4 2 2" xfId="31049"/>
    <cellStyle name="Bold/Border 9 4 2 2" xfId="31050"/>
    <cellStyle name="Afjusted 10 4 2 2" xfId="31051"/>
    <cellStyle name="ac 9 4 2 2" xfId="31052"/>
    <cellStyle name="Style 44 4 2 4 7 2" xfId="31053"/>
    <cellStyle name="Afjusted 3 6 3 2 2" xfId="31054"/>
    <cellStyle name="ac 2 7 3 2 2" xfId="31055"/>
    <cellStyle name="Afjusted 2 5 3 2 2" xfId="31056"/>
    <cellStyle name="Bold/Border 2 7 3 2 2" xfId="31057"/>
    <cellStyle name="COL HEADINGS 2 7 3 2 2" xfId="31058"/>
    <cellStyle name="Date [mmm-yyyy] 2 6 3 2 2" xfId="31059"/>
    <cellStyle name="dp*NumberLine 2 6 3 2 2" xfId="31060"/>
    <cellStyle name="dp*NumberLineEPS 2 6 3 2 2" xfId="31061"/>
    <cellStyle name="dp*SheetSubTitle 2 6 3 2 2" xfId="31062"/>
    <cellStyle name="Heading [Helv] 2 7 3 2 2" xfId="31063"/>
    <cellStyle name="Heading [Palat] 2 7 3 2 2" xfId="31064"/>
    <cellStyle name="Magic 2 6 3 2 2" xfId="31065"/>
    <cellStyle name="Outputs 2 7 3 2 2" xfId="31066"/>
    <cellStyle name="Table Head Aligned 2 6 3 2 2" xfId="31067"/>
    <cellStyle name="Table Head Green 2 7 3 2 2" xfId="31068"/>
    <cellStyle name="Title [Helv] 2 6 3 2 2" xfId="31069"/>
    <cellStyle name="Title [Palat] 2 7 3 2 2" xfId="31070"/>
    <cellStyle name="Date [mm-d-yyyy] 3 6 3 2 2" xfId="31071"/>
    <cellStyle name="Style 51 4 6 3 2 2" xfId="31072"/>
    <cellStyle name="Style 49 4 6 3 2 2" xfId="31073"/>
    <cellStyle name="Style 45 4 6 3 2 2" xfId="31074"/>
    <cellStyle name="Style 44 4 6 3 2 2" xfId="31075"/>
    <cellStyle name="P-Green Rule 3 6 3 2 2" xfId="31076"/>
    <cellStyle name="PB Table Standard Row 3 6 3 2 2" xfId="31077"/>
    <cellStyle name="dp*ThinLineBelow 3 6 3 2 2" xfId="31078"/>
    <cellStyle name="dp*SubTitle 3 6 3 2 2" xfId="31079"/>
    <cellStyle name="Border Thin 3 6 3 2 2" xfId="31080"/>
    <cellStyle name="Afjusted 4 6 3 2 2" xfId="31081"/>
    <cellStyle name="ac 2 2 5 3 2 2" xfId="31082"/>
    <cellStyle name="Afjusted 2 2 6 3 2 2" xfId="31083"/>
    <cellStyle name="Bold/Border 2 2 5 3 2 2" xfId="31084"/>
    <cellStyle name="COL HEADINGS 2 2 5 3 2 2" xfId="31085"/>
    <cellStyle name="Date [mmm-yyyy] 2 2 5 3 2 2" xfId="31086"/>
    <cellStyle name="dp*NumberLine 2 2 5 3 2 2" xfId="31087"/>
    <cellStyle name="dp*NumberLineEPS 2 2 5 3 2 2" xfId="31088"/>
    <cellStyle name="dp*SheetSubTitle 2 2 5 3 2 2" xfId="31089"/>
    <cellStyle name="Heading [Helv] 2 2 5 3 2 2" xfId="31090"/>
    <cellStyle name="Heading [Palat] 2 2 5 3 2 2" xfId="31091"/>
    <cellStyle name="Magic 2 2 5 3 2 2" xfId="31092"/>
    <cellStyle name="Outputs 2 2 5 3 2 2" xfId="31093"/>
    <cellStyle name="Table Head Aligned 2 2 5 3 2 2" xfId="31094"/>
    <cellStyle name="Table Head Green 2 2 5 3 2 2" xfId="31095"/>
    <cellStyle name="Title [Helv] 2 2 5 3 2 2" xfId="31096"/>
    <cellStyle name="Title [Palat] 2 2 5 3 2 2" xfId="31097"/>
    <cellStyle name="dp*SubTitle 2 2 2 3 2 2" xfId="31098"/>
    <cellStyle name="Border Thin 2 2 2 3 2 2" xfId="31099"/>
    <cellStyle name="Bold/Border 2 2 3 4 2 3 2 2" xfId="31100"/>
    <cellStyle name="Magic 2 2 3 4 2 3 2 2" xfId="31101"/>
    <cellStyle name="Title [Helv] 2 2 3 4 2 3 2 2" xfId="31102"/>
    <cellStyle name="Style 51 2 2 2 3 2 2" xfId="31103"/>
    <cellStyle name="Style 45 2 2 2 3 2 2" xfId="31104"/>
    <cellStyle name="Style 49 2 2 2 3 2 2" xfId="31105"/>
    <cellStyle name="Style 44 2 2 2 3 2 2" xfId="31106"/>
    <cellStyle name="Style 51 3 2 2 3 2 2" xfId="31107"/>
    <cellStyle name="Style 49 3 2 2 3 2 2" xfId="31108"/>
    <cellStyle name="Style 45 3 2 2 3 2 2" xfId="31109"/>
    <cellStyle name="Style 44 3 2 2 3 2 2" xfId="31110"/>
    <cellStyle name="P-Green Rule 2 2 2 3 2 2" xfId="31111"/>
    <cellStyle name="PB Table Standard Row 2 2 2 3 2 2" xfId="31112"/>
    <cellStyle name="dp*ThinLineBelow 2 2 2 3 2 2" xfId="31113"/>
    <cellStyle name="dp*ThinLineBelow 2 3 2 3 2 2" xfId="31114"/>
    <cellStyle name="Style 44 3 3 2 3 2 2" xfId="31115"/>
    <cellStyle name="COL HEADINGS 2 2 3 4 2 3 2 2" xfId="31116"/>
    <cellStyle name="Style 49 4 3 4 2 3 2 2" xfId="31117"/>
    <cellStyle name="Afjusted 3 3 4 2 3 2 2" xfId="31118"/>
    <cellStyle name="Date [mm-d-yyyy] 3 3 4 2 3 2 2" xfId="31119"/>
    <cellStyle name="Afjusted 4 3 4 2 3 2 2" xfId="31120"/>
    <cellStyle name="ac 2 2 3 4 2 3 2 2" xfId="31121"/>
    <cellStyle name="Afjusted 2 2 3 4 2 3 2 2" xfId="31122"/>
    <cellStyle name="Date [mmm-yyyy] 2 2 3 4 2 3 2 2" xfId="31123"/>
    <cellStyle name="dp*NumberLine 2 2 3 4 2 3 2 2" xfId="31124"/>
    <cellStyle name="dp*NumberLineEPS 2 2 3 4 2 3 2 2" xfId="31125"/>
    <cellStyle name="dp*SheetSubTitle 2 2 3 4 2 3 2 2" xfId="31126"/>
    <cellStyle name="Heading [Helv] 2 2 3 4 2 3 2 2" xfId="31127"/>
    <cellStyle name="Outputs 2 2 3 4 2 3 2 2" xfId="31128"/>
    <cellStyle name="Table Head Aligned 2 2 3 4 2 3 2 2" xfId="31129"/>
    <cellStyle name="Title [Palat] 2 2 3 4 2 3 2 2" xfId="31130"/>
    <cellStyle name="Afjusted 3 5 2 3 2 2" xfId="31131"/>
    <cellStyle name="Style 45 3 3 2 3 2 2" xfId="31132"/>
    <cellStyle name="Style 51 3 3 2 3 2 2" xfId="31133"/>
    <cellStyle name="Style 44 2 3 2 3 2 2" xfId="31134"/>
    <cellStyle name="Style 45 2 3 2 3 2 2" xfId="31135"/>
    <cellStyle name="Style 49 2 3 2 3 2 2" xfId="31136"/>
    <cellStyle name="Border Thin 3 5 2 3 2 2" xfId="31137"/>
    <cellStyle name="ac 2 2 4 2 3 2 2" xfId="31138"/>
    <cellStyle name="Afjusted 2 2 5 2 3 2 2" xfId="31139"/>
    <cellStyle name="Bold/Border 2 2 4 2 3 2 2" xfId="31140"/>
    <cellStyle name="COL HEADINGS 2 2 4 2 3 2 2" xfId="31141"/>
    <cellStyle name="Date [mmm-yyyy] 2 2 4 2 3 2 2" xfId="31142"/>
    <cellStyle name="dp*NumberLine 2 2 4 2 3 2 2" xfId="31143"/>
    <cellStyle name="dp*NumberLineEPS 2 2 4 2 3 2 2" xfId="31144"/>
    <cellStyle name="dp*SheetSubTitle 2 2 4 2 3 2 2" xfId="31145"/>
    <cellStyle name="Heading [Palat] 2 2 4 2 3 2 2" xfId="31146"/>
    <cellStyle name="Outputs 2 2 4 2 3 2 2" xfId="31147"/>
    <cellStyle name="Magic 2 2 4 2 3 2 2" xfId="31148"/>
    <cellStyle name="Title [Helv] 2 2 4 2 3 2 2" xfId="31149"/>
    <cellStyle name="Title [Palat] 2 2 4 2 3 2 2" xfId="31150"/>
    <cellStyle name="Title [Palat] 2 2 3 3 2 3 2 2" xfId="31151"/>
    <cellStyle name="Title [Helv] 2 2 3 3 2 3 2 2" xfId="31152"/>
    <cellStyle name="Table Head Aligned 2 2 3 3 2 3 2 2" xfId="31153"/>
    <cellStyle name="Magic 2 2 3 3 2 3 2 2" xfId="31154"/>
    <cellStyle name="Heading [Helv] 2 2 3 3 2 3 2 2" xfId="31155"/>
    <cellStyle name="dp*NumberLineEPS 2 2 3 3 2 3 2 2" xfId="31156"/>
    <cellStyle name="COL HEADINGS 2 2 3 3 2 3 2 2" xfId="31157"/>
    <cellStyle name="ac 2 2 3 3 2 3 2 2" xfId="31158"/>
    <cellStyle name="Afjusted 4 3 3 2 3 2 2" xfId="31159"/>
    <cellStyle name="Border Thin 3 3 3 2 3 2 2" xfId="31160"/>
    <cellStyle name="PB Table Standard Row 3 3 3 2 3 2 2" xfId="31161"/>
    <cellStyle name="Style 44 4 3 3 2 3 2 2" xfId="31162"/>
    <cellStyle name="Style 51 4 3 3 2 3 2 2" xfId="31163"/>
    <cellStyle name="Afjusted 3 3 3 2 3 2 2" xfId="31164"/>
    <cellStyle name="Style 49 4 5 2 3 2 2" xfId="31165"/>
    <cellStyle name="Style 44 4 5 2 3 2 2" xfId="31166"/>
    <cellStyle name="P-Green Rule 3 5 2 3 2 2" xfId="31167"/>
    <cellStyle name="dp*SubTitle 3 5 2 3 2 2" xfId="31168"/>
    <cellStyle name="Afjusted 4 5 2 3 2 2" xfId="31169"/>
    <cellStyle name="ac 2 3 2 3 2 2" xfId="31170"/>
    <cellStyle name="Bold/Border 2 3 2 3 2 2" xfId="31171"/>
    <cellStyle name="COL HEADINGS 2 3 2 3 2 2" xfId="31172"/>
    <cellStyle name="Date [mmm-yyyy] 2 3 2 3 2 2" xfId="31173"/>
    <cellStyle name="dp*NumberLine 2 3 2 3 2 2" xfId="31174"/>
    <cellStyle name="dp*NumberLineEPS 2 3 2 3 2 2" xfId="31175"/>
    <cellStyle name="dp*SheetSubTitle 2 3 2 3 2 2" xfId="31176"/>
    <cellStyle name="Heading [Helv] 2 3 2 3 2 2" xfId="31177"/>
    <cellStyle name="Heading [Palat] 2 3 2 3 2 2" xfId="31178"/>
    <cellStyle name="Magic 2 3 2 3 2 2" xfId="31179"/>
    <cellStyle name="Outputs 2 3 2 3 2 2" xfId="31180"/>
    <cellStyle name="Date [mmm-yyyy] 2 2 3 3 2 3 2 2" xfId="31181"/>
    <cellStyle name="Afjusted 2 2 3 3 2 3 2 2" xfId="31182"/>
    <cellStyle name="dp*ThinLineBelow 3 3 3 2 3 2 2" xfId="31183"/>
    <cellStyle name="Style 49 4 3 3 2 3 2 2" xfId="31184"/>
    <cellStyle name="Outputs 2 2 3 3 2 3 2 2" xfId="31185"/>
    <cellStyle name="dp*NumberLine 2 2 3 3 2 3 2 2" xfId="31186"/>
    <cellStyle name="Bold/Border 2 2 3 3 2 3 2 2" xfId="31187"/>
    <cellStyle name="dp*SubTitle 3 3 3 2 3 2 2" xfId="31188"/>
    <cellStyle name="Style 45 4 3 3 2 3 2 2" xfId="31189"/>
    <cellStyle name="Table Head Aligned 2 3 2 3 2 2" xfId="31190"/>
    <cellStyle name="Table Head Green 2 3 2 3 2 2" xfId="31191"/>
    <cellStyle name="Title [Helv] 2 3 2 3 2 2" xfId="31192"/>
    <cellStyle name="Title [Palat] 2 3 2 3 2 2" xfId="31193"/>
    <cellStyle name="Style 45 4 3 4 2 3 2 2" xfId="31194"/>
    <cellStyle name="Style 51 4 3 4 2 3 2 2" xfId="31195"/>
    <cellStyle name="Afjusted 3 4 2 3 2 2" xfId="31196"/>
    <cellStyle name="P-Green Rule 3 3 4 2 3 2 2" xfId="31197"/>
    <cellStyle name="Border Thin 2 3 2 3 2 2" xfId="31198"/>
    <cellStyle name="Style 49 3 3 2 3 2 2" xfId="31199"/>
    <cellStyle name="Style 51 2 3 2 3 2 2" xfId="31200"/>
    <cellStyle name="Heading [Helv] 2 2 4 2 3 2 2" xfId="31201"/>
    <cellStyle name="Table Head Aligned 2 2 4 2 3 2 2" xfId="31202"/>
    <cellStyle name="Table Head Green 2 2 4 2 3 2 2" xfId="31203"/>
    <cellStyle name="Table Head Green 2 2 3 3 2 3 2 2" xfId="31204"/>
    <cellStyle name="Heading [Palat] 2 2 3 3 2 3 2 2" xfId="31205"/>
    <cellStyle name="dp*SheetSubTitle 2 2 3 3 2 3 2 2" xfId="31206"/>
    <cellStyle name="P-Green Rule 3 3 3 2 3 2 2" xfId="31207"/>
    <cellStyle name="Date [mm-d-yyyy] 3 3 3 2 3 2 2" xfId="31208"/>
    <cellStyle name="Date [mm-d-yyyy] 3 4 2 3 2 2" xfId="31209"/>
    <cellStyle name="Style 51 4 4 2 3 2 2" xfId="31210"/>
    <cellStyle name="Style 49 4 4 2 3 2 2" xfId="31211"/>
    <cellStyle name="Style 45 4 4 2 3 2 2" xfId="31212"/>
    <cellStyle name="Style 44 4 4 2 3 2 2" xfId="31213"/>
    <cellStyle name="dp*ThinLineBelow 3 3 4 2 3 2 2" xfId="31214"/>
    <cellStyle name="P-Green Rule 3 4 2 3 2 2" xfId="31215"/>
    <cellStyle name="PB Table Standard Row 3 4 2 2 2 2" xfId="31216"/>
    <cellStyle name="dp*ThinLineBelow 3 4 2 3 2 2" xfId="31217"/>
    <cellStyle name="dp*SubTitle 3 4 2 3 2 2" xfId="31218"/>
    <cellStyle name="dp*SubTitle 3 3 4 2 3 2 2" xfId="31219"/>
    <cellStyle name="Border Thin 3 4 2 3 2 2" xfId="31220"/>
    <cellStyle name="Border Thin 3 3 4 2 3 2 2" xfId="31221"/>
    <cellStyle name="Afjusted 4 4 2 3 2 2" xfId="31222"/>
    <cellStyle name="Afjusted 2 2 4 2 3 2 2" xfId="31223"/>
    <cellStyle name="Style 44 4 3 4 2 3 2 2" xfId="31224"/>
    <cellStyle name="PB Table Standard Row 3 3 4 2 3 2 2" xfId="31225"/>
    <cellStyle name="Title [Palat] 2 2 3 5 3 2 2" xfId="31226"/>
    <cellStyle name="Title [Helv] 2 2 3 5 3 2 2" xfId="31227"/>
    <cellStyle name="Table Head Green 2 2 3 5 3 2 2" xfId="31228"/>
    <cellStyle name="Table Head Aligned 2 2 3 5 3 2 2" xfId="31229"/>
    <cellStyle name="Outputs 2 2 3 5 3 2 2" xfId="31230"/>
    <cellStyle name="Magic 2 2 3 5 3 2 2" xfId="31231"/>
    <cellStyle name="Heading [Palat] 2 2 3 5 3 2 2" xfId="31232"/>
    <cellStyle name="Heading [Helv] 2 2 3 5 3 2 2" xfId="31233"/>
    <cellStyle name="dp*SheetSubTitle 2 2 3 5 3 2 2" xfId="31234"/>
    <cellStyle name="dp*NumberLineEPS 2 2 3 5 3 2 2" xfId="31235"/>
    <cellStyle name="dp*NumberLine 2 2 3 5 3 2 2" xfId="31236"/>
    <cellStyle name="Date [mmm-yyyy] 2 2 3 5 3 2 2" xfId="31237"/>
    <cellStyle name="COL HEADINGS 2 2 3 5 3 2 2" xfId="31238"/>
    <cellStyle name="Bold/Border 2 2 3 5 3 2 2" xfId="31239"/>
    <cellStyle name="Afjusted 2 2 3 5 3 2 2" xfId="31240"/>
    <cellStyle name="ac 2 2 3 5 3 2 2" xfId="31241"/>
    <cellStyle name="Afjusted 4 3 5 3 2 2" xfId="31242"/>
    <cellStyle name="Border Thin 3 3 5 3 2 2" xfId="31243"/>
    <cellStyle name="dp*SubTitle 3 3 5 3 2 2" xfId="31244"/>
    <cellStyle name="dp*ThinLineBelow 3 3 5 3 2 2" xfId="31245"/>
    <cellStyle name="PB Table Standard Row 3 3 5 3 2 2" xfId="31246"/>
    <cellStyle name="P-Green Rule 3 3 5 3 2 2" xfId="31247"/>
    <cellStyle name="Style 44 4 3 5 3 2 2" xfId="31248"/>
    <cellStyle name="Style 45 4 3 5 3 2 2" xfId="31249"/>
    <cellStyle name="Style 49 4 3 5 3 2 2" xfId="31250"/>
    <cellStyle name="Style 51 4 3 5 3 2 2" xfId="31251"/>
    <cellStyle name="Date [mm-d-yyyy] 3 3 5 3 2 2" xfId="31252"/>
    <cellStyle name="Afjusted 3 3 5 3 2 2" xfId="31253"/>
    <cellStyle name="Date [mm-d-yyyy] 2 2 4 3 2 2" xfId="31254"/>
    <cellStyle name="Afjusted 3 2 5 3 2 2" xfId="31255"/>
    <cellStyle name="Date [mm-d-yyyy] 3 2 5 3 2 2" xfId="31256"/>
    <cellStyle name="Style 51 4 2 5 3 2 2" xfId="31257"/>
    <cellStyle name="Style 49 4 2 5 3 2 2" xfId="31258"/>
    <cellStyle name="Style 45 4 2 5 3 2 2" xfId="31259"/>
    <cellStyle name="Style 44 4 2 5 3 2 2" xfId="31260"/>
    <cellStyle name="P-Green Rule 3 2 5 3 2 2" xfId="31261"/>
    <cellStyle name="PB Table Standard Row 3 2 5 2 2 2" xfId="31262"/>
    <cellStyle name="dp*ThinLineBelow 3 2 5 3 2 2" xfId="31263"/>
    <cellStyle name="dp*SubTitle 3 2 5 3 2 2" xfId="31264"/>
    <cellStyle name="Border Thin 3 2 5 3 2 2" xfId="31265"/>
    <cellStyle name="Afjusted 4 2 5 3 2 2" xfId="31266"/>
    <cellStyle name="ac 2 2 2 5 3 2 2" xfId="31267"/>
    <cellStyle name="Afjusted 2 2 2 5 3 2 2" xfId="31268"/>
    <cellStyle name="Bold/Border 2 2 2 5 3 2 2" xfId="31269"/>
    <cellStyle name="COL HEADINGS 2 2 2 5 3 2 2" xfId="31270"/>
    <cellStyle name="Date [mmm-yyyy] 2 2 2 5 3 2 2" xfId="31271"/>
    <cellStyle name="dp*NumberLine 2 2 2 5 3 2 2" xfId="31272"/>
    <cellStyle name="dp*NumberLineEPS 2 2 2 5 3 2 2" xfId="31273"/>
    <cellStyle name="dp*SheetSubTitle 2 2 2 5 3 2 2" xfId="31274"/>
    <cellStyle name="Heading [Helv] 2 2 2 5 3 2 2" xfId="31275"/>
    <cellStyle name="Heading [Palat] 2 2 2 5 3 2 2" xfId="31276"/>
    <cellStyle name="Magic 2 2 2 5 3 2 2" xfId="31277"/>
    <cellStyle name="Outputs 2 2 2 5 3 2 2" xfId="31278"/>
    <cellStyle name="Table Head Aligned 2 2 2 5 3 2 2" xfId="31279"/>
    <cellStyle name="Table Head Green 2 2 2 5 3 2 2" xfId="31280"/>
    <cellStyle name="Title [Helv] 2 2 2 5 3 2 2" xfId="31281"/>
    <cellStyle name="Title [Palat] 2 2 2 5 3 2 2" xfId="31282"/>
    <cellStyle name="Table Head Green 2 2 3 4 2 3 2 2" xfId="31283"/>
    <cellStyle name="Heading [Palat] 2 2 3 4 2 3 2 2" xfId="31284"/>
    <cellStyle name="PB Table Standard Row 2 3 2 3 2 2" xfId="31285"/>
    <cellStyle name="P-Green Rule 2 3 2 3 2 2" xfId="31286"/>
    <cellStyle name="Title [Palat] 2 2 3 2 2 3 2 2" xfId="31287"/>
    <cellStyle name="Title [Helv] 2 2 3 2 2 3 2 2" xfId="31288"/>
    <cellStyle name="Table Head Green 2 2 3 2 2 3 2 2" xfId="31289"/>
    <cellStyle name="Table Head Aligned 2 2 3 2 2 3 2 2" xfId="31290"/>
    <cellStyle name="Outputs 2 2 3 2 2 3 2 2" xfId="31291"/>
    <cellStyle name="Magic 2 2 3 2 2 3 2 2" xfId="31292"/>
    <cellStyle name="Heading [Palat] 2 2 3 2 2 3 2 2" xfId="31293"/>
    <cellStyle name="Heading [Helv] 2 2 3 2 2 3 2 2" xfId="31294"/>
    <cellStyle name="dp*SheetSubTitle 2 2 3 2 2 3 2 2" xfId="31295"/>
    <cellStyle name="dp*NumberLineEPS 2 2 3 2 2 3 2 2" xfId="31296"/>
    <cellStyle name="dp*NumberLine 2 2 3 2 2 3 2 2" xfId="31297"/>
    <cellStyle name="Date [mmm-yyyy] 2 2 3 2 2 3 2 2" xfId="31298"/>
    <cellStyle name="COL HEADINGS 2 2 3 2 2 3 2 2" xfId="31299"/>
    <cellStyle name="Bold/Border 2 2 3 2 2 3 2 2" xfId="31300"/>
    <cellStyle name="Afjusted 2 2 3 2 2 3 2 2" xfId="31301"/>
    <cellStyle name="ac 2 2 3 2 2 3 2 2" xfId="31302"/>
    <cellStyle name="Afjusted 4 3 2 2 3 2 2" xfId="31303"/>
    <cellStyle name="Border Thin 3 3 2 2 3 2 2" xfId="31304"/>
    <cellStyle name="dp*SubTitle 3 3 2 2 3 2 2" xfId="31305"/>
    <cellStyle name="dp*ThinLineBelow 3 3 2 2 3 2 2" xfId="31306"/>
    <cellStyle name="PB Table Standard Row 3 3 2 2 3 2 2" xfId="31307"/>
    <cellStyle name="P-Green Rule 3 3 2 2 3 2 2" xfId="31308"/>
    <cellStyle name="Style 44 4 3 2 2 3 2 2" xfId="31309"/>
    <cellStyle name="Style 45 4 3 2 2 3 2 2" xfId="31310"/>
    <cellStyle name="Style 49 4 3 2 2 3 2 2" xfId="31311"/>
    <cellStyle name="Style 51 4 3 2 2 3 2 2" xfId="31312"/>
    <cellStyle name="Date [mm-d-yyyy] 3 3 2 2 3 2 2" xfId="31313"/>
    <cellStyle name="Afjusted 3 3 2 2 3 2 2" xfId="31314"/>
    <cellStyle name="Date [mm-d-yyyy] 3 5 2 3 2 2" xfId="31315"/>
    <cellStyle name="dp*SubTitle 2 3 2 3 2 2" xfId="31316"/>
    <cellStyle name="Date [mm-d-yyyy] 2 2 2 2 3 2 2" xfId="31317"/>
    <cellStyle name="Afjusted 3 2 2 2 3 2 2" xfId="31318"/>
    <cellStyle name="PB Table Standard Row 3 5 2 3 2 2" xfId="31319"/>
    <cellStyle name="Date [mm-d-yyyy] 3 2 2 2 3 2 2" xfId="31320"/>
    <cellStyle name="Style 51 4 2 2 2 3 2 2" xfId="31321"/>
    <cellStyle name="Style 49 4 2 2 2 3 2 2" xfId="31322"/>
    <cellStyle name="Style 45 4 2 2 2 3 2 2" xfId="31323"/>
    <cellStyle name="Style 44 4 2 2 2 3 2 2" xfId="31324"/>
    <cellStyle name="Style 45 4 5 2 3 2 2" xfId="31325"/>
    <cellStyle name="P-Green Rule 3 2 2 2 3 2 2" xfId="31326"/>
    <cellStyle name="PB Table Standard Row 3 2 2 2 3 2 2" xfId="31327"/>
    <cellStyle name="dp*ThinLineBelow 3 2 2 2 3 2 2" xfId="31328"/>
    <cellStyle name="dp*SubTitle 3 2 2 2 3 2 2" xfId="31329"/>
    <cellStyle name="Style 51 4 5 2 3 2 2" xfId="31330"/>
    <cellStyle name="Border Thin 3 2 2 2 3 2 2" xfId="31331"/>
    <cellStyle name="Afjusted 4 2 2 2 3 2 2" xfId="31332"/>
    <cellStyle name="ac 2 2 2 2 2 3 2 2" xfId="31333"/>
    <cellStyle name="Afjusted 2 2 2 2 2 3 2 2" xfId="31334"/>
    <cellStyle name="Bold/Border 2 2 2 2 2 3 2 2" xfId="31335"/>
    <cellStyle name="COL HEADINGS 2 2 2 2 2 3 2 2" xfId="31336"/>
    <cellStyle name="Date [mmm-yyyy] 2 2 2 2 2 3 2 2" xfId="31337"/>
    <cellStyle name="dp*NumberLine 2 2 2 2 2 3 2 2" xfId="31338"/>
    <cellStyle name="dp*NumberLineEPS 2 2 2 2 2 3 2 2" xfId="31339"/>
    <cellStyle name="dp*SheetSubTitle 2 2 2 2 2 3 2 2" xfId="31340"/>
    <cellStyle name="Heading [Helv] 2 2 2 2 2 3 2 2" xfId="31341"/>
    <cellStyle name="Heading [Palat] 2 2 2 2 2 3 2 2" xfId="31342"/>
    <cellStyle name="Magic 2 2 2 2 2 3 2 2" xfId="31343"/>
    <cellStyle name="Outputs 2 2 2 2 2 3 2 2" xfId="31344"/>
    <cellStyle name="Table Head Aligned 2 2 2 2 2 3 2 2" xfId="31345"/>
    <cellStyle name="Table Head Green 2 2 2 2 2 3 2 2" xfId="31346"/>
    <cellStyle name="Title [Helv] 2 2 2 2 2 3 2 2" xfId="31347"/>
    <cellStyle name="Title [Palat] 2 2 2 2 2 3 2 2" xfId="31348"/>
    <cellStyle name="dp*ThinLineBelow 3 5 2 3 2 2" xfId="31349"/>
    <cellStyle name="Date [mm-d-yyyy] 2 2 3 2 3 2 2" xfId="31350"/>
    <cellStyle name="Afjusted 3 2 3 2 3 2 2" xfId="31351"/>
    <cellStyle name="Date [mm-d-yyyy] 3 2 3 2 3 2 2" xfId="31352"/>
    <cellStyle name="Style 51 4 2 3 2 3 2 2" xfId="31353"/>
    <cellStyle name="Style 49 4 2 3 2 3 2 2" xfId="31354"/>
    <cellStyle name="Style 45 4 2 3 2 3 2 2" xfId="31355"/>
    <cellStyle name="Style 44 4 2 3 2 3 2 2" xfId="31356"/>
    <cellStyle name="P-Green Rule 3 2 3 2 3 2 2" xfId="31357"/>
    <cellStyle name="PB Table Standard Row 3 2 3 2 3 2 2" xfId="31358"/>
    <cellStyle name="dp*ThinLineBelow 3 2 3 2 3 2 2" xfId="31359"/>
    <cellStyle name="dp*SubTitle 3 2 3 2 3 2 2" xfId="31360"/>
    <cellStyle name="Border Thin 3 2 3 2 3 2 2" xfId="31361"/>
    <cellStyle name="Afjusted 4 2 3 2 3 2 2" xfId="31362"/>
    <cellStyle name="ac 2 2 2 3 2 3 2 2" xfId="31363"/>
    <cellStyle name="Afjusted 2 2 2 3 2 3 2 2" xfId="31364"/>
    <cellStyle name="Bold/Border 2 2 2 3 2 3 2 2" xfId="31365"/>
    <cellStyle name="COL HEADINGS 2 2 2 3 2 3 2 2" xfId="31366"/>
    <cellStyle name="Date [mmm-yyyy] 2 2 2 3 2 3 2 2" xfId="31367"/>
    <cellStyle name="dp*NumberLine 2 2 2 3 2 3 2 2" xfId="31368"/>
    <cellStyle name="dp*NumberLineEPS 2 2 2 3 2 3 2 2" xfId="31369"/>
    <cellStyle name="dp*SheetSubTitle 2 2 2 3 2 3 2 2" xfId="31370"/>
    <cellStyle name="Heading [Helv] 2 2 2 3 2 3 2 2" xfId="31371"/>
    <cellStyle name="Heading [Palat] 2 2 2 3 2 3 2 2" xfId="31372"/>
    <cellStyle name="Magic 2 2 2 3 2 3 2 2" xfId="31373"/>
    <cellStyle name="Outputs 2 2 2 3 2 3 2 2" xfId="31374"/>
    <cellStyle name="Table Head Aligned 2 2 2 3 2 3 2 2" xfId="31375"/>
    <cellStyle name="Table Head Green 2 2 2 3 2 3 2 2" xfId="31376"/>
    <cellStyle name="Title [Helv] 2 2 2 3 2 3 2 2" xfId="31377"/>
    <cellStyle name="Title [Palat] 2 2 2 3 2 3 2 2" xfId="31378"/>
    <cellStyle name="Afjusted 3 2 4 2 3 2 2" xfId="31379"/>
    <cellStyle name="Date [mm-d-yyyy] 3 2 4 2 3 2 2" xfId="31380"/>
    <cellStyle name="Style 51 4 2 4 2 3 2 2" xfId="31381"/>
    <cellStyle name="Style 49 4 2 4 2 3 2 2" xfId="31382"/>
    <cellStyle name="Style 45 4 2 4 2 3 2 2" xfId="31383"/>
    <cellStyle name="Style 44 4 2 4 2 3 2 2" xfId="31384"/>
    <cellStyle name="P-Green Rule 3 2 4 2 3 2 2" xfId="31385"/>
    <cellStyle name="PB Table Standard Row 3 2 4 2 3 2 2" xfId="31386"/>
    <cellStyle name="dp*ThinLineBelow 3 2 4 2 3 2 2" xfId="31387"/>
    <cellStyle name="dp*SubTitle 3 2 4 2 3 2 2" xfId="31388"/>
    <cellStyle name="Border Thin 3 2 4 2 3 2 2" xfId="31389"/>
    <cellStyle name="Afjusted 4 2 4 2 3 2 2" xfId="31390"/>
    <cellStyle name="ac 2 2 2 4 2 3 2 2" xfId="31391"/>
    <cellStyle name="Afjusted 2 2 2 4 2 3 2 2" xfId="31392"/>
    <cellStyle name="Bold/Border 2 2 2 4 2 3 2 2" xfId="31393"/>
    <cellStyle name="COL HEADINGS 2 2 2 4 2 3 2 2" xfId="31394"/>
    <cellStyle name="Date [mmm-yyyy] 2 2 2 4 2 3 2 2" xfId="31395"/>
    <cellStyle name="dp*NumberLine 2 2 2 4 2 3 2 2" xfId="31396"/>
    <cellStyle name="dp*NumberLineEPS 2 2 2 4 2 3 2 2" xfId="31397"/>
    <cellStyle name="dp*SheetSubTitle 2 2 2 4 2 3 2 2" xfId="31398"/>
    <cellStyle name="Heading [Helv] 2 2 2 4 2 3 2 2" xfId="31399"/>
    <cellStyle name="Heading [Palat] 2 2 2 4 2 3 2 2" xfId="31400"/>
    <cellStyle name="Magic 2 2 2 4 2 3 2 2" xfId="31401"/>
    <cellStyle name="Outputs 2 2 2 4 2 3 2 2" xfId="31402"/>
    <cellStyle name="Table Head Aligned 2 2 2 4 2 3 2 2" xfId="31403"/>
    <cellStyle name="Table Head Green 2 2 2 4 2 3 2 2" xfId="31404"/>
    <cellStyle name="Title [Helv] 2 2 2 4 2 3 2 2" xfId="31405"/>
    <cellStyle name="Title [Palat] 2 2 2 4 2 3 2 2" xfId="31406"/>
    <cellStyle name="Border Thin 4 2 3 2 2" xfId="31407"/>
    <cellStyle name="Date [mm-d-yyyy] 4 2 3 2 2" xfId="31408"/>
    <cellStyle name="dp*SubTitle 4 2 3 2 2" xfId="31409"/>
    <cellStyle name="dp*ThinLineBelow 4 2 3 2 2" xfId="31410"/>
    <cellStyle name="PB Table Standard Row 4 2 3 2 2" xfId="31411"/>
    <cellStyle name="P-Green Rule 4 2 3 2 2" xfId="31412"/>
    <cellStyle name="Style 44 5 2 3 2 2" xfId="31413"/>
    <cellStyle name="Style 45 5 2 3 2 2" xfId="31414"/>
    <cellStyle name="Style 49 5 2 3 2 2" xfId="31415"/>
    <cellStyle name="Style 51 5 2 3 2 2" xfId="31416"/>
    <cellStyle name="Title [Palat] 3 2 3 2 2" xfId="31417"/>
    <cellStyle name="Title [Helv] 3 2 3 2 2" xfId="31418"/>
    <cellStyle name="Table Head Green 3 2 3 2 2" xfId="31419"/>
    <cellStyle name="Table Head Aligned 3 2 3 2 2" xfId="31420"/>
    <cellStyle name="Outputs 3 2 3 2 2" xfId="31421"/>
    <cellStyle name="Magic 3 2 3 2 2" xfId="31422"/>
    <cellStyle name="Heading [Palat] 3 2 3 2 2" xfId="31423"/>
    <cellStyle name="Heading [Helv] 3 2 3 2 2" xfId="31424"/>
    <cellStyle name="dp*SheetSubTitle 3 2 3 2 2" xfId="31425"/>
    <cellStyle name="dp*NumberLineEPS 3 2 3 2 2" xfId="31426"/>
    <cellStyle name="dp*NumberLine 3 2 3 2 2" xfId="31427"/>
    <cellStyle name="COL HEADINGS 3 2 3 2 2" xfId="31428"/>
    <cellStyle name="Bold/Border 3 2 3 2 2" xfId="31429"/>
    <cellStyle name="Afjusted 5 2 3 2 2" xfId="31430"/>
    <cellStyle name="ac 3 2 3 2 2" xfId="31431"/>
    <cellStyle name="Date [mmm-yyyy] 3 2 3 2 2" xfId="31432"/>
    <cellStyle name="ac 2 4 2 3 2 2" xfId="31433"/>
    <cellStyle name="Afjusted 2 3 2 3 2 2" xfId="31434"/>
    <cellStyle name="Bold/Border 2 4 2 3 2 2" xfId="31435"/>
    <cellStyle name="Border Thin 2 4 2 3 2 2" xfId="31436"/>
    <cellStyle name="COL HEADINGS 2 4 2 3 2 2" xfId="31437"/>
    <cellStyle name="Date [mmm-yyyy] 2 4 2 3 2 2" xfId="31438"/>
    <cellStyle name="dp*NumberLine 2 4 2 3 2 2" xfId="31439"/>
    <cellStyle name="dp*NumberLineEPS 2 4 2 3 2 2" xfId="31440"/>
    <cellStyle name="dp*SheetSubTitle 2 4 2 3 2 2" xfId="31441"/>
    <cellStyle name="dp*SubTitle 2 4 2 3 2 2" xfId="31442"/>
    <cellStyle name="dp*ThinLineBelow 2 4 2 3 2 2" xfId="31443"/>
    <cellStyle name="Heading [Helv] 2 4 2 3 2 2" xfId="31444"/>
    <cellStyle name="Heading [Palat] 2 4 2 3 2 2" xfId="31445"/>
    <cellStyle name="Magic 2 4 2 3 2 2" xfId="31446"/>
    <cellStyle name="Outputs 2 4 2 3 2 2" xfId="31447"/>
    <cellStyle name="PB Table Standard Row 2 4 2 3 2 2" xfId="31448"/>
    <cellStyle name="P-Green Rule 2 4 2 3 2 2" xfId="31449"/>
    <cellStyle name="Style 44 3 4 2 3 2 2" xfId="31450"/>
    <cellStyle name="Style 45 3 4 2 3 2 2" xfId="31451"/>
    <cellStyle name="Style 49 3 4 2 3 2 2" xfId="31452"/>
    <cellStyle name="Style 51 3 4 2 3 2 2" xfId="31453"/>
    <cellStyle name="Style 44 2 4 2 3 2 2" xfId="31454"/>
    <cellStyle name="Style 45 2 4 2 3 2 2" xfId="31455"/>
    <cellStyle name="Style 49 2 4 2 3 2 2" xfId="31456"/>
    <cellStyle name="Style 51 2 4 2 3 2 2" xfId="31457"/>
    <cellStyle name="Table Head Aligned 2 4 2 3 2 2" xfId="31458"/>
    <cellStyle name="Table Head Green 2 4 2 3 2 2" xfId="31459"/>
    <cellStyle name="Title [Helv] 2 4 2 3 2 2" xfId="31460"/>
    <cellStyle name="Title [Palat] 2 4 2 3 2 2" xfId="31461"/>
    <cellStyle name="ac 4 2 3 2 2" xfId="31462"/>
    <cellStyle name="Bold/Border 4 2 3 2 2" xfId="31463"/>
    <cellStyle name="Border Thin 5 2 3 2 2" xfId="31464"/>
    <cellStyle name="COL HEADINGS 4 2 3 2 2" xfId="31465"/>
    <cellStyle name="Date [mm-d-yyyy] 5 2 3 2 2" xfId="31466"/>
    <cellStyle name="Heading [Helv] 4 2 3 2 2" xfId="31467"/>
    <cellStyle name="Heading [Palat] 4 2 3 2 2" xfId="31468"/>
    <cellStyle name="Outputs 4 2 3 2 2" xfId="31469"/>
    <cellStyle name="PB Table Standard Row 5 2 3 2 2" xfId="31470"/>
    <cellStyle name="P-Green Rule 5 2 3 2 2" xfId="31471"/>
    <cellStyle name="Style 44 6 2 3 2 2" xfId="31472"/>
    <cellStyle name="Style 45 6 2 3 2 2" xfId="31473"/>
    <cellStyle name="Style 49 6 2 3 2 2" xfId="31474"/>
    <cellStyle name="Style 51 6 2 3 2 2" xfId="31475"/>
    <cellStyle name="Table Head Green 4 2 3 2 2" xfId="31476"/>
    <cellStyle name="Afjusted 6 2 3 2 2" xfId="31477"/>
    <cellStyle name="ac 2 5 2 3 2 2" xfId="31478"/>
    <cellStyle name="Afjusted 2 4 2 3 2 2" xfId="31479"/>
    <cellStyle name="Bold/Border 2 5 2 3 2 2" xfId="31480"/>
    <cellStyle name="Border Thin 2 5 2 3 2 2" xfId="31481"/>
    <cellStyle name="COL HEADINGS 2 5 2 3 2 2" xfId="31482"/>
    <cellStyle name="Date [mmm-yyyy] 2 5 2 3 2 2" xfId="31483"/>
    <cellStyle name="dp*NumberLine 2 5 2 3 2 2" xfId="31484"/>
    <cellStyle name="dp*NumberLineEPS 2 5 2 3 2 2" xfId="31485"/>
    <cellStyle name="dp*SheetSubTitle 2 5 2 3 2 2" xfId="31486"/>
    <cellStyle name="dp*SubTitle 2 5 2 3 2 2" xfId="31487"/>
    <cellStyle name="dp*ThinLineBelow 2 5 2 3 2 2" xfId="31488"/>
    <cellStyle name="Heading [Helv] 2 5 2 3 2 2" xfId="31489"/>
    <cellStyle name="Heading [Palat] 2 5 2 3 2 2" xfId="31490"/>
    <cellStyle name="Magic 2 5 2 3 2 2" xfId="31491"/>
    <cellStyle name="Outputs 2 5 2 3 2 2" xfId="31492"/>
    <cellStyle name="PB Table Standard Row 2 5 2 3 2 2" xfId="31493"/>
    <cellStyle name="P-Green Rule 2 5 2 3 2 2" xfId="31494"/>
    <cellStyle name="Style 44 3 5 2 3 2 2" xfId="31495"/>
    <cellStyle name="Style 45 3 5 2 3 2 2" xfId="31496"/>
    <cellStyle name="Style 49 3 5 2 3 2 2" xfId="31497"/>
    <cellStyle name="Style 51 3 5 2 3 2 2" xfId="31498"/>
    <cellStyle name="Style 44 2 5 2 3 2 2" xfId="31499"/>
    <cellStyle name="Style 45 2 5 2 3 2 2" xfId="31500"/>
    <cellStyle name="Style 49 2 5 2 3 2 2" xfId="31501"/>
    <cellStyle name="Style 51 2 5 2 3 2 2" xfId="31502"/>
    <cellStyle name="Table Head Aligned 2 5 2 3 2 2" xfId="31503"/>
    <cellStyle name="Table Head Green 2 5 2 3 2 2" xfId="31504"/>
    <cellStyle name="Title [Helv] 2 5 2 3 2 2" xfId="31505"/>
    <cellStyle name="Title [Palat] 2 5 2 3 2 2" xfId="31506"/>
    <cellStyle name="ac 5 2 3 2 2" xfId="31507"/>
    <cellStyle name="Bold/Border 5 2 3 2 2" xfId="31508"/>
    <cellStyle name="Border Thin 6 2 3 2 2" xfId="31509"/>
    <cellStyle name="COL HEADINGS 5 2 3 2 2" xfId="31510"/>
    <cellStyle name="Heading [Helv] 5 2 3 2 2" xfId="31511"/>
    <cellStyle name="Heading [Palat] 5 2 3 2 2" xfId="31512"/>
    <cellStyle name="Outputs 5 2 3 2 2" xfId="31513"/>
    <cellStyle name="PB Table Standard Row 6 2 3 2 2" xfId="31514"/>
    <cellStyle name="P-Green Rule 6 2 3 2 2" xfId="31515"/>
    <cellStyle name="Style 44 7 2 3 2 2" xfId="31516"/>
    <cellStyle name="Style 45 7 2 3 2 2" xfId="31517"/>
    <cellStyle name="Style 49 7 2 3 2 2" xfId="31518"/>
    <cellStyle name="Style 51 7 2 3 2 2" xfId="31519"/>
    <cellStyle name="Table Head Green 5 2 3 2 2" xfId="31520"/>
    <cellStyle name="Title [Palat] 4 2 3 2 2" xfId="31521"/>
    <cellStyle name="ac 2 6 2 3 2 2" xfId="31522"/>
    <cellStyle name="Bold/Border 2 6 2 3 2 2" xfId="31523"/>
    <cellStyle name="Border Thin 2 6 2 3 2 2" xfId="31524"/>
    <cellStyle name="COL HEADINGS 2 6 2 3 2 2" xfId="31525"/>
    <cellStyle name="Heading [Helv] 2 6 2 3 2 2" xfId="31526"/>
    <cellStyle name="Heading [Palat] 2 6 2 3 2 2" xfId="31527"/>
    <cellStyle name="Outputs 2 6 2 3 2 2" xfId="31528"/>
    <cellStyle name="PB Table Standard Row 2 6 2 3 2 2" xfId="31529"/>
    <cellStyle name="P-Green Rule 2 6 2 3 2 2" xfId="31530"/>
    <cellStyle name="Style 44 3 6 2 3 2 2" xfId="31531"/>
    <cellStyle name="Style 45 3 6 2 3 2 2" xfId="31532"/>
    <cellStyle name="Style 49 3 6 2 3 2 2" xfId="31533"/>
    <cellStyle name="Style 51 3 6 2 3 2 2" xfId="31534"/>
    <cellStyle name="Style 44 2 6 2 3 2 2" xfId="31535"/>
    <cellStyle name="Style 45 2 6 2 3 2 2" xfId="31536"/>
    <cellStyle name="Style 49 2 6 2 3 2 2" xfId="31537"/>
    <cellStyle name="Style 51 2 6 2 3 2 2" xfId="31538"/>
    <cellStyle name="Table Head Green 2 6 2 3 2 2" xfId="31539"/>
    <cellStyle name="Title [Palat] 2 6 2 3 2 2" xfId="31540"/>
    <cellStyle name="Title [Palat] 5 2 3 2 2" xfId="31541"/>
    <cellStyle name="Title [Helv] 4 2 3 2 2" xfId="31542"/>
    <cellStyle name="Table Head Green 6 2 3 2 2" xfId="31543"/>
    <cellStyle name="Table Head Aligned 4 2 3 2 2" xfId="31544"/>
    <cellStyle name="Style 51 9 2 3 2 2" xfId="31545"/>
    <cellStyle name="Style 49 9 2 3 2 2" xfId="31546"/>
    <cellStyle name="Style 45 9 2 3 2 2" xfId="31547"/>
    <cellStyle name="Style 44 9 2 3 2 2" xfId="31548"/>
    <cellStyle name="P-Green Rule 7 2 3 2 2" xfId="31549"/>
    <cellStyle name="PB Table Standard Row 7 2 3 2 2" xfId="31550"/>
    <cellStyle name="Outputs 6 2 3 2 2" xfId="31551"/>
    <cellStyle name="Magic 4 2 3 2 2" xfId="31552"/>
    <cellStyle name="Heading [Palat] 6 2 3 2 2" xfId="31553"/>
    <cellStyle name="Heading [Helv] 6 2 3 2 2" xfId="31554"/>
    <cellStyle name="dp*ThinLineBelow 5 2 3 2 2" xfId="31555"/>
    <cellStyle name="dp*SubTitle 5 2 3 2 2" xfId="31556"/>
    <cellStyle name="dp*SheetSubTitle 4 2 3 2 2" xfId="31557"/>
    <cellStyle name="dp*NumberLineEPS 4 2 3 2 2" xfId="31558"/>
    <cellStyle name="dp*NumberLine 4 2 3 2 2" xfId="31559"/>
    <cellStyle name="Date [mmm-yyyy] 4 2 3 2 2" xfId="31560"/>
    <cellStyle name="Date [mm-d-yyyy] 7 2 3 2 2" xfId="31561"/>
    <cellStyle name="COL HEADINGS 6 2 3 2 2" xfId="31562"/>
    <cellStyle name="Border Thin 7 2 3 2 2" xfId="31563"/>
    <cellStyle name="Bold/Border 6 2 3 2 2" xfId="31564"/>
    <cellStyle name="Afjusted 7 2 3 2 2" xfId="31565"/>
    <cellStyle name="ac 6 2 3 2 2" xfId="31566"/>
    <cellStyle name="Style 44 8 2 3 2 2" xfId="31567"/>
    <cellStyle name="Style 45 8 2 3 2 2" xfId="31568"/>
    <cellStyle name="Style 49 8 2 3 2 2" xfId="31569"/>
    <cellStyle name="Style 51 8 2 3 2 2" xfId="31570"/>
    <cellStyle name="Title [Palat] 6 2 3 2 2" xfId="31571"/>
    <cellStyle name="Title [Helv] 5 2 3 2 2" xfId="31572"/>
    <cellStyle name="Table Head Green 7 2 3 2 2" xfId="31573"/>
    <cellStyle name="Table Head Aligned 5 2 3 2 2" xfId="31574"/>
    <cellStyle name="Outputs 7 2 3 2 2" xfId="31575"/>
    <cellStyle name="Magic 5 2 3 2 2" xfId="31576"/>
    <cellStyle name="Heading [Palat] 7 2 3 2 2" xfId="31577"/>
    <cellStyle name="Heading [Helv] 7 2 3 2 2" xfId="31578"/>
    <cellStyle name="dp*SheetSubTitle 5 2 3 2 2" xfId="31579"/>
    <cellStyle name="dp*NumberLineEPS 5 2 3 2 2" xfId="31580"/>
    <cellStyle name="dp*NumberLine 5 2 3 2 2" xfId="31581"/>
    <cellStyle name="Date [mmm-yyyy] 5 2 3 2 2" xfId="31582"/>
    <cellStyle name="COL HEADINGS 7 2 3 2 2" xfId="31583"/>
    <cellStyle name="Bold/Border 7 2 3 2 2" xfId="31584"/>
    <cellStyle name="Afjusted 8 2 3 2 2" xfId="31585"/>
    <cellStyle name="ac 7 2 3 2 2" xfId="31586"/>
    <cellStyle name="Title [Palat] 7 2 3 2 2" xfId="31587"/>
    <cellStyle name="Title [Helv] 6 2 3 2 2" xfId="31588"/>
    <cellStyle name="Table Head Green 8 2 3 2 2" xfId="31589"/>
    <cellStyle name="Table Head Aligned 6 2 3 2 2" xfId="31590"/>
    <cellStyle name="Outputs 8 2 3 2 2" xfId="31591"/>
    <cellStyle name="Magic 6 2 3 2 2" xfId="31592"/>
    <cellStyle name="Heading [Palat] 8 2 3 2 2" xfId="31593"/>
    <cellStyle name="Heading [Helv] 8 2 3 2 2" xfId="31594"/>
    <cellStyle name="dp*SheetSubTitle 6 2 3 2 2" xfId="31595"/>
    <cellStyle name="dp*NumberLineEPS 6 2 3 2 2" xfId="31596"/>
    <cellStyle name="dp*NumberLine 6 2 3 2 2" xfId="31597"/>
    <cellStyle name="COL HEADINGS 8 2 3 2 2" xfId="31598"/>
    <cellStyle name="Bold/Border 8 2 3 2 2" xfId="31599"/>
    <cellStyle name="Afjusted 9 2 3 2 2" xfId="31600"/>
    <cellStyle name="ac 8 2 3 2 2" xfId="31601"/>
    <cellStyle name="Date [mmm-yyyy] 6 2 3 2 2" xfId="31602"/>
    <cellStyle name="Title [Palat] 8 2 3 2 2" xfId="31603"/>
    <cellStyle name="Title [Helv] 7 2 3 2 2" xfId="31604"/>
    <cellStyle name="Table Head Green 9 2 3 2 2" xfId="31605"/>
    <cellStyle name="Table Head Aligned 7 2 3 2 2" xfId="31606"/>
    <cellStyle name="Outputs 9 2 3 2 2" xfId="31607"/>
    <cellStyle name="Magic 7 2 3 2 2" xfId="31608"/>
    <cellStyle name="Heading [Palat] 9 2 3 2 2" xfId="31609"/>
    <cellStyle name="Heading [Helv] 9 2 3 2 2" xfId="31610"/>
    <cellStyle name="dp*SheetSubTitle 7 2 3 2 2" xfId="31611"/>
    <cellStyle name="dp*NumberLineEPS 7 2 3 2 2" xfId="31612"/>
    <cellStyle name="dp*NumberLine 7 2 3 2 2" xfId="31613"/>
    <cellStyle name="Date [mmm-yyyy] 7 2 3 2 2" xfId="31614"/>
    <cellStyle name="COL HEADINGS 9 2 3 2 2" xfId="31615"/>
    <cellStyle name="Bold/Border 9 2 3 2 2" xfId="31616"/>
    <cellStyle name="Afjusted 10 2 3 2 2" xfId="31617"/>
    <cellStyle name="ac 9 2 3 2 2" xfId="31618"/>
    <cellStyle name="Style 49 4 3 3 5 2 2" xfId="31619"/>
    <cellStyle name="dp*ThinLineBelow 3 3 3 5 2 2" xfId="31620"/>
    <cellStyle name="Afjusted 2 2 3 3 5 2 2" xfId="31621"/>
    <cellStyle name="Date [mmm-yyyy] 2 2 3 3 5 2 2" xfId="31622"/>
    <cellStyle name="Magic 2 3 5 2 2" xfId="31623"/>
    <cellStyle name="Heading [Palat] 2 3 5 2 2" xfId="31624"/>
    <cellStyle name="Style 51 3 3 5 2 2" xfId="31625"/>
    <cellStyle name="Style 45 2 8 2 2" xfId="31626"/>
    <cellStyle name="Style 44 2 8 2 2" xfId="31627"/>
    <cellStyle name="Style 51 3 8 2 2" xfId="31628"/>
    <cellStyle name="P-Green Rule 2 8 2 2" xfId="31629"/>
    <cellStyle name="PB Table Standard Row 2 7 2 2" xfId="31630"/>
    <cellStyle name="dp*SubTitle 2 6 2 2" xfId="31631"/>
    <cellStyle name="Border Thin 2 7 2 2" xfId="31632"/>
    <cellStyle name="dp*SheetSubTitle 2 4 4 3 2" xfId="31633"/>
    <cellStyle name="Style 44 3 4 4 3 2" xfId="31634"/>
    <cellStyle name="Style 49 2 4 4 3 2" xfId="31635"/>
    <cellStyle name="Bold/Border 2 4 4 3 2" xfId="31636"/>
    <cellStyle name="Heading [Helv] 2 4 4 3 2" xfId="31637"/>
    <cellStyle name="Style 49 3 4 4 3 2" xfId="31638"/>
    <cellStyle name="Date [mmm-yyyy] 3 4 3 2" xfId="31639"/>
    <cellStyle name="PB Table Standard Row 2 4 4 3 2" xfId="31640"/>
    <cellStyle name="Table Head Aligned 2 2 2 7 3 2" xfId="31641"/>
    <cellStyle name="Style 44 2 4 4 3 2" xfId="31642"/>
    <cellStyle name="Table Head Aligned 2 2 2 3 4 3 2" xfId="31643"/>
    <cellStyle name="ac 2 2 2 4 4 3 2" xfId="31644"/>
    <cellStyle name="dp*SheetSubTitle 2 2 7 3 2" xfId="31645"/>
    <cellStyle name="COL HEADINGS 2 2 3 3 5 2 2" xfId="31646"/>
    <cellStyle name="Date [mmm-yyyy] 2 3 5 2 2" xfId="31647"/>
    <cellStyle name="Outputs 2 5 5 2 2" xfId="31648"/>
    <cellStyle name="dp*ThinLineBelow 2 5 5 2 2" xfId="31649"/>
    <cellStyle name="dp*NumberLineEPS 2 3 5 2 2" xfId="31650"/>
    <cellStyle name="Style 45 4 2 2 5 2 2" xfId="31651"/>
    <cellStyle name="Afjusted 4 5 5 2 2" xfId="31652"/>
    <cellStyle name="COL HEADINGS 2 3 5 2 2" xfId="31653"/>
    <cellStyle name="Heading [Helv] 2 2 3 4 5 2 2" xfId="31654"/>
    <cellStyle name="Afjusted 3 6 6 2" xfId="31655"/>
    <cellStyle name="ac 2 7 6 2" xfId="31656"/>
    <cellStyle name="Afjusted 2 5 6 2" xfId="31657"/>
    <cellStyle name="Bold/Border 2 7 6 2" xfId="31658"/>
    <cellStyle name="COL HEADINGS 2 7 6 2" xfId="31659"/>
    <cellStyle name="Date [mmm-yyyy] 2 6 6 2" xfId="31660"/>
    <cellStyle name="dp*ThinLineBelow 2 4 5 2 2" xfId="31661"/>
    <cellStyle name="Border Thin 2 4 5 2 2" xfId="31662"/>
    <cellStyle name="dp*NumberLine 2 6 6 2" xfId="31663"/>
    <cellStyle name="dp*NumberLineEPS 2 6 6 2" xfId="31664"/>
    <cellStyle name="dp*SheetSubTitle 2 6 6 2" xfId="31665"/>
    <cellStyle name="Heading [Helv] 3 5 2 2" xfId="31666"/>
    <cellStyle name="ac 2 2 2 2 5 2 2" xfId="31667"/>
    <cellStyle name="Afjusted 2 2 3 2 5 2 2" xfId="31668"/>
    <cellStyle name="Heading [Helv] 2 7 6 2" xfId="31669"/>
    <cellStyle name="Heading [Palat] 2 7 6 2" xfId="31670"/>
    <cellStyle name="Afjusted 2 2 4 5 2 2" xfId="31671"/>
    <cellStyle name="Magic 2 6 6 2" xfId="31672"/>
    <cellStyle name="Style 44 4 3 4 5 2 2" xfId="31673"/>
    <cellStyle name="ac 2 4 5 2 2" xfId="31674"/>
    <cellStyle name="dp*SheetSubTitle 2 4 5 2 2" xfId="31675"/>
    <cellStyle name="Outputs 2 7 6 2" xfId="31676"/>
    <cellStyle name="Afjusted 3 9 2 2" xfId="31677"/>
    <cellStyle name="Table Head Aligned 2 6 6 2" xfId="31678"/>
    <cellStyle name="Table Head Green 2 7 6 2" xfId="31679"/>
    <cellStyle name="Title [Helv] 2 6 6 2" xfId="31680"/>
    <cellStyle name="Title [Palat] 2 7 6 2" xfId="31681"/>
    <cellStyle name="PB Table Standard Row 3 3 3 5 2 2" xfId="31682"/>
    <cellStyle name="Afjusted 4 4 5 2 2" xfId="31683"/>
    <cellStyle name="dp*SubTitle 3 5 5 2 2" xfId="31684"/>
    <cellStyle name="Table Head Aligned 2 2 3 3 5 2 2" xfId="31685"/>
    <cellStyle name="Style 44 2 5 5 2 2" xfId="31686"/>
    <cellStyle name="dp*SheetSubTitle 3 5 2 2" xfId="31687"/>
    <cellStyle name="Outputs 3 5 2 2" xfId="31688"/>
    <cellStyle name="Table Head Green 2 2 2 4 5 2 2" xfId="31689"/>
    <cellStyle name="P-Green Rule 3 2 3 5 2 2" xfId="31690"/>
    <cellStyle name="dp*ThinLineBelow 3 5 5 2 2" xfId="31691"/>
    <cellStyle name="Magic 2 2 4 5 2 2" xfId="31692"/>
    <cellStyle name="Date [mm-d-yyyy] 3 6 6 2" xfId="31693"/>
    <cellStyle name="Style 51 4 6 6 2" xfId="31694"/>
    <cellStyle name="Style 49 4 6 6 2" xfId="31695"/>
    <cellStyle name="Style 45 4 6 6 2" xfId="31696"/>
    <cellStyle name="Style 44 4 6 6 2" xfId="31697"/>
    <cellStyle name="P-Green Rule 3 6 6 2" xfId="31698"/>
    <cellStyle name="PB Table Standard Row 3 6 6 2" xfId="31699"/>
    <cellStyle name="Border Thin 3 3 4 5 2 2" xfId="31700"/>
    <cellStyle name="dp*ThinLineBelow 3 6 6 2" xfId="31701"/>
    <cellStyle name="dp*SubTitle 3 6 6 2" xfId="31702"/>
    <cellStyle name="dp*NumberLineEPS 2 4 5 2 2" xfId="31703"/>
    <cellStyle name="Border Thin 3 6 6 2" xfId="31704"/>
    <cellStyle name="dp*SheetSubTitle 2 2 4 5 2 2" xfId="31705"/>
    <cellStyle name="Afjusted 4 6 6 2" xfId="31706"/>
    <cellStyle name="ac 2 2 5 6 2" xfId="31707"/>
    <cellStyle name="Afjusted 2 2 6 6 2" xfId="31708"/>
    <cellStyle name="Bold/Border 2 2 5 6 2" xfId="31709"/>
    <cellStyle name="COL HEADINGS 2 2 5 6 2" xfId="31710"/>
    <cellStyle name="Date [mmm-yyyy] 2 2 5 6 2" xfId="31711"/>
    <cellStyle name="dp*SubTitle 2 4 5 2 2" xfId="31712"/>
    <cellStyle name="Bold/Border 2 4 5 2 2" xfId="31713"/>
    <cellStyle name="dp*NumberLine 2 2 5 6 2" xfId="31714"/>
    <cellStyle name="dp*NumberLineEPS 2 2 5 6 2" xfId="31715"/>
    <cellStyle name="dp*SheetSubTitle 2 2 5 6 2" xfId="31716"/>
    <cellStyle name="Heading [Helv] 2 2 5 6 2" xfId="31717"/>
    <cellStyle name="Heading [Palat] 2 2 5 6 2" xfId="31718"/>
    <cellStyle name="Magic 2 2 5 6 2" xfId="31719"/>
    <cellStyle name="Outputs 2 2 5 6 2" xfId="31720"/>
    <cellStyle name="Table Head Aligned 2 2 5 6 2" xfId="31721"/>
    <cellStyle name="Table Head Green 2 2 5 6 2" xfId="31722"/>
    <cellStyle name="Title [Helv] 2 2 5 6 2" xfId="31723"/>
    <cellStyle name="Title [Palat] 2 2 5 6 2" xfId="31724"/>
    <cellStyle name="Heading [Palat] 2 2 4 5 2 2" xfId="31725"/>
    <cellStyle name="dp*NumberLine 2 2 4 5 2 2" xfId="31726"/>
    <cellStyle name="Date [mmm-yyyy] 2 2 4 5 2 2" xfId="31727"/>
    <cellStyle name="COL HEADINGS 2 2 4 5 2 2" xfId="31728"/>
    <cellStyle name="Bold/Border 2 2 4 5 2 2" xfId="31729"/>
    <cellStyle name="Afjusted 2 2 5 5 2 2" xfId="31730"/>
    <cellStyle name="ac 2 2 4 5 2 2" xfId="31731"/>
    <cellStyle name="dp*SubTitle 2 2 5 2 2" xfId="31732"/>
    <cellStyle name="Bold/Border 2 2 3 4 5 2 2" xfId="31733"/>
    <cellStyle name="Style 44 4 5 5 2 2" xfId="31734"/>
    <cellStyle name="dp*ThinLineBelow 4 5 2 2" xfId="31735"/>
    <cellStyle name="Style 51 5 5 2 2" xfId="31736"/>
    <cellStyle name="PB Table Standard Row 4 5 2 2" xfId="31737"/>
    <cellStyle name="ac 2 2 3 3 5 2 2" xfId="31738"/>
    <cellStyle name="P-Green Rule 3 5 5 2 2" xfId="31739"/>
    <cellStyle name="dp*SubTitle 4 5 2 2" xfId="31740"/>
    <cellStyle name="Style 44 5 5 2 2" xfId="31741"/>
    <cellStyle name="Style 49 5 5 2 2" xfId="31742"/>
    <cellStyle name="Style 45 5 5 2 2" xfId="31743"/>
    <cellStyle name="P-Green Rule 4 5 2 2" xfId="31744"/>
    <cellStyle name="Outputs 2 2 3 4 5 2 2" xfId="31745"/>
    <cellStyle name="Table Head Aligned 2 2 3 2 5 2 2" xfId="31746"/>
    <cellStyle name="Title [Helv] 2 2 3 2 5 2 2" xfId="31747"/>
    <cellStyle name="P-Green Rule 2 3 5 2 2" xfId="31748"/>
    <cellStyle name="Heading [Palat] 2 2 3 4 5 2 2" xfId="31749"/>
    <cellStyle name="Afjusted 4 2 2 5 2 2" xfId="31750"/>
    <cellStyle name="COL HEADINGS 2 5 5 2 2" xfId="31751"/>
    <cellStyle name="Style 49 6 5 2 2" xfId="31752"/>
    <cellStyle name="Title [Palat] 2 9 3 2" xfId="31753"/>
    <cellStyle name="Afjusted 4 3 4 5 2 2" xfId="31754"/>
    <cellStyle name="dp*NumberLine 2 2 3 4 5 2 2" xfId="31755"/>
    <cellStyle name="dp*SubTitle 2 2 2 6 2" xfId="31756"/>
    <cellStyle name="Border Thin 2 2 2 6 2" xfId="31757"/>
    <cellStyle name="Style 44 3 2 5 2 2" xfId="31758"/>
    <cellStyle name="Border Thin 2 3 5 2 2" xfId="31759"/>
    <cellStyle name="Style 51 4 3 3 5 2 2" xfId="31760"/>
    <cellStyle name="Bold/Border 2 2 3 4 2 6 2" xfId="31761"/>
    <cellStyle name="Magic 2 2 3 4 2 6 2" xfId="31762"/>
    <cellStyle name="Title [Helv] 2 2 3 4 2 6 2" xfId="31763"/>
    <cellStyle name="Style 51 2 2 2 6 2" xfId="31764"/>
    <cellStyle name="Style 45 2 2 2 6 2" xfId="31765"/>
    <cellStyle name="Style 49 2 2 2 6 2" xfId="31766"/>
    <cellStyle name="Style 44 2 2 2 6 2" xfId="31767"/>
    <cellStyle name="Style 51 3 2 2 6 2" xfId="31768"/>
    <cellStyle name="Style 49 3 2 2 6 2" xfId="31769"/>
    <cellStyle name="Style 45 3 2 2 6 2" xfId="31770"/>
    <cellStyle name="Style 44 3 2 2 6 2" xfId="31771"/>
    <cellStyle name="P-Green Rule 2 2 2 6 2" xfId="31772"/>
    <cellStyle name="PB Table Standard Row 2 2 2 6 2" xfId="31773"/>
    <cellStyle name="dp*ThinLineBelow 2 2 2 6 2" xfId="31774"/>
    <cellStyle name="dp*ThinLineBelow 2 3 2 6 2" xfId="31775"/>
    <cellStyle name="Style 44 3 3 2 6 2" xfId="31776"/>
    <cellStyle name="COL HEADINGS 2 2 3 4 2 6 2" xfId="31777"/>
    <cellStyle name="Style 49 4 3 4 2 6 2" xfId="31778"/>
    <cellStyle name="Afjusted 3 3 4 2 6 2" xfId="31779"/>
    <cellStyle name="Date [mm-d-yyyy] 3 3 4 2 6 2" xfId="31780"/>
    <cellStyle name="Afjusted 4 3 4 2 6 2" xfId="31781"/>
    <cellStyle name="ac 2 2 3 4 2 6 2" xfId="31782"/>
    <cellStyle name="Afjusted 2 2 3 4 2 6 2" xfId="31783"/>
    <cellStyle name="Date [mmm-yyyy] 2 2 3 4 2 6 2" xfId="31784"/>
    <cellStyle name="dp*NumberLine 2 2 3 4 2 6 2" xfId="31785"/>
    <cellStyle name="dp*NumberLineEPS 2 2 3 4 2 6 2" xfId="31786"/>
    <cellStyle name="dp*SheetSubTitle 2 2 3 4 2 6 2" xfId="31787"/>
    <cellStyle name="Heading [Helv] 2 2 3 4 2 6 2" xfId="31788"/>
    <cellStyle name="Outputs 2 2 3 4 2 6 2" xfId="31789"/>
    <cellStyle name="Table Head Aligned 2 2 3 4 2 6 2" xfId="31790"/>
    <cellStyle name="Title [Palat] 2 2 3 4 2 6 2" xfId="31791"/>
    <cellStyle name="Afjusted 3 5 2 6 2" xfId="31792"/>
    <cellStyle name="Style 45 3 3 2 6 2" xfId="31793"/>
    <cellStyle name="Style 51 3 3 2 6 2" xfId="31794"/>
    <cellStyle name="Style 44 2 3 2 6 2" xfId="31795"/>
    <cellStyle name="Style 45 2 3 2 6 2" xfId="31796"/>
    <cellStyle name="Style 49 2 3 2 6 2" xfId="31797"/>
    <cellStyle name="Border Thin 3 5 2 6 2" xfId="31798"/>
    <cellStyle name="ac 2 2 4 2 6 2" xfId="31799"/>
    <cellStyle name="Afjusted 2 2 5 2 6 2" xfId="31800"/>
    <cellStyle name="Bold/Border 2 2 4 2 6 2" xfId="31801"/>
    <cellStyle name="COL HEADINGS 2 2 4 2 6 2" xfId="31802"/>
    <cellStyle name="Date [mmm-yyyy] 2 2 4 2 6 2" xfId="31803"/>
    <cellStyle name="dp*NumberLine 2 2 4 2 6 2" xfId="31804"/>
    <cellStyle name="dp*NumberLineEPS 2 2 4 2 6 2" xfId="31805"/>
    <cellStyle name="dp*SheetSubTitle 2 2 4 2 6 2" xfId="31806"/>
    <cellStyle name="Heading [Palat] 2 2 4 2 6 2" xfId="31807"/>
    <cellStyle name="Outputs 2 2 4 2 6 2" xfId="31808"/>
    <cellStyle name="Magic 2 2 4 2 6 2" xfId="31809"/>
    <cellStyle name="Title [Helv] 2 2 4 2 6 2" xfId="31810"/>
    <cellStyle name="Title [Palat] 2 2 4 2 6 2" xfId="31811"/>
    <cellStyle name="Title [Palat] 2 2 3 3 2 6 2" xfId="31812"/>
    <cellStyle name="Title [Helv] 2 2 3 3 2 6 2" xfId="31813"/>
    <cellStyle name="Table Head Aligned 2 2 3 3 2 6 2" xfId="31814"/>
    <cellStyle name="Magic 2 2 3 3 2 6 2" xfId="31815"/>
    <cellStyle name="Heading [Helv] 2 2 3 3 2 6 2" xfId="31816"/>
    <cellStyle name="dp*NumberLineEPS 2 2 3 3 2 6 2" xfId="31817"/>
    <cellStyle name="COL HEADINGS 2 2 3 3 2 6 2" xfId="31818"/>
    <cellStyle name="ac 2 2 3 3 2 6 2" xfId="31819"/>
    <cellStyle name="Afjusted 4 3 3 2 6 2" xfId="31820"/>
    <cellStyle name="Border Thin 3 3 3 2 6 2" xfId="31821"/>
    <cellStyle name="PB Table Standard Row 3 3 3 2 6 2" xfId="31822"/>
    <cellStyle name="Style 44 4 3 3 2 6 2" xfId="31823"/>
    <cellStyle name="Style 51 4 3 3 2 6 2" xfId="31824"/>
    <cellStyle name="Afjusted 3 3 3 2 6 2" xfId="31825"/>
    <cellStyle name="Style 49 4 5 2 6 2" xfId="31826"/>
    <cellStyle name="Style 44 4 5 2 6 2" xfId="31827"/>
    <cellStyle name="P-Green Rule 3 5 2 6 2" xfId="31828"/>
    <cellStyle name="dp*SubTitle 3 5 2 6 2" xfId="31829"/>
    <cellStyle name="Afjusted 4 5 2 6 2" xfId="31830"/>
    <cellStyle name="Afjusted 2 2 3 4 5 2 2" xfId="31831"/>
    <cellStyle name="dp*ThinLineBelow 2 2 5 2 2" xfId="31832"/>
    <cellStyle name="Afjusted 3 3 3 5 2 2" xfId="31833"/>
    <cellStyle name="ac 2 3 2 6 2" xfId="31834"/>
    <cellStyle name="Bold/Border 2 3 2 6 2" xfId="31835"/>
    <cellStyle name="COL HEADINGS 2 3 2 6 2" xfId="31836"/>
    <cellStyle name="Date [mmm-yyyy] 2 3 2 6 2" xfId="31837"/>
    <cellStyle name="dp*NumberLine 2 3 2 6 2" xfId="31838"/>
    <cellStyle name="dp*NumberLineEPS 2 3 2 6 2" xfId="31839"/>
    <cellStyle name="dp*SheetSubTitle 2 3 2 6 2" xfId="31840"/>
    <cellStyle name="Heading [Helv] 2 3 2 6 2" xfId="31841"/>
    <cellStyle name="Heading [Palat] 2 3 2 6 2" xfId="31842"/>
    <cellStyle name="Magic 2 3 2 6 2" xfId="31843"/>
    <cellStyle name="Outputs 2 3 2 6 2" xfId="31844"/>
    <cellStyle name="Afjusted 6 5 2 2" xfId="31845"/>
    <cellStyle name="Date [mmm-yyyy] 2 2 3 3 2 6 2" xfId="31846"/>
    <cellStyle name="Afjusted 2 2 3 3 2 6 2" xfId="31847"/>
    <cellStyle name="dp*ThinLineBelow 3 3 3 2 6 2" xfId="31848"/>
    <cellStyle name="Style 49 4 3 3 2 6 2" xfId="31849"/>
    <cellStyle name="Outputs 2 2 3 3 2 6 2" xfId="31850"/>
    <cellStyle name="dp*NumberLine 2 2 3 3 2 6 2" xfId="31851"/>
    <cellStyle name="Bold/Border 2 2 3 3 2 6 2" xfId="31852"/>
    <cellStyle name="dp*SubTitle 3 3 3 2 6 2" xfId="31853"/>
    <cellStyle name="Style 45 4 3 3 2 6 2" xfId="31854"/>
    <cellStyle name="Table Head Aligned 2 3 2 6 2" xfId="31855"/>
    <cellStyle name="Table Head Green 2 3 2 6 2" xfId="31856"/>
    <cellStyle name="Title [Helv] 2 3 2 6 2" xfId="31857"/>
    <cellStyle name="Title [Palat] 2 3 2 6 2" xfId="31858"/>
    <cellStyle name="Border Thin 3 3 3 5 2 2" xfId="31859"/>
    <cellStyle name="Style 45 4 3 4 2 6 2" xfId="31860"/>
    <cellStyle name="Style 51 4 3 4 2 6 2" xfId="31861"/>
    <cellStyle name="Title [Helv] 2 2 3 3 5 2 2" xfId="31862"/>
    <cellStyle name="Afjusted 3 4 2 6 2" xfId="31863"/>
    <cellStyle name="P-Green Rule 3 3 4 2 6 2" xfId="31864"/>
    <cellStyle name="Border Thin 2 3 2 6 2" xfId="31865"/>
    <cellStyle name="Style 49 3 3 2 6 2" xfId="31866"/>
    <cellStyle name="Style 51 2 3 2 6 2" xfId="31867"/>
    <cellStyle name="Heading [Helv] 2 2 4 2 6 2" xfId="31868"/>
    <cellStyle name="Table Head Aligned 2 2 4 2 6 2" xfId="31869"/>
    <cellStyle name="Table Head Green 2 2 4 2 6 2" xfId="31870"/>
    <cellStyle name="Table Head Green 2 2 3 3 2 6 2" xfId="31871"/>
    <cellStyle name="Heading [Palat] 2 2 3 3 2 6 2" xfId="31872"/>
    <cellStyle name="dp*SheetSubTitle 2 2 3 3 2 6 2" xfId="31873"/>
    <cellStyle name="P-Green Rule 3 3 3 2 6 2" xfId="31874"/>
    <cellStyle name="Date [mm-d-yyyy] 3 3 3 2 6 2" xfId="31875"/>
    <cellStyle name="Outputs 2 2 4 5 2 2" xfId="31876"/>
    <cellStyle name="Date [mm-d-yyyy] 3 4 2 6 2" xfId="31877"/>
    <cellStyle name="Style 51 4 4 2 6 2" xfId="31878"/>
    <cellStyle name="Style 49 4 4 2 6 2" xfId="31879"/>
    <cellStyle name="Style 45 4 4 2 6 2" xfId="31880"/>
    <cellStyle name="Style 44 4 4 2 6 2" xfId="31881"/>
    <cellStyle name="dp*ThinLineBelow 3 3 4 2 6 2" xfId="31882"/>
    <cellStyle name="P-Green Rule 3 4 2 6 2" xfId="31883"/>
    <cellStyle name="PB Table Standard Row 3 4 2 4 2" xfId="31884"/>
    <cellStyle name="dp*ThinLineBelow 3 4 2 6 2" xfId="31885"/>
    <cellStyle name="dp*SubTitle 3 4 2 5 2" xfId="31886"/>
    <cellStyle name="dp*SubTitle 3 3 4 2 6 2" xfId="31887"/>
    <cellStyle name="Border Thin 3 4 2 5 2" xfId="31888"/>
    <cellStyle name="dp*NumberLineEPS 2 2 4 5 2 2" xfId="31889"/>
    <cellStyle name="Border Thin 3 3 4 2 6 2" xfId="31890"/>
    <cellStyle name="Border Thin 2 2 5 2 2" xfId="31891"/>
    <cellStyle name="Afjusted 4 4 2 6 2" xfId="31892"/>
    <cellStyle name="Afjusted 2 2 4 2 6 2" xfId="31893"/>
    <cellStyle name="Style 44 4 3 4 2 6 2" xfId="31894"/>
    <cellStyle name="PB Table Standard Row 3 3 4 2 6 2" xfId="31895"/>
    <cellStyle name="Title [Palat] 2 2 3 5 6 2" xfId="31896"/>
    <cellStyle name="Title [Helv] 2 2 3 5 6 2" xfId="31897"/>
    <cellStyle name="Table Head Green 2 2 3 5 6 2" xfId="31898"/>
    <cellStyle name="Table Head Aligned 2 2 3 5 6 2" xfId="31899"/>
    <cellStyle name="Outputs 2 2 3 5 6 2" xfId="31900"/>
    <cellStyle name="Magic 2 2 3 5 6 2" xfId="31901"/>
    <cellStyle name="Heading [Palat] 2 2 3 5 6 2" xfId="31902"/>
    <cellStyle name="Heading [Helv] 2 2 3 5 6 2" xfId="31903"/>
    <cellStyle name="dp*SheetSubTitle 2 2 3 5 6 2" xfId="31904"/>
    <cellStyle name="dp*NumberLineEPS 2 2 3 5 6 2" xfId="31905"/>
    <cellStyle name="dp*NumberLine 2 2 3 5 6 2" xfId="31906"/>
    <cellStyle name="Date [mmm-yyyy] 2 2 3 5 6 2" xfId="31907"/>
    <cellStyle name="COL HEADINGS 2 2 3 5 6 2" xfId="31908"/>
    <cellStyle name="Bold/Border 2 2 3 5 6 2" xfId="31909"/>
    <cellStyle name="Afjusted 2 2 3 5 6 2" xfId="31910"/>
    <cellStyle name="ac 2 2 3 5 6 2" xfId="31911"/>
    <cellStyle name="Afjusted 2 2 5 4 3 2" xfId="31912"/>
    <cellStyle name="Afjusted 4 3 5 6 2" xfId="31913"/>
    <cellStyle name="Border Thin 3 3 5 6 2" xfId="31914"/>
    <cellStyle name="dp*SubTitle 3 3 5 6 2" xfId="31915"/>
    <cellStyle name="dp*ThinLineBelow 3 3 5 6 2" xfId="31916"/>
    <cellStyle name="PB Table Standard Row 3 3 5 6 2" xfId="31917"/>
    <cellStyle name="P-Green Rule 3 3 5 6 2" xfId="31918"/>
    <cellStyle name="Style 44 4 3 5 6 2" xfId="31919"/>
    <cellStyle name="Style 45 4 3 5 6 2" xfId="31920"/>
    <cellStyle name="Style 49 4 3 5 6 2" xfId="31921"/>
    <cellStyle name="Style 51 4 3 5 6 2" xfId="31922"/>
    <cellStyle name="Title [Palat] 2 2 3 2 5 2 2" xfId="31923"/>
    <cellStyle name="Date [mm-d-yyyy] 3 3 5 6 2" xfId="31924"/>
    <cellStyle name="Magic 2 5 5 2 2" xfId="31925"/>
    <cellStyle name="dp*SubTitle 2 5 5 2 2" xfId="31926"/>
    <cellStyle name="Afjusted 3 3 5 6 2" xfId="31927"/>
    <cellStyle name="ac 5 5 2 2" xfId="31928"/>
    <cellStyle name="Border Thin 2 5 5 2 2" xfId="31929"/>
    <cellStyle name="Border Thin 3 2 2 5 2 2" xfId="31930"/>
    <cellStyle name="Table Head Green 2 2 3 2 5 2 2" xfId="31931"/>
    <cellStyle name="Table Head Green 2 2 3 4 5 2 2" xfId="31932"/>
    <cellStyle name="dp*SubTitle 3 2 7 2 2" xfId="31933"/>
    <cellStyle name="dp*ThinLineBelow 3 2 7 2 2" xfId="31934"/>
    <cellStyle name="dp*NumberLine 2 3 5 2 2" xfId="31935"/>
    <cellStyle name="Date [mm-d-yyyy] 2 2 4 6 2" xfId="31936"/>
    <cellStyle name="Afjusted 3 2 5 6 2" xfId="31937"/>
    <cellStyle name="P-Green Rule 3 3 4 5 2 2" xfId="31938"/>
    <cellStyle name="PB Table Standard Row 2 3 4 2 2" xfId="31939"/>
    <cellStyle name="Date [mm-d-yyyy] 3 2 5 6 2" xfId="31940"/>
    <cellStyle name="Style 51 4 2 5 6 2" xfId="31941"/>
    <cellStyle name="Style 49 4 2 5 6 2" xfId="31942"/>
    <cellStyle name="Style 45 4 2 5 6 2" xfId="31943"/>
    <cellStyle name="Style 44 4 2 5 6 2" xfId="31944"/>
    <cellStyle name="P-Green Rule 3 2 5 6 2" xfId="31945"/>
    <cellStyle name="PB Table Standard Row 3 2 5 4 2" xfId="31946"/>
    <cellStyle name="dp*ThinLineBelow 3 2 5 6 2" xfId="31947"/>
    <cellStyle name="dp*SubTitle 3 2 5 6 2" xfId="31948"/>
    <cellStyle name="Border Thin 3 2 5 6 2" xfId="31949"/>
    <cellStyle name="Afjusted 4 2 5 6 2" xfId="31950"/>
    <cellStyle name="ac 2 2 2 5 6 2" xfId="31951"/>
    <cellStyle name="Afjusted 2 2 2 5 6 2" xfId="31952"/>
    <cellStyle name="Bold/Border 2 2 2 5 6 2" xfId="31953"/>
    <cellStyle name="COL HEADINGS 2 2 2 5 6 2" xfId="31954"/>
    <cellStyle name="Date [mmm-yyyy] 2 2 2 5 6 2" xfId="31955"/>
    <cellStyle name="dp*NumberLine 2 2 2 5 6 2" xfId="31956"/>
    <cellStyle name="dp*NumberLineEPS 2 2 2 5 6 2" xfId="31957"/>
    <cellStyle name="dp*SheetSubTitle 2 2 2 5 6 2" xfId="31958"/>
    <cellStyle name="Heading [Helv] 2 2 2 5 6 2" xfId="31959"/>
    <cellStyle name="Heading [Palat] 2 2 2 5 6 2" xfId="31960"/>
    <cellStyle name="Magic 2 2 2 5 6 2" xfId="31961"/>
    <cellStyle name="Outputs 2 2 2 5 6 2" xfId="31962"/>
    <cellStyle name="Table Head Aligned 2 2 2 5 6 2" xfId="31963"/>
    <cellStyle name="Table Head Green 2 2 2 5 6 2" xfId="31964"/>
    <cellStyle name="Title [Helv] 2 2 2 5 6 2" xfId="31965"/>
    <cellStyle name="Title [Palat] 2 2 2 5 6 2" xfId="31966"/>
    <cellStyle name="Table Head Green 2 2 3 4 2 6 2" xfId="31967"/>
    <cellStyle name="Heading [Palat] 2 2 3 4 2 6 2" xfId="31968"/>
    <cellStyle name="PB Table Standard Row 2 3 2 6 2" xfId="31969"/>
    <cellStyle name="P-Green Rule 2 3 2 6 2" xfId="31970"/>
    <cellStyle name="Title [Palat] 2 2 3 2 2 6 2" xfId="31971"/>
    <cellStyle name="Title [Helv] 2 2 3 2 2 6 2" xfId="31972"/>
    <cellStyle name="Table Head Green 2 2 3 2 2 6 2" xfId="31973"/>
    <cellStyle name="Table Head Aligned 2 2 3 2 2 6 2" xfId="31974"/>
    <cellStyle name="Outputs 2 2 3 2 2 6 2" xfId="31975"/>
    <cellStyle name="Magic 2 2 3 2 2 6 2" xfId="31976"/>
    <cellStyle name="Heading [Palat] 2 2 3 2 2 6 2" xfId="31977"/>
    <cellStyle name="Heading [Helv] 2 2 3 2 2 6 2" xfId="31978"/>
    <cellStyle name="dp*SheetSubTitle 2 2 3 2 2 6 2" xfId="31979"/>
    <cellStyle name="dp*NumberLineEPS 2 2 3 2 2 6 2" xfId="31980"/>
    <cellStyle name="dp*NumberLine 2 2 3 2 2 6 2" xfId="31981"/>
    <cellStyle name="Date [mmm-yyyy] 2 2 3 2 2 6 2" xfId="31982"/>
    <cellStyle name="COL HEADINGS 2 2 3 2 2 6 2" xfId="31983"/>
    <cellStyle name="Bold/Border 2 2 3 2 2 6 2" xfId="31984"/>
    <cellStyle name="Afjusted 2 2 3 2 2 6 2" xfId="31985"/>
    <cellStyle name="ac 2 2 3 2 2 6 2" xfId="31986"/>
    <cellStyle name="Afjusted 4 3 2 2 6 2" xfId="31987"/>
    <cellStyle name="Border Thin 3 3 2 2 6 2" xfId="31988"/>
    <cellStyle name="dp*SubTitle 3 3 2 2 6 2" xfId="31989"/>
    <cellStyle name="dp*ThinLineBelow 3 3 2 2 6 2" xfId="31990"/>
    <cellStyle name="PB Table Standard Row 3 3 2 2 6 2" xfId="31991"/>
    <cellStyle name="P-Green Rule 3 3 2 2 6 2" xfId="31992"/>
    <cellStyle name="Style 44 4 3 2 2 6 2" xfId="31993"/>
    <cellStyle name="Style 45 4 3 2 2 6 2" xfId="31994"/>
    <cellStyle name="Style 49 4 3 2 2 6 2" xfId="31995"/>
    <cellStyle name="Style 51 4 3 2 2 6 2" xfId="31996"/>
    <cellStyle name="Date [mm-d-yyyy] 3 3 2 2 6 2" xfId="31997"/>
    <cellStyle name="Afjusted 3 3 2 2 6 2" xfId="31998"/>
    <cellStyle name="Date [mm-d-yyyy] 3 5 2 6 2" xfId="31999"/>
    <cellStyle name="dp*SubTitle 2 3 2 6 2" xfId="32000"/>
    <cellStyle name="Date [mm-d-yyyy] 2 2 2 2 6 2" xfId="32001"/>
    <cellStyle name="Afjusted 3 2 2 2 6 2" xfId="32002"/>
    <cellStyle name="PB Table Standard Row 3 5 2 6 2" xfId="32003"/>
    <cellStyle name="Date [mm-d-yyyy] 3 2 2 2 6 2" xfId="32004"/>
    <cellStyle name="Style 51 4 2 2 2 6 2" xfId="32005"/>
    <cellStyle name="Style 49 4 2 2 2 6 2" xfId="32006"/>
    <cellStyle name="Style 45 4 2 2 2 6 2" xfId="32007"/>
    <cellStyle name="Style 44 4 2 2 2 6 2" xfId="32008"/>
    <cellStyle name="Style 45 4 5 2 6 2" xfId="32009"/>
    <cellStyle name="P-Green Rule 3 2 2 2 6 2" xfId="32010"/>
    <cellStyle name="PB Table Standard Row 3 2 2 2 6 2" xfId="32011"/>
    <cellStyle name="dp*ThinLineBelow 3 2 2 2 6 2" xfId="32012"/>
    <cellStyle name="dp*SubTitle 3 2 2 2 6 2" xfId="32013"/>
    <cellStyle name="Style 51 4 5 2 6 2" xfId="32014"/>
    <cellStyle name="Border Thin 3 2 2 2 6 2" xfId="32015"/>
    <cellStyle name="Afjusted 4 2 2 2 6 2" xfId="32016"/>
    <cellStyle name="ac 2 2 2 2 2 6 2" xfId="32017"/>
    <cellStyle name="Afjusted 2 2 2 2 2 6 2" xfId="32018"/>
    <cellStyle name="Bold/Border 2 2 2 2 2 6 2" xfId="32019"/>
    <cellStyle name="COL HEADINGS 2 2 2 2 2 6 2" xfId="32020"/>
    <cellStyle name="Date [mmm-yyyy] 2 2 2 2 2 6 2" xfId="32021"/>
    <cellStyle name="dp*NumberLine 2 2 2 2 2 6 2" xfId="32022"/>
    <cellStyle name="dp*NumberLineEPS 2 2 2 2 2 6 2" xfId="32023"/>
    <cellStyle name="dp*SheetSubTitle 2 2 2 2 2 6 2" xfId="32024"/>
    <cellStyle name="Heading [Helv] 2 2 2 2 2 6 2" xfId="32025"/>
    <cellStyle name="Heading [Palat] 2 2 2 2 2 6 2" xfId="32026"/>
    <cellStyle name="Magic 2 2 2 2 2 6 2" xfId="32027"/>
    <cellStyle name="Outputs 2 2 2 2 2 6 2" xfId="32028"/>
    <cellStyle name="Table Head Aligned 2 2 2 2 2 6 2" xfId="32029"/>
    <cellStyle name="Table Head Green 2 2 2 2 2 6 2" xfId="32030"/>
    <cellStyle name="Title [Helv] 2 2 2 2 2 6 2" xfId="32031"/>
    <cellStyle name="Title [Palat] 2 2 2 2 2 6 2" xfId="32032"/>
    <cellStyle name="dp*ThinLineBelow 3 5 2 6 2" xfId="32033"/>
    <cellStyle name="Date [mm-d-yyyy] 2 2 3 2 6 2" xfId="32034"/>
    <cellStyle name="Afjusted 3 2 3 2 6 2" xfId="32035"/>
    <cellStyle name="Date [mm-d-yyyy] 3 2 3 2 6 2" xfId="32036"/>
    <cellStyle name="Style 51 4 2 3 2 6 2" xfId="32037"/>
    <cellStyle name="Style 49 4 2 3 2 6 2" xfId="32038"/>
    <cellStyle name="Style 45 4 2 3 2 6 2" xfId="32039"/>
    <cellStyle name="Style 44 4 2 3 2 6 2" xfId="32040"/>
    <cellStyle name="P-Green Rule 3 2 3 2 6 2" xfId="32041"/>
    <cellStyle name="PB Table Standard Row 3 2 3 2 6 2" xfId="32042"/>
    <cellStyle name="dp*ThinLineBelow 3 2 3 2 6 2" xfId="32043"/>
    <cellStyle name="dp*SubTitle 3 2 3 2 6 2" xfId="32044"/>
    <cellStyle name="Border Thin 3 2 3 2 6 2" xfId="32045"/>
    <cellStyle name="Afjusted 4 2 3 2 6 2" xfId="32046"/>
    <cellStyle name="ac 2 2 2 3 2 6 2" xfId="32047"/>
    <cellStyle name="Afjusted 2 2 2 3 2 6 2" xfId="32048"/>
    <cellStyle name="Bold/Border 2 2 2 3 2 6 2" xfId="32049"/>
    <cellStyle name="COL HEADINGS 2 2 2 3 2 6 2" xfId="32050"/>
    <cellStyle name="Date [mmm-yyyy] 2 2 2 3 2 6 2" xfId="32051"/>
    <cellStyle name="dp*NumberLine 2 2 2 3 2 6 2" xfId="32052"/>
    <cellStyle name="dp*NumberLineEPS 2 2 2 3 2 6 2" xfId="32053"/>
    <cellStyle name="dp*SheetSubTitle 2 2 2 3 2 6 2" xfId="32054"/>
    <cellStyle name="Heading [Helv] 2 2 2 3 2 6 2" xfId="32055"/>
    <cellStyle name="Heading [Palat] 2 2 2 3 2 6 2" xfId="32056"/>
    <cellStyle name="Magic 2 2 2 3 2 6 2" xfId="32057"/>
    <cellStyle name="Outputs 2 2 2 3 2 6 2" xfId="32058"/>
    <cellStyle name="Table Head Aligned 2 2 2 3 2 6 2" xfId="32059"/>
    <cellStyle name="Table Head Green 2 2 2 3 2 6 2" xfId="32060"/>
    <cellStyle name="Title [Helv] 2 2 2 3 2 6 2" xfId="32061"/>
    <cellStyle name="Title [Palat] 2 2 2 3 2 6 2" xfId="32062"/>
    <cellStyle name="Afjusted 3 2 4 2 6 2" xfId="32063"/>
    <cellStyle name="Date [mm-d-yyyy] 3 2 4 2 6 2" xfId="32064"/>
    <cellStyle name="Style 51 4 2 4 2 6 2" xfId="32065"/>
    <cellStyle name="Style 49 4 2 4 2 6 2" xfId="32066"/>
    <cellStyle name="Style 45 4 2 4 2 6 2" xfId="32067"/>
    <cellStyle name="Style 44 4 2 4 2 6 2" xfId="32068"/>
    <cellStyle name="P-Green Rule 3 2 4 2 6 2" xfId="32069"/>
    <cellStyle name="PB Table Standard Row 3 2 4 2 6 2" xfId="32070"/>
    <cellStyle name="dp*ThinLineBelow 3 2 4 2 6 2" xfId="32071"/>
    <cellStyle name="dp*SubTitle 3 2 4 2 6 2" xfId="32072"/>
    <cellStyle name="Border Thin 3 2 4 2 6 2" xfId="32073"/>
    <cellStyle name="Afjusted 4 2 4 2 6 2" xfId="32074"/>
    <cellStyle name="ac 2 2 2 4 2 6 2" xfId="32075"/>
    <cellStyle name="Afjusted 2 2 2 4 2 6 2" xfId="32076"/>
    <cellStyle name="Bold/Border 2 2 2 4 2 6 2" xfId="32077"/>
    <cellStyle name="COL HEADINGS 2 2 2 4 2 6 2" xfId="32078"/>
    <cellStyle name="Date [mmm-yyyy] 2 2 2 4 2 6 2" xfId="32079"/>
    <cellStyle name="dp*NumberLine 2 2 2 4 2 6 2" xfId="32080"/>
    <cellStyle name="dp*NumberLineEPS 2 2 2 4 2 6 2" xfId="32081"/>
    <cellStyle name="dp*SheetSubTitle 2 2 2 4 2 6 2" xfId="32082"/>
    <cellStyle name="Heading [Helv] 2 2 2 4 2 6 2" xfId="32083"/>
    <cellStyle name="Heading [Palat] 2 2 2 4 2 6 2" xfId="32084"/>
    <cellStyle name="Magic 2 2 2 4 2 6 2" xfId="32085"/>
    <cellStyle name="Outputs 2 2 2 4 2 6 2" xfId="32086"/>
    <cellStyle name="Table Head Aligned 2 2 2 4 2 6 2" xfId="32087"/>
    <cellStyle name="Table Head Green 2 2 2 4 2 6 2" xfId="32088"/>
    <cellStyle name="Title [Helv] 2 2 2 4 2 6 2" xfId="32089"/>
    <cellStyle name="Title [Palat] 2 2 2 4 2 6 2" xfId="32090"/>
    <cellStyle name="Border Thin 4 2 6 2" xfId="32091"/>
    <cellStyle name="Date [mm-d-yyyy] 4 2 6 2" xfId="32092"/>
    <cellStyle name="dp*SubTitle 4 2 6 2" xfId="32093"/>
    <cellStyle name="dp*ThinLineBelow 4 2 6 2" xfId="32094"/>
    <cellStyle name="PB Table Standard Row 4 2 6 2" xfId="32095"/>
    <cellStyle name="P-Green Rule 4 2 6 2" xfId="32096"/>
    <cellStyle name="Style 44 5 2 6 2" xfId="32097"/>
    <cellStyle name="Style 45 5 2 6 2" xfId="32098"/>
    <cellStyle name="Style 49 5 2 6 2" xfId="32099"/>
    <cellStyle name="Style 51 5 2 6 2" xfId="32100"/>
    <cellStyle name="Style 49 2 3 5 2 2" xfId="32101"/>
    <cellStyle name="Outputs 4 5 2 2" xfId="32102"/>
    <cellStyle name="Table Head Aligned 2 2 2 4 5 2 2" xfId="32103"/>
    <cellStyle name="Title [Palat] 3 2 6 2" xfId="32104"/>
    <cellStyle name="Title [Helv] 3 2 6 2" xfId="32105"/>
    <cellStyle name="Table Head Green 3 2 6 2" xfId="32106"/>
    <cellStyle name="Table Head Aligned 3 2 6 2" xfId="32107"/>
    <cellStyle name="Outputs 3 2 6 2" xfId="32108"/>
    <cellStyle name="Magic 3 2 6 2" xfId="32109"/>
    <cellStyle name="Heading [Palat] 3 2 6 2" xfId="32110"/>
    <cellStyle name="Heading [Helv] 3 2 6 2" xfId="32111"/>
    <cellStyle name="Title [Palat] 2 2 2 2 5 2 2" xfId="32112"/>
    <cellStyle name="Style 44 4 2 3 5 2 2" xfId="32113"/>
    <cellStyle name="dp*SheetSubTitle 3 2 6 2" xfId="32114"/>
    <cellStyle name="dp*NumberLineEPS 3 2 6 2" xfId="32115"/>
    <cellStyle name="dp*NumberLine 3 2 6 2" xfId="32116"/>
    <cellStyle name="COL HEADINGS 3 2 6 2" xfId="32117"/>
    <cellStyle name="Bold/Border 3 2 6 2" xfId="32118"/>
    <cellStyle name="Style 51 3 5 5 2 2" xfId="32119"/>
    <cellStyle name="Title [Palat] 2 5 5 2 2" xfId="32120"/>
    <cellStyle name="Afjusted 5 2 6 2" xfId="32121"/>
    <cellStyle name="ac 3 2 6 2" xfId="32122"/>
    <cellStyle name="Date [mmm-yyyy] 3 2 6 2" xfId="32123"/>
    <cellStyle name="ac 2 4 2 6 2" xfId="32124"/>
    <cellStyle name="Afjusted 2 3 2 6 2" xfId="32125"/>
    <cellStyle name="Bold/Border 2 4 2 6 2" xfId="32126"/>
    <cellStyle name="Border Thin 2 4 2 6 2" xfId="32127"/>
    <cellStyle name="COL HEADINGS 2 4 2 6 2" xfId="32128"/>
    <cellStyle name="Date [mmm-yyyy] 2 4 2 6 2" xfId="32129"/>
    <cellStyle name="dp*NumberLine 2 4 2 6 2" xfId="32130"/>
    <cellStyle name="dp*NumberLineEPS 2 4 2 6 2" xfId="32131"/>
    <cellStyle name="dp*SheetSubTitle 2 4 2 6 2" xfId="32132"/>
    <cellStyle name="dp*SubTitle 2 4 2 6 2" xfId="32133"/>
    <cellStyle name="dp*ThinLineBelow 2 4 2 6 2" xfId="32134"/>
    <cellStyle name="Heading [Helv] 2 4 2 6 2" xfId="32135"/>
    <cellStyle name="Heading [Palat] 2 4 2 6 2" xfId="32136"/>
    <cellStyle name="Magic 2 4 2 6 2" xfId="32137"/>
    <cellStyle name="Outputs 2 4 2 6 2" xfId="32138"/>
    <cellStyle name="PB Table Standard Row 2 4 2 6 2" xfId="32139"/>
    <cellStyle name="P-Green Rule 2 4 2 6 2" xfId="32140"/>
    <cellStyle name="Style 44 3 4 2 6 2" xfId="32141"/>
    <cellStyle name="Style 45 3 4 2 6 2" xfId="32142"/>
    <cellStyle name="Style 49 3 4 2 6 2" xfId="32143"/>
    <cellStyle name="Style 51 3 4 2 6 2" xfId="32144"/>
    <cellStyle name="Style 44 2 4 2 6 2" xfId="32145"/>
    <cellStyle name="Style 45 2 4 2 6 2" xfId="32146"/>
    <cellStyle name="Style 49 2 4 2 6 2" xfId="32147"/>
    <cellStyle name="Style 51 2 4 2 6 2" xfId="32148"/>
    <cellStyle name="Table Head Aligned 2 4 2 6 2" xfId="32149"/>
    <cellStyle name="Table Head Green 2 4 2 6 2" xfId="32150"/>
    <cellStyle name="Title [Helv] 2 4 2 6 2" xfId="32151"/>
    <cellStyle name="Title [Palat] 2 4 2 6 2" xfId="32152"/>
    <cellStyle name="Style 45 2 3 5 2 2" xfId="32153"/>
    <cellStyle name="Style 44 7 5 2 2" xfId="32154"/>
    <cellStyle name="ac 4 2 6 2" xfId="32155"/>
    <cellStyle name="Title [Helv] 2 5 5 2 2" xfId="32156"/>
    <cellStyle name="Style 49 3 5 5 2 2" xfId="32157"/>
    <cellStyle name="Heading [Palat] 2 5 5 2 2" xfId="32158"/>
    <cellStyle name="dp*SheetSubTitle 2 5 5 2 2" xfId="32159"/>
    <cellStyle name="Bold/Border 4 2 6 2" xfId="32160"/>
    <cellStyle name="Border Thin 5 2 6 2" xfId="32161"/>
    <cellStyle name="Table Head Green 4 5 2 2" xfId="32162"/>
    <cellStyle name="Style 45 6 5 2 2" xfId="32163"/>
    <cellStyle name="COL HEADINGS 4 2 6 2" xfId="32164"/>
    <cellStyle name="Border Thin 5 5 2 2" xfId="32165"/>
    <cellStyle name="Date [mm-d-yyyy] 5 2 6 2" xfId="32166"/>
    <cellStyle name="Table Head Aligned 3 5 2 2" xfId="32167"/>
    <cellStyle name="Title [Palat] 3 5 2 2" xfId="32168"/>
    <cellStyle name="Heading [Helv] 2 2 2 4 5 2 2" xfId="32169"/>
    <cellStyle name="Date [mmm-yyyy] 2 2 2 4 5 2 2" xfId="32170"/>
    <cellStyle name="Afjusted 4 2 4 5 2 2" xfId="32171"/>
    <cellStyle name="dp*ThinLineBelow 3 2 4 5 2 2" xfId="32172"/>
    <cellStyle name="Style 44 4 2 4 5 2 2" xfId="32173"/>
    <cellStyle name="Style 51 4 2 4 5 2 2" xfId="32174"/>
    <cellStyle name="Title [Palat] 2 2 2 3 5 2 2" xfId="32175"/>
    <cellStyle name="Table Head Aligned 2 2 2 3 5 2 2" xfId="32176"/>
    <cellStyle name="Heading [Palat] 2 2 2 3 5 2 2" xfId="32177"/>
    <cellStyle name="dp*NumberLineEPS 2 2 2 3 5 2 2" xfId="32178"/>
    <cellStyle name="COL HEADINGS 2 2 2 3 5 2 2" xfId="32179"/>
    <cellStyle name="ac 2 2 2 3 5 2 2" xfId="32180"/>
    <cellStyle name="dp*SubTitle 3 2 3 5 2 2" xfId="32181"/>
    <cellStyle name="Style 45 4 2 3 5 2 2" xfId="32182"/>
    <cellStyle name="Title [Helv] 2 2 2 2 5 2 2" xfId="32183"/>
    <cellStyle name="Heading [Helv] 2 2 2 2 5 2 2" xfId="32184"/>
    <cellStyle name="P-Green Rule 3 2 2 5 2 2" xfId="32185"/>
    <cellStyle name="Date [mm-d-yyyy] 3 2 2 5 2 2" xfId="32186"/>
    <cellStyle name="PB Table Standard Row 3 3 2 4 2 2" xfId="32187"/>
    <cellStyle name="Border Thin 3 3 2 5 2 2" xfId="32188"/>
    <cellStyle name="COL HEADINGS 2 2 3 2 5 2 2" xfId="32189"/>
    <cellStyle name="dp*SheetSubTitle 2 2 3 2 5 2 2" xfId="32190"/>
    <cellStyle name="Heading [Helv] 4 2 6 2" xfId="32191"/>
    <cellStyle name="Heading [Palat] 4 2 6 2" xfId="32192"/>
    <cellStyle name="Style 44 4 2 7 2 2" xfId="32193"/>
    <cellStyle name="Style 51 4 2 7 2 2" xfId="32194"/>
    <cellStyle name="Afjusted 3 3 8 2 2" xfId="32195"/>
    <cellStyle name="ac 2 2 3 8 2 2" xfId="32196"/>
    <cellStyle name="COL HEADINGS 2 2 3 8 2 2" xfId="32197"/>
    <cellStyle name="Heading [Helv] 2 2 3 8 2 2" xfId="32198"/>
    <cellStyle name="P-Green Rule 3 4 4 2 2" xfId="32199"/>
    <cellStyle name="Style 49 4 4 5 2 2" xfId="32200"/>
    <cellStyle name="Table Head Green 2 2 3 3 5 2 2" xfId="32201"/>
    <cellStyle name="Heading [Helv] 2 2 4 5 2 2" xfId="32202"/>
    <cellStyle name="Style 51 4 3 4 5 2 2" xfId="32203"/>
    <cellStyle name="Table Head Green 2 3 5 2 2" xfId="32204"/>
    <cellStyle name="Bold/Border 2 2 3 3 5 2 2" xfId="32205"/>
    <cellStyle name="Heading [Helv] 2 3 5 2 2" xfId="32206"/>
    <cellStyle name="Style 49 4 3 4 5 2 2" xfId="32207"/>
    <cellStyle name="Style 51 2 8 2 2" xfId="32208"/>
    <cellStyle name="Style 49 3 9 2 2" xfId="32209"/>
    <cellStyle name="Outputs 4 2 6 2" xfId="32210"/>
    <cellStyle name="PB Table Standard Row 5 2 6 2" xfId="32211"/>
    <cellStyle name="P-Green Rule 5 2 6 2" xfId="32212"/>
    <cellStyle name="Style 44 6 2 6 2" xfId="32213"/>
    <cellStyle name="Style 45 6 2 6 2" xfId="32214"/>
    <cellStyle name="Style 49 6 2 6 2" xfId="32215"/>
    <cellStyle name="Style 51 6 2 6 2" xfId="32216"/>
    <cellStyle name="Table Head Green 4 2 6 2" xfId="32217"/>
    <cellStyle name="Magic 2 4 4 3 2" xfId="32218"/>
    <cellStyle name="Border Thin 4 4 3 2" xfId="32219"/>
    <cellStyle name="Style 49 3 2 5 2 2" xfId="32220"/>
    <cellStyle name="dp*NumberLineEPS 2 2 3 3 5 2 2" xfId="32221"/>
    <cellStyle name="Afjusted 6 2 6 2" xfId="32222"/>
    <cellStyle name="ac 2 5 2 6 2" xfId="32223"/>
    <cellStyle name="Afjusted 2 4 2 6 2" xfId="32224"/>
    <cellStyle name="Bold/Border 2 5 2 6 2" xfId="32225"/>
    <cellStyle name="Border Thin 2 5 2 6 2" xfId="32226"/>
    <cellStyle name="COL HEADINGS 2 5 2 6 2" xfId="32227"/>
    <cellStyle name="Date [mmm-yyyy] 2 5 2 6 2" xfId="32228"/>
    <cellStyle name="dp*NumberLine 2 5 2 6 2" xfId="32229"/>
    <cellStyle name="dp*NumberLineEPS 2 5 2 6 2" xfId="32230"/>
    <cellStyle name="dp*SheetSubTitle 2 5 2 6 2" xfId="32231"/>
    <cellStyle name="dp*SubTitle 2 5 2 6 2" xfId="32232"/>
    <cellStyle name="dp*ThinLineBelow 2 5 2 6 2" xfId="32233"/>
    <cellStyle name="Heading [Helv] 2 5 2 6 2" xfId="32234"/>
    <cellStyle name="Heading [Palat] 2 5 2 6 2" xfId="32235"/>
    <cellStyle name="Magic 2 5 2 6 2" xfId="32236"/>
    <cellStyle name="Outputs 2 5 2 6 2" xfId="32237"/>
    <cellStyle name="PB Table Standard Row 2 5 2 6 2" xfId="32238"/>
    <cellStyle name="P-Green Rule 2 5 2 6 2" xfId="32239"/>
    <cellStyle name="Style 44 3 5 2 6 2" xfId="32240"/>
    <cellStyle name="Style 45 3 5 2 6 2" xfId="32241"/>
    <cellStyle name="Style 49 3 5 2 6 2" xfId="32242"/>
    <cellStyle name="Style 51 3 5 2 6 2" xfId="32243"/>
    <cellStyle name="Style 44 2 5 2 6 2" xfId="32244"/>
    <cellStyle name="Style 45 2 5 2 6 2" xfId="32245"/>
    <cellStyle name="Style 49 2 5 2 6 2" xfId="32246"/>
    <cellStyle name="Style 51 2 5 2 6 2" xfId="32247"/>
    <cellStyle name="Table Head Aligned 2 5 2 6 2" xfId="32248"/>
    <cellStyle name="Table Head Green 2 5 2 6 2" xfId="32249"/>
    <cellStyle name="Title [Helv] 2 5 2 6 2" xfId="32250"/>
    <cellStyle name="Title [Palat] 2 5 2 6 2" xfId="32251"/>
    <cellStyle name="Date [mmm-yyyy] 2 4 5 2 2" xfId="32252"/>
    <cellStyle name="ac 3 5 2 2" xfId="32253"/>
    <cellStyle name="dp*NumberLine 2 2 3 2 5 2 2" xfId="32254"/>
    <cellStyle name="Style 44 2 3 5 2 2" xfId="32255"/>
    <cellStyle name="Style 49 7 5 2 2" xfId="32256"/>
    <cellStyle name="Border Thin 6 5 2 2" xfId="32257"/>
    <cellStyle name="ac 5 2 6 2" xfId="32258"/>
    <cellStyle name="Table Head Green 2 5 5 2 2" xfId="32259"/>
    <cellStyle name="Style 45 3 5 5 2 2" xfId="32260"/>
    <cellStyle name="Heading [Helv] 2 5 5 2 2" xfId="32261"/>
    <cellStyle name="dp*NumberLineEPS 2 5 5 2 2" xfId="32262"/>
    <cellStyle name="Bold/Border 5 2 6 2" xfId="32263"/>
    <cellStyle name="Border Thin 6 2 6 2" xfId="32264"/>
    <cellStyle name="Style 44 6 5 2 2" xfId="32265"/>
    <cellStyle name="COL HEADINGS 5 2 6 2" xfId="32266"/>
    <cellStyle name="Title [Palat] 2 4 5 2 2" xfId="32267"/>
    <cellStyle name="Table Head Green 3 5 2 2" xfId="32268"/>
    <cellStyle name="Border Thin 4 5 2 2" xfId="32269"/>
    <cellStyle name="dp*SheetSubTitle 2 2 2 4 5 2 2" xfId="32270"/>
    <cellStyle name="COL HEADINGS 2 2 2 4 5 2 2" xfId="32271"/>
    <cellStyle name="Border Thin 3 2 4 5 2 2" xfId="32272"/>
    <cellStyle name="PB Table Standard Row 3 2 4 5 2 2" xfId="32273"/>
    <cellStyle name="Style 45 4 2 4 5 2 2" xfId="32274"/>
    <cellStyle name="Date [mm-d-yyyy] 3 2 4 5 2 2" xfId="32275"/>
    <cellStyle name="Title [Helv] 2 2 2 3 5 2 2" xfId="32276"/>
    <cellStyle name="Outputs 2 2 2 3 5 2 2" xfId="32277"/>
    <cellStyle name="Heading [Helv] 2 2 2 3 5 2 2" xfId="32278"/>
    <cellStyle name="dp*NumberLine 2 2 2 3 5 2 2" xfId="32279"/>
    <cellStyle name="Bold/Border 2 2 2 3 5 2 2" xfId="32280"/>
    <cellStyle name="Afjusted 4 2 3 5 2 2" xfId="32281"/>
    <cellStyle name="dp*ThinLineBelow 3 2 3 5 2 2" xfId="32282"/>
    <cellStyle name="Style 49 4 2 3 5 2 2" xfId="32283"/>
    <cellStyle name="Table Head Green 2 2 2 2 5 2 2" xfId="32284"/>
    <cellStyle name="dp*SheetSubTitle 2 2 2 2 5 2 2" xfId="32285"/>
    <cellStyle name="Style 45 4 5 5 2 2" xfId="32286"/>
    <cellStyle name="PB Table Standard Row 3 5 5 2 2" xfId="32287"/>
    <cellStyle name="dp*ThinLineBelow 3 3 2 5 2 2" xfId="32288"/>
    <cellStyle name="Afjusted 4 3 2 5 2 2" xfId="32289"/>
    <cellStyle name="Date [mmm-yyyy] 2 2 3 2 5 2 2" xfId="32290"/>
    <cellStyle name="Heading [Helv] 2 2 3 2 5 2 2" xfId="32291"/>
    <cellStyle name="Heading [Helv] 5 2 6 2" xfId="32292"/>
    <cellStyle name="Heading [Palat] 5 2 6 2" xfId="32293"/>
    <cellStyle name="Afjusted 4 2 8 2 2" xfId="32294"/>
    <cellStyle name="Style 45 4 2 7 2 2" xfId="32295"/>
    <cellStyle name="Date [mm-d-yyyy] 3 2 8 2 2" xfId="32296"/>
    <cellStyle name="Afjusted 3 2 8 2 2" xfId="32297"/>
    <cellStyle name="Date [mmm-yyyy] 2 2 3 8 2 2" xfId="32298"/>
    <cellStyle name="Heading [Palat] 2 2 3 8 2 2" xfId="32299"/>
    <cellStyle name="dp*ThinLineBelow 3 3 4 5 2 2" xfId="32300"/>
    <cellStyle name="Style 51 4 4 5 2 2" xfId="32301"/>
    <cellStyle name="Table Head Green 2 2 4 5 2 2" xfId="32302"/>
    <cellStyle name="Style 51 2 3 5 2 2" xfId="32303"/>
    <cellStyle name="Title [Palat] 2 3 5 2 2" xfId="32304"/>
    <cellStyle name="Table Head Aligned 2 3 5 2 2" xfId="32305"/>
    <cellStyle name="dp*NumberLine 2 2 3 3 5 2 2" xfId="32306"/>
    <cellStyle name="Outputs 2 3 5 2 2" xfId="32307"/>
    <cellStyle name="dp*SheetSubTitle 2 3 5 2 2" xfId="32308"/>
    <cellStyle name="Style 49 2 9 2 2" xfId="32309"/>
    <cellStyle name="Style 45 3 8 2 2" xfId="32310"/>
    <cellStyle name="dp*ThinLineBelow 2 7 2 2" xfId="32311"/>
    <cellStyle name="Outputs 5 2 6 2" xfId="32312"/>
    <cellStyle name="PB Table Standard Row 6 2 6 2" xfId="32313"/>
    <cellStyle name="P-Green Rule 6 2 6 2" xfId="32314"/>
    <cellStyle name="Style 44 7 2 6 2" xfId="32315"/>
    <cellStyle name="Style 45 7 2 6 2" xfId="32316"/>
    <cellStyle name="Style 49 7 2 6 2" xfId="32317"/>
    <cellStyle name="Style 51 7 2 6 2" xfId="32318"/>
    <cellStyle name="Table Head Green 5 2 6 2" xfId="32319"/>
    <cellStyle name="Title [Palat] 4 2 6 2" xfId="32320"/>
    <cellStyle name="Date [mmm-yyyy] 2 4 4 3 2" xfId="32321"/>
    <cellStyle name="Style 44 3 3 5 2 2" xfId="32322"/>
    <cellStyle name="Style 44 2 2 5 2 2" xfId="32323"/>
    <cellStyle name="Table Head Aligned 2 2 3 4 5 2 2" xfId="32324"/>
    <cellStyle name="Table Head Green 5 5 2 2" xfId="32325"/>
    <cellStyle name="ac 2 6 2 6 2" xfId="32326"/>
    <cellStyle name="Bold/Border 2 6 2 6 2" xfId="32327"/>
    <cellStyle name="Border Thin 2 6 2 6 2" xfId="32328"/>
    <cellStyle name="COL HEADINGS 2 6 2 6 2" xfId="32329"/>
    <cellStyle name="Afjusted 2 3 5 2 2" xfId="32330"/>
    <cellStyle name="Bold/Border 2 2 3 2 5 2 2" xfId="32331"/>
    <cellStyle name="Heading [Helv] 2 6 2 6 2" xfId="32332"/>
    <cellStyle name="Heading [Palat] 2 6 2 6 2" xfId="32333"/>
    <cellStyle name="Outputs 2 6 2 6 2" xfId="32334"/>
    <cellStyle name="PB Table Standard Row 2 6 2 6 2" xfId="32335"/>
    <cellStyle name="P-Green Rule 2 6 2 6 2" xfId="32336"/>
    <cellStyle name="Style 44 3 6 2 6 2" xfId="32337"/>
    <cellStyle name="Style 45 3 6 2 6 2" xfId="32338"/>
    <cellStyle name="Style 49 3 6 2 6 2" xfId="32339"/>
    <cellStyle name="Style 51 3 6 2 6 2" xfId="32340"/>
    <cellStyle name="Style 44 2 6 2 6 2" xfId="32341"/>
    <cellStyle name="Style 45 2 6 2 6 2" xfId="32342"/>
    <cellStyle name="Style 49 2 6 2 6 2" xfId="32343"/>
    <cellStyle name="Style 51 2 6 2 6 2" xfId="32344"/>
    <cellStyle name="Table Head Green 2 6 2 6 2" xfId="32345"/>
    <cellStyle name="Title [Palat] 2 6 2 6 2" xfId="32346"/>
    <cellStyle name="Bold/Border 2 3 5 2 2" xfId="32347"/>
    <cellStyle name="Style 49 3 3 5 2 2" xfId="32348"/>
    <cellStyle name="dp*NumberLine 2 5 5 2 2" xfId="32349"/>
    <cellStyle name="Style 45 3 3 5 2 2" xfId="32350"/>
    <cellStyle name="Title [Palat] 2 2 3 4 5 2 2" xfId="32351"/>
    <cellStyle name="ac 2 2 3 4 5 2 2" xfId="32352"/>
    <cellStyle name="Date [mm-d-yyyy] 3 3 4 5 2 2" xfId="32353"/>
    <cellStyle name="Magic 2 2 3 4 5 2 2" xfId="32354"/>
    <cellStyle name="Title [Palat] 2 2 4 5 2 2" xfId="32355"/>
    <cellStyle name="Afjusted 4 3 3 5 2 2" xfId="32356"/>
    <cellStyle name="PB Table Standard Row 2 2 5 2 2" xfId="32357"/>
    <cellStyle name="Style 45 3 2 5 2 2" xfId="32358"/>
    <cellStyle name="Style 51 3 2 5 2 2" xfId="32359"/>
    <cellStyle name="Title [Helv] 2 2 3 4 5 2 2" xfId="32360"/>
    <cellStyle name="dp*SheetSubTitle 2 2 3 4 5 2 2" xfId="32361"/>
    <cellStyle name="Style 49 2 2 5 2 2" xfId="32362"/>
    <cellStyle name="Style 45 2 2 5 2 2" xfId="32363"/>
    <cellStyle name="Date [mmm-yyyy] 2 2 3 4 5 2 2" xfId="32364"/>
    <cellStyle name="ac 2 3 5 2 2" xfId="32365"/>
    <cellStyle name="Date [mm-d-yyyy] 5 5 2 2" xfId="32366"/>
    <cellStyle name="Style 51 2 2 5 2 2" xfId="32367"/>
    <cellStyle name="COL HEADINGS 2 2 3 4 5 2 2" xfId="32368"/>
    <cellStyle name="Afjusted 3 3 4 5 2 2" xfId="32369"/>
    <cellStyle name="dp*ThinLineBelow 2 3 5 2 2" xfId="32370"/>
    <cellStyle name="Style 49 4 5 5 2 2" xfId="32371"/>
    <cellStyle name="Outputs 2 2 2 4 5 2 2" xfId="32372"/>
    <cellStyle name="Title [Palat] 5 2 6 2" xfId="32373"/>
    <cellStyle name="Title [Helv] 4 2 6 2" xfId="32374"/>
    <cellStyle name="Table Head Green 6 2 6 2" xfId="32375"/>
    <cellStyle name="Table Head Aligned 4 2 6 2" xfId="32376"/>
    <cellStyle name="Style 51 9 2 6 2" xfId="32377"/>
    <cellStyle name="Style 49 9 2 6 2" xfId="32378"/>
    <cellStyle name="Style 45 9 2 6 2" xfId="32379"/>
    <cellStyle name="Style 44 9 2 6 2" xfId="32380"/>
    <cellStyle name="Style 51 2 5 5 2 2" xfId="32381"/>
    <cellStyle name="P-Green Rule 2 5 5 2 2" xfId="32382"/>
    <cellStyle name="P-Green Rule 7 2 6 2" xfId="32383"/>
    <cellStyle name="PB Table Standard Row 7 2 6 2" xfId="32384"/>
    <cellStyle name="Outputs 6 2 6 2" xfId="32385"/>
    <cellStyle name="Style 44 3 8 2 2" xfId="32386"/>
    <cellStyle name="Magic 4 2 6 2" xfId="32387"/>
    <cellStyle name="Date [mm-d-yyyy] 3 2 3 5 2 2" xfId="32388"/>
    <cellStyle name="Outputs 2 2 2 2 5 2 2" xfId="32389"/>
    <cellStyle name="Border Thin 3 2 7 2 2" xfId="32390"/>
    <cellStyle name="Heading [Palat] 6 2 6 2" xfId="32391"/>
    <cellStyle name="Heading [Helv] 6 2 6 2" xfId="32392"/>
    <cellStyle name="Date [mm-d-yyyy] 3 3 2 5 2 2" xfId="32393"/>
    <cellStyle name="dp*SubTitle 2 3 5 2 2" xfId="32394"/>
    <cellStyle name="Table Head Aligned 2 2 2 2 5 2 2" xfId="32395"/>
    <cellStyle name="Style 51 4 2 3 5 2 2" xfId="32396"/>
    <cellStyle name="dp*ThinLineBelow 5 2 6 2" xfId="32397"/>
    <cellStyle name="dp*SubTitle 5 2 6 2" xfId="32398"/>
    <cellStyle name="dp*SheetSubTitle 4 2 6 2" xfId="32399"/>
    <cellStyle name="dp*NumberLineEPS 4 2 6 2" xfId="32400"/>
    <cellStyle name="dp*NumberLine 4 2 6 2" xfId="32401"/>
    <cellStyle name="dp*NumberLine 2 4 5 2 2" xfId="32402"/>
    <cellStyle name="Date [mmm-yyyy] 4 2 6 2" xfId="32403"/>
    <cellStyle name="Date [mm-d-yyyy] 7 2 6 2" xfId="32404"/>
    <cellStyle name="COL HEADINGS 6 2 6 2" xfId="32405"/>
    <cellStyle name="Border Thin 7 2 6 2" xfId="32406"/>
    <cellStyle name="Bold/Border 6 2 6 2" xfId="32407"/>
    <cellStyle name="Style 44 3 5 5 2 2" xfId="32408"/>
    <cellStyle name="Table Head Aligned 2 5 5 2 2" xfId="32409"/>
    <cellStyle name="Afjusted 7 2 6 2" xfId="32410"/>
    <cellStyle name="ac 6 2 6 2" xfId="32411"/>
    <cellStyle name="Style 44 8 2 6 2" xfId="32412"/>
    <cellStyle name="Style 45 8 2 6 2" xfId="32413"/>
    <cellStyle name="Style 49 8 2 6 2" xfId="32414"/>
    <cellStyle name="Style 51 8 2 6 2" xfId="32415"/>
    <cellStyle name="COL HEADINGS 4 5 2 2" xfId="32416"/>
    <cellStyle name="Heading [Helv] 2 2 3 3 5 2 2" xfId="32417"/>
    <cellStyle name="P-Green Rule 5 5 2 2" xfId="32418"/>
    <cellStyle name="Heading [Palat] 5 5 2 2" xfId="32419"/>
    <cellStyle name="Heading [Helv] 4 5 2 2" xfId="32420"/>
    <cellStyle name="Style 45 4 3 2 5 2 2" xfId="32421"/>
    <cellStyle name="Style 44 4 3 3 5 2 2" xfId="32422"/>
    <cellStyle name="Magic 2 2 3 3 5 2 2" xfId="32423"/>
    <cellStyle name="Title [Palat] 2 2 3 3 5 2 2" xfId="32424"/>
    <cellStyle name="dp*NumberLineEPS 2 2 3 4 5 2 2" xfId="32425"/>
    <cellStyle name="P-Green Rule 2 2 5 2 2" xfId="32426"/>
    <cellStyle name="Title [Helv] 2 2 4 5 2 2" xfId="32427"/>
    <cellStyle name="Title [Palat] 6 2 6 2" xfId="32428"/>
    <cellStyle name="Title [Helv] 5 2 6 2" xfId="32429"/>
    <cellStyle name="Table Head Green 7 2 6 2" xfId="32430"/>
    <cellStyle name="Table Head Aligned 5 2 6 2" xfId="32431"/>
    <cellStyle name="Outputs 7 2 6 2" xfId="32432"/>
    <cellStyle name="PB Table Standard Row 3 3 4 5 2 2" xfId="32433"/>
    <cellStyle name="Magic 5 2 6 2" xfId="32434"/>
    <cellStyle name="Heading [Palat] 7 2 6 2" xfId="32435"/>
    <cellStyle name="Heading [Helv] 7 2 6 2" xfId="32436"/>
    <cellStyle name="dp*SheetSubTitle 5 2 6 2" xfId="32437"/>
    <cellStyle name="dp*NumberLineEPS 5 2 6 2" xfId="32438"/>
    <cellStyle name="dp*NumberLine 5 2 6 2" xfId="32439"/>
    <cellStyle name="Date [mmm-yyyy] 5 2 6 2" xfId="32440"/>
    <cellStyle name="COL HEADINGS 7 2 6 2" xfId="32441"/>
    <cellStyle name="Bold/Border 7 2 6 2" xfId="32442"/>
    <cellStyle name="Afjusted 8 2 6 2" xfId="32443"/>
    <cellStyle name="ac 7 2 6 2" xfId="32444"/>
    <cellStyle name="Magic 2 2 2 4 5 2 2" xfId="32445"/>
    <cellStyle name="Title [Palat] 7 2 6 2" xfId="32446"/>
    <cellStyle name="Title [Helv] 6 2 6 2" xfId="32447"/>
    <cellStyle name="Table Head Green 8 2 6 2" xfId="32448"/>
    <cellStyle name="Table Head Aligned 6 2 6 2" xfId="32449"/>
    <cellStyle name="Outputs 8 2 6 2" xfId="32450"/>
    <cellStyle name="Magic 6 2 6 2" xfId="32451"/>
    <cellStyle name="Heading [Palat] 8 2 6 2" xfId="32452"/>
    <cellStyle name="Heading [Helv] 8 2 6 2" xfId="32453"/>
    <cellStyle name="Style 51 4 3 2 5 2 2" xfId="32454"/>
    <cellStyle name="Date [mm-d-yyyy] 3 5 5 2 2" xfId="32455"/>
    <cellStyle name="Magic 2 2 2 2 5 2 2" xfId="32456"/>
    <cellStyle name="Afjusted 3 2 3 5 2 2" xfId="32457"/>
    <cellStyle name="dp*SheetSubTitle 6 2 6 2" xfId="32458"/>
    <cellStyle name="dp*NumberLineEPS 6 2 6 2" xfId="32459"/>
    <cellStyle name="dp*NumberLine 6 2 6 2" xfId="32460"/>
    <cellStyle name="COL HEADINGS 8 2 6 2" xfId="32461"/>
    <cellStyle name="Bold/Border 8 2 6 2" xfId="32462"/>
    <cellStyle name="PB Table Standard Row 2 5 5 2 2" xfId="32463"/>
    <cellStyle name="Style 49 2 5 5 2 2" xfId="32464"/>
    <cellStyle name="Afjusted 9 2 6 2" xfId="32465"/>
    <cellStyle name="ac 8 2 6 2" xfId="32466"/>
    <cellStyle name="Date [mmm-yyyy] 6 2 6 2" xfId="32467"/>
    <cellStyle name="Title [Palat] 8 2 6 2" xfId="32468"/>
    <cellStyle name="Title [Helv] 7 2 6 2" xfId="32469"/>
    <cellStyle name="Table Head Green 9 2 6 2" xfId="32470"/>
    <cellStyle name="Table Head Aligned 7 2 6 2" xfId="32471"/>
    <cellStyle name="Outputs 9 2 6 2" xfId="32472"/>
    <cellStyle name="Magic 7 2 6 2" xfId="32473"/>
    <cellStyle name="Heading [Palat] 9 2 6 2" xfId="32474"/>
    <cellStyle name="Heading [Helv] 9 2 6 2" xfId="32475"/>
    <cellStyle name="dp*SheetSubTitle 7 2 6 2" xfId="32476"/>
    <cellStyle name="dp*NumberLineEPS 7 2 6 2" xfId="32477"/>
    <cellStyle name="dp*NumberLine 7 2 6 2" xfId="32478"/>
    <cellStyle name="Date [mmm-yyyy] 7 2 6 2" xfId="32479"/>
    <cellStyle name="COL HEADINGS 9 2 6 2" xfId="32480"/>
    <cellStyle name="Bold/Border 9 2 6 2" xfId="32481"/>
    <cellStyle name="Afjusted 10 2 6 2" xfId="32482"/>
    <cellStyle name="ac 9 2 6 2" xfId="32483"/>
    <cellStyle name="Title [Palat] 4 5 2 2" xfId="32484"/>
    <cellStyle name="ac 2 6 5 2 2" xfId="32485"/>
    <cellStyle name="Bold/Border 2 6 5 2 2" xfId="32486"/>
    <cellStyle name="Border Thin 2 6 5 2 2" xfId="32487"/>
    <cellStyle name="COL HEADINGS 2 6 5 2 2" xfId="32488"/>
    <cellStyle name="Heading [Helv] 2 6 5 2 2" xfId="32489"/>
    <cellStyle name="Heading [Palat] 2 6 5 2 2" xfId="32490"/>
    <cellStyle name="Outputs 2 6 5 2 2" xfId="32491"/>
    <cellStyle name="PB Table Standard Row 2 6 5 2 2" xfId="32492"/>
    <cellStyle name="P-Green Rule 2 6 5 2 2" xfId="32493"/>
    <cellStyle name="Style 44 3 6 5 2 2" xfId="32494"/>
    <cellStyle name="Style 45 3 6 5 2 2" xfId="32495"/>
    <cellStyle name="Style 49 3 6 5 2 2" xfId="32496"/>
    <cellStyle name="Style 51 3 6 5 2 2" xfId="32497"/>
    <cellStyle name="Style 44 2 6 5 2 2" xfId="32498"/>
    <cellStyle name="Style 45 2 6 5 2 2" xfId="32499"/>
    <cellStyle name="Style 49 2 6 5 2 2" xfId="32500"/>
    <cellStyle name="Style 51 2 6 5 2 2" xfId="32501"/>
    <cellStyle name="Table Head Green 2 6 5 2 2" xfId="32502"/>
    <cellStyle name="Title [Palat] 2 6 5 2 2" xfId="32503"/>
    <cellStyle name="Title [Palat] 5 5 2 2" xfId="32504"/>
    <cellStyle name="Title [Helv] 4 5 2 2" xfId="32505"/>
    <cellStyle name="Table Head Green 6 5 2 2" xfId="32506"/>
    <cellStyle name="Table Head Aligned 4 5 2 2" xfId="32507"/>
    <cellStyle name="Outputs 6 5 2 2" xfId="32508"/>
    <cellStyle name="Magic 4 5 2 2" xfId="32509"/>
    <cellStyle name="Heading [Palat] 6 5 2 2" xfId="32510"/>
    <cellStyle name="Heading [Helv] 6 5 2 2" xfId="32511"/>
    <cellStyle name="dp*SheetSubTitle 4 5 2 2" xfId="32512"/>
    <cellStyle name="dp*NumberLineEPS 4 5 2 2" xfId="32513"/>
    <cellStyle name="dp*NumberLine 4 5 2 2" xfId="32514"/>
    <cellStyle name="Date [mmm-yyyy] 4 5 2 2" xfId="32515"/>
    <cellStyle name="COL HEADINGS 6 5 2 2" xfId="32516"/>
    <cellStyle name="Bold/Border 6 5 2 2" xfId="32517"/>
    <cellStyle name="Afjusted 7 5 2 2" xfId="32518"/>
    <cellStyle name="ac 6 5 2 2" xfId="32519"/>
    <cellStyle name="Style 44 8 5 2 2" xfId="32520"/>
    <cellStyle name="Style 45 8 5 2 2" xfId="32521"/>
    <cellStyle name="Style 49 8 5 2 2" xfId="32522"/>
    <cellStyle name="Style 51 8 5 2 2" xfId="32523"/>
    <cellStyle name="Afjusted 3 6 4 2 2" xfId="32524"/>
    <cellStyle name="ac 2 7 4 2 2" xfId="32525"/>
    <cellStyle name="Afjusted 2 5 4 2 2" xfId="32526"/>
    <cellStyle name="Bold/Border 2 7 4 2 2" xfId="32527"/>
    <cellStyle name="COL HEADINGS 2 7 4 2 2" xfId="32528"/>
    <cellStyle name="Date [mmm-yyyy] 2 6 4 2 2" xfId="32529"/>
    <cellStyle name="dp*NumberLine 2 6 4 2 2" xfId="32530"/>
    <cellStyle name="dp*NumberLineEPS 2 6 4 2 2" xfId="32531"/>
    <cellStyle name="dp*SheetSubTitle 2 6 4 2 2" xfId="32532"/>
    <cellStyle name="Heading [Helv] 2 7 4 2 2" xfId="32533"/>
    <cellStyle name="Heading [Palat] 2 7 4 2 2" xfId="32534"/>
    <cellStyle name="Magic 2 6 4 2 2" xfId="32535"/>
    <cellStyle name="Outputs 2 7 4 2 2" xfId="32536"/>
    <cellStyle name="Table Head Aligned 2 6 4 2 2" xfId="32537"/>
    <cellStyle name="Table Head Green 2 7 4 2 2" xfId="32538"/>
    <cellStyle name="Title [Helv] 2 6 4 2 2" xfId="32539"/>
    <cellStyle name="Title [Palat] 2 7 4 2 2" xfId="32540"/>
    <cellStyle name="Date [mm-d-yyyy] 3 6 4 2 2" xfId="32541"/>
    <cellStyle name="Style 51 4 6 4 2 2" xfId="32542"/>
    <cellStyle name="Style 49 4 6 4 2 2" xfId="32543"/>
    <cellStyle name="Style 45 4 6 4 2 2" xfId="32544"/>
    <cellStyle name="Style 44 4 6 4 2 2" xfId="32545"/>
    <cellStyle name="P-Green Rule 3 6 4 2 2" xfId="32546"/>
    <cellStyle name="PB Table Standard Row 3 6 4 2 2" xfId="32547"/>
    <cellStyle name="dp*ThinLineBelow 3 6 4 2 2" xfId="32548"/>
    <cellStyle name="dp*SubTitle 3 6 4 2 2" xfId="32549"/>
    <cellStyle name="Border Thin 3 6 4 2 2" xfId="32550"/>
    <cellStyle name="Afjusted 4 6 4 2 2" xfId="32551"/>
    <cellStyle name="ac 2 2 5 4 2 2" xfId="32552"/>
    <cellStyle name="Afjusted 2 2 6 4 2 2" xfId="32553"/>
    <cellStyle name="Bold/Border 2 2 5 4 2 2" xfId="32554"/>
    <cellStyle name="COL HEADINGS 2 2 5 4 2 2" xfId="32555"/>
    <cellStyle name="Date [mmm-yyyy] 2 2 5 4 2 2" xfId="32556"/>
    <cellStyle name="dp*NumberLine 2 2 5 4 2 2" xfId="32557"/>
    <cellStyle name="dp*NumberLineEPS 2 2 5 4 2 2" xfId="32558"/>
    <cellStyle name="dp*SheetSubTitle 2 2 5 4 2 2" xfId="32559"/>
    <cellStyle name="Heading [Helv] 2 2 5 4 2 2" xfId="32560"/>
    <cellStyle name="Heading [Palat] 2 2 5 4 2 2" xfId="32561"/>
    <cellStyle name="Magic 2 2 5 4 2 2" xfId="32562"/>
    <cellStyle name="Outputs 2 2 5 4 2 2" xfId="32563"/>
    <cellStyle name="Table Head Aligned 2 2 5 4 2 2" xfId="32564"/>
    <cellStyle name="Table Head Green 2 2 5 4 2 2" xfId="32565"/>
    <cellStyle name="Title [Helv] 2 2 5 4 2 2" xfId="32566"/>
    <cellStyle name="Title [Palat] 2 2 5 4 2 2" xfId="32567"/>
    <cellStyle name="dp*SubTitle 2 2 2 4 2 2" xfId="32568"/>
    <cellStyle name="Border Thin 2 2 2 4 2 2" xfId="32569"/>
    <cellStyle name="Bold/Border 2 2 3 4 2 4 2 2" xfId="32570"/>
    <cellStyle name="Magic 2 2 3 4 2 4 2 2" xfId="32571"/>
    <cellStyle name="Title [Helv] 2 2 3 4 2 4 2 2" xfId="32572"/>
    <cellStyle name="Style 51 2 2 2 4 2 2" xfId="32573"/>
    <cellStyle name="Style 45 2 2 2 4 2 2" xfId="32574"/>
    <cellStyle name="Style 49 2 2 2 4 2 2" xfId="32575"/>
    <cellStyle name="Style 44 2 2 2 4 2 2" xfId="32576"/>
    <cellStyle name="Style 51 3 2 2 4 2 2" xfId="32577"/>
    <cellStyle name="Style 49 3 2 2 4 2 2" xfId="32578"/>
    <cellStyle name="Style 45 3 2 2 4 2 2" xfId="32579"/>
    <cellStyle name="Style 44 3 2 2 4 2 2" xfId="32580"/>
    <cellStyle name="P-Green Rule 2 2 2 4 2 2" xfId="32581"/>
    <cellStyle name="PB Table Standard Row 2 2 2 4 2 2" xfId="32582"/>
    <cellStyle name="dp*ThinLineBelow 2 2 2 4 2 2" xfId="32583"/>
    <cellStyle name="dp*ThinLineBelow 2 3 2 4 2 2" xfId="32584"/>
    <cellStyle name="Style 44 3 3 2 4 2 2" xfId="32585"/>
    <cellStyle name="COL HEADINGS 2 2 3 4 2 4 2 2" xfId="32586"/>
    <cellStyle name="Style 49 4 3 4 2 4 2 2" xfId="32587"/>
    <cellStyle name="Afjusted 3 3 4 2 4 2 2" xfId="32588"/>
    <cellStyle name="Date [mm-d-yyyy] 3 3 4 2 4 2 2" xfId="32589"/>
    <cellStyle name="Afjusted 4 3 4 2 4 2 2" xfId="32590"/>
    <cellStyle name="ac 2 2 3 4 2 4 2 2" xfId="32591"/>
    <cellStyle name="Afjusted 2 2 3 4 2 4 2 2" xfId="32592"/>
    <cellStyle name="Date [mmm-yyyy] 2 2 3 4 2 4 2 2" xfId="32593"/>
    <cellStyle name="dp*NumberLine 2 2 3 4 2 4 2 2" xfId="32594"/>
    <cellStyle name="dp*NumberLineEPS 2 2 3 4 2 4 2 2" xfId="32595"/>
    <cellStyle name="dp*SheetSubTitle 2 2 3 4 2 4 2 2" xfId="32596"/>
    <cellStyle name="Heading [Helv] 2 2 3 4 2 4 2 2" xfId="32597"/>
    <cellStyle name="Outputs 2 2 3 4 2 4 2 2" xfId="32598"/>
    <cellStyle name="Table Head Aligned 2 2 3 4 2 4 2 2" xfId="32599"/>
    <cellStyle name="Title [Palat] 2 2 3 4 2 4 2 2" xfId="32600"/>
    <cellStyle name="Afjusted 3 5 2 4 2 2" xfId="32601"/>
    <cellStyle name="Style 45 3 3 2 4 2 2" xfId="32602"/>
    <cellStyle name="Style 51 3 3 2 4 2 2" xfId="32603"/>
    <cellStyle name="Style 44 2 3 2 4 2 2" xfId="32604"/>
    <cellStyle name="Style 45 2 3 2 4 2 2" xfId="32605"/>
    <cellStyle name="Style 49 2 3 2 4 2 2" xfId="32606"/>
    <cellStyle name="Border Thin 3 5 2 4 2 2" xfId="32607"/>
    <cellStyle name="ac 2 2 4 2 4 2 2" xfId="32608"/>
    <cellStyle name="Afjusted 2 2 5 2 4 2 2" xfId="32609"/>
    <cellStyle name="Bold/Border 2 2 4 2 4 2 2" xfId="32610"/>
    <cellStyle name="COL HEADINGS 2 2 4 2 4 2 2" xfId="32611"/>
    <cellStyle name="Date [mmm-yyyy] 2 2 4 2 4 2 2" xfId="32612"/>
    <cellStyle name="dp*NumberLine 2 2 4 2 4 2 2" xfId="32613"/>
    <cellStyle name="dp*NumberLineEPS 2 2 4 2 4 2 2" xfId="32614"/>
    <cellStyle name="dp*SheetSubTitle 2 2 4 2 4 2 2" xfId="32615"/>
    <cellStyle name="Heading [Palat] 2 2 4 2 4 2 2" xfId="32616"/>
    <cellStyle name="Outputs 2 2 4 2 4 2 2" xfId="32617"/>
    <cellStyle name="Magic 2 2 4 2 4 2 2" xfId="32618"/>
    <cellStyle name="Title [Helv] 2 2 4 2 4 2 2" xfId="32619"/>
    <cellStyle name="Title [Palat] 2 2 4 2 4 2 2" xfId="32620"/>
    <cellStyle name="Title [Palat] 2 2 3 3 2 4 2 2" xfId="32621"/>
    <cellStyle name="Title [Helv] 2 2 3 3 2 4 2 2" xfId="32622"/>
    <cellStyle name="Table Head Aligned 2 2 3 3 2 4 2 2" xfId="32623"/>
    <cellStyle name="Magic 2 2 3 3 2 4 2 2" xfId="32624"/>
    <cellStyle name="Heading [Helv] 2 2 3 3 2 4 2 2" xfId="32625"/>
    <cellStyle name="dp*NumberLineEPS 2 2 3 3 2 4 2 2" xfId="32626"/>
    <cellStyle name="COL HEADINGS 2 2 3 3 2 4 2 2" xfId="32627"/>
    <cellStyle name="ac 2 2 3 3 2 4 2 2" xfId="32628"/>
    <cellStyle name="Afjusted 4 3 3 2 4 2 2" xfId="32629"/>
    <cellStyle name="Border Thin 3 3 3 2 4 2 2" xfId="32630"/>
    <cellStyle name="PB Table Standard Row 3 3 3 2 4 2 2" xfId="32631"/>
    <cellStyle name="Style 44 4 3 3 2 4 2 2" xfId="32632"/>
    <cellStyle name="Style 51 4 3 3 2 4 2 2" xfId="32633"/>
    <cellStyle name="Afjusted 3 3 3 2 4 2 2" xfId="32634"/>
    <cellStyle name="Style 49 4 5 2 4 2 2" xfId="32635"/>
    <cellStyle name="Style 44 4 5 2 4 2 2" xfId="32636"/>
    <cellStyle name="P-Green Rule 3 5 2 4 2 2" xfId="32637"/>
    <cellStyle name="dp*SubTitle 3 5 2 4 2 2" xfId="32638"/>
    <cellStyle name="Afjusted 4 5 2 4 2 2" xfId="32639"/>
    <cellStyle name="ac 2 3 2 4 2 2" xfId="32640"/>
    <cellStyle name="Bold/Border 2 3 2 4 2 2" xfId="32641"/>
    <cellStyle name="COL HEADINGS 2 3 2 4 2 2" xfId="32642"/>
    <cellStyle name="Date [mmm-yyyy] 2 3 2 4 2 2" xfId="32643"/>
    <cellStyle name="dp*NumberLine 2 3 2 4 2 2" xfId="32644"/>
    <cellStyle name="dp*NumberLineEPS 2 3 2 4 2 2" xfId="32645"/>
    <cellStyle name="dp*SheetSubTitle 2 3 2 4 2 2" xfId="32646"/>
    <cellStyle name="Heading [Helv] 2 3 2 4 2 2" xfId="32647"/>
    <cellStyle name="Heading [Palat] 2 3 2 4 2 2" xfId="32648"/>
    <cellStyle name="Magic 2 3 2 4 2 2" xfId="32649"/>
    <cellStyle name="Outputs 2 3 2 4 2 2" xfId="32650"/>
    <cellStyle name="Date [mmm-yyyy] 2 2 3 3 2 4 2 2" xfId="32651"/>
    <cellStyle name="Afjusted 2 2 3 3 2 4 2 2" xfId="32652"/>
    <cellStyle name="dp*ThinLineBelow 3 3 3 2 4 2 2" xfId="32653"/>
    <cellStyle name="Style 49 4 3 3 2 4 2 2" xfId="32654"/>
    <cellStyle name="Outputs 2 2 3 3 2 4 2 2" xfId="32655"/>
    <cellStyle name="dp*NumberLine 2 2 3 3 2 4 2 2" xfId="32656"/>
    <cellStyle name="Bold/Border 2 2 3 3 2 4 2 2" xfId="32657"/>
    <cellStyle name="dp*SubTitle 3 3 3 2 4 2 2" xfId="32658"/>
    <cellStyle name="Style 45 4 3 3 2 4 2 2" xfId="32659"/>
    <cellStyle name="Table Head Aligned 2 3 2 4 2 2" xfId="32660"/>
    <cellStyle name="Table Head Green 2 3 2 4 2 2" xfId="32661"/>
    <cellStyle name="Title [Helv] 2 3 2 4 2 2" xfId="32662"/>
    <cellStyle name="Title [Palat] 2 3 2 4 2 2" xfId="32663"/>
    <cellStyle name="Style 45 4 3 4 2 4 2 2" xfId="32664"/>
    <cellStyle name="Style 51 4 3 4 2 4 2 2" xfId="32665"/>
    <cellStyle name="Afjusted 3 4 2 4 2 2" xfId="32666"/>
    <cellStyle name="P-Green Rule 3 3 4 2 4 2 2" xfId="32667"/>
    <cellStyle name="Border Thin 2 3 2 4 2 2" xfId="32668"/>
    <cellStyle name="Style 49 3 3 2 4 2 2" xfId="32669"/>
    <cellStyle name="Style 51 2 3 2 4 2 2" xfId="32670"/>
    <cellStyle name="Heading [Helv] 2 2 4 2 4 2 2" xfId="32671"/>
    <cellStyle name="Table Head Aligned 2 2 4 2 4 2 2" xfId="32672"/>
    <cellStyle name="Table Head Green 2 2 4 2 4 2 2" xfId="32673"/>
    <cellStyle name="Table Head Green 2 2 3 3 2 4 2 2" xfId="32674"/>
    <cellStyle name="Heading [Palat] 2 2 3 3 2 4 2 2" xfId="32675"/>
    <cellStyle name="dp*SheetSubTitle 2 2 3 3 2 4 2 2" xfId="32676"/>
    <cellStyle name="P-Green Rule 3 3 3 2 4 2 2" xfId="32677"/>
    <cellStyle name="Date [mm-d-yyyy] 3 3 3 2 4 2 2" xfId="32678"/>
    <cellStyle name="Date [mm-d-yyyy] 3 4 2 4 2 2" xfId="32679"/>
    <cellStyle name="Style 51 4 4 2 4 2 2" xfId="32680"/>
    <cellStyle name="Style 49 4 4 2 4 2 2" xfId="32681"/>
    <cellStyle name="Style 45 4 4 2 4 2 2" xfId="32682"/>
    <cellStyle name="Style 44 4 4 2 4 2 2" xfId="32683"/>
    <cellStyle name="dp*ThinLineBelow 3 3 4 2 4 2 2" xfId="32684"/>
    <cellStyle name="P-Green Rule 3 4 2 4 2 2" xfId="32685"/>
    <cellStyle name="PB Table Standard Row 3 4 2 3 2 2" xfId="32686"/>
    <cellStyle name="dp*ThinLineBelow 3 4 2 4 2 2" xfId="32687"/>
    <cellStyle name="dp*SubTitle 3 4 2 4 2 2" xfId="32688"/>
    <cellStyle name="dp*SubTitle 3 3 4 2 4 2 2" xfId="32689"/>
    <cellStyle name="Border Thin 3 4 2 4 2 2" xfId="32690"/>
    <cellStyle name="Border Thin 3 3 4 2 4 2 2" xfId="32691"/>
    <cellStyle name="Afjusted 4 4 2 4 2 2" xfId="32692"/>
    <cellStyle name="Afjusted 2 2 4 2 4 2 2" xfId="32693"/>
    <cellStyle name="Style 44 4 3 4 2 4 2 2" xfId="32694"/>
    <cellStyle name="PB Table Standard Row 3 3 4 2 4 2 2" xfId="32695"/>
    <cellStyle name="Title [Palat] 2 2 3 5 4 2 2" xfId="32696"/>
    <cellStyle name="Title [Helv] 2 2 3 5 4 2 2" xfId="32697"/>
    <cellStyle name="Table Head Green 2 2 3 5 4 2 2" xfId="32698"/>
    <cellStyle name="Table Head Aligned 2 2 3 5 4 2 2" xfId="32699"/>
    <cellStyle name="Outputs 2 2 3 5 4 2 2" xfId="32700"/>
    <cellStyle name="Magic 2 2 3 5 4 2 2" xfId="32701"/>
    <cellStyle name="Heading [Palat] 2 2 3 5 4 2 2" xfId="32702"/>
    <cellStyle name="Heading [Helv] 2 2 3 5 4 2 2" xfId="32703"/>
    <cellStyle name="dp*SheetSubTitle 2 2 3 5 4 2 2" xfId="32704"/>
    <cellStyle name="dp*NumberLineEPS 2 2 3 5 4 2 2" xfId="32705"/>
    <cellStyle name="dp*NumberLine 2 2 3 5 4 2 2" xfId="32706"/>
    <cellStyle name="Date [mmm-yyyy] 2 2 3 5 4 2 2" xfId="32707"/>
    <cellStyle name="COL HEADINGS 2 2 3 5 4 2 2" xfId="32708"/>
    <cellStyle name="Bold/Border 2 2 3 5 4 2 2" xfId="32709"/>
    <cellStyle name="Afjusted 2 2 3 5 4 2 2" xfId="32710"/>
    <cellStyle name="ac 2 2 3 5 4 2 2" xfId="32711"/>
    <cellStyle name="Afjusted 4 3 5 4 2 2" xfId="32712"/>
    <cellStyle name="Border Thin 3 3 5 4 2 2" xfId="32713"/>
    <cellStyle name="dp*SubTitle 3 3 5 4 2 2" xfId="32714"/>
    <cellStyle name="dp*ThinLineBelow 3 3 5 4 2 2" xfId="32715"/>
    <cellStyle name="PB Table Standard Row 3 3 5 4 2 2" xfId="32716"/>
    <cellStyle name="P-Green Rule 3 3 5 4 2 2" xfId="32717"/>
    <cellStyle name="Style 44 4 3 5 4 2 2" xfId="32718"/>
    <cellStyle name="Style 45 4 3 5 4 2 2" xfId="32719"/>
    <cellStyle name="Style 49 4 3 5 4 2 2" xfId="32720"/>
    <cellStyle name="Style 51 4 3 5 4 2 2" xfId="32721"/>
    <cellStyle name="Date [mm-d-yyyy] 3 3 5 4 2 2" xfId="32722"/>
    <cellStyle name="Afjusted 3 3 5 4 2 2" xfId="32723"/>
    <cellStyle name="Date [mm-d-yyyy] 2 2 4 4 2 2" xfId="32724"/>
    <cellStyle name="Afjusted 3 2 5 4 2 2" xfId="32725"/>
    <cellStyle name="Date [mm-d-yyyy] 3 2 5 4 2 2" xfId="32726"/>
    <cellStyle name="Style 51 4 2 5 4 2 2" xfId="32727"/>
    <cellStyle name="Style 49 4 2 5 4 2 2" xfId="32728"/>
    <cellStyle name="Style 45 4 2 5 4 2 2" xfId="32729"/>
    <cellStyle name="Style 44 4 2 5 4 2 2" xfId="32730"/>
    <cellStyle name="P-Green Rule 3 2 5 4 2 2" xfId="32731"/>
    <cellStyle name="PB Table Standard Row 3 2 5 3 2 2" xfId="32732"/>
    <cellStyle name="dp*ThinLineBelow 3 2 5 4 2 2" xfId="32733"/>
    <cellStyle name="dp*SubTitle 3 2 5 4 2 2" xfId="32734"/>
    <cellStyle name="Border Thin 3 2 5 4 2 2" xfId="32735"/>
    <cellStyle name="Afjusted 4 2 5 4 2 2" xfId="32736"/>
    <cellStyle name="ac 2 2 2 5 4 2 2" xfId="32737"/>
    <cellStyle name="Afjusted 2 2 2 5 4 2 2" xfId="32738"/>
    <cellStyle name="Bold/Border 2 2 2 5 4 2 2" xfId="32739"/>
    <cellStyle name="COL HEADINGS 2 2 2 5 4 2 2" xfId="32740"/>
    <cellStyle name="Date [mmm-yyyy] 2 2 2 5 4 2 2" xfId="32741"/>
    <cellStyle name="dp*NumberLine 2 2 2 5 4 2 2" xfId="32742"/>
    <cellStyle name="dp*NumberLineEPS 2 2 2 5 4 2 2" xfId="32743"/>
    <cellStyle name="dp*SheetSubTitle 2 2 2 5 4 2 2" xfId="32744"/>
    <cellStyle name="Heading [Helv] 2 2 2 5 4 2 2" xfId="32745"/>
    <cellStyle name="Heading [Palat] 2 2 2 5 4 2 2" xfId="32746"/>
    <cellStyle name="Magic 2 2 2 5 4 2 2" xfId="32747"/>
    <cellStyle name="Outputs 2 2 2 5 4 2 2" xfId="32748"/>
    <cellStyle name="Table Head Aligned 2 2 2 5 4 2 2" xfId="32749"/>
    <cellStyle name="Table Head Green 2 2 2 5 4 2 2" xfId="32750"/>
    <cellStyle name="Title [Helv] 2 2 2 5 4 2 2" xfId="32751"/>
    <cellStyle name="Title [Palat] 2 2 2 5 4 2 2" xfId="32752"/>
    <cellStyle name="Table Head Green 2 2 3 4 2 4 2 2" xfId="32753"/>
    <cellStyle name="Heading [Palat] 2 2 3 4 2 4 2 2" xfId="32754"/>
    <cellStyle name="PB Table Standard Row 2 3 2 4 2 2" xfId="32755"/>
    <cellStyle name="P-Green Rule 2 3 2 4 2 2" xfId="32756"/>
    <cellStyle name="Title [Palat] 2 2 3 2 2 4 2 2" xfId="32757"/>
    <cellStyle name="Title [Helv] 2 2 3 2 2 4 2 2" xfId="32758"/>
    <cellStyle name="Table Head Green 2 2 3 2 2 4 2 2" xfId="32759"/>
    <cellStyle name="Table Head Aligned 2 2 3 2 2 4 2 2" xfId="32760"/>
    <cellStyle name="Outputs 2 2 3 2 2 4 2 2" xfId="32761"/>
    <cellStyle name="Magic 2 2 3 2 2 4 2 2" xfId="32762"/>
    <cellStyle name="Heading [Palat] 2 2 3 2 2 4 2 2" xfId="32763"/>
    <cellStyle name="Heading [Helv] 2 2 3 2 2 4 2 2" xfId="32764"/>
    <cellStyle name="dp*SheetSubTitle 2 2 3 2 2 4 2 2" xfId="32765"/>
    <cellStyle name="dp*NumberLineEPS 2 2 3 2 2 4 2 2" xfId="32766"/>
    <cellStyle name="dp*NumberLine 2 2 3 2 2 4 2 2" xfId="32767"/>
    <cellStyle name="Date [mmm-yyyy] 2 2 3 2 2 4 2 2" xfId="32768"/>
    <cellStyle name="COL HEADINGS 2 2 3 2 2 4 2 2" xfId="32769"/>
    <cellStyle name="Bold/Border 2 2 3 2 2 4 2 2" xfId="32770"/>
    <cellStyle name="Afjusted 2 2 3 2 2 4 2 2" xfId="32771"/>
    <cellStyle name="ac 2 2 3 2 2 4 2 2" xfId="32772"/>
    <cellStyle name="Afjusted 4 3 2 2 4 2 2" xfId="32773"/>
    <cellStyle name="Border Thin 3 3 2 2 4 2 2" xfId="32774"/>
    <cellStyle name="dp*SubTitle 3 3 2 2 4 2 2" xfId="32775"/>
    <cellStyle name="dp*ThinLineBelow 3 3 2 2 4 2 2" xfId="32776"/>
    <cellStyle name="PB Table Standard Row 3 3 2 2 4 2 2" xfId="32777"/>
    <cellStyle name="P-Green Rule 3 3 2 2 4 2 2" xfId="32778"/>
    <cellStyle name="Style 44 4 3 2 2 4 2 2" xfId="32779"/>
    <cellStyle name="Style 45 4 3 2 2 4 2 2" xfId="32780"/>
    <cellStyle name="Style 49 4 3 2 2 4 2 2" xfId="32781"/>
    <cellStyle name="Style 51 4 3 2 2 4 2 2" xfId="32782"/>
    <cellStyle name="Date [mm-d-yyyy] 3 3 2 2 4 2 2" xfId="32783"/>
    <cellStyle name="Afjusted 3 3 2 2 4 2 2" xfId="32784"/>
    <cellStyle name="Date [mm-d-yyyy] 3 5 2 4 2 2" xfId="32785"/>
    <cellStyle name="dp*SubTitle 2 3 2 4 2 2" xfId="32786"/>
    <cellStyle name="Date [mm-d-yyyy] 2 2 2 2 4 2 2" xfId="32787"/>
    <cellStyle name="Afjusted 3 2 2 2 4 2 2" xfId="32788"/>
    <cellStyle name="PB Table Standard Row 3 5 2 4 2 2" xfId="32789"/>
    <cellStyle name="Date [mm-d-yyyy] 3 2 2 2 4 2 2" xfId="32790"/>
    <cellStyle name="Style 51 4 2 2 2 4 2 2" xfId="32791"/>
    <cellStyle name="Style 49 4 2 2 2 4 2 2" xfId="32792"/>
    <cellStyle name="Style 45 4 2 2 2 4 2 2" xfId="32793"/>
    <cellStyle name="Style 44 4 2 2 2 4 2 2" xfId="32794"/>
    <cellStyle name="Style 45 4 5 2 4 2 2" xfId="32795"/>
    <cellStyle name="P-Green Rule 3 2 2 2 4 2 2" xfId="32796"/>
    <cellStyle name="PB Table Standard Row 3 2 2 2 4 2 2" xfId="32797"/>
    <cellStyle name="dp*ThinLineBelow 3 2 2 2 4 2 2" xfId="32798"/>
    <cellStyle name="dp*SubTitle 3 2 2 2 4 2 2" xfId="32799"/>
    <cellStyle name="Style 51 4 5 2 4 2 2" xfId="32800"/>
    <cellStyle name="Border Thin 3 2 2 2 4 2 2" xfId="32801"/>
    <cellStyle name="Afjusted 4 2 2 2 4 2 2" xfId="32802"/>
    <cellStyle name="ac 2 2 2 2 2 4 2 2" xfId="32803"/>
    <cellStyle name="Afjusted 2 2 2 2 2 4 2 2" xfId="32804"/>
    <cellStyle name="Bold/Border 2 2 2 2 2 4 2 2" xfId="32805"/>
    <cellStyle name="COL HEADINGS 2 2 2 2 2 4 2 2" xfId="32806"/>
    <cellStyle name="Date [mmm-yyyy] 2 2 2 2 2 4 2 2" xfId="32807"/>
    <cellStyle name="dp*NumberLine 2 2 2 2 2 4 2 2" xfId="32808"/>
    <cellStyle name="dp*NumberLineEPS 2 2 2 2 2 4 2 2" xfId="32809"/>
    <cellStyle name="dp*SheetSubTitle 2 2 2 2 2 4 2 2" xfId="32810"/>
    <cellStyle name="Heading [Helv] 2 2 2 2 2 4 2 2" xfId="32811"/>
    <cellStyle name="Heading [Palat] 2 2 2 2 2 4 2 2" xfId="32812"/>
    <cellStyle name="Magic 2 2 2 2 2 4 2 2" xfId="32813"/>
    <cellStyle name="Outputs 2 2 2 2 2 4 2 2" xfId="32814"/>
    <cellStyle name="Table Head Aligned 2 2 2 2 2 4 2 2" xfId="32815"/>
    <cellStyle name="Table Head Green 2 2 2 2 2 4 2 2" xfId="32816"/>
    <cellStyle name="Title [Helv] 2 2 2 2 2 4 2 2" xfId="32817"/>
    <cellStyle name="Title [Palat] 2 2 2 2 2 4 2 2" xfId="32818"/>
    <cellStyle name="dp*ThinLineBelow 3 5 2 4 2 2" xfId="32819"/>
    <cellStyle name="Date [mm-d-yyyy] 2 2 3 2 4 2 2" xfId="32820"/>
    <cellStyle name="Afjusted 3 2 3 2 4 2 2" xfId="32821"/>
    <cellStyle name="Date [mm-d-yyyy] 3 2 3 2 4 2 2" xfId="32822"/>
    <cellStyle name="Style 51 4 2 3 2 4 2 2" xfId="32823"/>
    <cellStyle name="Style 49 4 2 3 2 4 2 2" xfId="32824"/>
    <cellStyle name="Style 45 4 2 3 2 4 2 2" xfId="32825"/>
    <cellStyle name="Style 44 4 2 3 2 4 2 2" xfId="32826"/>
    <cellStyle name="P-Green Rule 3 2 3 2 4 2 2" xfId="32827"/>
    <cellStyle name="PB Table Standard Row 3 2 3 2 4 2 2" xfId="32828"/>
    <cellStyle name="dp*ThinLineBelow 3 2 3 2 4 2 2" xfId="32829"/>
    <cellStyle name="dp*SubTitle 3 2 3 2 4 2 2" xfId="32830"/>
    <cellStyle name="Border Thin 3 2 3 2 4 2 2" xfId="32831"/>
    <cellStyle name="Afjusted 4 2 3 2 4 2 2" xfId="32832"/>
    <cellStyle name="ac 2 2 2 3 2 4 2 2" xfId="32833"/>
    <cellStyle name="Afjusted 2 2 2 3 2 4 2 2" xfId="32834"/>
    <cellStyle name="Bold/Border 2 2 2 3 2 4 2 2" xfId="32835"/>
    <cellStyle name="COL HEADINGS 2 2 2 3 2 4 2 2" xfId="32836"/>
    <cellStyle name="Date [mmm-yyyy] 2 2 2 3 2 4 2 2" xfId="32837"/>
    <cellStyle name="dp*NumberLine 2 2 2 3 2 4 2 2" xfId="32838"/>
    <cellStyle name="dp*NumberLineEPS 2 2 2 3 2 4 2 2" xfId="32839"/>
    <cellStyle name="dp*SheetSubTitle 2 2 2 3 2 4 2 2" xfId="32840"/>
    <cellStyle name="Heading [Helv] 2 2 2 3 2 4 2 2" xfId="32841"/>
    <cellStyle name="Heading [Palat] 2 2 2 3 2 4 2 2" xfId="32842"/>
    <cellStyle name="Magic 2 2 2 3 2 4 2 2" xfId="32843"/>
    <cellStyle name="Outputs 2 2 2 3 2 4 2 2" xfId="32844"/>
    <cellStyle name="Table Head Aligned 2 2 2 3 2 4 2 2" xfId="32845"/>
    <cellStyle name="Table Head Green 2 2 2 3 2 4 2 2" xfId="32846"/>
    <cellStyle name="Title [Helv] 2 2 2 3 2 4 2 2" xfId="32847"/>
    <cellStyle name="Title [Palat] 2 2 2 3 2 4 2 2" xfId="32848"/>
    <cellStyle name="Afjusted 3 2 4 2 4 2 2" xfId="32849"/>
    <cellStyle name="Date [mm-d-yyyy] 3 2 4 2 4 2 2" xfId="32850"/>
    <cellStyle name="Style 51 4 2 4 2 4 2 2" xfId="32851"/>
    <cellStyle name="Style 49 4 2 4 2 4 2 2" xfId="32852"/>
    <cellStyle name="Style 45 4 2 4 2 4 2 2" xfId="32853"/>
    <cellStyle name="Style 44 4 2 4 2 4 2 2" xfId="32854"/>
    <cellStyle name="P-Green Rule 3 2 4 2 4 2 2" xfId="32855"/>
    <cellStyle name="PB Table Standard Row 3 2 4 2 4 2 2" xfId="32856"/>
    <cellStyle name="dp*ThinLineBelow 3 2 4 2 4 2 2" xfId="32857"/>
    <cellStyle name="dp*SubTitle 3 2 4 2 4 2 2" xfId="32858"/>
    <cellStyle name="Border Thin 3 2 4 2 4 2 2" xfId="32859"/>
    <cellStyle name="Afjusted 4 2 4 2 4 2 2" xfId="32860"/>
    <cellStyle name="ac 2 2 2 4 2 4 2 2" xfId="32861"/>
    <cellStyle name="Afjusted 2 2 2 4 2 4 2 2" xfId="32862"/>
    <cellStyle name="Bold/Border 2 2 2 4 2 4 2 2" xfId="32863"/>
    <cellStyle name="COL HEADINGS 2 2 2 4 2 4 2 2" xfId="32864"/>
    <cellStyle name="Date [mmm-yyyy] 2 2 2 4 2 4 2 2" xfId="32865"/>
    <cellStyle name="dp*NumberLine 2 2 2 4 2 4 2 2" xfId="32866"/>
    <cellStyle name="dp*NumberLineEPS 2 2 2 4 2 4 2 2" xfId="32867"/>
    <cellStyle name="dp*SheetSubTitle 2 2 2 4 2 4 2 2" xfId="32868"/>
    <cellStyle name="Heading [Helv] 2 2 2 4 2 4 2 2" xfId="32869"/>
    <cellStyle name="Heading [Palat] 2 2 2 4 2 4 2 2" xfId="32870"/>
    <cellStyle name="Magic 2 2 2 4 2 4 2 2" xfId="32871"/>
    <cellStyle name="Outputs 2 2 2 4 2 4 2 2" xfId="32872"/>
    <cellStyle name="Table Head Aligned 2 2 2 4 2 4 2 2" xfId="32873"/>
    <cellStyle name="Table Head Green 2 2 2 4 2 4 2 2" xfId="32874"/>
    <cellStyle name="Title [Helv] 2 2 2 4 2 4 2 2" xfId="32875"/>
    <cellStyle name="Title [Palat] 2 2 2 4 2 4 2 2" xfId="32876"/>
    <cellStyle name="Border Thin 4 2 4 2 2" xfId="32877"/>
    <cellStyle name="Date [mm-d-yyyy] 4 2 4 2 2" xfId="32878"/>
    <cellStyle name="dp*SubTitle 4 2 4 2 2" xfId="32879"/>
    <cellStyle name="dp*ThinLineBelow 4 2 4 2 2" xfId="32880"/>
    <cellStyle name="PB Table Standard Row 4 2 4 2 2" xfId="32881"/>
    <cellStyle name="P-Green Rule 4 2 4 2 2" xfId="32882"/>
    <cellStyle name="Style 44 5 2 4 2 2" xfId="32883"/>
    <cellStyle name="Style 45 5 2 4 2 2" xfId="32884"/>
    <cellStyle name="Style 49 5 2 4 2 2" xfId="32885"/>
    <cellStyle name="Style 51 5 2 4 2 2" xfId="32886"/>
    <cellStyle name="Title [Palat] 3 2 4 2 2" xfId="32887"/>
    <cellStyle name="Title [Helv] 3 2 4 2 2" xfId="32888"/>
    <cellStyle name="Table Head Green 3 2 4 2 2" xfId="32889"/>
    <cellStyle name="Table Head Aligned 3 2 4 2 2" xfId="32890"/>
    <cellStyle name="Outputs 3 2 4 2 2" xfId="32891"/>
    <cellStyle name="Magic 3 2 4 2 2" xfId="32892"/>
    <cellStyle name="Heading [Palat] 3 2 4 2 2" xfId="32893"/>
    <cellStyle name="Heading [Helv] 3 2 4 2 2" xfId="32894"/>
    <cellStyle name="dp*SheetSubTitle 3 2 4 2 2" xfId="32895"/>
    <cellStyle name="dp*NumberLineEPS 3 2 4 2 2" xfId="32896"/>
    <cellStyle name="dp*NumberLine 3 2 4 2 2" xfId="32897"/>
    <cellStyle name="COL HEADINGS 3 2 4 2 2" xfId="32898"/>
    <cellStyle name="Bold/Border 3 2 4 2 2" xfId="32899"/>
    <cellStyle name="Afjusted 5 2 4 2 2" xfId="32900"/>
    <cellStyle name="ac 3 2 4 2 2" xfId="32901"/>
    <cellStyle name="Date [mmm-yyyy] 3 2 4 2 2" xfId="32902"/>
    <cellStyle name="ac 2 4 2 4 2 2" xfId="32903"/>
    <cellStyle name="Afjusted 2 3 2 4 2 2" xfId="32904"/>
    <cellStyle name="Bold/Border 2 4 2 4 2 2" xfId="32905"/>
    <cellStyle name="Border Thin 2 4 2 4 2 2" xfId="32906"/>
    <cellStyle name="COL HEADINGS 2 4 2 4 2 2" xfId="32907"/>
    <cellStyle name="Date [mmm-yyyy] 2 4 2 4 2 2" xfId="32908"/>
    <cellStyle name="dp*NumberLine 2 4 2 4 2 2" xfId="32909"/>
    <cellStyle name="dp*NumberLineEPS 2 4 2 4 2 2" xfId="32910"/>
    <cellStyle name="dp*SheetSubTitle 2 4 2 4 2 2" xfId="32911"/>
    <cellStyle name="dp*SubTitle 2 4 2 4 2 2" xfId="32912"/>
    <cellStyle name="dp*ThinLineBelow 2 4 2 4 2 2" xfId="32913"/>
    <cellStyle name="Heading [Helv] 2 4 2 4 2 2" xfId="32914"/>
    <cellStyle name="Heading [Palat] 2 4 2 4 2 2" xfId="32915"/>
    <cellStyle name="Magic 2 4 2 4 2 2" xfId="32916"/>
    <cellStyle name="Outputs 2 4 2 4 2 2" xfId="32917"/>
    <cellStyle name="PB Table Standard Row 2 4 2 4 2 2" xfId="32918"/>
    <cellStyle name="P-Green Rule 2 4 2 4 2 2" xfId="32919"/>
    <cellStyle name="Style 44 3 4 2 4 2 2" xfId="32920"/>
    <cellStyle name="Style 45 3 4 2 4 2 2" xfId="32921"/>
    <cellStyle name="Style 49 3 4 2 4 2 2" xfId="32922"/>
    <cellStyle name="Style 51 3 4 2 4 2 2" xfId="32923"/>
    <cellStyle name="Style 44 2 4 2 4 2 2" xfId="32924"/>
    <cellStyle name="Style 45 2 4 2 4 2 2" xfId="32925"/>
    <cellStyle name="Style 49 2 4 2 4 2 2" xfId="32926"/>
    <cellStyle name="Style 51 2 4 2 4 2 2" xfId="32927"/>
    <cellStyle name="Table Head Aligned 2 4 2 4 2 2" xfId="32928"/>
    <cellStyle name="Table Head Green 2 4 2 4 2 2" xfId="32929"/>
    <cellStyle name="Title [Helv] 2 4 2 4 2 2" xfId="32930"/>
    <cellStyle name="Title [Palat] 2 4 2 4 2 2" xfId="32931"/>
    <cellStyle name="ac 4 2 4 2 2" xfId="32932"/>
    <cellStyle name="Bold/Border 4 2 4 2 2" xfId="32933"/>
    <cellStyle name="Border Thin 5 2 4 2 2" xfId="32934"/>
    <cellStyle name="COL HEADINGS 4 2 4 2 2" xfId="32935"/>
    <cellStyle name="Date [mm-d-yyyy] 5 2 4 2 2" xfId="32936"/>
    <cellStyle name="Heading [Helv] 4 2 4 2 2" xfId="32937"/>
    <cellStyle name="Heading [Palat] 4 2 4 2 2" xfId="32938"/>
    <cellStyle name="Outputs 4 2 4 2 2" xfId="32939"/>
    <cellStyle name="PB Table Standard Row 5 2 4 2 2" xfId="32940"/>
    <cellStyle name="P-Green Rule 5 2 4 2 2" xfId="32941"/>
    <cellStyle name="Style 44 6 2 4 2 2" xfId="32942"/>
    <cellStyle name="Style 45 6 2 4 2 2" xfId="32943"/>
    <cellStyle name="Style 49 6 2 4 2 2" xfId="32944"/>
    <cellStyle name="Style 51 6 2 4 2 2" xfId="32945"/>
    <cellStyle name="Table Head Green 4 2 4 2 2" xfId="32946"/>
    <cellStyle name="Afjusted 6 2 4 2 2" xfId="32947"/>
    <cellStyle name="ac 2 5 2 4 2 2" xfId="32948"/>
    <cellStyle name="Afjusted 2 4 2 4 2 2" xfId="32949"/>
    <cellStyle name="Bold/Border 2 5 2 4 2 2" xfId="32950"/>
    <cellStyle name="Border Thin 2 5 2 4 2 2" xfId="32951"/>
    <cellStyle name="COL HEADINGS 2 5 2 4 2 2" xfId="32952"/>
    <cellStyle name="Date [mmm-yyyy] 2 5 2 4 2 2" xfId="32953"/>
    <cellStyle name="dp*NumberLine 2 5 2 4 2 2" xfId="32954"/>
    <cellStyle name="dp*NumberLineEPS 2 5 2 4 2 2" xfId="32955"/>
    <cellStyle name="dp*SheetSubTitle 2 5 2 4 2 2" xfId="32956"/>
    <cellStyle name="dp*SubTitle 2 5 2 4 2 2" xfId="32957"/>
    <cellStyle name="dp*ThinLineBelow 2 5 2 4 2 2" xfId="32958"/>
    <cellStyle name="Heading [Helv] 2 5 2 4 2 2" xfId="32959"/>
    <cellStyle name="Heading [Palat] 2 5 2 4 2 2" xfId="32960"/>
    <cellStyle name="Magic 2 5 2 4 2 2" xfId="32961"/>
    <cellStyle name="Outputs 2 5 2 4 2 2" xfId="32962"/>
    <cellStyle name="PB Table Standard Row 2 5 2 4 2 2" xfId="32963"/>
    <cellStyle name="P-Green Rule 2 5 2 4 2 2" xfId="32964"/>
    <cellStyle name="Style 44 3 5 2 4 2 2" xfId="32965"/>
    <cellStyle name="Style 45 3 5 2 4 2 2" xfId="32966"/>
    <cellStyle name="Style 49 3 5 2 4 2 2" xfId="32967"/>
    <cellStyle name="Style 51 3 5 2 4 2 2" xfId="32968"/>
    <cellStyle name="Style 44 2 5 2 4 2 2" xfId="32969"/>
    <cellStyle name="Style 45 2 5 2 4 2 2" xfId="32970"/>
    <cellStyle name="Style 49 2 5 2 4 2 2" xfId="32971"/>
    <cellStyle name="Style 51 2 5 2 4 2 2" xfId="32972"/>
    <cellStyle name="Table Head Aligned 2 5 2 4 2 2" xfId="32973"/>
    <cellStyle name="Table Head Green 2 5 2 4 2 2" xfId="32974"/>
    <cellStyle name="Title [Helv] 2 5 2 4 2 2" xfId="32975"/>
    <cellStyle name="Title [Palat] 2 5 2 4 2 2" xfId="32976"/>
    <cellStyle name="ac 5 2 4 2 2" xfId="32977"/>
    <cellStyle name="Bold/Border 5 2 4 2 2" xfId="32978"/>
    <cellStyle name="Border Thin 6 2 4 2 2" xfId="32979"/>
    <cellStyle name="COL HEADINGS 5 2 4 2 2" xfId="32980"/>
    <cellStyle name="Heading [Helv] 5 2 4 2 2" xfId="32981"/>
    <cellStyle name="Heading [Palat] 5 2 4 2 2" xfId="32982"/>
    <cellStyle name="Outputs 5 2 4 2 2" xfId="32983"/>
    <cellStyle name="PB Table Standard Row 6 2 4 2 2" xfId="32984"/>
    <cellStyle name="P-Green Rule 6 2 4 2 2" xfId="32985"/>
    <cellStyle name="Style 44 7 2 4 2 2" xfId="32986"/>
    <cellStyle name="Style 45 7 2 4 2 2" xfId="32987"/>
    <cellStyle name="Style 49 7 2 4 2 2" xfId="32988"/>
    <cellStyle name="Style 51 7 2 4 2 2" xfId="32989"/>
    <cellStyle name="Table Head Green 5 2 4 2 2" xfId="32990"/>
    <cellStyle name="Title [Palat] 4 2 4 2 2" xfId="32991"/>
    <cellStyle name="ac 2 6 2 4 2 2" xfId="32992"/>
    <cellStyle name="Bold/Border 2 6 2 4 2 2" xfId="32993"/>
    <cellStyle name="Border Thin 2 6 2 4 2 2" xfId="32994"/>
    <cellStyle name="COL HEADINGS 2 6 2 4 2 2" xfId="32995"/>
    <cellStyle name="Heading [Helv] 2 6 2 4 2 2" xfId="32996"/>
    <cellStyle name="Heading [Palat] 2 6 2 4 2 2" xfId="32997"/>
    <cellStyle name="Outputs 2 6 2 4 2 2" xfId="32998"/>
    <cellStyle name="PB Table Standard Row 2 6 2 4 2 2" xfId="32999"/>
    <cellStyle name="P-Green Rule 2 6 2 4 2 2" xfId="33000"/>
    <cellStyle name="Style 44 3 6 2 4 2 2" xfId="33001"/>
    <cellStyle name="Style 45 3 6 2 4 2 2" xfId="33002"/>
    <cellStyle name="Style 49 3 6 2 4 2 2" xfId="33003"/>
    <cellStyle name="Style 51 3 6 2 4 2 2" xfId="33004"/>
    <cellStyle name="Style 44 2 6 2 4 2 2" xfId="33005"/>
    <cellStyle name="Style 45 2 6 2 4 2 2" xfId="33006"/>
    <cellStyle name="Style 49 2 6 2 4 2 2" xfId="33007"/>
    <cellStyle name="Style 51 2 6 2 4 2 2" xfId="33008"/>
    <cellStyle name="Table Head Green 2 6 2 4 2 2" xfId="33009"/>
    <cellStyle name="Title [Palat] 2 6 2 4 2 2" xfId="33010"/>
    <cellStyle name="Title [Palat] 5 2 4 2 2" xfId="33011"/>
    <cellStyle name="Title [Helv] 4 2 4 2 2" xfId="33012"/>
    <cellStyle name="Table Head Green 6 2 4 2 2" xfId="33013"/>
    <cellStyle name="Table Head Aligned 4 2 4 2 2" xfId="33014"/>
    <cellStyle name="Style 51 9 2 4 2 2" xfId="33015"/>
    <cellStyle name="Style 49 9 2 4 2 2" xfId="33016"/>
    <cellStyle name="Style 45 9 2 4 2 2" xfId="33017"/>
    <cellStyle name="Style 44 9 2 4 2 2" xfId="33018"/>
    <cellStyle name="P-Green Rule 7 2 4 2 2" xfId="33019"/>
    <cellStyle name="PB Table Standard Row 7 2 4 2 2" xfId="33020"/>
    <cellStyle name="Outputs 6 2 4 2 2" xfId="33021"/>
    <cellStyle name="Magic 4 2 4 2 2" xfId="33022"/>
    <cellStyle name="Heading [Palat] 6 2 4 2 2" xfId="33023"/>
    <cellStyle name="Heading [Helv] 6 2 4 2 2" xfId="33024"/>
    <cellStyle name="dp*ThinLineBelow 5 2 4 2 2" xfId="33025"/>
    <cellStyle name="dp*SubTitle 5 2 4 2 2" xfId="33026"/>
    <cellStyle name="dp*SheetSubTitle 4 2 4 2 2" xfId="33027"/>
    <cellStyle name="dp*NumberLineEPS 4 2 4 2 2" xfId="33028"/>
    <cellStyle name="dp*NumberLine 4 2 4 2 2" xfId="33029"/>
    <cellStyle name="Date [mmm-yyyy] 4 2 4 2 2" xfId="33030"/>
    <cellStyle name="Date [mm-d-yyyy] 7 2 4 2 2" xfId="33031"/>
    <cellStyle name="COL HEADINGS 6 2 4 2 2" xfId="33032"/>
    <cellStyle name="Border Thin 7 2 4 2 2" xfId="33033"/>
    <cellStyle name="Bold/Border 6 2 4 2 2" xfId="33034"/>
    <cellStyle name="Afjusted 7 2 4 2 2" xfId="33035"/>
    <cellStyle name="ac 6 2 4 2 2" xfId="33036"/>
    <cellStyle name="Style 44 8 2 4 2 2" xfId="33037"/>
    <cellStyle name="Style 45 8 2 4 2 2" xfId="33038"/>
    <cellStyle name="Style 49 8 2 4 2 2" xfId="33039"/>
    <cellStyle name="Style 51 8 2 4 2 2" xfId="33040"/>
    <cellStyle name="Title [Palat] 6 2 4 2 2" xfId="33041"/>
    <cellStyle name="Title [Helv] 5 2 4 2 2" xfId="33042"/>
    <cellStyle name="Table Head Green 7 2 4 2 2" xfId="33043"/>
    <cellStyle name="Table Head Aligned 5 2 4 2 2" xfId="33044"/>
    <cellStyle name="Outputs 7 2 4 2 2" xfId="33045"/>
    <cellStyle name="Magic 5 2 4 2 2" xfId="33046"/>
    <cellStyle name="Heading [Palat] 7 2 4 2 2" xfId="33047"/>
    <cellStyle name="Heading [Helv] 7 2 4 2 2" xfId="33048"/>
    <cellStyle name="dp*SheetSubTitle 5 2 4 2 2" xfId="33049"/>
    <cellStyle name="dp*NumberLineEPS 5 2 4 2 2" xfId="33050"/>
    <cellStyle name="dp*NumberLine 5 2 4 2 2" xfId="33051"/>
    <cellStyle name="Date [mmm-yyyy] 5 2 4 2 2" xfId="33052"/>
    <cellStyle name="COL HEADINGS 7 2 4 2 2" xfId="33053"/>
    <cellStyle name="Bold/Border 7 2 4 2 2" xfId="33054"/>
    <cellStyle name="Afjusted 8 2 4 2 2" xfId="33055"/>
    <cellStyle name="ac 7 2 4 2 2" xfId="33056"/>
    <cellStyle name="Title [Palat] 7 2 4 2 2" xfId="33057"/>
    <cellStyle name="Title [Helv] 6 2 4 2 2" xfId="33058"/>
    <cellStyle name="Table Head Green 8 2 4 2 2" xfId="33059"/>
    <cellStyle name="Table Head Aligned 6 2 4 2 2" xfId="33060"/>
    <cellStyle name="Outputs 8 2 4 2 2" xfId="33061"/>
    <cellStyle name="Magic 6 2 4 2 2" xfId="33062"/>
    <cellStyle name="Heading [Palat] 8 2 4 2 2" xfId="33063"/>
    <cellStyle name="Heading [Helv] 8 2 4 2 2" xfId="33064"/>
    <cellStyle name="dp*SheetSubTitle 6 2 4 2 2" xfId="33065"/>
    <cellStyle name="dp*NumberLineEPS 6 2 4 2 2" xfId="33066"/>
    <cellStyle name="dp*NumberLine 6 2 4 2 2" xfId="33067"/>
    <cellStyle name="COL HEADINGS 8 2 4 2 2" xfId="33068"/>
    <cellStyle name="Bold/Border 8 2 4 2 2" xfId="33069"/>
    <cellStyle name="Afjusted 9 2 4 2 2" xfId="33070"/>
    <cellStyle name="ac 8 2 4 2 2" xfId="33071"/>
    <cellStyle name="Date [mmm-yyyy] 6 2 4 2 2" xfId="33072"/>
    <cellStyle name="Title [Palat] 8 2 4 2 2" xfId="33073"/>
    <cellStyle name="Title [Helv] 7 2 4 2 2" xfId="33074"/>
    <cellStyle name="Table Head Green 9 2 4 2 2" xfId="33075"/>
    <cellStyle name="Table Head Aligned 7 2 4 2 2" xfId="33076"/>
    <cellStyle name="Outputs 9 2 4 2 2" xfId="33077"/>
    <cellStyle name="Magic 7 2 4 2 2" xfId="33078"/>
    <cellStyle name="Heading [Palat] 9 2 4 2 2" xfId="33079"/>
    <cellStyle name="Heading [Helv] 9 2 4 2 2" xfId="33080"/>
    <cellStyle name="dp*SheetSubTitle 7 2 4 2 2" xfId="33081"/>
    <cellStyle name="dp*NumberLineEPS 7 2 4 2 2" xfId="33082"/>
    <cellStyle name="dp*NumberLine 7 2 4 2 2" xfId="33083"/>
    <cellStyle name="Date [mmm-yyyy] 7 2 4 2 2" xfId="33084"/>
    <cellStyle name="COL HEADINGS 9 2 4 2 2" xfId="33085"/>
    <cellStyle name="Bold/Border 9 2 4 2 2" xfId="33086"/>
    <cellStyle name="Afjusted 10 2 4 2 2" xfId="33087"/>
    <cellStyle name="ac 9 2 4 2 2" xfId="33088"/>
    <cellStyle name="Afjusted 3 8 3 2" xfId="33089"/>
    <cellStyle name="Bold/Border 2 2 2 2 4 3 2" xfId="33090"/>
    <cellStyle name="Outputs 2 9 3 2" xfId="33091"/>
    <cellStyle name="Table Head Green 2 2 3 2 4 3 2" xfId="33092"/>
    <cellStyle name="PB Table Standard Row 5 4 3 2" xfId="33093"/>
    <cellStyle name="Outputs 4 4 3 2" xfId="33094"/>
    <cellStyle name="Heading [Palat] 4 4 3 2" xfId="33095"/>
    <cellStyle name="Heading [Helv] 4 4 3 2" xfId="33096"/>
    <cellStyle name="COL HEADINGS 4 4 3 2" xfId="33097"/>
    <cellStyle name="Border Thin 5 4 3 2" xfId="33098"/>
    <cellStyle name="Title [Helv] 2 4 4 3 2" xfId="33099"/>
    <cellStyle name="Style 51 2 4 4 3 2" xfId="33100"/>
    <cellStyle name="ac 3 4 3 2" xfId="33101"/>
    <cellStyle name="Afjusted 5 4 3 2" xfId="33102"/>
    <cellStyle name="COL HEADINGS 3 4 3 2" xfId="33103"/>
    <cellStyle name="Arial6Bold 9 2 2" xfId="33104"/>
    <cellStyle name="Arial8Bold 9 2 2" xfId="33105"/>
    <cellStyle name="Arial8Italic 9 2 2" xfId="33106"/>
    <cellStyle name="ArialNormal 9 2 2" xfId="33107"/>
    <cellStyle name="Table Head Green 3 4 3 2" xfId="33108"/>
    <cellStyle name="Border 7 2 2" xfId="33109"/>
    <cellStyle name="Style 51 5 4 3 2" xfId="33110"/>
    <cellStyle name="Style 49 5 4 3 2" xfId="33111"/>
    <cellStyle name="Style 45 5 4 3 2" xfId="33112"/>
    <cellStyle name="Style 44 5 4 3 2" xfId="33113"/>
    <cellStyle name="dp*ThinLineBelow 4 4 3 2" xfId="33114"/>
    <cellStyle name="Title [Helv] 2 2 2 4 4 3 2" xfId="33115"/>
    <cellStyle name="Outputs 2 2 2 4 4 3 2" xfId="33116"/>
    <cellStyle name="Magic 2 2 2 4 4 3 2" xfId="33117"/>
    <cellStyle name="dp*NumberLine 2 2 2 4 4 3 2" xfId="33118"/>
    <cellStyle name="Bold/Border 2 2 2 4 4 3 2" xfId="33119"/>
    <cellStyle name="Afjusted 2 2 2 4 4 3 2" xfId="33120"/>
    <cellStyle name="Border Thin 3 2 4 4 3 2" xfId="33121"/>
    <cellStyle name="dp*SubTitle 3 2 4 4 3 2" xfId="33122"/>
    <cellStyle name="Style 45 4 2 4 4 3 2" xfId="33123"/>
    <cellStyle name="Style 49 4 2 4 4 3 2" xfId="33124"/>
    <cellStyle name="Style 51 4 2 4 4 3 2" xfId="33125"/>
    <cellStyle name="Title [Palat] 2 2 2 3 4 3 2" xfId="33126"/>
    <cellStyle name="Title [Helv] 2 2 2 3 4 3 2" xfId="33127"/>
    <cellStyle name="Table Head Green 2 2 2 3 4 3 2" xfId="33128"/>
    <cellStyle name="Outputs 2 2 2 3 4 3 2" xfId="33129"/>
    <cellStyle name="Heading [Helv] 2 2 2 3 4 3 2" xfId="33130"/>
    <cellStyle name="dp*NumberLine 2 2 2 3 4 3 2" xfId="33131"/>
    <cellStyle name="Bold/Border 2 2 2 3 4 3 2" xfId="33132"/>
    <cellStyle name="Afjusted 4 2 3 4 3 2" xfId="33133"/>
    <cellStyle name="dp*ThinLineBelow 3 2 3 4 3 2" xfId="33134"/>
    <cellStyle name="Style 44 4 2 3 4 3 2" xfId="33135"/>
    <cellStyle name="Style 51 4 2 3 4 3 2" xfId="33136"/>
    <cellStyle name="Date [mm-d-yyyy] 2 2 3 4 3 2" xfId="33137"/>
    <cellStyle name="dp*ThinLineBelow 3 5 4 3 2" xfId="33138"/>
    <cellStyle name="Table Head Green 2 2 2 2 4 3 2" xfId="33139"/>
    <cellStyle name="Table Head Aligned 2 2 2 2 4 3 2" xfId="33140"/>
    <cellStyle name="Outputs 2 2 2 2 4 3 2" xfId="33141"/>
    <cellStyle name="Magic 2 2 2 2 4 3 2" xfId="33142"/>
    <cellStyle name="dp*ThinLineBelow 3 2 2 4 3 2" xfId="33143"/>
    <cellStyle name="dp*SubTitle 3 3 2 4 3 2" xfId="33144"/>
    <cellStyle name="Afjusted 2 2 3 2 4 3 2" xfId="33145"/>
    <cellStyle name="dp*NumberLineEPS 2 2 2 7 3 2" xfId="33146"/>
    <cellStyle name="dp*NumberLine 2 2 2 7 3 2" xfId="33147"/>
    <cellStyle name="Date [mmm-yyyy] 2 2 2 7 3 2" xfId="33148"/>
    <cellStyle name="COL HEADINGS 2 2 2 7 3 2" xfId="33149"/>
    <cellStyle name="ac 2 2 2 7 3 2" xfId="33150"/>
    <cellStyle name="Afjusted 4 2 7 3 2" xfId="33151"/>
    <cellStyle name="Date [mm-d-yyyy] 3 2 7 3 2" xfId="33152"/>
    <cellStyle name="Afjusted 3 3 7 3 2" xfId="33153"/>
    <cellStyle name="Style 49 4 3 7 3 2" xfId="33154"/>
    <cellStyle name="P-Green Rule 3 3 7 3 2" xfId="33155"/>
    <cellStyle name="dp*SubTitle 3 3 7 3 2" xfId="33156"/>
    <cellStyle name="Border Thin 3 3 7 3 2" xfId="33157"/>
    <cellStyle name="Afjusted 2 2 3 7 3 2" xfId="33158"/>
    <cellStyle name="Date [mmm-yyyy] 2 2 3 7 3 2" xfId="33159"/>
    <cellStyle name="dp*NumberLine 2 2 3 7 3 2" xfId="33160"/>
    <cellStyle name="dp*NumberLineEPS 2 2 3 7 3 2" xfId="33161"/>
    <cellStyle name="dp*SheetSubTitle 2 2 3 7 3 2" xfId="33162"/>
    <cellStyle name="Heading [Helv] 2 2 3 7 3 2" xfId="33163"/>
    <cellStyle name="Heading [Palat] 2 2 3 7 3 2" xfId="33164"/>
    <cellStyle name="Magic 2 2 3 7 3 2" xfId="33165"/>
    <cellStyle name="Outputs 2 2 3 7 3 2" xfId="33166"/>
    <cellStyle name="Table Head Aligned 2 2 3 7 3 2" xfId="33167"/>
    <cellStyle name="Table Head Green 2 2 3 7 3 2" xfId="33168"/>
    <cellStyle name="PB Table Standard Row 3 3 4 4 3 2" xfId="33169"/>
    <cellStyle name="DateYearEstimate 9 2 2" xfId="33170"/>
    <cellStyle name="DateYearWholeEstimate 9 2 2" xfId="33171"/>
    <cellStyle name="Style 44 4 3 4 4 3 2" xfId="33172"/>
    <cellStyle name="Afjusted 4 4 4 3 2" xfId="33173"/>
    <cellStyle name="dp*SubTitle 3 3 4 4 3 2" xfId="33174"/>
    <cellStyle name="dp*ThinLineBelow 3 3 4 4 3 2" xfId="33175"/>
    <cellStyle name="Style 44 4 4 4 3 2" xfId="33176"/>
    <cellStyle name="Style 51 4 4 4 3 2" xfId="33177"/>
    <cellStyle name="Date [mm-d-yyyy] 3 4 4 3 2" xfId="33178"/>
    <cellStyle name="Date [mm-d-yyyy] 3 3 3 4 3 2" xfId="33179"/>
    <cellStyle name="P-Green Rule 3 3 3 4 3 2" xfId="33180"/>
    <cellStyle name="dp*SheetSubTitle 2 2 3 3 4 3 2" xfId="33181"/>
    <cellStyle name="Heading [Palat] 2 2 3 3 4 3 2" xfId="33182"/>
    <cellStyle name="Table Head Green 2 2 3 3 4 3 2" xfId="33183"/>
    <cellStyle name="Table Head Green 2 2 4 4 3 2" xfId="33184"/>
    <cellStyle name="Table Head Aligned 2 2 4 4 3 2" xfId="33185"/>
    <cellStyle name="Heading [Helv] 2 2 4 4 3 2" xfId="33186"/>
    <cellStyle name="Style 51 2 3 4 3 2" xfId="33187"/>
    <cellStyle name="Style 49 3 3 4 3 2" xfId="33188"/>
    <cellStyle name="Border Thin 2 3 4 3 2" xfId="33189"/>
    <cellStyle name="P-Green Rule 3 3 4 4 3 2" xfId="33190"/>
    <cellStyle name="Afjusted 3 4 4 3 2" xfId="33191"/>
    <cellStyle name="Style 51 4 3 4 4 3 2" xfId="33192"/>
    <cellStyle name="Table Head Aligned 2 3 4 3 2" xfId="33193"/>
    <cellStyle name="Outputs 2 3 4 3 2" xfId="33194"/>
    <cellStyle name="Magic 2 3 4 3 2" xfId="33195"/>
    <cellStyle name="Heading [Palat] 2 3 4 3 2" xfId="33196"/>
    <cellStyle name="Heading [Helv] 2 3 4 3 2" xfId="33197"/>
    <cellStyle name="dp*SheetSubTitle 2 3 4 3 2" xfId="33198"/>
    <cellStyle name="dp*Number%ItalicsLineAbove 7 2 2" xfId="33199"/>
    <cellStyle name="dp*NumberLineEPS 2 3 4 3 2" xfId="33200"/>
    <cellStyle name="dp*SubTitle 3 5 4 3 2" xfId="33201"/>
    <cellStyle name="P-Green Rule 3 5 4 3 2" xfId="33202"/>
    <cellStyle name="dp*ThinLineAbove 7 2 2" xfId="33203"/>
    <cellStyle name="Style 44 4 5 4 3 2" xfId="33204"/>
    <cellStyle name="Style 49 4 5 4 3 2" xfId="33205"/>
    <cellStyle name="Afjusted 3 3 3 4 3 2" xfId="33206"/>
    <cellStyle name="Draw lines around data in range 9 2 2" xfId="33207"/>
    <cellStyle name="Draw shadow and lines within range 9 2 2" xfId="33208"/>
    <cellStyle name="Style 51 4 3 3 4 3 2" xfId="33209"/>
    <cellStyle name="Style 44 4 3 3 4 3 2" xfId="33210"/>
    <cellStyle name="Afjusted 4 3 3 4 3 2" xfId="33211"/>
    <cellStyle name="dp*NumberLineEPS 2 2 3 3 4 3 2" xfId="33212"/>
    <cellStyle name="Table Head Aligned 2 2 3 3 4 3 2" xfId="33213"/>
    <cellStyle name="Title [Helv] 2 2 3 3 4 3 2" xfId="33214"/>
    <cellStyle name="Title [Palat] 2 2 3 3 4 3 2" xfId="33215"/>
    <cellStyle name="Magic 2 2 4 4 3 2" xfId="33216"/>
    <cellStyle name="dp*SheetSubTitle 2 2 4 4 3 2" xfId="33217"/>
    <cellStyle name="dp*NumberLineEPS 2 2 4 4 3 2" xfId="33218"/>
    <cellStyle name="dp*NumberLine 2 2 4 4 3 2" xfId="33219"/>
    <cellStyle name="Date [mmm-yyyy] 2 2 4 4 3 2" xfId="33220"/>
    <cellStyle name="COL HEADINGS 2 2 4 4 3 2" xfId="33221"/>
    <cellStyle name="Bold/Border 2 2 4 4 3 2" xfId="33222"/>
    <cellStyle name="Outputs 2 2 3 4 4 3 2" xfId="33223"/>
    <cellStyle name="Heading [Helv] 2 2 3 4 4 3 2" xfId="33224"/>
    <cellStyle name="dp*NumberLine 2 2 3 4 4 3 2" xfId="33225"/>
    <cellStyle name="Date [mmm-yyyy] 2 2 3 4 4 3 2" xfId="33226"/>
    <cellStyle name="Afjusted 2 2 3 4 4 3 2" xfId="33227"/>
    <cellStyle name="Date [mm-d-yyyy] 3 3 4 4 3 2" xfId="33228"/>
    <cellStyle name="Style 49 4 3 4 4 3 2" xfId="33229"/>
    <cellStyle name="dp*ThinLineBelow 2 3 4 3 2" xfId="33230"/>
    <cellStyle name="PB Table Standard Row 2 2 4 3 2" xfId="33231"/>
    <cellStyle name="Style 45 3 2 4 3 2" xfId="33232"/>
    <cellStyle name="Style 44 2 2 4 3 2" xfId="33233"/>
    <cellStyle name="Style 51 2 2 4 3 2" xfId="33234"/>
    <cellStyle name="Format a row of totals 9 2 2" xfId="33235"/>
    <cellStyle name="Format text as bold, black on yellow 9 2 2" xfId="33236"/>
    <cellStyle name="Border Thin 2 2 4 3 2" xfId="33237"/>
    <cellStyle name="dp*SubTitle 2 2 4 3 2" xfId="33238"/>
    <cellStyle name="Title [Palat] 2 2 7 3 2" xfId="33239"/>
    <cellStyle name="Outputs 2 2 7 3 2" xfId="33240"/>
    <cellStyle name="Magic 2 2 7 3 2" xfId="33241"/>
    <cellStyle name="dp*NumberLineEPS 2 2 7 3 2" xfId="33242"/>
    <cellStyle name="Date [mmm-yyyy] 2 2 7 3 2" xfId="33243"/>
    <cellStyle name="ItemTypeClass 9 2 2" xfId="33244"/>
    <cellStyle name="Main 8 2 2" xfId="33245"/>
    <cellStyle name="Title [Helv] 2 8 3 2" xfId="33246"/>
    <cellStyle name="Table Head Green 2 9 3 2" xfId="33247"/>
    <cellStyle name="Table Head Aligned 2 8 3 2" xfId="33248"/>
    <cellStyle name="SAPBEXaggData 6 2 2" xfId="33249"/>
    <cellStyle name="SAPBEXaggDataEmph 6 2 2" xfId="33250"/>
    <cellStyle name="SAPBEXaggItem 6 2 2" xfId="33251"/>
    <cellStyle name="SAPBEXaggItemX 8 2 2" xfId="33252"/>
    <cellStyle name="SAPBEXexcBad7 6 2 2" xfId="33253"/>
    <cellStyle name="SAPBEXexcBad8 6 2 2" xfId="33254"/>
    <cellStyle name="SAPBEXexcBad9 6 2 2" xfId="33255"/>
    <cellStyle name="SAPBEXexcCritical4 6 2 2" xfId="33256"/>
    <cellStyle name="SAPBEXexcCritical5 6 2 2" xfId="33257"/>
    <cellStyle name="SAPBEXexcCritical6 6 2 2" xfId="33258"/>
    <cellStyle name="SAPBEXexcGood1 6 2 2" xfId="33259"/>
    <cellStyle name="SAPBEXexcGood2 6 2 2" xfId="33260"/>
    <cellStyle name="SAPBEXexcGood3 6 2 2" xfId="33261"/>
    <cellStyle name="SAPBEXformats 6 2 2" xfId="33262"/>
    <cellStyle name="SAPBEXHLevel0 8 2 2" xfId="33263"/>
    <cellStyle name="SAPBEXHLevel0X 8 2 2" xfId="33264"/>
    <cellStyle name="SAPBEXHLevel1 8 2 2" xfId="33265"/>
    <cellStyle name="SAPBEXHLevel1X 8 2 2" xfId="33266"/>
    <cellStyle name="SAPBEXHLevel2 8 2 2" xfId="33267"/>
    <cellStyle name="SAPBEXHLevel2X 8 2 2" xfId="33268"/>
    <cellStyle name="SAPBEXHLevel3 8 2 2" xfId="33269"/>
    <cellStyle name="SAPBEXHLevel3X 8 2 2" xfId="33270"/>
    <cellStyle name="SAPBEXresData 6 2 2" xfId="33271"/>
    <cellStyle name="SAPBEXresDataEmph 6 2 2" xfId="33272"/>
    <cellStyle name="SAPBEXresItem 6 2 2" xfId="33273"/>
    <cellStyle name="SAPBEXresItemX 8 2 2" xfId="33274"/>
    <cellStyle name="SAPBEXstdData 6 2 2" xfId="33275"/>
    <cellStyle name="SAPBEXstdDataEmph 6 2 2" xfId="33276"/>
    <cellStyle name="SAPBEXstdItem 6 2 2" xfId="33277"/>
    <cellStyle name="SAPBEXstdItemX 8 2 2" xfId="33278"/>
    <cellStyle name="SAPBEXtitle 6 2 2" xfId="33279"/>
    <cellStyle name="SAPBEXundefined 6 2 2" xfId="33280"/>
    <cellStyle name="SSComma0 6 2 2" xfId="33281"/>
    <cellStyle name="SSComma2 6 2 2" xfId="33282"/>
    <cellStyle name="SSDecs3 6 2 2" xfId="33283"/>
    <cellStyle name="SSDfltPct 6 2 2" xfId="33284"/>
    <cellStyle name="SSDfltPct0 6 2 2" xfId="33285"/>
    <cellStyle name="SSFixed2 6 2 2" xfId="33286"/>
    <cellStyle name="Style 21 9 2 2" xfId="33287"/>
    <cellStyle name="Style 22 9 2 2" xfId="33288"/>
    <cellStyle name="Style 24 7 2 2" xfId="33289"/>
    <cellStyle name="Style 25 7 2 2" xfId="33290"/>
    <cellStyle name="Style 26 7 2 2" xfId="33291"/>
    <cellStyle name="Style 27 7 2 2" xfId="33292"/>
    <cellStyle name="Style 28 7 2 2" xfId="33293"/>
    <cellStyle name="Style 35 9 2 2" xfId="33294"/>
    <cellStyle name="Style 36 9 2 2" xfId="33295"/>
    <cellStyle name="Style 37 9 2 2" xfId="33296"/>
    <cellStyle name="Style 40 9 2 2" xfId="33297"/>
    <cellStyle name="Style 42 9 2 2" xfId="33298"/>
    <cellStyle name="Style 43 9 2 2" xfId="33299"/>
    <cellStyle name="Style 48 9 2 2" xfId="33300"/>
    <cellStyle name="Style 50 9 2 2" xfId="33301"/>
    <cellStyle name="Style 52 9 2 2" xfId="33302"/>
    <cellStyle name="Style 53 9 2 2" xfId="33303"/>
    <cellStyle name="SymbolBlue 9 2 2" xfId="33304"/>
    <cellStyle name="UNLOCKED 36 2 2" xfId="33305"/>
    <cellStyle name="WingdingsBlack 9 2 2" xfId="33306"/>
    <cellStyle name="WingdingsRed 9 2 2" xfId="33307"/>
    <cellStyle name="WingdingsWhite 9 2 2" xfId="33308"/>
    <cellStyle name="COL HEADINGS 2 9 3 2" xfId="33309"/>
    <cellStyle name="Table Head Aligned 2 2 3 2 4 3 2" xfId="33310"/>
    <cellStyle name="Magic 3 4 3 2" xfId="33311"/>
    <cellStyle name="Style 49 3 8 3 2" xfId="33312"/>
    <cellStyle name="Table Head Aligned 3 4 3 2" xfId="33313"/>
    <cellStyle name="Heading [Palat] 2 2 2 2 4 3 2" xfId="33314"/>
    <cellStyle name="dp*SubTitle 2 3 4 3 2" xfId="33315"/>
    <cellStyle name="Date [mm-d-yyyy] 2 2 6 3 2" xfId="33316"/>
    <cellStyle name="Title [Helv] 2 2 2 7 3 2" xfId="33317"/>
    <cellStyle name="Date [mm-d-yyyy] 2 4 3 2" xfId="33318"/>
    <cellStyle name="dp*NumberLine 2 8 3 2" xfId="33319"/>
    <cellStyle name="Afjusted 3 7 3 2" xfId="33320"/>
    <cellStyle name="ac 2 8 3 2" xfId="33321"/>
    <cellStyle name="Afjusted 2 6 3 2" xfId="33322"/>
    <cellStyle name="Bold/Border 2 8 3 2" xfId="33323"/>
    <cellStyle name="COL HEADINGS 2 8 3 2" xfId="33324"/>
    <cellStyle name="Border Thin 3 3 2 4 3 2" xfId="33325"/>
    <cellStyle name="Date [mmm-yyyy] 2 7 3 2" xfId="33326"/>
    <cellStyle name="Style 45 4 3 3 4 3 2" xfId="33327"/>
    <cellStyle name="dp*NumberLine 2 3 4 3 2" xfId="33328"/>
    <cellStyle name="dp*NumberLine 2 7 3 2" xfId="33329"/>
    <cellStyle name="dp*NumberLineEPS 2 7 3 2" xfId="33330"/>
    <cellStyle name="dp*SheetSubTitle 2 7 3 2" xfId="33331"/>
    <cellStyle name="Afjusted 4 5 4 3 2" xfId="33332"/>
    <cellStyle name="dp*ThinLineBelow 2 6 3 2" xfId="33333"/>
    <cellStyle name="Millions 3 2 2 2" xfId="33334"/>
    <cellStyle name="Global 2 2 2 2" xfId="33335"/>
    <cellStyle name="Header2 2 3 2 2" xfId="33336"/>
    <cellStyle name="Heading [Helv] 2 8 3 2" xfId="33337"/>
    <cellStyle name="Heading [Palat] 2 8 3 2" xfId="33338"/>
    <cellStyle name="Millions 4 2 2 2" xfId="33339"/>
    <cellStyle name="Magic 2 7 3 2" xfId="33340"/>
    <cellStyle name="Millions 2 2 2 2" xfId="33341"/>
    <cellStyle name="COL HEADINGS 2 3 4 3 2" xfId="33342"/>
    <cellStyle name="dp*NumberLine 2 2 3 3 4 3 2" xfId="33343"/>
    <cellStyle name="Outputs 2 8 3 2" xfId="33344"/>
    <cellStyle name="P-Green Rule 2 7 3 2" xfId="33345"/>
    <cellStyle name="Style 44 3 7 3 2" xfId="33346"/>
    <cellStyle name="Style 45 3 7 3 2" xfId="33347"/>
    <cellStyle name="Style 49 3 7 3 2" xfId="33348"/>
    <cellStyle name="Style 51 3 7 3 2" xfId="33349"/>
    <cellStyle name="Style 44 2 7 3 2" xfId="33350"/>
    <cellStyle name="Style 45 2 7 3 2" xfId="33351"/>
    <cellStyle name="Style 49 2 7 3 2" xfId="33352"/>
    <cellStyle name="Style 51 2 7 3 2" xfId="33353"/>
    <cellStyle name="Table Head Aligned 2 7 3 2" xfId="33354"/>
    <cellStyle name="Table Head Green 2 8 3 2" xfId="33355"/>
    <cellStyle name="Time Strip 2 2 2 2" xfId="33356"/>
    <cellStyle name="Title [Helv] 2 7 3 2" xfId="33357"/>
    <cellStyle name="Title [Palat] 2 8 3 2" xfId="33358"/>
    <cellStyle name="Magic 2 8 3 2" xfId="33359"/>
    <cellStyle name="Date [mmm-yyyy] 2 8 3 2" xfId="33360"/>
    <cellStyle name="Millions 5 2 2 2" xfId="33361"/>
    <cellStyle name="Magic 2 2 2 7 3 2" xfId="33362"/>
    <cellStyle name="Title [Palat] 2 2 3 2 4 3 2" xfId="33363"/>
    <cellStyle name="ac 2 9 3 2" xfId="33364"/>
    <cellStyle name="Heading [Palat] 2 2 2 7 3 2" xfId="33365"/>
    <cellStyle name="Arial6Bold 2 2 2 2" xfId="33366"/>
    <cellStyle name="Arial8Bold 2 2 2 2" xfId="33367"/>
    <cellStyle name="Arial8Italic 2 2 2 2" xfId="33368"/>
    <cellStyle name="ArialNormal 2 2 2 2" xfId="33369"/>
    <cellStyle name="Border 2 2 2 2" xfId="33370"/>
    <cellStyle name="DateYearEstimate 2 2 2 2" xfId="33371"/>
    <cellStyle name="DateYearWholeEstimate 2 2 2 2" xfId="33372"/>
    <cellStyle name="dp*Number%ItalicsLineAbove 2 2 2 2" xfId="33373"/>
    <cellStyle name="dp*ThinLineAbove 2 2 2 2" xfId="33374"/>
    <cellStyle name="Draw lines around data in range 2 2 2 2" xfId="33375"/>
    <cellStyle name="Draw shadow and lines within range 2 2 2 2" xfId="33376"/>
    <cellStyle name="FieldName 2 2 2 2" xfId="33377"/>
    <cellStyle name="Format a row of totals 2 2 2 2" xfId="33378"/>
    <cellStyle name="Format text as bold, black on yellow 2 2 2 2" xfId="33379"/>
    <cellStyle name="ItemTypeClass 2 2 2 2" xfId="33380"/>
    <cellStyle name="Main 2 2 2 2" xfId="33381"/>
    <cellStyle name="Millions 6 2 2 2" xfId="33382"/>
    <cellStyle name="SAPBEXaggData 2 2 2 2" xfId="33383"/>
    <cellStyle name="SAPBEXaggDataEmph 2 2 2 2" xfId="33384"/>
    <cellStyle name="SAPBEXaggItem 2 2 2 2" xfId="33385"/>
    <cellStyle name="SAPBEXaggItemX 2 2 2 2" xfId="33386"/>
    <cellStyle name="SAPBEXexcBad7 2 2 2 2" xfId="33387"/>
    <cellStyle name="SAPBEXexcBad8 2 2 2 2" xfId="33388"/>
    <cellStyle name="SAPBEXexcBad9 2 2 2 2" xfId="33389"/>
    <cellStyle name="SAPBEXexcCritical4 2 2 2 2" xfId="33390"/>
    <cellStyle name="SAPBEXexcCritical5 2 2 2 2" xfId="33391"/>
    <cellStyle name="SAPBEXexcCritical6 2 2 2 2" xfId="33392"/>
    <cellStyle name="SAPBEXexcGood1 2 2 2 2" xfId="33393"/>
    <cellStyle name="SAPBEXexcGood2 2 2 2 2" xfId="33394"/>
    <cellStyle name="SAPBEXexcGood3 2 2 2 2" xfId="33395"/>
    <cellStyle name="SAPBEXformats 2 2 2 2" xfId="33396"/>
    <cellStyle name="SAPBEXHLevel0 2 2 2 2" xfId="33397"/>
    <cellStyle name="SAPBEXHLevel0X 2 2 2 2" xfId="33398"/>
    <cellStyle name="SAPBEXHLevel1 2 2 2 2" xfId="33399"/>
    <cellStyle name="SAPBEXHLevel1X 2 2 2 2" xfId="33400"/>
    <cellStyle name="SAPBEXHLevel2 2 2 2 2" xfId="33401"/>
    <cellStyle name="SAPBEXHLevel2X 2 2 2 2" xfId="33402"/>
    <cellStyle name="SAPBEXHLevel3 2 2 2 2" xfId="33403"/>
    <cellStyle name="SAPBEXHLevel3X 2 2 2 2" xfId="33404"/>
    <cellStyle name="SAPBEXresData 2 2 2 2" xfId="33405"/>
    <cellStyle name="SAPBEXresDataEmph 2 2 2 2" xfId="33406"/>
    <cellStyle name="SAPBEXresItem 2 2 2 2" xfId="33407"/>
    <cellStyle name="SAPBEXresItemX 2 2 2 2" xfId="33408"/>
    <cellStyle name="SAPBEXstdData 2 2 2 2" xfId="33409"/>
    <cellStyle name="SAPBEXstdDataEmph 2 2 2 2" xfId="33410"/>
    <cellStyle name="SAPBEXstdItem 2 2 2 2" xfId="33411"/>
    <cellStyle name="SAPBEXstdItemX 2 2 2 2" xfId="33412"/>
    <cellStyle name="SAPBEXtitle 2 2 2 2" xfId="33413"/>
    <cellStyle name="SAPBEXundefined 2 2 2 2" xfId="33414"/>
    <cellStyle name="SSComma0 2 2 2 2" xfId="33415"/>
    <cellStyle name="SSComma2 2 2 2 2" xfId="33416"/>
    <cellStyle name="SSDecs3 2 2 2 2" xfId="33417"/>
    <cellStyle name="SSDfltPct 2 2 2 2" xfId="33418"/>
    <cellStyle name="SSDfltPct0 2 2 2 2" xfId="33419"/>
    <cellStyle name="SSFixed2 2 2 2 2" xfId="33420"/>
    <cellStyle name="Style 21 2 2 2 2" xfId="33421"/>
    <cellStyle name="Style 22 2 2 2 2" xfId="33422"/>
    <cellStyle name="Style 24 2 2 2 2" xfId="33423"/>
    <cellStyle name="Style 25 2 2 2 2" xfId="33424"/>
    <cellStyle name="Style 26 2 2 2 2" xfId="33425"/>
    <cellStyle name="Style 27 2 2 2 2" xfId="33426"/>
    <cellStyle name="Style 28 2 2 2 2" xfId="33427"/>
    <cellStyle name="Style 35 2 2 2 2" xfId="33428"/>
    <cellStyle name="Style 36 2 2 2 2" xfId="33429"/>
    <cellStyle name="Style 37 2 2 2 2" xfId="33430"/>
    <cellStyle name="Style 40 2 2 2 2" xfId="33431"/>
    <cellStyle name="Style 42 2 2 2 2" xfId="33432"/>
    <cellStyle name="Style 43 2 2 2 2" xfId="33433"/>
    <cellStyle name="Style 48 2 2 2 2" xfId="33434"/>
    <cellStyle name="Style 50 2 2 2 2" xfId="33435"/>
    <cellStyle name="Style 52 2 2 2 2" xfId="33436"/>
    <cellStyle name="Style 53 2 2 2 2" xfId="33437"/>
    <cellStyle name="SymbolBlue 2 2 2 2" xfId="33438"/>
    <cellStyle name="UNLOCKED 2 2 2 2" xfId="33439"/>
    <cellStyle name="WingdingsBlack 2 2 2 2" xfId="33440"/>
    <cellStyle name="WingdingsRed 2 2 2 2" xfId="33441"/>
    <cellStyle name="WingdingsWhite 2 2 2 2" xfId="33442"/>
    <cellStyle name="dp*SheetSubTitle 2 2 2 7 3 2" xfId="33443"/>
    <cellStyle name="ac 2 2 3 7 3 2" xfId="33444"/>
    <cellStyle name="UNLOCKED 4 2 2 2" xfId="33445"/>
    <cellStyle name="Millions 7 2 2 2" xfId="33446"/>
    <cellStyle name="dp*SubTitle 3 7 3 2" xfId="33447"/>
    <cellStyle name="Bold/Border 2 3 4 3 2" xfId="33448"/>
    <cellStyle name="Style 49 4 3 3 4 3 2" xfId="33449"/>
    <cellStyle name="Title [Palat] 2 3 4 3 2" xfId="33450"/>
    <cellStyle name="Border Thin 3 7 3 2" xfId="33451"/>
    <cellStyle name="UNLOCKED 3 2 2 2" xfId="33452"/>
    <cellStyle name="dp*SheetSubTitle 2 2 2 2 4 3 2" xfId="33453"/>
    <cellStyle name="dp*NumberLineEPS 2 2 2 2 4 3 2" xfId="33454"/>
    <cellStyle name="UNLOCKED 5 2 2 2" xfId="33455"/>
    <cellStyle name="Afjusted 4 7 3 2" xfId="33456"/>
    <cellStyle name="UNLOCKED 6 2 2 2" xfId="33457"/>
    <cellStyle name="Bold/Border 4 4 3 2" xfId="33458"/>
    <cellStyle name="ac 2 2 6 3 2" xfId="33459"/>
    <cellStyle name="Afjusted 2 2 7 3 2" xfId="33460"/>
    <cellStyle name="Bold/Border 2 2 6 3 2" xfId="33461"/>
    <cellStyle name="COL HEADINGS 2 2 6 3 2" xfId="33462"/>
    <cellStyle name="Date [mmm-yyyy] 2 2 6 3 2" xfId="33463"/>
    <cellStyle name="Style 45 4 3 4 4 3 2" xfId="33464"/>
    <cellStyle name="dp*SubTitle 3 3 3 4 3 2" xfId="33465"/>
    <cellStyle name="Date [mmm-yyyy] 2 3 4 3 2" xfId="33466"/>
    <cellStyle name="dp*NumberLine 2 2 6 3 2" xfId="33467"/>
    <cellStyle name="dp*NumberLineEPS 2 2 6 3 2" xfId="33468"/>
    <cellStyle name="dp*SheetSubTitle 2 2 6 3 2" xfId="33469"/>
    <cellStyle name="Heading [Helv] 2 2 6 3 2" xfId="33470"/>
    <cellStyle name="Heading [Palat] 2 2 6 3 2" xfId="33471"/>
    <cellStyle name="Magic 2 2 6 3 2" xfId="33472"/>
    <cellStyle name="Outputs 2 2 6 3 2" xfId="33473"/>
    <cellStyle name="Table Head Aligned 2 2 6 3 2" xfId="33474"/>
    <cellStyle name="Table Head Green 2 2 6 3 2" xfId="33475"/>
    <cellStyle name="Title [Helv] 2 2 6 3 2" xfId="33476"/>
    <cellStyle name="Title [Palat] 2 2 6 3 2" xfId="33477"/>
    <cellStyle name="Date [mmm-yyyy] 2 2 2 2 4 3 2" xfId="33478"/>
    <cellStyle name="COL HEADINGS 2 2 2 2 4 3 2" xfId="33479"/>
    <cellStyle name="dp*NumberLine 2 2 2 2 4 3 2" xfId="33480"/>
    <cellStyle name="Date [mm-d-yyyy] 2 5 3 2" xfId="33481"/>
    <cellStyle name="PB Table Standard Row 3 2 2 4 3 2" xfId="33482"/>
    <cellStyle name="Afjusted 2 2 2 2 4 3 2" xfId="33483"/>
    <cellStyle name="UNLOCKED 7 2 2 2" xfId="33484"/>
    <cellStyle name="ac 2 2 2 2 4 3 2" xfId="33485"/>
    <cellStyle name="UNLOCKED 8 2 2 2" xfId="33486"/>
    <cellStyle name="Afjusted 4 2 2 4 3 2" xfId="33487"/>
    <cellStyle name="Style 45 3 3 4 3 2" xfId="33488"/>
    <cellStyle name="Style 49 2 3 4 3 2" xfId="33489"/>
    <cellStyle name="Style 51 3 3 4 3 2" xfId="33490"/>
    <cellStyle name="Border Thin 3 5 4 3 2" xfId="33491"/>
    <cellStyle name="Afjusted 3 5 4 3 2" xfId="33492"/>
    <cellStyle name="EYCurrency 2 2 2 2" xfId="33493"/>
    <cellStyle name="Style 45 2 3 4 3 2" xfId="33494"/>
    <cellStyle name="EYColumnHeading 10 2 2 2" xfId="33495"/>
    <cellStyle name="Style 44 2 3 4 3 2" xfId="33496"/>
    <cellStyle name="Style 45 4 2 2 4 3 2" xfId="33497"/>
    <cellStyle name="dp*SubTitle 2 2 3 3 2" xfId="33498"/>
    <cellStyle name="Border Thin 2 2 3 3 2" xfId="33499"/>
    <cellStyle name="P-Green Rule 2 3 4 3 2" xfId="33500"/>
    <cellStyle name="Date [mm-d-yyyy] 2 2 2 4 3 2" xfId="33501"/>
    <cellStyle name="dp*ThinLineBelow 2 4 4 3 2" xfId="33502"/>
    <cellStyle name="dp*NumberLineEPS 2 4 4 3 2" xfId="33503"/>
    <cellStyle name="COL HEADINGS 2 4 4 3 2" xfId="33504"/>
    <cellStyle name="Afjusted 2 3 4 3 2" xfId="33505"/>
    <cellStyle name="Bold/Border 2 2 3 4 3 3 2" xfId="33506"/>
    <cellStyle name="Magic 2 2 3 4 3 3 2" xfId="33507"/>
    <cellStyle name="Title [Helv] 2 2 3 4 3 3 2" xfId="33508"/>
    <cellStyle name="Style 51 2 2 3 3 2" xfId="33509"/>
    <cellStyle name="Style 45 2 2 3 3 2" xfId="33510"/>
    <cellStyle name="Style 49 2 2 3 3 2" xfId="33511"/>
    <cellStyle name="Style 44 2 2 3 3 2" xfId="33512"/>
    <cellStyle name="Style 51 3 2 3 3 2" xfId="33513"/>
    <cellStyle name="Style 49 3 2 3 3 2" xfId="33514"/>
    <cellStyle name="Style 45 3 2 3 3 2" xfId="33515"/>
    <cellStyle name="Style 44 3 2 3 3 2" xfId="33516"/>
    <cellStyle name="P-Green Rule 2 2 3 3 2" xfId="33517"/>
    <cellStyle name="PB Table Standard Row 2 2 3 3 2" xfId="33518"/>
    <cellStyle name="dp*ThinLineBelow 2 2 3 3 2" xfId="33519"/>
    <cellStyle name="dp*ThinLineBelow 2 3 3 3 2" xfId="33520"/>
    <cellStyle name="Style 44 3 3 3 3 2" xfId="33521"/>
    <cellStyle name="COL HEADINGS 2 2 3 4 3 3 2" xfId="33522"/>
    <cellStyle name="Style 49 4 3 4 3 3 2" xfId="33523"/>
    <cellStyle name="Date [mm-d-yyyy] 3 2 2 4 3 2" xfId="33524"/>
    <cellStyle name="Afjusted 3 3 4 3 3 2" xfId="33525"/>
    <cellStyle name="Date [mm-d-yyyy] 3 3 4 3 3 2" xfId="33526"/>
    <cellStyle name="Afjusted 4 3 4 3 3 2" xfId="33527"/>
    <cellStyle name="ac 2 2 3 4 3 3 2" xfId="33528"/>
    <cellStyle name="Afjusted 2 2 3 4 3 3 2" xfId="33529"/>
    <cellStyle name="Date [mmm-yyyy] 2 2 3 4 3 3 2" xfId="33530"/>
    <cellStyle name="dp*NumberLine 2 2 3 4 3 3 2" xfId="33531"/>
    <cellStyle name="dp*NumberLineEPS 2 2 3 4 3 3 2" xfId="33532"/>
    <cellStyle name="dp*SheetSubTitle 2 2 3 4 3 3 2" xfId="33533"/>
    <cellStyle name="Heading [Helv] 2 2 3 4 3 3 2" xfId="33534"/>
    <cellStyle name="Outputs 2 2 3 4 3 3 2" xfId="33535"/>
    <cellStyle name="Table Head Aligned 2 2 3 4 3 3 2" xfId="33536"/>
    <cellStyle name="Title [Palat] 2 2 3 4 3 3 2" xfId="33537"/>
    <cellStyle name="UNLOCKED 12 2 2 2" xfId="33538"/>
    <cellStyle name="Afjusted 3 5 3 3 2" xfId="33539"/>
    <cellStyle name="Style 45 3 3 3 3 2" xfId="33540"/>
    <cellStyle name="Style 51 3 3 3 3 2" xfId="33541"/>
    <cellStyle name="Style 44 2 3 3 3 2" xfId="33542"/>
    <cellStyle name="Style 45 2 3 3 3 2" xfId="33543"/>
    <cellStyle name="Style 49 2 3 3 3 2" xfId="33544"/>
    <cellStyle name="Border Thin 3 5 3 3 2" xfId="33545"/>
    <cellStyle name="ac 2 2 4 3 3 2" xfId="33546"/>
    <cellStyle name="Afjusted 2 2 5 3 3 2" xfId="33547"/>
    <cellStyle name="Bold/Border 2 2 4 3 3 2" xfId="33548"/>
    <cellStyle name="COL HEADINGS 2 2 4 3 3 2" xfId="33549"/>
    <cellStyle name="Date [mmm-yyyy] 2 2 4 3 3 2" xfId="33550"/>
    <cellStyle name="dp*NumberLine 2 2 4 3 3 2" xfId="33551"/>
    <cellStyle name="dp*NumberLineEPS 2 2 4 3 3 2" xfId="33552"/>
    <cellStyle name="dp*SheetSubTitle 2 2 4 3 3 2" xfId="33553"/>
    <cellStyle name="Heading [Palat] 2 2 4 3 3 2" xfId="33554"/>
    <cellStyle name="Outputs 2 2 4 3 3 2" xfId="33555"/>
    <cellStyle name="Magic 2 2 4 3 3 2" xfId="33556"/>
    <cellStyle name="Title [Helv] 2 2 4 3 3 2" xfId="33557"/>
    <cellStyle name="Title [Palat] 2 2 4 3 3 2" xfId="33558"/>
    <cellStyle name="Title [Palat] 2 2 3 3 3 3 2" xfId="33559"/>
    <cellStyle name="Title [Helv] 2 2 3 3 3 3 2" xfId="33560"/>
    <cellStyle name="Table Head Aligned 2 2 3 3 3 3 2" xfId="33561"/>
    <cellStyle name="Magic 2 2 3 3 3 3 2" xfId="33562"/>
    <cellStyle name="Heading [Helv] 2 2 3 3 3 3 2" xfId="33563"/>
    <cellStyle name="dp*NumberLineEPS 2 2 3 3 3 3 2" xfId="33564"/>
    <cellStyle name="COL HEADINGS 2 2 3 3 3 3 2" xfId="33565"/>
    <cellStyle name="ac 2 2 3 3 3 3 2" xfId="33566"/>
    <cellStyle name="Afjusted 4 3 3 3 3 2" xfId="33567"/>
    <cellStyle name="Border Thin 3 3 3 3 3 2" xfId="33568"/>
    <cellStyle name="PB Table Standard Row 3 3 3 3 3 2" xfId="33569"/>
    <cellStyle name="Style 44 4 3 3 3 3 2" xfId="33570"/>
    <cellStyle name="Style 51 4 3 3 3 3 2" xfId="33571"/>
    <cellStyle name="Afjusted 3 3 3 3 3 2" xfId="33572"/>
    <cellStyle name="Style 49 4 5 3 3 2" xfId="33573"/>
    <cellStyle name="UNLOCKED 9 2 2 2" xfId="33574"/>
    <cellStyle name="Style 44 4 5 3 3 2" xfId="33575"/>
    <cellStyle name="P-Green Rule 3 5 3 3 2" xfId="33576"/>
    <cellStyle name="dp*SubTitle 3 5 3 3 2" xfId="33577"/>
    <cellStyle name="Afjusted 4 5 3 3 2" xfId="33578"/>
    <cellStyle name="dp*SheetSubTitle 2 8 3 2" xfId="33579"/>
    <cellStyle name="UNLOCKED 11 2 2 2" xfId="33580"/>
    <cellStyle name="ac 2 3 3 3 2" xfId="33581"/>
    <cellStyle name="Bold/Border 2 3 3 3 2" xfId="33582"/>
    <cellStyle name="COL HEADINGS 2 3 3 3 2" xfId="33583"/>
    <cellStyle name="Date [mmm-yyyy] 2 3 3 3 2" xfId="33584"/>
    <cellStyle name="dp*NumberLine 2 3 3 3 2" xfId="33585"/>
    <cellStyle name="dp*NumberLineEPS 2 3 3 3 2" xfId="33586"/>
    <cellStyle name="dp*SheetSubTitle 2 3 3 3 2" xfId="33587"/>
    <cellStyle name="Heading [Helv] 2 3 3 3 2" xfId="33588"/>
    <cellStyle name="Heading [Palat] 2 3 3 3 2" xfId="33589"/>
    <cellStyle name="Magic 2 3 3 3 2" xfId="33590"/>
    <cellStyle name="Outputs 2 3 3 3 2" xfId="33591"/>
    <cellStyle name="Date [mmm-yyyy] 2 2 3 3 3 3 2" xfId="33592"/>
    <cellStyle name="Afjusted 2 2 3 3 3 3 2" xfId="33593"/>
    <cellStyle name="dp*ThinLineBelow 3 3 3 3 3 2" xfId="33594"/>
    <cellStyle name="Style 49 4 3 3 3 3 2" xfId="33595"/>
    <cellStyle name="Outputs 2 2 3 3 3 3 2" xfId="33596"/>
    <cellStyle name="dp*NumberLine 2 2 3 3 3 3 2" xfId="33597"/>
    <cellStyle name="Bold/Border 2 2 3 3 3 3 2" xfId="33598"/>
    <cellStyle name="dp*SubTitle 3 3 3 3 3 2" xfId="33599"/>
    <cellStyle name="Style 45 4 3 3 3 3 2" xfId="33600"/>
    <cellStyle name="Table Head Aligned 2 3 3 3 2" xfId="33601"/>
    <cellStyle name="Table Head Green 2 3 3 3 2" xfId="33602"/>
    <cellStyle name="Title [Helv] 2 3 3 3 2" xfId="33603"/>
    <cellStyle name="Title [Palat] 2 3 3 3 2" xfId="33604"/>
    <cellStyle name="Style 45 4 3 4 3 3 2" xfId="33605"/>
    <cellStyle name="UNLOCKED 10 2 2 2" xfId="33606"/>
    <cellStyle name="Style 51 4 3 4 3 3 2" xfId="33607"/>
    <cellStyle name="Afjusted 3 4 3 3 2" xfId="33608"/>
    <cellStyle name="P-Green Rule 3 3 4 3 3 2" xfId="33609"/>
    <cellStyle name="Border Thin 2 3 3 3 2" xfId="33610"/>
    <cellStyle name="Style 49 3 3 3 3 2" xfId="33611"/>
    <cellStyle name="Style 51 2 3 3 3 2" xfId="33612"/>
    <cellStyle name="Heading [Helv] 2 2 4 3 3 2" xfId="33613"/>
    <cellStyle name="Table Head Aligned 2 2 4 3 3 2" xfId="33614"/>
    <cellStyle name="Table Head Green 2 2 4 3 3 2" xfId="33615"/>
    <cellStyle name="Table Head Green 2 2 3 3 3 3 2" xfId="33616"/>
    <cellStyle name="Heading [Palat] 2 2 3 3 3 3 2" xfId="33617"/>
    <cellStyle name="dp*SheetSubTitle 2 2 3 3 3 3 2" xfId="33618"/>
    <cellStyle name="P-Green Rule 3 3 3 3 3 2" xfId="33619"/>
    <cellStyle name="Date [mm-d-yyyy] 3 3 3 3 3 2" xfId="33620"/>
    <cellStyle name="Date [mm-d-yyyy] 3 4 3 3 2" xfId="33621"/>
    <cellStyle name="Style 51 4 4 3 3 2" xfId="33622"/>
    <cellStyle name="Style 49 4 4 3 3 2" xfId="33623"/>
    <cellStyle name="Style 45 4 4 3 3 2" xfId="33624"/>
    <cellStyle name="Style 44 4 4 3 3 2" xfId="33625"/>
    <cellStyle name="dp*ThinLineBelow 3 3 4 3 3 2" xfId="33626"/>
    <cellStyle name="P-Green Rule 3 4 3 3 2" xfId="33627"/>
    <cellStyle name="dp*ThinLineBelow 3 4 3 3 2" xfId="33628"/>
    <cellStyle name="dp*SubTitle 3 4 3 3 2" xfId="33629"/>
    <cellStyle name="dp*SubTitle 3 3 4 3 3 2" xfId="33630"/>
    <cellStyle name="Border Thin 3 4 3 3 2" xfId="33631"/>
    <cellStyle name="Border Thin 3 3 4 3 3 2" xfId="33632"/>
    <cellStyle name="Afjusted 4 4 3 3 2" xfId="33633"/>
    <cellStyle name="Afjusted 2 2 4 3 3 2" xfId="33634"/>
    <cellStyle name="Style 44 4 3 4 3 3 2" xfId="33635"/>
    <cellStyle name="PB Table Standard Row 3 3 4 3 3 2" xfId="33636"/>
    <cellStyle name="Title [Palat] 2 2 3 6 3 2" xfId="33637"/>
    <cellStyle name="Title [Helv] 2 2 3 6 3 2" xfId="33638"/>
    <cellStyle name="Table Head Green 2 2 3 6 3 2" xfId="33639"/>
    <cellStyle name="Table Head Aligned 2 2 3 6 3 2" xfId="33640"/>
    <cellStyle name="Outputs 2 2 3 6 3 2" xfId="33641"/>
    <cellStyle name="Magic 2 2 3 6 3 2" xfId="33642"/>
    <cellStyle name="Heading [Palat] 2 2 3 6 3 2" xfId="33643"/>
    <cellStyle name="Heading [Helv] 2 2 3 6 3 2" xfId="33644"/>
    <cellStyle name="dp*SheetSubTitle 2 2 3 6 3 2" xfId="33645"/>
    <cellStyle name="dp*NumberLineEPS 2 2 3 6 3 2" xfId="33646"/>
    <cellStyle name="dp*NumberLine 2 2 3 6 3 2" xfId="33647"/>
    <cellStyle name="Date [mmm-yyyy] 2 2 3 6 3 2" xfId="33648"/>
    <cellStyle name="COL HEADINGS 2 2 3 6 3 2" xfId="33649"/>
    <cellStyle name="Bold/Border 2 2 3 6 3 2" xfId="33650"/>
    <cellStyle name="Afjusted 2 2 3 6 3 2" xfId="33651"/>
    <cellStyle name="ac 2 2 3 6 3 2" xfId="33652"/>
    <cellStyle name="Afjusted 4 3 6 3 2" xfId="33653"/>
    <cellStyle name="Border Thin 3 3 6 3 2" xfId="33654"/>
    <cellStyle name="dp*SubTitle 3 3 6 3 2" xfId="33655"/>
    <cellStyle name="dp*ThinLineBelow 3 3 6 3 2" xfId="33656"/>
    <cellStyle name="PB Table Standard Row 3 3 6 3 2" xfId="33657"/>
    <cellStyle name="P-Green Rule 3 3 6 3 2" xfId="33658"/>
    <cellStyle name="Style 44 4 3 6 3 2" xfId="33659"/>
    <cellStyle name="Style 45 4 3 6 3 2" xfId="33660"/>
    <cellStyle name="Style 49 4 3 6 3 2" xfId="33661"/>
    <cellStyle name="Style 51 4 3 6 3 2" xfId="33662"/>
    <cellStyle name="Date [mm-d-yyyy] 3 3 6 3 2" xfId="33663"/>
    <cellStyle name="Title [Palat] 2 4 4 3 2" xfId="33664"/>
    <cellStyle name="Style 51 3 4 4 3 2" xfId="33665"/>
    <cellStyle name="Afjusted 3 3 6 3 2" xfId="33666"/>
    <cellStyle name="Border Thin 2 4 4 3 2" xfId="33667"/>
    <cellStyle name="Calculation 2 3 2 2" xfId="33668"/>
    <cellStyle name="Afjusted 4 2 4 4 3 2" xfId="33669"/>
    <cellStyle name="ac 2 2 4 4 3 2" xfId="33670"/>
    <cellStyle name="Input 2 3 2 2" xfId="33671"/>
    <cellStyle name="Note 2 3 3 2" xfId="33672"/>
    <cellStyle name="Date [mm-d-yyyy] 3 5 4 3 2" xfId="33673"/>
    <cellStyle name="Output 2 2 2 2 2" xfId="33674"/>
    <cellStyle name="Input 2 2 2 2 2" xfId="33675"/>
    <cellStyle name="Afjusted 3 3 2 4 3 2" xfId="33676"/>
    <cellStyle name="Total 2 2 2 2 2" xfId="33677"/>
    <cellStyle name="Calculation 2 2 2 2 2" xfId="33678"/>
    <cellStyle name="PB Table Standard Row 3 3 2 3 3 2" xfId="33679"/>
    <cellStyle name="P-Green Rule 3 3 2 4 3 2" xfId="33680"/>
    <cellStyle name="Date [mm-d-yyyy] 3 3 2 4 3 2" xfId="33681"/>
    <cellStyle name="ac 2 4 4 3 2" xfId="33682"/>
    <cellStyle name="Date [mm-d-yyyy] 2 2 5 3 2" xfId="33683"/>
    <cellStyle name="Afjusted 3 2 6 3 2" xfId="33684"/>
    <cellStyle name="dp*SubTitle 3 2 2 4 3 2" xfId="33685"/>
    <cellStyle name="Style 45 2 4 4 3 2" xfId="33686"/>
    <cellStyle name="P-Green Rule 2 4 4 3 2" xfId="33687"/>
    <cellStyle name="Style 51 4 5 4 3 2" xfId="33688"/>
    <cellStyle name="Date [mm-d-yyyy] 3 2 6 3 2" xfId="33689"/>
    <cellStyle name="Style 51 4 2 6 3 2" xfId="33690"/>
    <cellStyle name="Style 49 4 2 6 3 2" xfId="33691"/>
    <cellStyle name="Style 45 4 2 6 3 2" xfId="33692"/>
    <cellStyle name="Style 44 4 2 6 3 2" xfId="33693"/>
    <cellStyle name="Heading [Palat] 2 4 4 3 2" xfId="33694"/>
    <cellStyle name="P-Green Rule 3 2 6 3 2" xfId="33695"/>
    <cellStyle name="dp*ThinLineBelow 3 2 6 3 2" xfId="33696"/>
    <cellStyle name="dp*SubTitle 3 2 6 3 2" xfId="33697"/>
    <cellStyle name="dp*SubTitle 2 4 4 3 2" xfId="33698"/>
    <cellStyle name="Border Thin 3 2 6 3 2" xfId="33699"/>
    <cellStyle name="dp*NumberLine 2 4 4 3 2" xfId="33700"/>
    <cellStyle name="Afjusted 4 2 6 3 2" xfId="33701"/>
    <cellStyle name="ac 2 2 2 6 3 2" xfId="33702"/>
    <cellStyle name="Afjusted 2 2 2 6 3 2" xfId="33703"/>
    <cellStyle name="Bold/Border 2 2 2 6 3 2" xfId="33704"/>
    <cellStyle name="COL HEADINGS 2 2 2 6 3 2" xfId="33705"/>
    <cellStyle name="Date [mmm-yyyy] 2 2 2 6 3 2" xfId="33706"/>
    <cellStyle name="dp*NumberLine 2 2 2 6 3 2" xfId="33707"/>
    <cellStyle name="dp*NumberLineEPS 2 2 2 6 3 2" xfId="33708"/>
    <cellStyle name="dp*SheetSubTitle 2 2 2 6 3 2" xfId="33709"/>
    <cellStyle name="Heading [Helv] 2 2 2 6 3 2" xfId="33710"/>
    <cellStyle name="Heading [Palat] 2 2 2 6 3 2" xfId="33711"/>
    <cellStyle name="Magic 2 2 2 6 3 2" xfId="33712"/>
    <cellStyle name="Outputs 2 2 2 6 3 2" xfId="33713"/>
    <cellStyle name="Table Head Aligned 2 2 2 6 3 2" xfId="33714"/>
    <cellStyle name="Table Head Green 2 2 2 6 3 2" xfId="33715"/>
    <cellStyle name="Title [Helv] 2 2 2 6 3 2" xfId="33716"/>
    <cellStyle name="Title [Palat] 2 2 2 6 3 2" xfId="33717"/>
    <cellStyle name="Style 45 3 4 4 3 2" xfId="33718"/>
    <cellStyle name="Output 2 3 2 2" xfId="33719"/>
    <cellStyle name="Border Thin 3 2 2 4 3 2" xfId="33720"/>
    <cellStyle name="Outputs 2 4 4 3 2" xfId="33721"/>
    <cellStyle name="Total 2 3 2 2" xfId="33722"/>
    <cellStyle name="Style 51 4 3 2 4 3 2" xfId="33723"/>
    <cellStyle name="Style 45 4 3 2 4 3 2" xfId="33724"/>
    <cellStyle name="Style 49 4 3 2 4 3 2" xfId="33725"/>
    <cellStyle name="Style 44 4 3 2 4 3 2" xfId="33726"/>
    <cellStyle name="dp*ThinLineBelow 3 3 2 4 3 2" xfId="33727"/>
    <cellStyle name="Table Head Green 2 2 3 4 3 3 2" xfId="33728"/>
    <cellStyle name="Heading [Palat] 2 2 3 4 3 3 2" xfId="33729"/>
    <cellStyle name="P-Green Rule 2 3 3 3 2" xfId="33730"/>
    <cellStyle name="Title [Palat] 2 2 3 2 3 3 2" xfId="33731"/>
    <cellStyle name="Title [Helv] 2 2 3 2 3 3 2" xfId="33732"/>
    <cellStyle name="Table Head Green 2 2 3 2 3 3 2" xfId="33733"/>
    <cellStyle name="Table Head Aligned 2 2 3 2 3 3 2" xfId="33734"/>
    <cellStyle name="Outputs 2 2 3 2 3 3 2" xfId="33735"/>
    <cellStyle name="Magic 2 2 3 2 3 3 2" xfId="33736"/>
    <cellStyle name="Heading [Palat] 2 2 3 2 3 3 2" xfId="33737"/>
    <cellStyle name="Heading [Helv] 2 2 3 2 3 3 2" xfId="33738"/>
    <cellStyle name="dp*SheetSubTitle 2 2 3 2 3 3 2" xfId="33739"/>
    <cellStyle name="dp*NumberLineEPS 2 2 3 2 3 3 2" xfId="33740"/>
    <cellStyle name="dp*NumberLine 2 2 3 2 3 3 2" xfId="33741"/>
    <cellStyle name="Date [mmm-yyyy] 2 2 3 2 3 3 2" xfId="33742"/>
    <cellStyle name="COL HEADINGS 2 2 3 2 3 3 2" xfId="33743"/>
    <cellStyle name="Bold/Border 2 2 3 2 3 3 2" xfId="33744"/>
    <cellStyle name="Afjusted 2 2 3 2 3 3 2" xfId="33745"/>
    <cellStyle name="ac 2 2 3 2 3 3 2" xfId="33746"/>
    <cellStyle name="Afjusted 4 3 2 3 3 2" xfId="33747"/>
    <cellStyle name="Border Thin 3 3 2 3 3 2" xfId="33748"/>
    <cellStyle name="dp*SubTitle 3 3 2 3 3 2" xfId="33749"/>
    <cellStyle name="dp*ThinLineBelow 3 3 2 3 3 2" xfId="33750"/>
    <cellStyle name="P-Green Rule 3 3 2 3 3 2" xfId="33751"/>
    <cellStyle name="Style 44 4 3 2 3 3 2" xfId="33752"/>
    <cellStyle name="Style 45 4 3 2 3 3 2" xfId="33753"/>
    <cellStyle name="Style 49 4 3 2 3 3 2" xfId="33754"/>
    <cellStyle name="Style 51 4 3 2 3 3 2" xfId="33755"/>
    <cellStyle name="Date [mm-d-yyyy] 3 3 2 3 3 2" xfId="33756"/>
    <cellStyle name="Afjusted 3 3 2 3 3 2" xfId="33757"/>
    <cellStyle name="Date [mm-d-yyyy] 3 5 3 3 2" xfId="33758"/>
    <cellStyle name="dp*SubTitle 2 3 3 3 2" xfId="33759"/>
    <cellStyle name="Date [mm-d-yyyy] 2 2 2 3 3 2" xfId="33760"/>
    <cellStyle name="Afjusted 3 2 2 3 3 2" xfId="33761"/>
    <cellStyle name="PB Table Standard Row 3 5 3 3 2" xfId="33762"/>
    <cellStyle name="Date [mm-d-yyyy] 3 2 2 3 3 2" xfId="33763"/>
    <cellStyle name="Style 51 4 2 2 3 3 2" xfId="33764"/>
    <cellStyle name="Style 49 4 2 2 3 3 2" xfId="33765"/>
    <cellStyle name="Style 45 4 2 2 3 3 2" xfId="33766"/>
    <cellStyle name="Style 44 4 2 2 3 3 2" xfId="33767"/>
    <cellStyle name="Style 45 4 5 3 3 2" xfId="33768"/>
    <cellStyle name="P-Green Rule 3 2 2 3 3 2" xfId="33769"/>
    <cellStyle name="PB Table Standard Row 3 2 2 3 3 2" xfId="33770"/>
    <cellStyle name="dp*ThinLineBelow 3 2 2 3 3 2" xfId="33771"/>
    <cellStyle name="dp*SubTitle 3 2 2 3 3 2" xfId="33772"/>
    <cellStyle name="Style 51 4 5 3 3 2" xfId="33773"/>
    <cellStyle name="Border Thin 3 2 2 3 3 2" xfId="33774"/>
    <cellStyle name="Afjusted 4 2 2 3 3 2" xfId="33775"/>
    <cellStyle name="ac 2 2 2 2 3 3 2" xfId="33776"/>
    <cellStyle name="Afjusted 2 2 2 2 3 3 2" xfId="33777"/>
    <cellStyle name="Bold/Border 2 2 2 2 3 3 2" xfId="33778"/>
    <cellStyle name="COL HEADINGS 2 2 2 2 3 3 2" xfId="33779"/>
    <cellStyle name="Date [mmm-yyyy] 2 2 2 2 3 3 2" xfId="33780"/>
    <cellStyle name="dp*NumberLine 2 2 2 2 3 3 2" xfId="33781"/>
    <cellStyle name="dp*NumberLineEPS 2 2 2 2 3 3 2" xfId="33782"/>
    <cellStyle name="dp*SheetSubTitle 2 2 2 2 3 3 2" xfId="33783"/>
    <cellStyle name="Heading [Helv] 2 2 2 2 3 3 2" xfId="33784"/>
    <cellStyle name="Heading [Palat] 2 2 2 2 3 3 2" xfId="33785"/>
    <cellStyle name="Magic 2 2 2 2 3 3 2" xfId="33786"/>
    <cellStyle name="Outputs 2 2 2 2 3 3 2" xfId="33787"/>
    <cellStyle name="Table Head Aligned 2 2 2 2 3 3 2" xfId="33788"/>
    <cellStyle name="Table Head Green 2 2 2 2 3 3 2" xfId="33789"/>
    <cellStyle name="Title [Helv] 2 2 2 2 3 3 2" xfId="33790"/>
    <cellStyle name="Title [Palat] 2 2 2 2 3 3 2" xfId="33791"/>
    <cellStyle name="dp*ThinLineBelow 3 5 3 3 2" xfId="33792"/>
    <cellStyle name="Date [mm-d-yyyy] 2 2 3 3 3 2" xfId="33793"/>
    <cellStyle name="Afjusted 3 2 3 3 3 2" xfId="33794"/>
    <cellStyle name="Date [mm-d-yyyy] 3 2 3 3 3 2" xfId="33795"/>
    <cellStyle name="Style 51 4 2 3 3 3 2" xfId="33796"/>
    <cellStyle name="Style 49 4 2 3 3 3 2" xfId="33797"/>
    <cellStyle name="Style 45 4 2 3 3 3 2" xfId="33798"/>
    <cellStyle name="Style 44 4 2 3 3 3 2" xfId="33799"/>
    <cellStyle name="P-Green Rule 3 2 3 3 3 2" xfId="33800"/>
    <cellStyle name="PB Table Standard Row 3 2 3 3 3 2" xfId="33801"/>
    <cellStyle name="dp*ThinLineBelow 3 2 3 3 3 2" xfId="33802"/>
    <cellStyle name="dp*SubTitle 3 2 3 3 3 2" xfId="33803"/>
    <cellStyle name="Border Thin 3 2 3 3 3 2" xfId="33804"/>
    <cellStyle name="Afjusted 4 2 3 3 3 2" xfId="33805"/>
    <cellStyle name="ac 2 2 2 3 3 3 2" xfId="33806"/>
    <cellStyle name="Afjusted 2 2 2 3 3 3 2" xfId="33807"/>
    <cellStyle name="Bold/Border 2 2 2 3 3 3 2" xfId="33808"/>
    <cellStyle name="COL HEADINGS 2 2 2 3 3 3 2" xfId="33809"/>
    <cellStyle name="Date [mmm-yyyy] 2 2 2 3 3 3 2" xfId="33810"/>
    <cellStyle name="dp*NumberLine 2 2 2 3 3 3 2" xfId="33811"/>
    <cellStyle name="dp*NumberLineEPS 2 2 2 3 3 3 2" xfId="33812"/>
    <cellStyle name="dp*SheetSubTitle 2 2 2 3 3 3 2" xfId="33813"/>
    <cellStyle name="Heading [Helv] 2 2 2 3 3 3 2" xfId="33814"/>
    <cellStyle name="Heading [Palat] 2 2 2 3 3 3 2" xfId="33815"/>
    <cellStyle name="Magic 2 2 2 3 3 3 2" xfId="33816"/>
    <cellStyle name="Outputs 2 2 2 3 3 3 2" xfId="33817"/>
    <cellStyle name="Table Head Aligned 2 2 2 3 3 3 2" xfId="33818"/>
    <cellStyle name="Table Head Green 2 2 2 3 3 3 2" xfId="33819"/>
    <cellStyle name="Title [Helv] 2 2 2 3 3 3 2" xfId="33820"/>
    <cellStyle name="Title [Palat] 2 2 2 3 3 3 2" xfId="33821"/>
    <cellStyle name="Afjusted 3 2 4 3 3 2" xfId="33822"/>
    <cellStyle name="Date [mm-d-yyyy] 3 2 4 3 3 2" xfId="33823"/>
    <cellStyle name="Style 51 4 2 4 3 3 2" xfId="33824"/>
    <cellStyle name="Style 49 4 2 4 3 3 2" xfId="33825"/>
    <cellStyle name="Style 45 4 2 4 3 3 2" xfId="33826"/>
    <cellStyle name="Style 44 4 2 4 3 3 2" xfId="33827"/>
    <cellStyle name="P-Green Rule 3 2 4 3 3 2" xfId="33828"/>
    <cellStyle name="PB Table Standard Row 3 2 4 3 3 2" xfId="33829"/>
    <cellStyle name="dp*ThinLineBelow 3 2 4 3 3 2" xfId="33830"/>
    <cellStyle name="dp*SubTitle 3 2 4 3 3 2" xfId="33831"/>
    <cellStyle name="Border Thin 3 2 4 3 3 2" xfId="33832"/>
    <cellStyle name="Afjusted 4 2 4 3 3 2" xfId="33833"/>
    <cellStyle name="ac 2 2 2 4 3 3 2" xfId="33834"/>
    <cellStyle name="Afjusted 2 2 2 4 3 3 2" xfId="33835"/>
    <cellStyle name="Bold/Border 2 2 2 4 3 3 2" xfId="33836"/>
    <cellStyle name="COL HEADINGS 2 2 2 4 3 3 2" xfId="33837"/>
    <cellStyle name="Date [mmm-yyyy] 2 2 2 4 3 3 2" xfId="33838"/>
    <cellStyle name="dp*NumberLine 2 2 2 4 3 3 2" xfId="33839"/>
    <cellStyle name="dp*NumberLineEPS 2 2 2 4 3 3 2" xfId="33840"/>
    <cellStyle name="dp*SheetSubTitle 2 2 2 4 3 3 2" xfId="33841"/>
    <cellStyle name="Heading [Helv] 2 2 2 4 3 3 2" xfId="33842"/>
    <cellStyle name="Heading [Palat] 2 2 2 4 3 3 2" xfId="33843"/>
    <cellStyle name="Magic 2 2 2 4 3 3 2" xfId="33844"/>
    <cellStyle name="Outputs 2 2 2 4 3 3 2" xfId="33845"/>
    <cellStyle name="Table Head Aligned 2 2 2 4 3 3 2" xfId="33846"/>
    <cellStyle name="Table Head Green 2 2 2 4 3 3 2" xfId="33847"/>
    <cellStyle name="Title [Helv] 2 2 2 4 3 3 2" xfId="33848"/>
    <cellStyle name="Title [Palat] 2 2 2 4 3 3 2" xfId="33849"/>
    <cellStyle name="Bold/Border 2 2 3 2 4 3 2" xfId="33850"/>
    <cellStyle name="Border Thin 4 3 3 2" xfId="33851"/>
    <cellStyle name="Date [mm-d-yyyy] 4 3 3 2" xfId="33852"/>
    <cellStyle name="dp*SubTitle 4 3 3 2" xfId="33853"/>
    <cellStyle name="dp*ThinLineBelow 4 3 3 2" xfId="33854"/>
    <cellStyle name="PB Table Standard Row 4 3 3 2" xfId="33855"/>
    <cellStyle name="P-Green Rule 4 3 3 2" xfId="33856"/>
    <cellStyle name="Style 44 5 3 3 2" xfId="33857"/>
    <cellStyle name="Style 45 5 3 3 2" xfId="33858"/>
    <cellStyle name="Style 49 5 3 3 2" xfId="33859"/>
    <cellStyle name="Style 51 5 3 3 2" xfId="33860"/>
    <cellStyle name="UNLOCKED 13 2 2 2" xfId="33861"/>
    <cellStyle name="COL HEADINGS 2 2 3 2 4 3 2" xfId="33862"/>
    <cellStyle name="UNLOCKED 14 2 2 2" xfId="33863"/>
    <cellStyle name="ac 2 2 3 2 4 3 2" xfId="33864"/>
    <cellStyle name="Date [mmm-yyyy] 2 2 3 2 4 3 2" xfId="33865"/>
    <cellStyle name="FieldName 3 2 2 2" xfId="33866"/>
    <cellStyle name="WingdingsWhite 3 2 2 2" xfId="33867"/>
    <cellStyle name="WingdingsRed 3 2 2 2" xfId="33868"/>
    <cellStyle name="WingdingsBlack 3 2 2 2" xfId="33869"/>
    <cellStyle name="UNLOCKED 16 2 2 2" xfId="33870"/>
    <cellStyle name="Title [Palat] 3 3 3 2" xfId="33871"/>
    <cellStyle name="Title [Helv] 3 3 3 2" xfId="33872"/>
    <cellStyle name="Table Head Green 3 3 3 2" xfId="33873"/>
    <cellStyle name="Table Head Aligned 3 3 3 2" xfId="33874"/>
    <cellStyle name="SymbolBlue 3 2 2 2" xfId="33875"/>
    <cellStyle name="Style 53 3 2 2 2" xfId="33876"/>
    <cellStyle name="Style 52 3 2 2 2" xfId="33877"/>
    <cellStyle name="Style 50 3 2 2 2" xfId="33878"/>
    <cellStyle name="Style 48 3 2 2 2" xfId="33879"/>
    <cellStyle name="Style 43 3 2 2 2" xfId="33880"/>
    <cellStyle name="Style 42 3 2 2 2" xfId="33881"/>
    <cellStyle name="Style 40 3 2 2 2" xfId="33882"/>
    <cellStyle name="Style 37 3 2 2 2" xfId="33883"/>
    <cellStyle name="Style 36 3 2 2 2" xfId="33884"/>
    <cellStyle name="Style 35 3 2 2 2" xfId="33885"/>
    <cellStyle name="Style 28 3 2 2 2" xfId="33886"/>
    <cellStyle name="Style 25 3 2 2 2" xfId="33887"/>
    <cellStyle name="Style 27 3 2 2 2" xfId="33888"/>
    <cellStyle name="Style 26 3 2 2 2" xfId="33889"/>
    <cellStyle name="Style 24 3 2 2 2" xfId="33890"/>
    <cellStyle name="Style 22 3 2 2 2" xfId="33891"/>
    <cellStyle name="Style 21 3 2 2 2" xfId="33892"/>
    <cellStyle name="Outputs 3 3 3 2" xfId="33893"/>
    <cellStyle name="Millions 8 2 2 2" xfId="33894"/>
    <cellStyle name="Magic 3 3 3 2" xfId="33895"/>
    <cellStyle name="ItemTypeClass 3 2 2 2" xfId="33896"/>
    <cellStyle name="Heading [Palat] 3 3 3 2" xfId="33897"/>
    <cellStyle name="Heading [Helv] 3 3 3 2" xfId="33898"/>
    <cellStyle name="Format text as bold, black on yellow 3 2 2 2" xfId="33899"/>
    <cellStyle name="Format a row of totals 3 2 2 2" xfId="33900"/>
    <cellStyle name="Draw shadow and lines within range 3 2 2 2" xfId="33901"/>
    <cellStyle name="Draw lines around data in range 3 2 2 2" xfId="33902"/>
    <cellStyle name="dp*ThinLineAbove 3 2 2 2" xfId="33903"/>
    <cellStyle name="dp*SheetSubTitle 3 3 3 2" xfId="33904"/>
    <cellStyle name="dp*NumberLineEPS 3 3 3 2" xfId="33905"/>
    <cellStyle name="dp*NumberLine 3 3 3 2" xfId="33906"/>
    <cellStyle name="dp*Number%ItalicsLineAbove 3 2 2 2" xfId="33907"/>
    <cellStyle name="DateYearWholeEstimate 3 2 2 2" xfId="33908"/>
    <cellStyle name="DateYearEstimate 3 2 2 2" xfId="33909"/>
    <cellStyle name="COL HEADINGS 3 3 3 2" xfId="33910"/>
    <cellStyle name="Border 3 2 2 2" xfId="33911"/>
    <cellStyle name="Bold/Border 3 3 3 2" xfId="33912"/>
    <cellStyle name="ArialNormal 3 2 2 2" xfId="33913"/>
    <cellStyle name="Arial8Italic 3 2 2 2" xfId="33914"/>
    <cellStyle name="Arial8Bold 3 2 2 2" xfId="33915"/>
    <cellStyle name="Arial6Bold 3 2 2 2" xfId="33916"/>
    <cellStyle name="Afjusted 5 3 3 2" xfId="33917"/>
    <cellStyle name="ac 3 3 3 2" xfId="33918"/>
    <cellStyle name="UNLOCKED 15 2 2 2" xfId="33919"/>
    <cellStyle name="dp*NumberLine 2 2 3 2 4 3 2" xfId="33920"/>
    <cellStyle name="Date [mmm-yyyy] 3 3 3 2" xfId="33921"/>
    <cellStyle name="dp*NumberLineEPS 2 2 3 2 4 3 2" xfId="33922"/>
    <cellStyle name="UNLOCKED 17 2 2 2" xfId="33923"/>
    <cellStyle name="Heading [Palat] 2 9 3 2" xfId="33924"/>
    <cellStyle name="dp*SheetSubTitle 2 2 3 2 4 3 2" xfId="33925"/>
    <cellStyle name="UNLOCKED 18 2 2 2" xfId="33926"/>
    <cellStyle name="Table Head Aligned 2 2 7 3 2" xfId="33927"/>
    <cellStyle name="UNLOCKED 19 2 2 2" xfId="33928"/>
    <cellStyle name="ac 2 4 3 3 2" xfId="33929"/>
    <cellStyle name="Afjusted 2 3 3 3 2" xfId="33930"/>
    <cellStyle name="Bold/Border 2 4 3 3 2" xfId="33931"/>
    <cellStyle name="Border Thin 2 4 3 3 2" xfId="33932"/>
    <cellStyle name="COL HEADINGS 2 4 3 3 2" xfId="33933"/>
    <cellStyle name="Date [mmm-yyyy] 2 4 3 3 2" xfId="33934"/>
    <cellStyle name="dp*NumberLine 2 4 3 3 2" xfId="33935"/>
    <cellStyle name="dp*NumberLineEPS 2 4 3 3 2" xfId="33936"/>
    <cellStyle name="dp*SheetSubTitle 2 4 3 3 2" xfId="33937"/>
    <cellStyle name="dp*SubTitle 2 4 3 3 2" xfId="33938"/>
    <cellStyle name="dp*ThinLineBelow 2 4 3 3 2" xfId="33939"/>
    <cellStyle name="Heading [Helv] 2 4 3 3 2" xfId="33940"/>
    <cellStyle name="Heading [Palat] 2 4 3 3 2" xfId="33941"/>
    <cellStyle name="Magic 2 4 3 3 2" xfId="33942"/>
    <cellStyle name="Outputs 2 4 3 3 2" xfId="33943"/>
    <cellStyle name="PB Table Standard Row 2 4 3 3 2" xfId="33944"/>
    <cellStyle name="P-Green Rule 2 4 3 3 2" xfId="33945"/>
    <cellStyle name="Style 44 3 4 3 3 2" xfId="33946"/>
    <cellStyle name="Style 45 3 4 3 3 2" xfId="33947"/>
    <cellStyle name="Style 49 3 4 3 3 2" xfId="33948"/>
    <cellStyle name="Style 51 3 4 3 3 2" xfId="33949"/>
    <cellStyle name="Style 44 2 4 3 3 2" xfId="33950"/>
    <cellStyle name="Style 45 2 4 3 3 2" xfId="33951"/>
    <cellStyle name="Style 49 2 4 3 3 2" xfId="33952"/>
    <cellStyle name="Style 51 2 4 3 3 2" xfId="33953"/>
    <cellStyle name="Table Head Aligned 2 4 3 3 2" xfId="33954"/>
    <cellStyle name="Table Head Green 2 4 3 3 2" xfId="33955"/>
    <cellStyle name="Title [Helv] 2 4 3 3 2" xfId="33956"/>
    <cellStyle name="Title [Palat] 2 4 3 3 2" xfId="33957"/>
    <cellStyle name="Heading [Helv] 2 2 3 2 4 3 2" xfId="33958"/>
    <cellStyle name="UNLOCKED 20 2 2 2" xfId="33959"/>
    <cellStyle name="Heading [Palat] 2 2 3 2 4 3 2" xfId="33960"/>
    <cellStyle name="Table Head Green 2 4 4 3 2" xfId="33961"/>
    <cellStyle name="ac 4 3 3 2" xfId="33962"/>
    <cellStyle name="dp*SheetSubTitle 3 4 3 2" xfId="33963"/>
    <cellStyle name="dp*NumberLine 3 4 3 2" xfId="33964"/>
    <cellStyle name="Arial6Bold 4 2 2 2" xfId="33965"/>
    <cellStyle name="Arial8Bold 4 2 2 2" xfId="33966"/>
    <cellStyle name="Arial8Italic 4 2 2 2" xfId="33967"/>
    <cellStyle name="ArialNormal 4 2 2 2" xfId="33968"/>
    <cellStyle name="Outputs 3 4 3 2" xfId="33969"/>
    <cellStyle name="Title [Helv] 3 4 3 2" xfId="33970"/>
    <cellStyle name="Bold/Border 4 3 3 2" xfId="33971"/>
    <cellStyle name="Border Thin 5 3 3 2" xfId="33972"/>
    <cellStyle name="P-Green Rule 4 4 3 2" xfId="33973"/>
    <cellStyle name="dp*SubTitle 4 4 3 2" xfId="33974"/>
    <cellStyle name="Table Head Green 2 2 2 4 4 3 2" xfId="33975"/>
    <cellStyle name="Heading [Palat] 2 2 2 4 4 3 2" xfId="33976"/>
    <cellStyle name="Date [mmm-yyyy] 2 2 2 4 4 3 2" xfId="33977"/>
    <cellStyle name="P-Green Rule 3 2 4 4 3 2" xfId="33978"/>
    <cellStyle name="dp*ThinLineBelow 3 2 4 4 3 2" xfId="33979"/>
    <cellStyle name="COL HEADINGS 4 3 3 2" xfId="33980"/>
    <cellStyle name="Date [mm-d-yyyy] 3 2 4 4 3 2" xfId="33981"/>
    <cellStyle name="Magic 2 2 2 3 4 3 2" xfId="33982"/>
    <cellStyle name="dp*SheetSubTitle 2 2 2 3 4 3 2" xfId="33983"/>
    <cellStyle name="Date [mmm-yyyy] 2 2 2 3 4 3 2" xfId="33984"/>
    <cellStyle name="Afjusted 2 2 2 3 4 3 2" xfId="33985"/>
    <cellStyle name="Border Thin 3 2 3 4 3 2" xfId="33986"/>
    <cellStyle name="PB Table Standard Row 3 2 3 4 3 2" xfId="33987"/>
    <cellStyle name="Style 45 4 2 3 4 3 2" xfId="33988"/>
    <cellStyle name="Date [mm-d-yyyy] 3 2 3 4 3 2" xfId="33989"/>
    <cellStyle name="Title [Palat] 2 2 2 2 4 3 2" xfId="33990"/>
    <cellStyle name="Bold/Border 2 2 2 7 3 2" xfId="33991"/>
    <cellStyle name="Style 45 4 3 7 3 2" xfId="33992"/>
    <cellStyle name="PB Table Standard Row 3 3 7 3 2" xfId="33993"/>
    <cellStyle name="Date [mm-d-yyyy] 5 3 3 2" xfId="33994"/>
    <cellStyle name="Bold/Border 2 2 3 7 3 2" xfId="33995"/>
    <cellStyle name="Title [Helv] 2 2 3 7 3 2" xfId="33996"/>
    <cellStyle name="DateYearEstimate 4 2 2 2" xfId="33997"/>
    <cellStyle name="DateYearWholeEstimate 4 2 2 2" xfId="33998"/>
    <cellStyle name="Style 45 4 4 4 3 2" xfId="33999"/>
    <cellStyle name="dp*ThinLineBelow 3 3 3 4 3 2" xfId="34000"/>
    <cellStyle name="Draw lines around data in range 4 2 2 2" xfId="34001"/>
    <cellStyle name="Draw shadow and lines within range 4 2 2 2" xfId="34002"/>
    <cellStyle name="PB Table Standard Row 3 3 3 4 3 2" xfId="34003"/>
    <cellStyle name="ac 2 2 3 3 4 3 2" xfId="34004"/>
    <cellStyle name="Heading [Helv] 2 2 3 3 4 3 2" xfId="34005"/>
    <cellStyle name="Title [Palat] 2 2 4 4 3 2" xfId="34006"/>
    <cellStyle name="Outputs 2 2 4 4 3 2" xfId="34007"/>
    <cellStyle name="Title [Palat] 2 2 3 4 4 3 2" xfId="34008"/>
    <cellStyle name="dp*SheetSubTitle 2 2 3 4 4 3 2" xfId="34009"/>
    <cellStyle name="ac 2 2 3 4 4 3 2" xfId="34010"/>
    <cellStyle name="Afjusted 3 3 4 4 3 2" xfId="34011"/>
    <cellStyle name="COL HEADINGS 2 2 3 4 4 3 2" xfId="34012"/>
    <cellStyle name="P-Green Rule 2 2 4 3 2" xfId="34013"/>
    <cellStyle name="Style 49 3 2 4 3 2" xfId="34014"/>
    <cellStyle name="Style 49 2 2 4 3 2" xfId="34015"/>
    <cellStyle name="Title [Helv] 2 2 3 4 4 3 2" xfId="34016"/>
    <cellStyle name="Bold/Border 2 2 3 4 4 3 2" xfId="34017"/>
    <cellStyle name="Format a row of totals 4 2 2 2" xfId="34018"/>
    <cellStyle name="Format text as bold, black on yellow 4 2 2 2" xfId="34019"/>
    <cellStyle name="Heading [Helv] 4 3 3 2" xfId="34020"/>
    <cellStyle name="Heading [Palat] 4 3 3 2" xfId="34021"/>
    <cellStyle name="Title [Helv] 2 2 7 3 2" xfId="34022"/>
    <cellStyle name="Heading [Palat] 2 2 7 3 2" xfId="34023"/>
    <cellStyle name="COL HEADINGS 2 2 7 3 2" xfId="34024"/>
    <cellStyle name="ac 2 2 7 3 2" xfId="34025"/>
    <cellStyle name="ItemTypeClass 4 2 2 2" xfId="34026"/>
    <cellStyle name="Main 3 2 2 2" xfId="34027"/>
    <cellStyle name="Outputs 4 3 3 2" xfId="34028"/>
    <cellStyle name="PB Table Standard Row 5 3 3 2" xfId="34029"/>
    <cellStyle name="P-Green Rule 5 3 3 2" xfId="34030"/>
    <cellStyle name="SAPBEXaggItemX 3 2 2 2" xfId="34031"/>
    <cellStyle name="SAPBEXHLevel0 3 2 2 2" xfId="34032"/>
    <cellStyle name="SAPBEXHLevel0X 3 2 2 2" xfId="34033"/>
    <cellStyle name="SAPBEXHLevel1 3 2 2 2" xfId="34034"/>
    <cellStyle name="SAPBEXHLevel1X 3 2 2 2" xfId="34035"/>
    <cellStyle name="SAPBEXHLevel2 3 2 2 2" xfId="34036"/>
    <cellStyle name="SAPBEXHLevel2X 3 2 2 2" xfId="34037"/>
    <cellStyle name="SAPBEXHLevel3 3 2 2 2" xfId="34038"/>
    <cellStyle name="SAPBEXHLevel3X 3 2 2 2" xfId="34039"/>
    <cellStyle name="SAPBEXresItemX 3 2 2 2" xfId="34040"/>
    <cellStyle name="SAPBEXstdItemX 3 2 2 2" xfId="34041"/>
    <cellStyle name="Style 21 4 2 2 2" xfId="34042"/>
    <cellStyle name="Style 22 4 2 2 2" xfId="34043"/>
    <cellStyle name="Style 35 4 2 2 2" xfId="34044"/>
    <cellStyle name="Style 36 4 2 2 2" xfId="34045"/>
    <cellStyle name="Style 37 4 2 2 2" xfId="34046"/>
    <cellStyle name="Style 40 4 2 2 2" xfId="34047"/>
    <cellStyle name="Style 42 4 2 2 2" xfId="34048"/>
    <cellStyle name="Style 43 4 2 2 2" xfId="34049"/>
    <cellStyle name="Style 44 6 3 3 2" xfId="34050"/>
    <cellStyle name="Style 45 6 3 3 2" xfId="34051"/>
    <cellStyle name="Style 48 4 2 2 2" xfId="34052"/>
    <cellStyle name="Style 49 6 3 3 2" xfId="34053"/>
    <cellStyle name="Style 50 4 2 2 2" xfId="34054"/>
    <cellStyle name="Style 51 6 3 3 2" xfId="34055"/>
    <cellStyle name="Style 52 4 2 2 2" xfId="34056"/>
    <cellStyle name="Style 53 4 2 2 2" xfId="34057"/>
    <cellStyle name="SymbolBlue 4 2 2 2" xfId="34058"/>
    <cellStyle name="Table Head Green 4 3 3 2" xfId="34059"/>
    <cellStyle name="UNLOCKED 21 2 2 2" xfId="34060"/>
    <cellStyle name="WingdingsBlack 4 2 2 2" xfId="34061"/>
    <cellStyle name="WingdingsRed 4 2 2 2" xfId="34062"/>
    <cellStyle name="WingdingsWhite 4 2 2 2" xfId="34063"/>
    <cellStyle name="Heading [Helv] 2 9 3 2" xfId="34064"/>
    <cellStyle name="Afjusted 6 3 3 2" xfId="34065"/>
    <cellStyle name="UNLOCKED 22 2 2 2" xfId="34066"/>
    <cellStyle name="ac 2 5 3 3 2" xfId="34067"/>
    <cellStyle name="Afjusted 2 4 3 3 2" xfId="34068"/>
    <cellStyle name="Bold/Border 2 5 3 3 2" xfId="34069"/>
    <cellStyle name="Border Thin 2 5 3 3 2" xfId="34070"/>
    <cellStyle name="COL HEADINGS 2 5 3 3 2" xfId="34071"/>
    <cellStyle name="Date [mmm-yyyy] 2 5 3 3 2" xfId="34072"/>
    <cellStyle name="dp*NumberLine 2 5 3 3 2" xfId="34073"/>
    <cellStyle name="dp*NumberLineEPS 2 5 3 3 2" xfId="34074"/>
    <cellStyle name="dp*SheetSubTitle 2 5 3 3 2" xfId="34075"/>
    <cellStyle name="dp*SubTitle 2 5 3 3 2" xfId="34076"/>
    <cellStyle name="dp*ThinLineBelow 2 5 3 3 2" xfId="34077"/>
    <cellStyle name="Heading [Helv] 2 5 3 3 2" xfId="34078"/>
    <cellStyle name="Heading [Palat] 2 5 3 3 2" xfId="34079"/>
    <cellStyle name="Magic 2 5 3 3 2" xfId="34080"/>
    <cellStyle name="Outputs 2 5 3 3 2" xfId="34081"/>
    <cellStyle name="PB Table Standard Row 2 5 3 3 2" xfId="34082"/>
    <cellStyle name="P-Green Rule 2 5 3 3 2" xfId="34083"/>
    <cellStyle name="Style 44 3 5 3 3 2" xfId="34084"/>
    <cellStyle name="Style 45 3 5 3 3 2" xfId="34085"/>
    <cellStyle name="Style 49 3 5 3 3 2" xfId="34086"/>
    <cellStyle name="Style 51 3 5 3 3 2" xfId="34087"/>
    <cellStyle name="Style 44 2 5 3 3 2" xfId="34088"/>
    <cellStyle name="Style 45 2 5 3 3 2" xfId="34089"/>
    <cellStyle name="Style 49 2 5 3 3 2" xfId="34090"/>
    <cellStyle name="Style 51 2 5 3 3 2" xfId="34091"/>
    <cellStyle name="Table Head Aligned 2 5 3 3 2" xfId="34092"/>
    <cellStyle name="Table Head Green 2 5 3 3 2" xfId="34093"/>
    <cellStyle name="Title [Helv] 2 5 3 3 2" xfId="34094"/>
    <cellStyle name="Title [Palat] 2 5 3 3 2" xfId="34095"/>
    <cellStyle name="Magic 2 2 3 2 4 3 2" xfId="34096"/>
    <cellStyle name="Table Head Green 2 3 4 3 2" xfId="34097"/>
    <cellStyle name="Outputs 2 2 3 2 4 3 2" xfId="34098"/>
    <cellStyle name="UNLOCKED 23 2 2 2" xfId="34099"/>
    <cellStyle name="Heading [Palat] 2 2 3 4 4 3 2" xfId="34100"/>
    <cellStyle name="UNLOCKED 24 2 2 2" xfId="34101"/>
    <cellStyle name="P-Green Rule 5 4 3 2" xfId="34102"/>
    <cellStyle name="Date [mm-d-yyyy] 5 4 3 2" xfId="34103"/>
    <cellStyle name="ac 4 4 3 2" xfId="34104"/>
    <cellStyle name="Table Head Aligned 2 4 4 3 2" xfId="34105"/>
    <cellStyle name="ac 5 3 3 2" xfId="34106"/>
    <cellStyle name="Bold/Border 3 4 3 2" xfId="34107"/>
    <cellStyle name="dp*NumberLineEPS 3 4 3 2" xfId="34108"/>
    <cellStyle name="Arial6Bold 5 2 2 2" xfId="34109"/>
    <cellStyle name="Arial8Bold 5 2 2 2" xfId="34110"/>
    <cellStyle name="Arial8Italic 5 2 2 2" xfId="34111"/>
    <cellStyle name="ArialNormal 5 2 2 2" xfId="34112"/>
    <cellStyle name="Heading [Helv] 3 4 3 2" xfId="34113"/>
    <cellStyle name="Title [Palat] 3 4 3 2" xfId="34114"/>
    <cellStyle name="Bold/Border 5 3 3 2" xfId="34115"/>
    <cellStyle name="Border Thin 6 3 3 2" xfId="34116"/>
    <cellStyle name="PB Table Standard Row 4 4 3 2" xfId="34117"/>
    <cellStyle name="Date [mm-d-yyyy] 4 4 3 2" xfId="34118"/>
    <cellStyle name="Title [Palat] 2 2 2 4 4 3 2" xfId="34119"/>
    <cellStyle name="Table Head Aligned 2 2 2 4 4 3 2" xfId="34120"/>
    <cellStyle name="Heading [Helv] 2 2 2 4 4 3 2" xfId="34121"/>
    <cellStyle name="COL HEADINGS 2 2 2 4 4 3 2" xfId="34122"/>
    <cellStyle name="Style 44 4 2 4 4 3 2" xfId="34123"/>
    <cellStyle name="PB Table Standard Row 3 2 4 4 3 2" xfId="34124"/>
    <cellStyle name="COL HEADINGS 5 3 3 2" xfId="34125"/>
    <cellStyle name="Afjusted 3 2 4 4 3 2" xfId="34126"/>
    <cellStyle name="Heading [Palat] 2 2 2 3 4 3 2" xfId="34127"/>
    <cellStyle name="dp*NumberLineEPS 2 2 2 3 4 3 2" xfId="34128"/>
    <cellStyle name="COL HEADINGS 2 2 2 3 4 3 2" xfId="34129"/>
    <cellStyle name="ac 2 2 2 3 4 3 2" xfId="34130"/>
    <cellStyle name="dp*SubTitle 3 2 3 4 3 2" xfId="34131"/>
    <cellStyle name="P-Green Rule 3 2 3 4 3 2" xfId="34132"/>
    <cellStyle name="Style 49 4 2 3 4 3 2" xfId="34133"/>
    <cellStyle name="Afjusted 3 2 3 4 3 2" xfId="34134"/>
    <cellStyle name="Title [Helv] 2 2 2 2 4 3 2" xfId="34135"/>
    <cellStyle name="Afjusted 2 2 2 7 3 2" xfId="34136"/>
    <cellStyle name="Date [mm-d-yyyy] 3 3 7 3 2" xfId="34137"/>
    <cellStyle name="Style 51 4 3 7 3 2" xfId="34138"/>
    <cellStyle name="Style 44 4 3 7 3 2" xfId="34139"/>
    <cellStyle name="dp*ThinLineBelow 3 3 7 3 2" xfId="34140"/>
    <cellStyle name="Afjusted 4 3 7 3 2" xfId="34141"/>
    <cellStyle name="Date [mm-d-yyyy] 6 2 3 2" xfId="34142"/>
    <cellStyle name="COL HEADINGS 2 2 3 7 3 2" xfId="34143"/>
    <cellStyle name="Title [Palat] 2 2 3 7 3 2" xfId="34144"/>
    <cellStyle name="DateYearEstimate 5 2 2 2" xfId="34145"/>
    <cellStyle name="DateYearWholeEstimate 5 2 2 2" xfId="34146"/>
    <cellStyle name="Afjusted 2 2 4 4 3 2" xfId="34147"/>
    <cellStyle name="Border Thin 3 3 4 4 3 2" xfId="34148"/>
    <cellStyle name="Style 49 4 4 4 3 2" xfId="34149"/>
    <cellStyle name="Afjusted 2 2 3 3 4 3 2" xfId="34150"/>
    <cellStyle name="Draw lines around data in range 5 2 2 2" xfId="34151"/>
    <cellStyle name="Draw shadow and lines within range 5 2 2 2" xfId="34152"/>
    <cellStyle name="Border Thin 3 3 3 4 3 2" xfId="34153"/>
    <cellStyle name="COL HEADINGS 2 2 3 3 4 3 2" xfId="34154"/>
    <cellStyle name="Magic 2 2 3 3 4 3 2" xfId="34155"/>
    <cellStyle name="Title [Helv] 2 2 4 4 3 2" xfId="34156"/>
    <cellStyle name="Heading [Palat] 2 2 4 4 3 2" xfId="34157"/>
    <cellStyle name="Table Head Aligned 2 2 3 4 4 3 2" xfId="34158"/>
    <cellStyle name="dp*NumberLineEPS 2 2 3 4 4 3 2" xfId="34159"/>
    <cellStyle name="Afjusted 4 3 4 4 3 2" xfId="34160"/>
    <cellStyle name="Style 44 3 3 4 3 2" xfId="34161"/>
    <cellStyle name="dp*ThinLineBelow 2 2 4 3 2" xfId="34162"/>
    <cellStyle name="Style 44 3 2 4 3 2" xfId="34163"/>
    <cellStyle name="Style 51 3 2 4 3 2" xfId="34164"/>
    <cellStyle name="Style 45 2 2 4 3 2" xfId="34165"/>
    <cellStyle name="Magic 2 2 3 4 4 3 2" xfId="34166"/>
    <cellStyle name="Format a row of totals 5 2 2 2" xfId="34167"/>
    <cellStyle name="Format text as bold, black on yellow 5 2 2 2" xfId="34168"/>
    <cellStyle name="Heading [Helv] 5 3 3 2" xfId="34169"/>
    <cellStyle name="Heading [Palat] 5 3 3 2" xfId="34170"/>
    <cellStyle name="Table Head Green 2 2 7 3 2" xfId="34171"/>
    <cellStyle name="Heading [Helv] 2 2 7 3 2" xfId="34172"/>
    <cellStyle name="Bold/Border 2 2 7 3 2" xfId="34173"/>
    <cellStyle name="ItemTypeClass 5 2 2 2" xfId="34174"/>
    <cellStyle name="Main 4 2 2 2" xfId="34175"/>
    <cellStyle name="Style 49 2 8 3 2" xfId="34176"/>
    <cellStyle name="Outputs 5 3 3 2" xfId="34177"/>
    <cellStyle name="PB Table Standard Row 6 3 3 2" xfId="34178"/>
    <cellStyle name="P-Green Rule 6 3 3 2" xfId="34179"/>
    <cellStyle name="SAPBEXaggItemX 4 2 2 2" xfId="34180"/>
    <cellStyle name="SAPBEXHLevel0 4 2 2 2" xfId="34181"/>
    <cellStyle name="SAPBEXHLevel0X 4 2 2 2" xfId="34182"/>
    <cellStyle name="SAPBEXHLevel1 4 2 2 2" xfId="34183"/>
    <cellStyle name="SAPBEXHLevel1X 4 2 2 2" xfId="34184"/>
    <cellStyle name="SAPBEXHLevel2 4 2 2 2" xfId="34185"/>
    <cellStyle name="SAPBEXHLevel2X 4 2 2 2" xfId="34186"/>
    <cellStyle name="SAPBEXHLevel3 4 2 2 2" xfId="34187"/>
    <cellStyle name="SAPBEXHLevel3X 4 2 2 2" xfId="34188"/>
    <cellStyle name="SAPBEXresItemX 4 2 2 2" xfId="34189"/>
    <cellStyle name="SAPBEXstdItemX 4 2 2 2" xfId="34190"/>
    <cellStyle name="Style 21 5 2 2 2" xfId="34191"/>
    <cellStyle name="Style 22 5 2 2 2" xfId="34192"/>
    <cellStyle name="Style 35 5 2 2 2" xfId="34193"/>
    <cellStyle name="Style 36 5 2 2 2" xfId="34194"/>
    <cellStyle name="Style 37 5 2 2 2" xfId="34195"/>
    <cellStyle name="Style 40 5 2 2 2" xfId="34196"/>
    <cellStyle name="Style 42 5 2 2 2" xfId="34197"/>
    <cellStyle name="Style 43 5 2 2 2" xfId="34198"/>
    <cellStyle name="Style 44 7 3 3 2" xfId="34199"/>
    <cellStyle name="Style 45 7 3 3 2" xfId="34200"/>
    <cellStyle name="Style 48 5 2 2 2" xfId="34201"/>
    <cellStyle name="Style 49 7 3 3 2" xfId="34202"/>
    <cellStyle name="Style 50 5 2 2 2" xfId="34203"/>
    <cellStyle name="Style 51 7 3 3 2" xfId="34204"/>
    <cellStyle name="Style 52 5 2 2 2" xfId="34205"/>
    <cellStyle name="Style 53 5 2 2 2" xfId="34206"/>
    <cellStyle name="SymbolBlue 5 2 2 2" xfId="34207"/>
    <cellStyle name="Table Head Green 5 3 3 2" xfId="34208"/>
    <cellStyle name="Title [Palat] 4 3 3 2" xfId="34209"/>
    <cellStyle name="UNLOCKED 25 2 2 2" xfId="34210"/>
    <cellStyle name="WingdingsBlack 5 2 2 2" xfId="34211"/>
    <cellStyle name="WingdingsRed 5 2 2 2" xfId="34212"/>
    <cellStyle name="WingdingsWhite 5 2 2 2" xfId="34213"/>
    <cellStyle name="ac 2 6 3 3 2" xfId="34214"/>
    <cellStyle name="Bold/Border 2 6 3 3 2" xfId="34215"/>
    <cellStyle name="Border Thin 2 6 3 3 2" xfId="34216"/>
    <cellStyle name="COL HEADINGS 2 6 3 3 2" xfId="34217"/>
    <cellStyle name="Date [mm-d-yyyy] 2 3 2 3 2" xfId="34218"/>
    <cellStyle name="Bold/Border 2 2 3 3 4 3 2" xfId="34219"/>
    <cellStyle name="Header2 2 2 2 2 2" xfId="34220"/>
    <cellStyle name="Heading [Helv] 2 6 3 3 2" xfId="34221"/>
    <cellStyle name="Heading [Palat] 2 6 3 3 2" xfId="34222"/>
    <cellStyle name="Outputs 2 2 3 3 4 3 2" xfId="34223"/>
    <cellStyle name="Outputs 2 6 3 3 2" xfId="34224"/>
    <cellStyle name="PB Table Standard Row 2 6 3 3 2" xfId="34225"/>
    <cellStyle name="P-Green Rule 2 6 3 3 2" xfId="34226"/>
    <cellStyle name="Style 44 3 6 3 3 2" xfId="34227"/>
    <cellStyle name="Style 45 3 6 3 3 2" xfId="34228"/>
    <cellStyle name="Style 49 3 6 3 3 2" xfId="34229"/>
    <cellStyle name="Style 51 3 6 3 3 2" xfId="34230"/>
    <cellStyle name="Style 44 2 6 3 3 2" xfId="34231"/>
    <cellStyle name="Style 45 2 6 3 3 2" xfId="34232"/>
    <cellStyle name="Style 49 2 6 3 3 2" xfId="34233"/>
    <cellStyle name="Style 51 2 6 3 3 2" xfId="34234"/>
    <cellStyle name="Table Head Green 2 6 3 3 2" xfId="34235"/>
    <cellStyle name="Title [Palat] 2 6 3 3 2" xfId="34236"/>
    <cellStyle name="Table Head Green 2 2 3 4 4 3 2" xfId="34237"/>
    <cellStyle name="UNLOCKED 26 2 2 2" xfId="34238"/>
    <cellStyle name="Table Head Green 2 2 2 7 3 2" xfId="34239"/>
    <cellStyle name="Outputs 2 2 2 7 3 2" xfId="34240"/>
    <cellStyle name="Title [Helv] 2 2 3 2 4 3 2" xfId="34241"/>
    <cellStyle name="PB Table Standard Row 3 5 4 3 2" xfId="34242"/>
    <cellStyle name="P-Green Rule 3 2 2 4 3 2" xfId="34243"/>
    <cellStyle name="Style 49 4 2 2 4 3 2" xfId="34244"/>
    <cellStyle name="dp*NumberLineEPS 2 8 3 2" xfId="34245"/>
    <cellStyle name="Heading [Helv] 2 2 2 7 3 2" xfId="34246"/>
    <cellStyle name="FieldName 4 2 2 2" xfId="34247"/>
    <cellStyle name="WingdingsWhite 6 2 2 2" xfId="34248"/>
    <cellStyle name="WingdingsRed 6 2 2 2" xfId="34249"/>
    <cellStyle name="WingdingsBlack 6 2 2 2" xfId="34250"/>
    <cellStyle name="UNLOCKED 28 2 2 2" xfId="34251"/>
    <cellStyle name="Title [Palat] 5 3 3 2" xfId="34252"/>
    <cellStyle name="Title [Helv] 4 3 3 2" xfId="34253"/>
    <cellStyle name="Table Head Green 6 3 3 2" xfId="34254"/>
    <cellStyle name="Table Head Aligned 4 3 3 2" xfId="34255"/>
    <cellStyle name="SymbolBlue 6 2 2 2" xfId="34256"/>
    <cellStyle name="Style 53 6 2 2 2" xfId="34257"/>
    <cellStyle name="Style 52 6 2 2 2" xfId="34258"/>
    <cellStyle name="Style 50 6 2 2 2" xfId="34259"/>
    <cellStyle name="Style 48 6 2 2 2" xfId="34260"/>
    <cellStyle name="Style 43 6 2 2 2" xfId="34261"/>
    <cellStyle name="Style 42 6 2 2 2" xfId="34262"/>
    <cellStyle name="Style 40 6 2 2 2" xfId="34263"/>
    <cellStyle name="Style 37 6 2 2 2" xfId="34264"/>
    <cellStyle name="Style 36 6 2 2 2" xfId="34265"/>
    <cellStyle name="Style 35 6 2 2 2" xfId="34266"/>
    <cellStyle name="Style 28 4 2 2 2" xfId="34267"/>
    <cellStyle name="Style 27 4 2 2 2" xfId="34268"/>
    <cellStyle name="Style 24 4 2 2 2" xfId="34269"/>
    <cellStyle name="Style 26 4 2 2 2" xfId="34270"/>
    <cellStyle name="Style 25 4 2 2 2" xfId="34271"/>
    <cellStyle name="Style 22 6 2 2 2" xfId="34272"/>
    <cellStyle name="Style 21 6 2 2 2" xfId="34273"/>
    <cellStyle name="SSFixed2 3 2 2 2" xfId="34274"/>
    <cellStyle name="SSDfltPct0 3 2 2 2" xfId="34275"/>
    <cellStyle name="SSDfltPct 3 2 2 2" xfId="34276"/>
    <cellStyle name="SSDecs3 3 2 2 2" xfId="34277"/>
    <cellStyle name="SSComma2 3 2 2 2" xfId="34278"/>
    <cellStyle name="SSComma0 3 2 2 2" xfId="34279"/>
    <cellStyle name="SAPBEXundefined 3 2 2 2" xfId="34280"/>
    <cellStyle name="SAPBEXtitle 3 2 2 2" xfId="34281"/>
    <cellStyle name="SAPBEXstdItemX 5 2 2 2" xfId="34282"/>
    <cellStyle name="SAPBEXstdItem 3 2 2 2" xfId="34283"/>
    <cellStyle name="SAPBEXstdDataEmph 3 2 2 2" xfId="34284"/>
    <cellStyle name="SAPBEXstdData 3 2 2 2" xfId="34285"/>
    <cellStyle name="SAPBEXresItemX 5 2 2 2" xfId="34286"/>
    <cellStyle name="SAPBEXresItem 3 2 2 2" xfId="34287"/>
    <cellStyle name="SAPBEXresDataEmph 3 2 2 2" xfId="34288"/>
    <cellStyle name="SAPBEXresData 3 2 2 2" xfId="34289"/>
    <cellStyle name="SAPBEXHLevel3X 5 2 2 2" xfId="34290"/>
    <cellStyle name="SAPBEXHLevel3 5 2 2 2" xfId="34291"/>
    <cellStyle name="SAPBEXHLevel2X 5 2 2 2" xfId="34292"/>
    <cellStyle name="SAPBEXHLevel2 5 2 2 2" xfId="34293"/>
    <cellStyle name="SAPBEXHLevel1X 5 2 2 2" xfId="34294"/>
    <cellStyle name="SAPBEXHLevel1 5 2 2 2" xfId="34295"/>
    <cellStyle name="SAPBEXHLevel0X 5 2 2 2" xfId="34296"/>
    <cellStyle name="SAPBEXHLevel0 5 2 2 2" xfId="34297"/>
    <cellStyle name="SAPBEXformats 3 2 2 2" xfId="34298"/>
    <cellStyle name="SAPBEXexcGood3 3 2 2 2" xfId="34299"/>
    <cellStyle name="SAPBEXexcGood2 3 2 2 2" xfId="34300"/>
    <cellStyle name="SAPBEXexcGood1 3 2 2 2" xfId="34301"/>
    <cellStyle name="SAPBEXexcCritical6 3 2 2 2" xfId="34302"/>
    <cellStyle name="SAPBEXexcCritical5 3 2 2 2" xfId="34303"/>
    <cellStyle name="SAPBEXexcCritical4 3 2 2 2" xfId="34304"/>
    <cellStyle name="SAPBEXexcBad9 3 2 2 2" xfId="34305"/>
    <cellStyle name="SAPBEXexcBad8 3 2 2 2" xfId="34306"/>
    <cellStyle name="SAPBEXexcBad7 3 2 2 2" xfId="34307"/>
    <cellStyle name="SAPBEXaggItemX 5 2 2 2" xfId="34308"/>
    <cellStyle name="SAPBEXaggItem 3 2 2 2" xfId="34309"/>
    <cellStyle name="SAPBEXaggDataEmph 3 2 2 2" xfId="34310"/>
    <cellStyle name="SAPBEXaggData 3 2 2 2" xfId="34311"/>
    <cellStyle name="Arial6Bold 7 2 2 2" xfId="34312"/>
    <cellStyle name="Arial8Bold 7 2 2 2" xfId="34313"/>
    <cellStyle name="Arial8Italic 7 2 2 2" xfId="34314"/>
    <cellStyle name="ArialNormal 7 2 2 2" xfId="34315"/>
    <cellStyle name="Border 5 2 2 2" xfId="34316"/>
    <cellStyle name="Outputs 6 3 3 2" xfId="34317"/>
    <cellStyle name="dp*Number%ItalicsLineAbove 5 2 2 2" xfId="34318"/>
    <cellStyle name="dp*ThinLineAbove 5 2 2 2" xfId="34319"/>
    <cellStyle name="Draw lines around data in range 7 2 2 2" xfId="34320"/>
    <cellStyle name="Draw shadow and lines within range 7 2 2 2" xfId="34321"/>
    <cellStyle name="Millions 9 2 2 2" xfId="34322"/>
    <cellStyle name="Main 5 2 2 2" xfId="34323"/>
    <cellStyle name="Magic 4 3 3 2" xfId="34324"/>
    <cellStyle name="ItemTypeClass 6 2 2 2" xfId="34325"/>
    <cellStyle name="Format a row of totals 7 2 2 2" xfId="34326"/>
    <cellStyle name="Format text as bold, black on yellow 7 2 2 2" xfId="34327"/>
    <cellStyle name="dp*NumberLine 2 2 7 3 2" xfId="34328"/>
    <cellStyle name="Heading [Palat] 6 3 3 2" xfId="34329"/>
    <cellStyle name="Heading [Helv] 6 3 3 2" xfId="34330"/>
    <cellStyle name="Format text as bold, black on yellow 6 2 2 2" xfId="34331"/>
    <cellStyle name="Format a row of totals 6 2 2 2" xfId="34332"/>
    <cellStyle name="ItemTypeClass 7 2 2 2" xfId="34333"/>
    <cellStyle name="Main 6 2 2 2" xfId="34334"/>
    <cellStyle name="Draw shadow and lines within range 6 2 2 2" xfId="34335"/>
    <cellStyle name="Draw lines around data in range 6 2 2 2" xfId="34336"/>
    <cellStyle name="dp*ThinLineBelow 5 3 3 2" xfId="34337"/>
    <cellStyle name="dp*ThinLineAbove 4 2 2 2" xfId="34338"/>
    <cellStyle name="dp*SubTitle 5 3 3 2" xfId="34339"/>
    <cellStyle name="dp*SheetSubTitle 4 3 3 2" xfId="34340"/>
    <cellStyle name="dp*NumberLineEPS 4 3 3 2" xfId="34341"/>
    <cellStyle name="dp*NumberLine 4 3 3 2" xfId="34342"/>
    <cellStyle name="ac 2 3 4 3 2" xfId="34343"/>
    <cellStyle name="dp*Number%ItalicsLineAbove 4 2 2 2" xfId="34344"/>
    <cellStyle name="Millions 10 2 2 2" xfId="34345"/>
    <cellStyle name="Date [mmm-yyyy] 2 2 3 3 4 3 2" xfId="34346"/>
    <cellStyle name="Title [Helv] 2 3 4 3 2" xfId="34347"/>
    <cellStyle name="DateYearWholeEstimate 6 2 2 2" xfId="34348"/>
    <cellStyle name="DateYearEstimate 6 2 2 2" xfId="34349"/>
    <cellStyle name="Date [mmm-yyyy] 4 3 3 2" xfId="34350"/>
    <cellStyle name="Date [mm-d-yyyy] 7 3 3 2" xfId="34351"/>
    <cellStyle name="COL HEADINGS 6 3 3 2" xfId="34352"/>
    <cellStyle name="dp*SheetSubTitle 2 2 2 4 4 3 2" xfId="34353"/>
    <cellStyle name="Border Thin 7 3 3 2" xfId="34354"/>
    <cellStyle name="Border 4 2 2 2" xfId="34355"/>
    <cellStyle name="Bold/Border 6 3 3 2" xfId="34356"/>
    <cellStyle name="ArialNormal 6 2 2 2" xfId="34357"/>
    <cellStyle name="Arial8Italic 6 2 2 2" xfId="34358"/>
    <cellStyle name="Arial8Bold 6 2 2 2" xfId="34359"/>
    <cellStyle name="Arial6Bold 6 2 2 2" xfId="34360"/>
    <cellStyle name="Afjusted 7 3 3 2" xfId="34361"/>
    <cellStyle name="ac 6 3 3 2" xfId="34362"/>
    <cellStyle name="SAPBEXaggData 4 2 2 2" xfId="34363"/>
    <cellStyle name="SAPBEXaggDataEmph 4 2 2 2" xfId="34364"/>
    <cellStyle name="SAPBEXaggItem 4 2 2 2" xfId="34365"/>
    <cellStyle name="SAPBEXaggItemX 6 2 2 2" xfId="34366"/>
    <cellStyle name="SAPBEXexcBad7 4 2 2 2" xfId="34367"/>
    <cellStyle name="SAPBEXexcBad8 4 2 2 2" xfId="34368"/>
    <cellStyle name="SAPBEXexcBad9 4 2 2 2" xfId="34369"/>
    <cellStyle name="SAPBEXexcCritical4 4 2 2 2" xfId="34370"/>
    <cellStyle name="SAPBEXexcCritical5 4 2 2 2" xfId="34371"/>
    <cellStyle name="SAPBEXexcCritical6 4 2 2 2" xfId="34372"/>
    <cellStyle name="SAPBEXexcGood2 4 2 2 2" xfId="34373"/>
    <cellStyle name="SAPBEXexcGood1 4 2 2 2" xfId="34374"/>
    <cellStyle name="SAPBEXexcGood3 4 2 2 2" xfId="34375"/>
    <cellStyle name="SAPBEXformats 4 2 2 2" xfId="34376"/>
    <cellStyle name="SAPBEXHLevel0 6 2 2 2" xfId="34377"/>
    <cellStyle name="SAPBEXHLevel0X 6 2 2 2" xfId="34378"/>
    <cellStyle name="SAPBEXHLevel1 6 2 2 2" xfId="34379"/>
    <cellStyle name="SAPBEXHLevel1X 6 2 2 2" xfId="34380"/>
    <cellStyle name="SAPBEXHLevel2 6 2 2 2" xfId="34381"/>
    <cellStyle name="SAPBEXHLevel2X 6 2 2 2" xfId="34382"/>
    <cellStyle name="SAPBEXHLevel3 6 2 2 2" xfId="34383"/>
    <cellStyle name="SAPBEXHLevel3X 6 2 2 2" xfId="34384"/>
    <cellStyle name="SAPBEXresData 4 2 2 2" xfId="34385"/>
    <cellStyle name="SAPBEXresDataEmph 4 2 2 2" xfId="34386"/>
    <cellStyle name="SAPBEXresItem 4 2 2 2" xfId="34387"/>
    <cellStyle name="SAPBEXresItemX 6 2 2 2" xfId="34388"/>
    <cellStyle name="SAPBEXstdData 4 2 2 2" xfId="34389"/>
    <cellStyle name="SAPBEXstdDataEmph 4 2 2 2" xfId="34390"/>
    <cellStyle name="SAPBEXstdItem 4 2 2 2" xfId="34391"/>
    <cellStyle name="SAPBEXstdItemX 6 2 2 2" xfId="34392"/>
    <cellStyle name="SAPBEXtitle 4 2 2 2" xfId="34393"/>
    <cellStyle name="SAPBEXundefined 4 2 2 2" xfId="34394"/>
    <cellStyle name="Style 44 8 3 3 2" xfId="34395"/>
    <cellStyle name="Style 45 8 3 3 2" xfId="34396"/>
    <cellStyle name="Style 49 8 3 3 2" xfId="34397"/>
    <cellStyle name="Style 51 8 3 3 2" xfId="34398"/>
    <cellStyle name="SSComma0 4 2 2 2" xfId="34399"/>
    <cellStyle name="SSComma2 4 2 2 2" xfId="34400"/>
    <cellStyle name="SSDecs3 4 2 2 2" xfId="34401"/>
    <cellStyle name="SSDfltPct 4 2 2 2" xfId="34402"/>
    <cellStyle name="SSDfltPct0 4 2 2 2" xfId="34403"/>
    <cellStyle name="SSFixed2 4 2 2 2" xfId="34404"/>
    <cellStyle name="Style 22 7 2 2 2" xfId="34405"/>
    <cellStyle name="Style 24 5 2 2 2" xfId="34406"/>
    <cellStyle name="Style 25 5 2 2 2" xfId="34407"/>
    <cellStyle name="Style 26 5 2 2 2" xfId="34408"/>
    <cellStyle name="Style 27 5 2 2 2" xfId="34409"/>
    <cellStyle name="Style 28 5 2 2 2" xfId="34410"/>
    <cellStyle name="Style 35 7 2 2 2" xfId="34411"/>
    <cellStyle name="Style 36 7 2 2 2" xfId="34412"/>
    <cellStyle name="Style 37 7 2 2 2" xfId="34413"/>
    <cellStyle name="Style 40 7 2 2 2" xfId="34414"/>
    <cellStyle name="Style 42 7 2 2 2" xfId="34415"/>
    <cellStyle name="Style 43 7 2 2 2" xfId="34416"/>
    <cellStyle name="Style 48 7 2 2 2" xfId="34417"/>
    <cellStyle name="Style 50 7 2 2 2" xfId="34418"/>
    <cellStyle name="Style 52 7 2 2 2" xfId="34419"/>
    <cellStyle name="Style 53 7 2 2 2" xfId="34420"/>
    <cellStyle name="UNLOCKED 27 2 2 2" xfId="34421"/>
    <cellStyle name="SymbolBlue 7 2 2 2" xfId="34422"/>
    <cellStyle name="Style 21 7 2 2 2" xfId="34423"/>
    <cellStyle name="Bold/Border 2 9 3 2" xfId="34424"/>
    <cellStyle name="Afjusted 3 2 2 4 3 2" xfId="34425"/>
    <cellStyle name="Style 44 4 2 2 4 3 2" xfId="34426"/>
    <cellStyle name="Heading [Helv] 2 2 2 2 4 3 2" xfId="34427"/>
    <cellStyle name="Style 45 4 5 4 3 2" xfId="34428"/>
    <cellStyle name="Afjusted 4 3 2 4 3 2" xfId="34429"/>
    <cellStyle name="PB Table Standard Row 2 3 3 3 2" xfId="34430"/>
    <cellStyle name="Style 51 4 2 2 4 3 2" xfId="34431"/>
    <cellStyle name="DateYearWholeEstimate 7 2 2 2" xfId="34432"/>
    <cellStyle name="DateYearEstimate 7 2 2 2" xfId="34433"/>
    <cellStyle name="UNLOCKED 29 2 2 2" xfId="34434"/>
    <cellStyle name="WingdingsBlack 7 2 2 2" xfId="34435"/>
    <cellStyle name="WingdingsRed 7 2 2 2" xfId="34436"/>
    <cellStyle name="WingdingsWhite 7 2 2 2" xfId="34437"/>
    <cellStyle name="UNLOCKED 31 2 2 2" xfId="34438"/>
    <cellStyle name="Title [Palat] 6 3 3 2" xfId="34439"/>
    <cellStyle name="Title [Helv] 5 3 3 2" xfId="34440"/>
    <cellStyle name="Table Head Green 7 3 3 2" xfId="34441"/>
    <cellStyle name="Table Head Aligned 5 3 3 2" xfId="34442"/>
    <cellStyle name="Outputs 7 3 3 2" xfId="34443"/>
    <cellStyle name="Millions 11 2 2 2" xfId="34444"/>
    <cellStyle name="Magic 5 3 3 2" xfId="34445"/>
    <cellStyle name="Heading [Palat] 7 3 3 2" xfId="34446"/>
    <cellStyle name="Heading [Helv] 7 3 3 2" xfId="34447"/>
    <cellStyle name="dp*SheetSubTitle 5 3 3 2" xfId="34448"/>
    <cellStyle name="dp*NumberLineEPS 5 3 3 2" xfId="34449"/>
    <cellStyle name="dp*NumberLine 5 3 3 2" xfId="34450"/>
    <cellStyle name="Date [mmm-yyyy] 5 3 3 2" xfId="34451"/>
    <cellStyle name="COL HEADINGS 7 3 3 2" xfId="34452"/>
    <cellStyle name="Bold/Border 7 3 3 2" xfId="34453"/>
    <cellStyle name="Afjusted 8 3 3 2" xfId="34454"/>
    <cellStyle name="ac 7 3 3 2" xfId="34455"/>
    <cellStyle name="UNLOCKED 30 2 2 2" xfId="34456"/>
    <cellStyle name="FieldName 5 2 2 2" xfId="34457"/>
    <cellStyle name="WingdingsWhite 8 2 2 2" xfId="34458"/>
    <cellStyle name="WingdingsRed 8 2 2 2" xfId="34459"/>
    <cellStyle name="WingdingsBlack 8 2 2 2" xfId="34460"/>
    <cellStyle name="UNLOCKED 33 2 2 2" xfId="34461"/>
    <cellStyle name="Title [Palat] 7 3 3 2" xfId="34462"/>
    <cellStyle name="Title [Helv] 6 3 3 2" xfId="34463"/>
    <cellStyle name="Table Head Green 8 3 3 2" xfId="34464"/>
    <cellStyle name="Table Head Aligned 6 3 3 2" xfId="34465"/>
    <cellStyle name="SymbolBlue 8 2 2 2" xfId="34466"/>
    <cellStyle name="Style 53 8 2 2 2" xfId="34467"/>
    <cellStyle name="Style 52 8 2 2 2" xfId="34468"/>
    <cellStyle name="Style 50 8 2 2 2" xfId="34469"/>
    <cellStyle name="Style 48 8 2 2 2" xfId="34470"/>
    <cellStyle name="Style 43 8 2 2 2" xfId="34471"/>
    <cellStyle name="Style 42 8 2 2 2" xfId="34472"/>
    <cellStyle name="Style 40 8 2 2 2" xfId="34473"/>
    <cellStyle name="Style 37 8 2 2 2" xfId="34474"/>
    <cellStyle name="Style 36 8 2 2 2" xfId="34475"/>
    <cellStyle name="Style 35 8 2 2 2" xfId="34476"/>
    <cellStyle name="Style 28 6 2 2 2" xfId="34477"/>
    <cellStyle name="Style 26 6 2 2 2" xfId="34478"/>
    <cellStyle name="Style 27 6 2 2 2" xfId="34479"/>
    <cellStyle name="Style 25 6 2 2 2" xfId="34480"/>
    <cellStyle name="Style 24 6 2 2 2" xfId="34481"/>
    <cellStyle name="Style 22 8 2 2 2" xfId="34482"/>
    <cellStyle name="Style 21 8 2 2 2" xfId="34483"/>
    <cellStyle name="SSFixed2 5 2 2 2" xfId="34484"/>
    <cellStyle name="SSDfltPct0 5 2 2 2" xfId="34485"/>
    <cellStyle name="SSDfltPct 5 2 2 2" xfId="34486"/>
    <cellStyle name="SSDecs3 5 2 2 2" xfId="34487"/>
    <cellStyle name="SSComma2 5 2 2 2" xfId="34488"/>
    <cellStyle name="SSComma0 5 2 2 2" xfId="34489"/>
    <cellStyle name="SAPBEXundefined 5 2 2 2" xfId="34490"/>
    <cellStyle name="SAPBEXtitle 5 2 2 2" xfId="34491"/>
    <cellStyle name="SAPBEXstdItemX 7 2 2 2" xfId="34492"/>
    <cellStyle name="SAPBEXstdItem 5 2 2 2" xfId="34493"/>
    <cellStyle name="SAPBEXstdDataEmph 5 2 2 2" xfId="34494"/>
    <cellStyle name="SAPBEXstdData 5 2 2 2" xfId="34495"/>
    <cellStyle name="SAPBEXresItemX 7 2 2 2" xfId="34496"/>
    <cellStyle name="SAPBEXresItem 5 2 2 2" xfId="34497"/>
    <cellStyle name="SAPBEXresDataEmph 5 2 2 2" xfId="34498"/>
    <cellStyle name="SAPBEXresData 5 2 2 2" xfId="34499"/>
    <cellStyle name="SAPBEXHLevel3X 7 2 2 2" xfId="34500"/>
    <cellStyle name="SAPBEXHLevel3 7 2 2 2" xfId="34501"/>
    <cellStyle name="SAPBEXHLevel2X 7 2 2 2" xfId="34502"/>
    <cellStyle name="SAPBEXHLevel2 7 2 2 2" xfId="34503"/>
    <cellStyle name="SAPBEXHLevel1X 7 2 2 2" xfId="34504"/>
    <cellStyle name="SAPBEXHLevel1 7 2 2 2" xfId="34505"/>
    <cellStyle name="SAPBEXHLevel0X 7 2 2 2" xfId="34506"/>
    <cellStyle name="SAPBEXHLevel0 7 2 2 2" xfId="34507"/>
    <cellStyle name="SAPBEXformats 5 2 2 2" xfId="34508"/>
    <cellStyle name="SAPBEXexcGood3 5 2 2 2" xfId="34509"/>
    <cellStyle name="SAPBEXexcGood2 5 2 2 2" xfId="34510"/>
    <cellStyle name="SAPBEXexcGood1 5 2 2 2" xfId="34511"/>
    <cellStyle name="SAPBEXexcCritical6 5 2 2 2" xfId="34512"/>
    <cellStyle name="SAPBEXexcCritical5 5 2 2 2" xfId="34513"/>
    <cellStyle name="SAPBEXexcCritical4 5 2 2 2" xfId="34514"/>
    <cellStyle name="SAPBEXexcBad9 5 2 2 2" xfId="34515"/>
    <cellStyle name="SAPBEXexcBad8 5 2 2 2" xfId="34516"/>
    <cellStyle name="SAPBEXexcBad7 5 2 2 2" xfId="34517"/>
    <cellStyle name="SAPBEXaggItemX 7 2 2 2" xfId="34518"/>
    <cellStyle name="SAPBEXaggItem 5 2 2 2" xfId="34519"/>
    <cellStyle name="SAPBEXaggDataEmph 5 2 2 2" xfId="34520"/>
    <cellStyle name="SAPBEXaggData 5 2 2 2" xfId="34521"/>
    <cellStyle name="Outputs 8 3 3 2" xfId="34522"/>
    <cellStyle name="Millions 12 2 2 2" xfId="34523"/>
    <cellStyle name="Main 7 2 2 2" xfId="34524"/>
    <cellStyle name="Magic 6 3 3 2" xfId="34525"/>
    <cellStyle name="ItemTypeClass 8 2 2 2" xfId="34526"/>
    <cellStyle name="Heading [Palat] 8 3 3 2" xfId="34527"/>
    <cellStyle name="Heading [Helv] 8 3 3 2" xfId="34528"/>
    <cellStyle name="Format text as bold, black on yellow 8 2 2 2" xfId="34529"/>
    <cellStyle name="Format a row of totals 8 2 2 2" xfId="34530"/>
    <cellStyle name="Draw shadow and lines within range 8 2 2 2" xfId="34531"/>
    <cellStyle name="Draw lines around data in range 8 2 2 2" xfId="34532"/>
    <cellStyle name="dp*ThinLineAbove 6 2 2 2" xfId="34533"/>
    <cellStyle name="dp*SheetSubTitle 6 3 3 2" xfId="34534"/>
    <cellStyle name="dp*NumberLineEPS 6 3 3 2" xfId="34535"/>
    <cellStyle name="dp*NumberLine 6 3 3 2" xfId="34536"/>
    <cellStyle name="dp*Number%ItalicsLineAbove 6 2 2 2" xfId="34537"/>
    <cellStyle name="DateYearWholeEstimate 8 2 2 2" xfId="34538"/>
    <cellStyle name="DateYearEstimate 8 2 2 2" xfId="34539"/>
    <cellStyle name="COL HEADINGS 8 3 3 2" xfId="34540"/>
    <cellStyle name="dp*NumberLineEPS 2 2 2 4 4 3 2" xfId="34541"/>
    <cellStyle name="Border 6 2 2 2" xfId="34542"/>
    <cellStyle name="Bold/Border 8 3 3 2" xfId="34543"/>
    <cellStyle name="ArialNormal 8 2 2 2" xfId="34544"/>
    <cellStyle name="Arial8Italic 8 2 2 2" xfId="34545"/>
    <cellStyle name="Arial8Bold 8 2 2 2" xfId="34546"/>
    <cellStyle name="Arial6Bold 8 2 2 2" xfId="34547"/>
    <cellStyle name="Afjusted 9 3 3 2" xfId="34548"/>
    <cellStyle name="ac 8 3 3 2" xfId="34549"/>
    <cellStyle name="UNLOCKED 32 2 2 2" xfId="34550"/>
    <cellStyle name="Date [mmm-yyyy] 6 3 3 2" xfId="34551"/>
    <cellStyle name="UNLOCKED 37 2 2" xfId="34552"/>
    <cellStyle name="UNLOCKED 35 2 2 2" xfId="34553"/>
    <cellStyle name="Title [Palat] 8 3 3 2" xfId="34554"/>
    <cellStyle name="Title [Helv] 7 3 3 2" xfId="34555"/>
    <cellStyle name="Table Head Green 9 3 3 2" xfId="34556"/>
    <cellStyle name="Table Head Aligned 7 3 3 2" xfId="34557"/>
    <cellStyle name="Outputs 9 3 3 2" xfId="34558"/>
    <cellStyle name="Millions 13 2 2 2" xfId="34559"/>
    <cellStyle name="Magic 7 3 3 2" xfId="34560"/>
    <cellStyle name="Heading [Palat] 9 3 3 2" xfId="34561"/>
    <cellStyle name="Heading [Helv] 9 3 3 2" xfId="34562"/>
    <cellStyle name="dp*SheetSubTitle 7 3 3 2" xfId="34563"/>
    <cellStyle name="dp*NumberLineEPS 7 3 3 2" xfId="34564"/>
    <cellStyle name="dp*NumberLine 7 3 3 2" xfId="34565"/>
    <cellStyle name="Date [mmm-yyyy] 7 3 3 2" xfId="34566"/>
    <cellStyle name="COL HEADINGS 9 3 3 2" xfId="34567"/>
    <cellStyle name="Bold/Border 9 3 3 2" xfId="34568"/>
    <cellStyle name="Afjusted 10 3 3 2" xfId="34569"/>
    <cellStyle name="ac 9 3 3 2" xfId="34570"/>
    <cellStyle name="UNLOCKED 34 2 2 2" xfId="34571"/>
    <cellStyle name="Title [Palat] 2 2 2 7 3 2" xfId="34572"/>
    <cellStyle name="Heading [Palat] 3 4 3 2" xfId="34573"/>
    <cellStyle name="Afjusted 3 2 7 3 2" xfId="34574"/>
    <cellStyle name="Afjusted 3 6 2 3 2" xfId="34575"/>
    <cellStyle name="ac 2 7 2 3 2" xfId="34576"/>
    <cellStyle name="Afjusted 2 5 2 3 2" xfId="34577"/>
    <cellStyle name="Bold/Border 2 7 2 3 2" xfId="34578"/>
    <cellStyle name="COL HEADINGS 2 7 2 3 2" xfId="34579"/>
    <cellStyle name="Date [mmm-yyyy] 2 6 2 3 2" xfId="34580"/>
    <cellStyle name="dp*NumberLine 2 6 2 3 2" xfId="34581"/>
    <cellStyle name="dp*NumberLineEPS 2 6 2 3 2" xfId="34582"/>
    <cellStyle name="dp*SheetSubTitle 2 6 2 3 2" xfId="34583"/>
    <cellStyle name="Heading [Helv] 2 7 2 3 2" xfId="34584"/>
    <cellStyle name="Heading [Palat] 2 7 2 3 2" xfId="34585"/>
    <cellStyle name="Magic 2 6 2 3 2" xfId="34586"/>
    <cellStyle name="Outputs 2 7 2 3 2" xfId="34587"/>
    <cellStyle name="Table Head Aligned 2 6 2 3 2" xfId="34588"/>
    <cellStyle name="Table Head Green 2 7 2 3 2" xfId="34589"/>
    <cellStyle name="Title [Helv] 2 6 2 3 2" xfId="34590"/>
    <cellStyle name="Title [Palat] 2 7 2 3 2" xfId="34591"/>
    <cellStyle name="Date [mm-d-yyyy] 3 6 2 3 2" xfId="34592"/>
    <cellStyle name="Style 51 4 6 2 3 2" xfId="34593"/>
    <cellStyle name="Style 49 4 6 2 3 2" xfId="34594"/>
    <cellStyle name="Style 45 4 6 2 3 2" xfId="34595"/>
    <cellStyle name="Style 44 4 6 2 3 2" xfId="34596"/>
    <cellStyle name="P-Green Rule 3 6 2 3 2" xfId="34597"/>
    <cellStyle name="PB Table Standard Row 3 6 2 3 2" xfId="34598"/>
    <cellStyle name="dp*ThinLineBelow 3 6 2 3 2" xfId="34599"/>
    <cellStyle name="dp*SubTitle 3 6 2 3 2" xfId="34600"/>
    <cellStyle name="Border Thin 3 6 2 3 2" xfId="34601"/>
    <cellStyle name="Afjusted 4 6 2 3 2" xfId="34602"/>
    <cellStyle name="ac 2 2 5 2 3 2" xfId="34603"/>
    <cellStyle name="Afjusted 2 2 6 2 3 2" xfId="34604"/>
    <cellStyle name="Bold/Border 2 2 5 2 3 2" xfId="34605"/>
    <cellStyle name="COL HEADINGS 2 2 5 2 3 2" xfId="34606"/>
    <cellStyle name="Date [mmm-yyyy] 2 2 5 2 3 2" xfId="34607"/>
    <cellStyle name="dp*NumberLine 2 2 5 2 3 2" xfId="34608"/>
    <cellStyle name="dp*NumberLineEPS 2 2 5 2 3 2" xfId="34609"/>
    <cellStyle name="dp*SheetSubTitle 2 2 5 2 3 2" xfId="34610"/>
    <cellStyle name="Heading [Helv] 2 2 5 2 3 2" xfId="34611"/>
    <cellStyle name="Heading [Palat] 2 2 5 2 3 2" xfId="34612"/>
    <cellStyle name="Magic 2 2 5 2 3 2" xfId="34613"/>
    <cellStyle name="Outputs 2 2 5 2 3 2" xfId="34614"/>
    <cellStyle name="Table Head Aligned 2 2 5 2 3 2" xfId="34615"/>
    <cellStyle name="Table Head Green 2 2 5 2 3 2" xfId="34616"/>
    <cellStyle name="Title [Helv] 2 2 5 2 3 2" xfId="34617"/>
    <cellStyle name="Title [Palat] 2 2 5 2 3 2" xfId="34618"/>
    <cellStyle name="dp*SubTitle 2 2 2 2 3 2" xfId="34619"/>
    <cellStyle name="Border Thin 2 2 2 2 3 2" xfId="34620"/>
    <cellStyle name="Bold/Border 2 2 3 4 2 2 3 2" xfId="34621"/>
    <cellStyle name="Magic 2 2 3 4 2 2 3 2" xfId="34622"/>
    <cellStyle name="Title [Helv] 2 2 3 4 2 2 3 2" xfId="34623"/>
    <cellStyle name="Style 51 2 2 2 2 3 2" xfId="34624"/>
    <cellStyle name="Style 45 2 2 2 2 3 2" xfId="34625"/>
    <cellStyle name="Style 49 2 2 2 2 3 2" xfId="34626"/>
    <cellStyle name="Style 44 2 2 2 2 3 2" xfId="34627"/>
    <cellStyle name="Style 51 3 2 2 2 3 2" xfId="34628"/>
    <cellStyle name="Style 49 3 2 2 2 3 2" xfId="34629"/>
    <cellStyle name="Style 45 3 2 2 2 3 2" xfId="34630"/>
    <cellStyle name="Style 44 3 2 2 2 3 2" xfId="34631"/>
    <cellStyle name="P-Green Rule 2 2 2 2 3 2" xfId="34632"/>
    <cellStyle name="PB Table Standard Row 2 2 2 2 3 2" xfId="34633"/>
    <cellStyle name="dp*ThinLineBelow 2 2 2 2 3 2" xfId="34634"/>
    <cellStyle name="dp*ThinLineBelow 2 3 2 2 3 2" xfId="34635"/>
    <cellStyle name="Style 44 3 3 2 2 3 2" xfId="34636"/>
    <cellStyle name="COL HEADINGS 2 2 3 4 2 2 3 2" xfId="34637"/>
    <cellStyle name="Style 49 4 3 4 2 2 3 2" xfId="34638"/>
    <cellStyle name="Afjusted 3 3 4 2 2 3 2" xfId="34639"/>
    <cellStyle name="Date [mm-d-yyyy] 3 3 4 2 2 3 2" xfId="34640"/>
    <cellStyle name="Afjusted 4 3 4 2 2 3 2" xfId="34641"/>
    <cellStyle name="ac 2 2 3 4 2 2 3 2" xfId="34642"/>
    <cellStyle name="Afjusted 2 2 3 4 2 2 3 2" xfId="34643"/>
    <cellStyle name="Date [mmm-yyyy] 2 2 3 4 2 2 3 2" xfId="34644"/>
    <cellStyle name="dp*NumberLine 2 2 3 4 2 2 3 2" xfId="34645"/>
    <cellStyle name="dp*NumberLineEPS 2 2 3 4 2 2 3 2" xfId="34646"/>
    <cellStyle name="dp*SheetSubTitle 2 2 3 4 2 2 3 2" xfId="34647"/>
    <cellStyle name="Heading [Helv] 2 2 3 4 2 2 3 2" xfId="34648"/>
    <cellStyle name="Outputs 2 2 3 4 2 2 3 2" xfId="34649"/>
    <cellStyle name="Table Head Aligned 2 2 3 4 2 2 3 2" xfId="34650"/>
    <cellStyle name="Title [Palat] 2 2 3 4 2 2 3 2" xfId="34651"/>
    <cellStyle name="Afjusted 3 5 2 2 3 2" xfId="34652"/>
    <cellStyle name="Style 45 3 3 2 2 3 2" xfId="34653"/>
    <cellStyle name="Style 51 3 3 2 2 3 2" xfId="34654"/>
    <cellStyle name="Style 44 2 3 2 2 3 2" xfId="34655"/>
    <cellStyle name="Style 45 2 3 2 2 3 2" xfId="34656"/>
    <cellStyle name="Style 49 2 3 2 2 3 2" xfId="34657"/>
    <cellStyle name="Border Thin 3 5 2 2 3 2" xfId="34658"/>
    <cellStyle name="ac 2 2 4 2 2 3 2" xfId="34659"/>
    <cellStyle name="Afjusted 2 2 5 2 2 3 2" xfId="34660"/>
    <cellStyle name="Bold/Border 2 2 4 2 2 3 2" xfId="34661"/>
    <cellStyle name="COL HEADINGS 2 2 4 2 2 3 2" xfId="34662"/>
    <cellStyle name="Date [mmm-yyyy] 2 2 4 2 2 3 2" xfId="34663"/>
    <cellStyle name="dp*NumberLine 2 2 4 2 2 3 2" xfId="34664"/>
    <cellStyle name="dp*NumberLineEPS 2 2 4 2 2 3 2" xfId="34665"/>
    <cellStyle name="dp*SheetSubTitle 2 2 4 2 2 3 2" xfId="34666"/>
    <cellStyle name="Heading [Palat] 2 2 4 2 2 3 2" xfId="34667"/>
    <cellStyle name="Outputs 2 2 4 2 2 3 2" xfId="34668"/>
    <cellStyle name="Magic 2 2 4 2 2 3 2" xfId="34669"/>
    <cellStyle name="Title [Helv] 2 2 4 2 2 3 2" xfId="34670"/>
    <cellStyle name="Title [Palat] 2 2 4 2 2 3 2" xfId="34671"/>
    <cellStyle name="Title [Palat] 2 2 3 3 2 2 3 2" xfId="34672"/>
    <cellStyle name="Title [Helv] 2 2 3 3 2 2 3 2" xfId="34673"/>
    <cellStyle name="Table Head Aligned 2 2 3 3 2 2 3 2" xfId="34674"/>
    <cellStyle name="Magic 2 2 3 3 2 2 3 2" xfId="34675"/>
    <cellStyle name="Heading [Helv] 2 2 3 3 2 2 3 2" xfId="34676"/>
    <cellStyle name="dp*NumberLineEPS 2 2 3 3 2 2 3 2" xfId="34677"/>
    <cellStyle name="COL HEADINGS 2 2 3 3 2 2 3 2" xfId="34678"/>
    <cellStyle name="ac 2 2 3 3 2 2 3 2" xfId="34679"/>
    <cellStyle name="Afjusted 4 3 3 2 2 3 2" xfId="34680"/>
    <cellStyle name="Border Thin 3 3 3 2 2 3 2" xfId="34681"/>
    <cellStyle name="PB Table Standard Row 3 3 3 2 2 3 2" xfId="34682"/>
    <cellStyle name="Style 44 4 3 3 2 2 3 2" xfId="34683"/>
    <cellStyle name="Style 51 4 3 3 2 2 3 2" xfId="34684"/>
    <cellStyle name="Afjusted 3 3 3 2 2 3 2" xfId="34685"/>
    <cellStyle name="Style 49 4 5 2 2 3 2" xfId="34686"/>
    <cellStyle name="Style 44 4 5 2 2 3 2" xfId="34687"/>
    <cellStyle name="P-Green Rule 3 5 2 2 3 2" xfId="34688"/>
    <cellStyle name="dp*SubTitle 3 5 2 2 3 2" xfId="34689"/>
    <cellStyle name="Afjusted 4 5 2 2 3 2" xfId="34690"/>
    <cellStyle name="ac 2 3 2 2 3 2" xfId="34691"/>
    <cellStyle name="Bold/Border 2 3 2 2 3 2" xfId="34692"/>
    <cellStyle name="COL HEADINGS 2 3 2 2 3 2" xfId="34693"/>
    <cellStyle name="Date [mmm-yyyy] 2 3 2 2 3 2" xfId="34694"/>
    <cellStyle name="dp*NumberLine 2 3 2 2 3 2" xfId="34695"/>
    <cellStyle name="dp*NumberLineEPS 2 3 2 2 3 2" xfId="34696"/>
    <cellStyle name="dp*SheetSubTitle 2 3 2 2 3 2" xfId="34697"/>
    <cellStyle name="Heading [Helv] 2 3 2 2 3 2" xfId="34698"/>
    <cellStyle name="Heading [Palat] 2 3 2 2 3 2" xfId="34699"/>
    <cellStyle name="Magic 2 3 2 2 3 2" xfId="34700"/>
    <cellStyle name="Outputs 2 3 2 2 3 2" xfId="34701"/>
    <cellStyle name="Date [mmm-yyyy] 2 2 3 3 2 2 3 2" xfId="34702"/>
    <cellStyle name="Afjusted 2 2 3 3 2 2 3 2" xfId="34703"/>
    <cellStyle name="dp*ThinLineBelow 3 3 3 2 2 3 2" xfId="34704"/>
    <cellStyle name="Style 49 4 3 3 2 2 3 2" xfId="34705"/>
    <cellStyle name="Outputs 2 2 3 3 2 2 3 2" xfId="34706"/>
    <cellStyle name="dp*NumberLine 2 2 3 3 2 2 3 2" xfId="34707"/>
    <cellStyle name="Bold/Border 2 2 3 3 2 2 3 2" xfId="34708"/>
    <cellStyle name="dp*SubTitle 3 3 3 2 2 3 2" xfId="34709"/>
    <cellStyle name="Style 45 4 3 3 2 2 3 2" xfId="34710"/>
    <cellStyle name="Table Head Aligned 2 3 2 2 3 2" xfId="34711"/>
    <cellStyle name="Table Head Green 2 3 2 2 3 2" xfId="34712"/>
    <cellStyle name="Title [Helv] 2 3 2 2 3 2" xfId="34713"/>
    <cellStyle name="Title [Palat] 2 3 2 2 3 2" xfId="34714"/>
    <cellStyle name="Style 45 4 3 4 2 2 3 2" xfId="34715"/>
    <cellStyle name="Style 51 4 3 4 2 2 3 2" xfId="34716"/>
    <cellStyle name="Afjusted 3 4 2 2 3 2" xfId="34717"/>
    <cellStyle name="P-Green Rule 3 3 4 2 2 3 2" xfId="34718"/>
    <cellStyle name="Border Thin 2 3 2 2 3 2" xfId="34719"/>
    <cellStyle name="Style 49 3 3 2 2 3 2" xfId="34720"/>
    <cellStyle name="Style 51 2 3 2 2 3 2" xfId="34721"/>
    <cellStyle name="Heading [Helv] 2 2 4 2 2 3 2" xfId="34722"/>
    <cellStyle name="Table Head Aligned 2 2 4 2 2 3 2" xfId="34723"/>
    <cellStyle name="Table Head Green 2 2 4 2 2 3 2" xfId="34724"/>
    <cellStyle name="Table Head Green 2 2 3 3 2 2 3 2" xfId="34725"/>
    <cellStyle name="Heading [Palat] 2 2 3 3 2 2 3 2" xfId="34726"/>
    <cellStyle name="dp*SheetSubTitle 2 2 3 3 2 2 3 2" xfId="34727"/>
    <cellStyle name="P-Green Rule 3 3 3 2 2 3 2" xfId="34728"/>
    <cellStyle name="Date [mm-d-yyyy] 3 3 3 2 2 3 2" xfId="34729"/>
    <cellStyle name="Date [mm-d-yyyy] 3 4 2 2 3 2" xfId="34730"/>
    <cellStyle name="Style 51 4 4 2 2 3 2" xfId="34731"/>
    <cellStyle name="Style 49 4 4 2 2 3 2" xfId="34732"/>
    <cellStyle name="Style 45 4 4 2 2 3 2" xfId="34733"/>
    <cellStyle name="Style 44 4 4 2 2 3 2" xfId="34734"/>
    <cellStyle name="dp*ThinLineBelow 3 3 4 2 2 3 2" xfId="34735"/>
    <cellStyle name="P-Green Rule 3 4 2 2 3 2" xfId="34736"/>
    <cellStyle name="dp*ThinLineBelow 3 4 2 2 3 2" xfId="34737"/>
    <cellStyle name="dp*SubTitle 3 4 2 2 3 2" xfId="34738"/>
    <cellStyle name="dp*SubTitle 3 3 4 2 2 3 2" xfId="34739"/>
    <cellStyle name="Border Thin 3 4 2 2 3 2" xfId="34740"/>
    <cellStyle name="Border Thin 3 3 4 2 2 3 2" xfId="34741"/>
    <cellStyle name="Afjusted 4 4 2 2 3 2" xfId="34742"/>
    <cellStyle name="Afjusted 2 2 4 2 2 3 2" xfId="34743"/>
    <cellStyle name="Style 44 4 3 4 2 2 3 2" xfId="34744"/>
    <cellStyle name="PB Table Standard Row 3 3 4 2 2 3 2" xfId="34745"/>
    <cellStyle name="Title [Palat] 2 2 3 5 2 3 2" xfId="34746"/>
    <cellStyle name="Title [Helv] 2 2 3 5 2 3 2" xfId="34747"/>
    <cellStyle name="Table Head Green 2 2 3 5 2 3 2" xfId="34748"/>
    <cellStyle name="Table Head Aligned 2 2 3 5 2 3 2" xfId="34749"/>
    <cellStyle name="Outputs 2 2 3 5 2 3 2" xfId="34750"/>
    <cellStyle name="Magic 2 2 3 5 2 3 2" xfId="34751"/>
    <cellStyle name="Heading [Palat] 2 2 3 5 2 3 2" xfId="34752"/>
    <cellStyle name="Heading [Helv] 2 2 3 5 2 3 2" xfId="34753"/>
    <cellStyle name="dp*SheetSubTitle 2 2 3 5 2 3 2" xfId="34754"/>
    <cellStyle name="dp*NumberLineEPS 2 2 3 5 2 3 2" xfId="34755"/>
    <cellStyle name="dp*NumberLine 2 2 3 5 2 3 2" xfId="34756"/>
    <cellStyle name="Date [mmm-yyyy] 2 2 3 5 2 3 2" xfId="34757"/>
    <cellStyle name="COL HEADINGS 2 2 3 5 2 3 2" xfId="34758"/>
    <cellStyle name="Bold/Border 2 2 3 5 2 3 2" xfId="34759"/>
    <cellStyle name="Afjusted 2 2 3 5 2 3 2" xfId="34760"/>
    <cellStyle name="ac 2 2 3 5 2 3 2" xfId="34761"/>
    <cellStyle name="Afjusted 4 3 5 2 3 2" xfId="34762"/>
    <cellStyle name="Border Thin 3 3 5 2 3 2" xfId="34763"/>
    <cellStyle name="dp*SubTitle 3 3 5 2 3 2" xfId="34764"/>
    <cellStyle name="dp*ThinLineBelow 3 3 5 2 3 2" xfId="34765"/>
    <cellStyle name="PB Table Standard Row 3 3 5 2 3 2" xfId="34766"/>
    <cellStyle name="P-Green Rule 3 3 5 2 3 2" xfId="34767"/>
    <cellStyle name="Style 44 4 3 5 2 3 2" xfId="34768"/>
    <cellStyle name="Style 45 4 3 5 2 3 2" xfId="34769"/>
    <cellStyle name="Style 49 4 3 5 2 3 2" xfId="34770"/>
    <cellStyle name="Style 51 4 3 5 2 3 2" xfId="34771"/>
    <cellStyle name="Date [mm-d-yyyy] 3 3 5 2 3 2" xfId="34772"/>
    <cellStyle name="Afjusted 3 3 5 2 3 2" xfId="34773"/>
    <cellStyle name="Date [mm-d-yyyy] 2 2 4 2 3 2" xfId="34774"/>
    <cellStyle name="Afjusted 3 2 5 2 3 2" xfId="34775"/>
    <cellStyle name="Date [mm-d-yyyy] 3 2 5 2 3 2" xfId="34776"/>
    <cellStyle name="Style 51 4 2 5 2 3 2" xfId="34777"/>
    <cellStyle name="Style 49 4 2 5 2 3 2" xfId="34778"/>
    <cellStyle name="Style 45 4 2 5 2 3 2" xfId="34779"/>
    <cellStyle name="Style 44 4 2 5 2 3 2" xfId="34780"/>
    <cellStyle name="P-Green Rule 3 2 5 2 3 2" xfId="34781"/>
    <cellStyle name="dp*ThinLineBelow 3 2 5 2 3 2" xfId="34782"/>
    <cellStyle name="dp*SubTitle 3 2 5 2 3 2" xfId="34783"/>
    <cellStyle name="Border Thin 3 2 5 2 3 2" xfId="34784"/>
    <cellStyle name="Afjusted 4 2 5 2 3 2" xfId="34785"/>
    <cellStyle name="ac 2 2 2 5 2 3 2" xfId="34786"/>
    <cellStyle name="Afjusted 2 2 2 5 2 3 2" xfId="34787"/>
    <cellStyle name="Bold/Border 2 2 2 5 2 3 2" xfId="34788"/>
    <cellStyle name="COL HEADINGS 2 2 2 5 2 3 2" xfId="34789"/>
    <cellStyle name="Date [mmm-yyyy] 2 2 2 5 2 3 2" xfId="34790"/>
    <cellStyle name="dp*NumberLine 2 2 2 5 2 3 2" xfId="34791"/>
    <cellStyle name="dp*NumberLineEPS 2 2 2 5 2 3 2" xfId="34792"/>
    <cellStyle name="dp*SheetSubTitle 2 2 2 5 2 3 2" xfId="34793"/>
    <cellStyle name="Heading [Helv] 2 2 2 5 2 3 2" xfId="34794"/>
    <cellStyle name="Heading [Palat] 2 2 2 5 2 3 2" xfId="34795"/>
    <cellStyle name="Magic 2 2 2 5 2 3 2" xfId="34796"/>
    <cellStyle name="Outputs 2 2 2 5 2 3 2" xfId="34797"/>
    <cellStyle name="Table Head Aligned 2 2 2 5 2 3 2" xfId="34798"/>
    <cellStyle name="Table Head Green 2 2 2 5 2 3 2" xfId="34799"/>
    <cellStyle name="Title [Helv] 2 2 2 5 2 3 2" xfId="34800"/>
    <cellStyle name="Title [Palat] 2 2 2 5 2 3 2" xfId="34801"/>
    <cellStyle name="Table Head Green 2 2 3 4 2 2 3 2" xfId="34802"/>
    <cellStyle name="Heading [Palat] 2 2 3 4 2 2 3 2" xfId="34803"/>
    <cellStyle name="PB Table Standard Row 2 3 2 2 3 2" xfId="34804"/>
    <cellStyle name="P-Green Rule 2 3 2 2 3 2" xfId="34805"/>
    <cellStyle name="Title [Palat] 2 2 3 2 2 2 3 2" xfId="34806"/>
    <cellStyle name="Title [Helv] 2 2 3 2 2 2 3 2" xfId="34807"/>
    <cellStyle name="Table Head Green 2 2 3 2 2 2 3 2" xfId="34808"/>
    <cellStyle name="Table Head Aligned 2 2 3 2 2 2 3 2" xfId="34809"/>
    <cellStyle name="Outputs 2 2 3 2 2 2 3 2" xfId="34810"/>
    <cellStyle name="Magic 2 2 3 2 2 2 3 2" xfId="34811"/>
    <cellStyle name="Heading [Palat] 2 2 3 2 2 2 3 2" xfId="34812"/>
    <cellStyle name="Heading [Helv] 2 2 3 2 2 2 3 2" xfId="34813"/>
    <cellStyle name="dp*SheetSubTitle 2 2 3 2 2 2 3 2" xfId="34814"/>
    <cellStyle name="dp*NumberLineEPS 2 2 3 2 2 2 3 2" xfId="34815"/>
    <cellStyle name="dp*NumberLine 2 2 3 2 2 2 3 2" xfId="34816"/>
    <cellStyle name="Date [mmm-yyyy] 2 2 3 2 2 2 3 2" xfId="34817"/>
    <cellStyle name="COL HEADINGS 2 2 3 2 2 2 3 2" xfId="34818"/>
    <cellStyle name="Bold/Border 2 2 3 2 2 2 3 2" xfId="34819"/>
    <cellStyle name="Afjusted 2 2 3 2 2 2 3 2" xfId="34820"/>
    <cellStyle name="ac 2 2 3 2 2 2 3 2" xfId="34821"/>
    <cellStyle name="Afjusted 4 3 2 2 2 3 2" xfId="34822"/>
    <cellStyle name="Border Thin 3 3 2 2 2 3 2" xfId="34823"/>
    <cellStyle name="dp*SubTitle 3 3 2 2 2 3 2" xfId="34824"/>
    <cellStyle name="dp*ThinLineBelow 3 3 2 2 2 3 2" xfId="34825"/>
    <cellStyle name="PB Table Standard Row 3 3 2 2 2 3 2" xfId="34826"/>
    <cellStyle name="P-Green Rule 3 3 2 2 2 3 2" xfId="34827"/>
    <cellStyle name="Style 44 4 3 2 2 2 3 2" xfId="34828"/>
    <cellStyle name="Style 45 4 3 2 2 2 3 2" xfId="34829"/>
    <cellStyle name="Style 49 4 3 2 2 2 3 2" xfId="34830"/>
    <cellStyle name="Style 51 4 3 2 2 2 3 2" xfId="34831"/>
    <cellStyle name="Date [mm-d-yyyy] 3 3 2 2 2 3 2" xfId="34832"/>
    <cellStyle name="Afjusted 3 3 2 2 2 3 2" xfId="34833"/>
    <cellStyle name="Date [mm-d-yyyy] 3 5 2 2 3 2" xfId="34834"/>
    <cellStyle name="dp*SubTitle 2 3 2 2 3 2" xfId="34835"/>
    <cellStyle name="Date [mm-d-yyyy] 2 2 2 2 2 3 2" xfId="34836"/>
    <cellStyle name="Afjusted 3 2 2 2 2 3 2" xfId="34837"/>
    <cellStyle name="PB Table Standard Row 3 5 2 2 3 2" xfId="34838"/>
    <cellStyle name="Date [mm-d-yyyy] 3 2 2 2 2 3 2" xfId="34839"/>
    <cellStyle name="Style 51 4 2 2 2 2 3 2" xfId="34840"/>
    <cellStyle name="Style 49 4 2 2 2 2 3 2" xfId="34841"/>
    <cellStyle name="Style 45 4 2 2 2 2 3 2" xfId="34842"/>
    <cellStyle name="Style 44 4 2 2 2 2 3 2" xfId="34843"/>
    <cellStyle name="Style 45 4 5 2 2 3 2" xfId="34844"/>
    <cellStyle name="P-Green Rule 3 2 2 2 2 3 2" xfId="34845"/>
    <cellStyle name="PB Table Standard Row 3 2 2 2 2 3 2" xfId="34846"/>
    <cellStyle name="dp*ThinLineBelow 3 2 2 2 2 3 2" xfId="34847"/>
    <cellStyle name="dp*SubTitle 3 2 2 2 2 3 2" xfId="34848"/>
    <cellStyle name="Style 51 4 5 2 2 3 2" xfId="34849"/>
    <cellStyle name="Border Thin 3 2 2 2 2 3 2" xfId="34850"/>
    <cellStyle name="Afjusted 4 2 2 2 2 3 2" xfId="34851"/>
    <cellStyle name="ac 2 2 2 2 2 2 3 2" xfId="34852"/>
    <cellStyle name="Afjusted 2 2 2 2 2 2 3 2" xfId="34853"/>
    <cellStyle name="Bold/Border 2 2 2 2 2 2 3 2" xfId="34854"/>
    <cellStyle name="COL HEADINGS 2 2 2 2 2 2 3 2" xfId="34855"/>
    <cellStyle name="Date [mmm-yyyy] 2 2 2 2 2 2 3 2" xfId="34856"/>
    <cellStyle name="dp*NumberLine 2 2 2 2 2 2 3 2" xfId="34857"/>
    <cellStyle name="dp*NumberLineEPS 2 2 2 2 2 2 3 2" xfId="34858"/>
    <cellStyle name="dp*SheetSubTitle 2 2 2 2 2 2 3 2" xfId="34859"/>
    <cellStyle name="Heading [Helv] 2 2 2 2 2 2 3 2" xfId="34860"/>
    <cellStyle name="Heading [Palat] 2 2 2 2 2 2 3 2" xfId="34861"/>
    <cellStyle name="Magic 2 2 2 2 2 2 3 2" xfId="34862"/>
    <cellStyle name="Outputs 2 2 2 2 2 2 3 2" xfId="34863"/>
    <cellStyle name="Table Head Aligned 2 2 2 2 2 2 3 2" xfId="34864"/>
    <cellStyle name="Table Head Green 2 2 2 2 2 2 3 2" xfId="34865"/>
    <cellStyle name="Title [Helv] 2 2 2 2 2 2 3 2" xfId="34866"/>
    <cellStyle name="Title [Palat] 2 2 2 2 2 2 3 2" xfId="34867"/>
    <cellStyle name="dp*ThinLineBelow 3 5 2 2 3 2" xfId="34868"/>
    <cellStyle name="Date [mm-d-yyyy] 2 2 3 2 2 3 2" xfId="34869"/>
    <cellStyle name="Afjusted 3 2 3 2 2 3 2" xfId="34870"/>
    <cellStyle name="Date [mm-d-yyyy] 3 2 3 2 2 3 2" xfId="34871"/>
    <cellStyle name="Style 51 4 2 3 2 2 3 2" xfId="34872"/>
    <cellStyle name="Style 49 4 2 3 2 2 3 2" xfId="34873"/>
    <cellStyle name="Style 45 4 2 3 2 2 3 2" xfId="34874"/>
    <cellStyle name="Style 44 4 2 3 2 2 3 2" xfId="34875"/>
    <cellStyle name="P-Green Rule 3 2 3 2 2 3 2" xfId="34876"/>
    <cellStyle name="PB Table Standard Row 3 2 3 2 2 3 2" xfId="34877"/>
    <cellStyle name="dp*ThinLineBelow 3 2 3 2 2 3 2" xfId="34878"/>
    <cellStyle name="dp*SubTitle 3 2 3 2 2 3 2" xfId="34879"/>
    <cellStyle name="Border Thin 3 2 3 2 2 3 2" xfId="34880"/>
    <cellStyle name="Afjusted 4 2 3 2 2 3 2" xfId="34881"/>
    <cellStyle name="ac 2 2 2 3 2 2 3 2" xfId="34882"/>
    <cellStyle name="Afjusted 2 2 2 3 2 2 3 2" xfId="34883"/>
    <cellStyle name="Bold/Border 2 2 2 3 2 2 3 2" xfId="34884"/>
    <cellStyle name="COL HEADINGS 2 2 2 3 2 2 3 2" xfId="34885"/>
    <cellStyle name="Date [mmm-yyyy] 2 2 2 3 2 2 3 2" xfId="34886"/>
    <cellStyle name="dp*NumberLine 2 2 2 3 2 2 3 2" xfId="34887"/>
    <cellStyle name="dp*NumberLineEPS 2 2 2 3 2 2 3 2" xfId="34888"/>
    <cellStyle name="dp*SheetSubTitle 2 2 2 3 2 2 3 2" xfId="34889"/>
    <cellStyle name="Heading [Helv] 2 2 2 3 2 2 3 2" xfId="34890"/>
    <cellStyle name="Heading [Palat] 2 2 2 3 2 2 3 2" xfId="34891"/>
    <cellStyle name="Magic 2 2 2 3 2 2 3 2" xfId="34892"/>
    <cellStyle name="Outputs 2 2 2 3 2 2 3 2" xfId="34893"/>
    <cellStyle name="Table Head Aligned 2 2 2 3 2 2 3 2" xfId="34894"/>
    <cellStyle name="Table Head Green 2 2 2 3 2 2 3 2" xfId="34895"/>
    <cellStyle name="Title [Helv] 2 2 2 3 2 2 3 2" xfId="34896"/>
    <cellStyle name="Title [Palat] 2 2 2 3 2 2 3 2" xfId="34897"/>
    <cellStyle name="Afjusted 3 2 4 2 2 3 2" xfId="34898"/>
    <cellStyle name="Date [mm-d-yyyy] 3 2 4 2 2 3 2" xfId="34899"/>
    <cellStyle name="Style 51 4 2 4 2 2 3 2" xfId="34900"/>
    <cellStyle name="Style 49 4 2 4 2 2 3 2" xfId="34901"/>
    <cellStyle name="Style 45 4 2 4 2 2 3 2" xfId="34902"/>
    <cellStyle name="Style 44 4 2 4 2 2 3 2" xfId="34903"/>
    <cellStyle name="P-Green Rule 3 2 4 2 2 3 2" xfId="34904"/>
    <cellStyle name="PB Table Standard Row 3 2 4 2 2 3 2" xfId="34905"/>
    <cellStyle name="dp*ThinLineBelow 3 2 4 2 2 3 2" xfId="34906"/>
    <cellStyle name="dp*SubTitle 3 2 4 2 2 3 2" xfId="34907"/>
    <cellStyle name="Border Thin 3 2 4 2 2 3 2" xfId="34908"/>
    <cellStyle name="Afjusted 4 2 4 2 2 3 2" xfId="34909"/>
    <cellStyle name="ac 2 2 2 4 2 2 3 2" xfId="34910"/>
    <cellStyle name="Afjusted 2 2 2 4 2 2 3 2" xfId="34911"/>
    <cellStyle name="Bold/Border 2 2 2 4 2 2 3 2" xfId="34912"/>
    <cellStyle name="COL HEADINGS 2 2 2 4 2 2 3 2" xfId="34913"/>
    <cellStyle name="Date [mmm-yyyy] 2 2 2 4 2 2 3 2" xfId="34914"/>
    <cellStyle name="dp*NumberLine 2 2 2 4 2 2 3 2" xfId="34915"/>
    <cellStyle name="dp*NumberLineEPS 2 2 2 4 2 2 3 2" xfId="34916"/>
    <cellStyle name="dp*SheetSubTitle 2 2 2 4 2 2 3 2" xfId="34917"/>
    <cellStyle name="Heading [Helv] 2 2 2 4 2 2 3 2" xfId="34918"/>
    <cellStyle name="Heading [Palat] 2 2 2 4 2 2 3 2" xfId="34919"/>
    <cellStyle name="Magic 2 2 2 4 2 2 3 2" xfId="34920"/>
    <cellStyle name="Outputs 2 2 2 4 2 2 3 2" xfId="34921"/>
    <cellStyle name="Table Head Aligned 2 2 2 4 2 2 3 2" xfId="34922"/>
    <cellStyle name="Table Head Green 2 2 2 4 2 2 3 2" xfId="34923"/>
    <cellStyle name="Title [Helv] 2 2 2 4 2 2 3 2" xfId="34924"/>
    <cellStyle name="Title [Palat] 2 2 2 4 2 2 3 2" xfId="34925"/>
    <cellStyle name="Border Thin 4 2 2 3 2" xfId="34926"/>
    <cellStyle name="Date [mm-d-yyyy] 4 2 2 3 2" xfId="34927"/>
    <cellStyle name="dp*SubTitle 4 2 2 3 2" xfId="34928"/>
    <cellStyle name="dp*ThinLineBelow 4 2 2 3 2" xfId="34929"/>
    <cellStyle name="PB Table Standard Row 4 2 2 3 2" xfId="34930"/>
    <cellStyle name="P-Green Rule 4 2 2 3 2" xfId="34931"/>
    <cellStyle name="Style 44 5 2 2 3 2" xfId="34932"/>
    <cellStyle name="Style 45 5 2 2 3 2" xfId="34933"/>
    <cellStyle name="Style 49 5 2 2 3 2" xfId="34934"/>
    <cellStyle name="Style 51 5 2 2 3 2" xfId="34935"/>
    <cellStyle name="Title [Palat] 3 2 2 3 2" xfId="34936"/>
    <cellStyle name="Title [Helv] 3 2 2 3 2" xfId="34937"/>
    <cellStyle name="Table Head Green 3 2 2 3 2" xfId="34938"/>
    <cellStyle name="Table Head Aligned 3 2 2 3 2" xfId="34939"/>
    <cellStyle name="Outputs 3 2 2 3 2" xfId="34940"/>
    <cellStyle name="Magic 3 2 2 3 2" xfId="34941"/>
    <cellStyle name="Heading [Palat] 3 2 2 3 2" xfId="34942"/>
    <cellStyle name="Heading [Helv] 3 2 2 3 2" xfId="34943"/>
    <cellStyle name="dp*SheetSubTitle 3 2 2 3 2" xfId="34944"/>
    <cellStyle name="dp*NumberLineEPS 3 2 2 3 2" xfId="34945"/>
    <cellStyle name="dp*NumberLine 3 2 2 3 2" xfId="34946"/>
    <cellStyle name="COL HEADINGS 3 2 2 3 2" xfId="34947"/>
    <cellStyle name="Bold/Border 3 2 2 3 2" xfId="34948"/>
    <cellStyle name="Afjusted 5 2 2 3 2" xfId="34949"/>
    <cellStyle name="ac 3 2 2 3 2" xfId="34950"/>
    <cellStyle name="Date [mmm-yyyy] 3 2 2 3 2" xfId="34951"/>
    <cellStyle name="ac 2 4 2 2 3 2" xfId="34952"/>
    <cellStyle name="Afjusted 2 3 2 2 3 2" xfId="34953"/>
    <cellStyle name="Bold/Border 2 4 2 2 3 2" xfId="34954"/>
    <cellStyle name="Border Thin 2 4 2 2 3 2" xfId="34955"/>
    <cellStyle name="COL HEADINGS 2 4 2 2 3 2" xfId="34956"/>
    <cellStyle name="Date [mmm-yyyy] 2 4 2 2 3 2" xfId="34957"/>
    <cellStyle name="dp*NumberLine 2 4 2 2 3 2" xfId="34958"/>
    <cellStyle name="dp*NumberLineEPS 2 4 2 2 3 2" xfId="34959"/>
    <cellStyle name="dp*SheetSubTitle 2 4 2 2 3 2" xfId="34960"/>
    <cellStyle name="dp*SubTitle 2 4 2 2 3 2" xfId="34961"/>
    <cellStyle name="dp*ThinLineBelow 2 4 2 2 3 2" xfId="34962"/>
    <cellStyle name="Heading [Helv] 2 4 2 2 3 2" xfId="34963"/>
    <cellStyle name="Heading [Palat] 2 4 2 2 3 2" xfId="34964"/>
    <cellStyle name="Magic 2 4 2 2 3 2" xfId="34965"/>
    <cellStyle name="Outputs 2 4 2 2 3 2" xfId="34966"/>
    <cellStyle name="PB Table Standard Row 2 4 2 2 3 2" xfId="34967"/>
    <cellStyle name="P-Green Rule 2 4 2 2 3 2" xfId="34968"/>
    <cellStyle name="Style 44 3 4 2 2 3 2" xfId="34969"/>
    <cellStyle name="Style 45 3 4 2 2 3 2" xfId="34970"/>
    <cellStyle name="Style 49 3 4 2 2 3 2" xfId="34971"/>
    <cellStyle name="Style 51 3 4 2 2 3 2" xfId="34972"/>
    <cellStyle name="Style 44 2 4 2 2 3 2" xfId="34973"/>
    <cellStyle name="Style 45 2 4 2 2 3 2" xfId="34974"/>
    <cellStyle name="Style 49 2 4 2 2 3 2" xfId="34975"/>
    <cellStyle name="Style 51 2 4 2 2 3 2" xfId="34976"/>
    <cellStyle name="Table Head Aligned 2 4 2 2 3 2" xfId="34977"/>
    <cellStyle name="Table Head Green 2 4 2 2 3 2" xfId="34978"/>
    <cellStyle name="Title [Helv] 2 4 2 2 3 2" xfId="34979"/>
    <cellStyle name="Title [Palat] 2 4 2 2 3 2" xfId="34980"/>
    <cellStyle name="ac 4 2 2 3 2" xfId="34981"/>
    <cellStyle name="Bold/Border 4 2 2 3 2" xfId="34982"/>
    <cellStyle name="Border Thin 5 2 2 3 2" xfId="34983"/>
    <cellStyle name="COL HEADINGS 4 2 2 3 2" xfId="34984"/>
    <cellStyle name="Date [mm-d-yyyy] 5 2 2 3 2" xfId="34985"/>
    <cellStyle name="Heading [Helv] 4 2 2 3 2" xfId="34986"/>
    <cellStyle name="Heading [Palat] 4 2 2 3 2" xfId="34987"/>
    <cellStyle name="Outputs 4 2 2 3 2" xfId="34988"/>
    <cellStyle name="PB Table Standard Row 5 2 2 3 2" xfId="34989"/>
    <cellStyle name="P-Green Rule 5 2 2 3 2" xfId="34990"/>
    <cellStyle name="Style 44 6 2 2 3 2" xfId="34991"/>
    <cellStyle name="Style 45 6 2 2 3 2" xfId="34992"/>
    <cellStyle name="Style 49 6 2 2 3 2" xfId="34993"/>
    <cellStyle name="Style 51 6 2 2 3 2" xfId="34994"/>
    <cellStyle name="Table Head Green 4 2 2 3 2" xfId="34995"/>
    <cellStyle name="Afjusted 6 2 2 3 2" xfId="34996"/>
    <cellStyle name="ac 2 5 2 2 3 2" xfId="34997"/>
    <cellStyle name="Afjusted 2 4 2 2 3 2" xfId="34998"/>
    <cellStyle name="Bold/Border 2 5 2 2 3 2" xfId="34999"/>
    <cellStyle name="Border Thin 2 5 2 2 3 2" xfId="35000"/>
    <cellStyle name="COL HEADINGS 2 5 2 2 3 2" xfId="35001"/>
    <cellStyle name="Date [mmm-yyyy] 2 5 2 2 3 2" xfId="35002"/>
    <cellStyle name="dp*NumberLine 2 5 2 2 3 2" xfId="35003"/>
    <cellStyle name="dp*NumberLineEPS 2 5 2 2 3 2" xfId="35004"/>
    <cellStyle name="dp*SheetSubTitle 2 5 2 2 3 2" xfId="35005"/>
    <cellStyle name="dp*SubTitle 2 5 2 2 3 2" xfId="35006"/>
    <cellStyle name="dp*ThinLineBelow 2 5 2 2 3 2" xfId="35007"/>
    <cellStyle name="Heading [Helv] 2 5 2 2 3 2" xfId="35008"/>
    <cellStyle name="Heading [Palat] 2 5 2 2 3 2" xfId="35009"/>
    <cellStyle name="Magic 2 5 2 2 3 2" xfId="35010"/>
    <cellStyle name="Outputs 2 5 2 2 3 2" xfId="35011"/>
    <cellStyle name="PB Table Standard Row 2 5 2 2 3 2" xfId="35012"/>
    <cellStyle name="P-Green Rule 2 5 2 2 3 2" xfId="35013"/>
    <cellStyle name="Style 44 3 5 2 2 3 2" xfId="35014"/>
    <cellStyle name="Style 45 3 5 2 2 3 2" xfId="35015"/>
    <cellStyle name="Style 49 3 5 2 2 3 2" xfId="35016"/>
    <cellStyle name="Style 51 3 5 2 2 3 2" xfId="35017"/>
    <cellStyle name="Style 44 2 5 2 2 3 2" xfId="35018"/>
    <cellStyle name="Style 45 2 5 2 2 3 2" xfId="35019"/>
    <cellStyle name="Style 49 2 5 2 2 3 2" xfId="35020"/>
    <cellStyle name="Style 51 2 5 2 2 3 2" xfId="35021"/>
    <cellStyle name="Table Head Aligned 2 5 2 2 3 2" xfId="35022"/>
    <cellStyle name="Table Head Green 2 5 2 2 3 2" xfId="35023"/>
    <cellStyle name="Title [Helv] 2 5 2 2 3 2" xfId="35024"/>
    <cellStyle name="Title [Palat] 2 5 2 2 3 2" xfId="35025"/>
    <cellStyle name="ac 5 2 2 3 2" xfId="35026"/>
    <cellStyle name="Bold/Border 5 2 2 3 2" xfId="35027"/>
    <cellStyle name="Border Thin 6 2 2 3 2" xfId="35028"/>
    <cellStyle name="COL HEADINGS 5 2 2 3 2" xfId="35029"/>
    <cellStyle name="Heading [Helv] 5 2 2 3 2" xfId="35030"/>
    <cellStyle name="Heading [Palat] 5 2 2 3 2" xfId="35031"/>
    <cellStyle name="Outputs 5 2 2 3 2" xfId="35032"/>
    <cellStyle name="PB Table Standard Row 6 2 2 3 2" xfId="35033"/>
    <cellStyle name="P-Green Rule 6 2 2 3 2" xfId="35034"/>
    <cellStyle name="Style 44 7 2 2 3 2" xfId="35035"/>
    <cellStyle name="Style 45 7 2 2 3 2" xfId="35036"/>
    <cellStyle name="Style 49 7 2 2 3 2" xfId="35037"/>
    <cellStyle name="Style 51 7 2 2 3 2" xfId="35038"/>
    <cellStyle name="Table Head Green 5 2 2 3 2" xfId="35039"/>
    <cellStyle name="Title [Palat] 4 2 2 3 2" xfId="35040"/>
    <cellStyle name="ac 2 6 2 2 3 2" xfId="35041"/>
    <cellStyle name="Bold/Border 2 6 2 2 3 2" xfId="35042"/>
    <cellStyle name="Border Thin 2 6 2 2 3 2" xfId="35043"/>
    <cellStyle name="COL HEADINGS 2 6 2 2 3 2" xfId="35044"/>
    <cellStyle name="Heading [Helv] 2 6 2 2 3 2" xfId="35045"/>
    <cellStyle name="Heading [Palat] 2 6 2 2 3 2" xfId="35046"/>
    <cellStyle name="Outputs 2 6 2 2 3 2" xfId="35047"/>
    <cellStyle name="PB Table Standard Row 2 6 2 2 3 2" xfId="35048"/>
    <cellStyle name="P-Green Rule 2 6 2 2 3 2" xfId="35049"/>
    <cellStyle name="Style 44 3 6 2 2 3 2" xfId="35050"/>
    <cellStyle name="Style 45 3 6 2 2 3 2" xfId="35051"/>
    <cellStyle name="Style 49 3 6 2 2 3 2" xfId="35052"/>
    <cellStyle name="Style 51 3 6 2 2 3 2" xfId="35053"/>
    <cellStyle name="Style 44 2 6 2 2 3 2" xfId="35054"/>
    <cellStyle name="Style 45 2 6 2 2 3 2" xfId="35055"/>
    <cellStyle name="Style 49 2 6 2 2 3 2" xfId="35056"/>
    <cellStyle name="Style 51 2 6 2 2 3 2" xfId="35057"/>
    <cellStyle name="Table Head Green 2 6 2 2 3 2" xfId="35058"/>
    <cellStyle name="Title [Palat] 2 6 2 2 3 2" xfId="35059"/>
    <cellStyle name="Title [Palat] 5 2 2 3 2" xfId="35060"/>
    <cellStyle name="Title [Helv] 4 2 2 3 2" xfId="35061"/>
    <cellStyle name="Table Head Green 6 2 2 3 2" xfId="35062"/>
    <cellStyle name="Table Head Aligned 4 2 2 3 2" xfId="35063"/>
    <cellStyle name="Style 51 9 2 2 3 2" xfId="35064"/>
    <cellStyle name="Style 49 9 2 2 3 2" xfId="35065"/>
    <cellStyle name="Style 45 9 2 2 3 2" xfId="35066"/>
    <cellStyle name="Style 44 9 2 2 3 2" xfId="35067"/>
    <cellStyle name="P-Green Rule 7 2 2 3 2" xfId="35068"/>
    <cellStyle name="PB Table Standard Row 7 2 2 3 2" xfId="35069"/>
    <cellStyle name="Outputs 6 2 2 3 2" xfId="35070"/>
    <cellStyle name="Magic 4 2 2 3 2" xfId="35071"/>
    <cellStyle name="Heading [Palat] 6 2 2 3 2" xfId="35072"/>
    <cellStyle name="Heading [Helv] 6 2 2 3 2" xfId="35073"/>
    <cellStyle name="dp*ThinLineBelow 5 2 2 3 2" xfId="35074"/>
    <cellStyle name="dp*SubTitle 5 2 2 3 2" xfId="35075"/>
    <cellStyle name="dp*SheetSubTitle 4 2 2 3 2" xfId="35076"/>
    <cellStyle name="dp*NumberLineEPS 4 2 2 3 2" xfId="35077"/>
    <cellStyle name="dp*NumberLine 4 2 2 3 2" xfId="35078"/>
    <cellStyle name="Date [mmm-yyyy] 4 2 2 3 2" xfId="35079"/>
    <cellStyle name="Date [mm-d-yyyy] 7 2 2 3 2" xfId="35080"/>
    <cellStyle name="COL HEADINGS 6 2 2 3 2" xfId="35081"/>
    <cellStyle name="Border Thin 7 2 2 3 2" xfId="35082"/>
    <cellStyle name="Bold/Border 6 2 2 3 2" xfId="35083"/>
    <cellStyle name="Afjusted 7 2 2 3 2" xfId="35084"/>
    <cellStyle name="ac 6 2 2 3 2" xfId="35085"/>
    <cellStyle name="Style 44 8 2 2 3 2" xfId="35086"/>
    <cellStyle name="Style 45 8 2 2 3 2" xfId="35087"/>
    <cellStyle name="Style 49 8 2 2 3 2" xfId="35088"/>
    <cellStyle name="Style 51 8 2 2 3 2" xfId="35089"/>
    <cellStyle name="Title [Palat] 6 2 2 3 2" xfId="35090"/>
    <cellStyle name="Title [Helv] 5 2 2 3 2" xfId="35091"/>
    <cellStyle name="Table Head Green 7 2 2 3 2" xfId="35092"/>
    <cellStyle name="Table Head Aligned 5 2 2 3 2" xfId="35093"/>
    <cellStyle name="Outputs 7 2 2 3 2" xfId="35094"/>
    <cellStyle name="Magic 5 2 2 3 2" xfId="35095"/>
    <cellStyle name="Heading [Palat] 7 2 2 3 2" xfId="35096"/>
    <cellStyle name="Heading [Helv] 7 2 2 3 2" xfId="35097"/>
    <cellStyle name="dp*SheetSubTitle 5 2 2 3 2" xfId="35098"/>
    <cellStyle name="dp*NumberLineEPS 5 2 2 3 2" xfId="35099"/>
    <cellStyle name="dp*NumberLine 5 2 2 3 2" xfId="35100"/>
    <cellStyle name="Date [mmm-yyyy] 5 2 2 3 2" xfId="35101"/>
    <cellStyle name="COL HEADINGS 7 2 2 3 2" xfId="35102"/>
    <cellStyle name="Bold/Border 7 2 2 3 2" xfId="35103"/>
    <cellStyle name="Afjusted 8 2 2 3 2" xfId="35104"/>
    <cellStyle name="ac 7 2 2 3 2" xfId="35105"/>
    <cellStyle name="Title [Palat] 7 2 2 3 2" xfId="35106"/>
    <cellStyle name="Title [Helv] 6 2 2 3 2" xfId="35107"/>
    <cellStyle name="Table Head Green 8 2 2 3 2" xfId="35108"/>
    <cellStyle name="Table Head Aligned 6 2 2 3 2" xfId="35109"/>
    <cellStyle name="Outputs 8 2 2 3 2" xfId="35110"/>
    <cellStyle name="Magic 6 2 2 3 2" xfId="35111"/>
    <cellStyle name="Heading [Palat] 8 2 2 3 2" xfId="35112"/>
    <cellStyle name="Heading [Helv] 8 2 2 3 2" xfId="35113"/>
    <cellStyle name="dp*SheetSubTitle 6 2 2 3 2" xfId="35114"/>
    <cellStyle name="dp*NumberLineEPS 6 2 2 3 2" xfId="35115"/>
    <cellStyle name="dp*NumberLine 6 2 2 3 2" xfId="35116"/>
    <cellStyle name="COL HEADINGS 8 2 2 3 2" xfId="35117"/>
    <cellStyle name="Bold/Border 8 2 2 3 2" xfId="35118"/>
    <cellStyle name="Afjusted 9 2 2 3 2" xfId="35119"/>
    <cellStyle name="ac 8 2 2 3 2" xfId="35120"/>
    <cellStyle name="Date [mmm-yyyy] 6 2 2 3 2" xfId="35121"/>
    <cellStyle name="Title [Palat] 8 2 2 3 2" xfId="35122"/>
    <cellStyle name="Title [Helv] 7 2 2 3 2" xfId="35123"/>
    <cellStyle name="Table Head Green 9 2 2 3 2" xfId="35124"/>
    <cellStyle name="Table Head Aligned 7 2 2 3 2" xfId="35125"/>
    <cellStyle name="Outputs 9 2 2 3 2" xfId="35126"/>
    <cellStyle name="Magic 7 2 2 3 2" xfId="35127"/>
    <cellStyle name="Heading [Palat] 9 2 2 3 2" xfId="35128"/>
    <cellStyle name="Heading [Helv] 9 2 2 3 2" xfId="35129"/>
    <cellStyle name="dp*SheetSubTitle 7 2 2 3 2" xfId="35130"/>
    <cellStyle name="dp*NumberLineEPS 7 2 2 3 2" xfId="35131"/>
    <cellStyle name="dp*NumberLine 7 2 2 3 2" xfId="35132"/>
    <cellStyle name="Date [mmm-yyyy] 7 2 2 3 2" xfId="35133"/>
    <cellStyle name="COL HEADINGS 9 2 2 3 2" xfId="35134"/>
    <cellStyle name="Bold/Border 9 2 2 3 2" xfId="35135"/>
    <cellStyle name="Afjusted 10 2 2 3 2" xfId="35136"/>
    <cellStyle name="ac 9 2 2 3 2" xfId="35137"/>
    <cellStyle name="Style 44 6 4 3 2" xfId="35138"/>
    <cellStyle name="Style 45 6 4 3 2" xfId="35139"/>
    <cellStyle name="Style 49 6 4 3 2" xfId="35140"/>
    <cellStyle name="Style 51 6 4 3 2" xfId="35141"/>
    <cellStyle name="Table Head Green 4 4 3 2" xfId="35142"/>
    <cellStyle name="Afjusted 6 4 3 2" xfId="35143"/>
    <cellStyle name="ac 2 5 4 3 2" xfId="35144"/>
    <cellStyle name="Afjusted 2 4 4 3 2" xfId="35145"/>
    <cellStyle name="Bold/Border 2 5 4 3 2" xfId="35146"/>
    <cellStyle name="Border Thin 2 5 4 3 2" xfId="35147"/>
    <cellStyle name="COL HEADINGS 2 5 4 3 2" xfId="35148"/>
    <cellStyle name="Date [mmm-yyyy] 2 5 4 3 2" xfId="35149"/>
    <cellStyle name="dp*NumberLine 2 5 4 3 2" xfId="35150"/>
    <cellStyle name="dp*NumberLineEPS 2 5 4 3 2" xfId="35151"/>
    <cellStyle name="dp*SheetSubTitle 2 5 4 3 2" xfId="35152"/>
    <cellStyle name="dp*SubTitle 2 5 4 3 2" xfId="35153"/>
    <cellStyle name="dp*ThinLineBelow 2 5 4 3 2" xfId="35154"/>
    <cellStyle name="Heading [Helv] 2 5 4 3 2" xfId="35155"/>
    <cellStyle name="Heading [Palat] 2 5 4 3 2" xfId="35156"/>
    <cellStyle name="Magic 2 5 4 3 2" xfId="35157"/>
    <cellStyle name="Outputs 2 5 4 3 2" xfId="35158"/>
    <cellStyle name="PB Table Standard Row 2 5 4 3 2" xfId="35159"/>
    <cellStyle name="P-Green Rule 2 5 4 3 2" xfId="35160"/>
    <cellStyle name="Style 44 3 5 4 3 2" xfId="35161"/>
    <cellStyle name="Style 45 3 5 4 3 2" xfId="35162"/>
    <cellStyle name="Style 49 3 5 4 3 2" xfId="35163"/>
    <cellStyle name="Style 51 3 5 4 3 2" xfId="35164"/>
    <cellStyle name="Style 44 2 5 4 3 2" xfId="35165"/>
    <cellStyle name="Style 45 2 5 4 3 2" xfId="35166"/>
    <cellStyle name="Style 49 2 5 4 3 2" xfId="35167"/>
    <cellStyle name="Style 51 2 5 4 3 2" xfId="35168"/>
    <cellStyle name="Table Head Aligned 2 5 4 3 2" xfId="35169"/>
    <cellStyle name="Table Head Green 2 5 4 3 2" xfId="35170"/>
    <cellStyle name="Title [Helv] 2 5 4 3 2" xfId="35171"/>
    <cellStyle name="Title [Palat] 2 5 4 3 2" xfId="35172"/>
    <cellStyle name="ac 5 4 3 2" xfId="35173"/>
    <cellStyle name="Bold/Border 5 4 3 2" xfId="35174"/>
    <cellStyle name="Border Thin 6 4 3 2" xfId="35175"/>
    <cellStyle name="COL HEADINGS 5 4 3 2" xfId="35176"/>
    <cellStyle name="Date [mm-d-yyyy] 6 3 3 2" xfId="35177"/>
    <cellStyle name="Heading [Helv] 5 4 3 2" xfId="35178"/>
    <cellStyle name="Heading [Palat] 5 4 3 2" xfId="35179"/>
    <cellStyle name="Outputs 5 4 3 2" xfId="35180"/>
    <cellStyle name="PB Table Standard Row 6 4 3 2" xfId="35181"/>
    <cellStyle name="P-Green Rule 6 4 3 2" xfId="35182"/>
    <cellStyle name="Style 44 7 4 3 2" xfId="35183"/>
    <cellStyle name="Style 45 7 4 3 2" xfId="35184"/>
    <cellStyle name="Style 49 7 4 3 2" xfId="35185"/>
    <cellStyle name="Style 51 7 4 3 2" xfId="35186"/>
    <cellStyle name="Table Head Green 5 4 3 2" xfId="35187"/>
    <cellStyle name="Title [Palat] 4 4 3 2" xfId="35188"/>
    <cellStyle name="ac 2 6 4 3 2" xfId="35189"/>
    <cellStyle name="Bold/Border 2 6 4 3 2" xfId="35190"/>
    <cellStyle name="Border Thin 2 6 4 3 2" xfId="35191"/>
    <cellStyle name="COL HEADINGS 2 6 4 3 2" xfId="35192"/>
    <cellStyle name="Date [mm-d-yyyy] 2 3 3 3 2" xfId="35193"/>
    <cellStyle name="Heading [Helv] 2 6 4 3 2" xfId="35194"/>
    <cellStyle name="Heading [Palat] 2 6 4 3 2" xfId="35195"/>
    <cellStyle name="Outputs 2 6 4 3 2" xfId="35196"/>
    <cellStyle name="PB Table Standard Row 2 6 4 3 2" xfId="35197"/>
    <cellStyle name="P-Green Rule 2 6 4 3 2" xfId="35198"/>
    <cellStyle name="Style 44 3 6 4 3 2" xfId="35199"/>
    <cellStyle name="Style 45 3 6 4 3 2" xfId="35200"/>
    <cellStyle name="Style 49 3 6 4 3 2" xfId="35201"/>
    <cellStyle name="Style 51 3 6 4 3 2" xfId="35202"/>
    <cellStyle name="Style 44 2 6 4 3 2" xfId="35203"/>
    <cellStyle name="Style 45 2 6 4 3 2" xfId="35204"/>
    <cellStyle name="Style 49 2 6 4 3 2" xfId="35205"/>
    <cellStyle name="Style 51 2 6 4 3 2" xfId="35206"/>
    <cellStyle name="Table Head Green 2 6 4 3 2" xfId="35207"/>
    <cellStyle name="Title [Palat] 2 6 4 3 2" xfId="35208"/>
    <cellStyle name="Title [Palat] 5 4 3 2" xfId="35209"/>
    <cellStyle name="Title [Helv] 4 4 3 2" xfId="35210"/>
    <cellStyle name="Table Head Green 6 4 3 2" xfId="35211"/>
    <cellStyle name="Table Head Aligned 4 4 3 2" xfId="35212"/>
    <cellStyle name="Style 51 9 3 3 2" xfId="35213"/>
    <cellStyle name="Style 49 9 3 3 2" xfId="35214"/>
    <cellStyle name="Style 45 9 3 3 2" xfId="35215"/>
    <cellStyle name="Style 44 9 3 3 2" xfId="35216"/>
    <cellStyle name="P-Green Rule 7 3 3 2" xfId="35217"/>
    <cellStyle name="PB Table Standard Row 7 3 3 2" xfId="35218"/>
    <cellStyle name="Outputs 6 4 3 2" xfId="35219"/>
    <cellStyle name="Magic 4 4 3 2" xfId="35220"/>
    <cellStyle name="Heading [Palat] 6 4 3 2" xfId="35221"/>
    <cellStyle name="Heading [Helv] 6 4 3 2" xfId="35222"/>
    <cellStyle name="dp*ThinLineBelow 5 4 3 2" xfId="35223"/>
    <cellStyle name="dp*SubTitle 5 4 3 2" xfId="35224"/>
    <cellStyle name="dp*SheetSubTitle 4 4 3 2" xfId="35225"/>
    <cellStyle name="dp*NumberLineEPS 4 4 3 2" xfId="35226"/>
    <cellStyle name="dp*NumberLine 4 4 3 2" xfId="35227"/>
    <cellStyle name="Date [mmm-yyyy] 4 4 3 2" xfId="35228"/>
    <cellStyle name="Date [mm-d-yyyy] 7 4 3 2" xfId="35229"/>
    <cellStyle name="COL HEADINGS 6 4 3 2" xfId="35230"/>
    <cellStyle name="Border Thin 7 4 3 2" xfId="35231"/>
    <cellStyle name="Bold/Border 6 4 3 2" xfId="35232"/>
    <cellStyle name="Afjusted 7 4 3 2" xfId="35233"/>
    <cellStyle name="ac 6 4 3 2" xfId="35234"/>
    <cellStyle name="Style 44 8 4 3 2" xfId="35235"/>
    <cellStyle name="Style 45 8 4 3 2" xfId="35236"/>
    <cellStyle name="Style 49 8 4 3 2" xfId="35237"/>
    <cellStyle name="Style 51 8 4 3 2" xfId="35238"/>
    <cellStyle name="Title [Palat] 6 4 3 2" xfId="35239"/>
    <cellStyle name="Title [Helv] 5 4 3 2" xfId="35240"/>
    <cellStyle name="Table Head Green 7 4 3 2" xfId="35241"/>
    <cellStyle name="Table Head Aligned 5 4 3 2" xfId="35242"/>
    <cellStyle name="Outputs 7 4 3 2" xfId="35243"/>
    <cellStyle name="Magic 5 4 3 2" xfId="35244"/>
    <cellStyle name="Heading [Palat] 7 4 3 2" xfId="35245"/>
    <cellStyle name="Heading [Helv] 7 4 3 2" xfId="35246"/>
    <cellStyle name="dp*SheetSubTitle 5 4 3 2" xfId="35247"/>
    <cellStyle name="dp*NumberLineEPS 5 4 3 2" xfId="35248"/>
    <cellStyle name="dp*NumberLine 5 4 3 2" xfId="35249"/>
    <cellStyle name="Date [mmm-yyyy] 5 4 3 2" xfId="35250"/>
    <cellStyle name="COL HEADINGS 7 4 3 2" xfId="35251"/>
    <cellStyle name="Bold/Border 7 4 3 2" xfId="35252"/>
    <cellStyle name="Afjusted 8 4 3 2" xfId="35253"/>
    <cellStyle name="ac 7 4 3 2" xfId="35254"/>
    <cellStyle name="Title [Palat] 7 4 3 2" xfId="35255"/>
    <cellStyle name="Title [Helv] 6 4 3 2" xfId="35256"/>
    <cellStyle name="Table Head Green 8 4 3 2" xfId="35257"/>
    <cellStyle name="Table Head Aligned 6 4 3 2" xfId="35258"/>
    <cellStyle name="Outputs 8 4 3 2" xfId="35259"/>
    <cellStyle name="Magic 6 4 3 2" xfId="35260"/>
    <cellStyle name="Heading [Palat] 8 4 3 2" xfId="35261"/>
    <cellStyle name="Heading [Helv] 8 4 3 2" xfId="35262"/>
    <cellStyle name="dp*SheetSubTitle 6 4 3 2" xfId="35263"/>
    <cellStyle name="dp*NumberLineEPS 6 4 3 2" xfId="35264"/>
    <cellStyle name="dp*NumberLine 6 4 3 2" xfId="35265"/>
    <cellStyle name="COL HEADINGS 8 4 3 2" xfId="35266"/>
    <cellStyle name="Bold/Border 8 4 3 2" xfId="35267"/>
    <cellStyle name="Afjusted 9 4 3 2" xfId="35268"/>
    <cellStyle name="ac 8 4 3 2" xfId="35269"/>
    <cellStyle name="Date [mmm-yyyy] 6 4 3 2" xfId="35270"/>
    <cellStyle name="Title [Palat] 8 4 3 2" xfId="35271"/>
    <cellStyle name="Title [Helv] 7 4 3 2" xfId="35272"/>
    <cellStyle name="Table Head Green 9 4 3 2" xfId="35273"/>
    <cellStyle name="Table Head Aligned 7 4 3 2" xfId="35274"/>
    <cellStyle name="Outputs 9 4 3 2" xfId="35275"/>
    <cellStyle name="Magic 7 4 3 2" xfId="35276"/>
    <cellStyle name="Heading [Palat] 9 4 3 2" xfId="35277"/>
    <cellStyle name="Heading [Helv] 9 4 3 2" xfId="35278"/>
    <cellStyle name="dp*SheetSubTitle 7 4 3 2" xfId="35279"/>
    <cellStyle name="dp*NumberLineEPS 7 4 3 2" xfId="35280"/>
    <cellStyle name="dp*NumberLine 7 4 3 2" xfId="35281"/>
    <cellStyle name="Date [mmm-yyyy] 7 4 3 2" xfId="35282"/>
    <cellStyle name="COL HEADINGS 9 4 3 2" xfId="35283"/>
    <cellStyle name="Bold/Border 9 4 3 2" xfId="35284"/>
    <cellStyle name="Afjusted 10 4 3 2" xfId="35285"/>
    <cellStyle name="ac 9 4 3 2" xfId="35286"/>
    <cellStyle name="Afjusted 3 6 3 3 2" xfId="35287"/>
    <cellStyle name="ac 2 7 3 3 2" xfId="35288"/>
    <cellStyle name="Afjusted 2 5 3 3 2" xfId="35289"/>
    <cellStyle name="Bold/Border 2 7 3 3 2" xfId="35290"/>
    <cellStyle name="COL HEADINGS 2 7 3 3 2" xfId="35291"/>
    <cellStyle name="Date [mmm-yyyy] 2 6 3 3 2" xfId="35292"/>
    <cellStyle name="dp*NumberLine 2 6 3 3 2" xfId="35293"/>
    <cellStyle name="dp*NumberLineEPS 2 6 3 3 2" xfId="35294"/>
    <cellStyle name="dp*SheetSubTitle 2 6 3 3 2" xfId="35295"/>
    <cellStyle name="Heading [Helv] 2 7 3 3 2" xfId="35296"/>
    <cellStyle name="Heading [Palat] 2 7 3 3 2" xfId="35297"/>
    <cellStyle name="Magic 2 6 3 3 2" xfId="35298"/>
    <cellStyle name="Outputs 2 7 3 3 2" xfId="35299"/>
    <cellStyle name="Table Head Aligned 2 6 3 3 2" xfId="35300"/>
    <cellStyle name="Table Head Green 2 7 3 3 2" xfId="35301"/>
    <cellStyle name="Title [Helv] 2 6 3 3 2" xfId="35302"/>
    <cellStyle name="Title [Palat] 2 7 3 3 2" xfId="35303"/>
    <cellStyle name="Date [mm-d-yyyy] 3 6 3 3 2" xfId="35304"/>
    <cellStyle name="Style 51 4 6 3 3 2" xfId="35305"/>
    <cellStyle name="Style 49 4 6 3 3 2" xfId="35306"/>
    <cellStyle name="Style 45 4 6 3 3 2" xfId="35307"/>
    <cellStyle name="Style 44 4 6 3 3 2" xfId="35308"/>
    <cellStyle name="P-Green Rule 3 6 3 3 2" xfId="35309"/>
    <cellStyle name="PB Table Standard Row 3 6 3 3 2" xfId="35310"/>
    <cellStyle name="dp*ThinLineBelow 3 6 3 3 2" xfId="35311"/>
    <cellStyle name="dp*SubTitle 3 6 3 3 2" xfId="35312"/>
    <cellStyle name="Border Thin 3 6 3 3 2" xfId="35313"/>
    <cellStyle name="Afjusted 4 6 3 3 2" xfId="35314"/>
    <cellStyle name="ac 2 2 5 3 3 2" xfId="35315"/>
    <cellStyle name="Afjusted 2 2 6 3 3 2" xfId="35316"/>
    <cellStyle name="Bold/Border 2 2 5 3 3 2" xfId="35317"/>
    <cellStyle name="COL HEADINGS 2 2 5 3 3 2" xfId="35318"/>
    <cellStyle name="Date [mmm-yyyy] 2 2 5 3 3 2" xfId="35319"/>
    <cellStyle name="dp*NumberLine 2 2 5 3 3 2" xfId="35320"/>
    <cellStyle name="dp*NumberLineEPS 2 2 5 3 3 2" xfId="35321"/>
    <cellStyle name="dp*SheetSubTitle 2 2 5 3 3 2" xfId="35322"/>
    <cellStyle name="Heading [Helv] 2 2 5 3 3 2" xfId="35323"/>
    <cellStyle name="Heading [Palat] 2 2 5 3 3 2" xfId="35324"/>
    <cellStyle name="Magic 2 2 5 3 3 2" xfId="35325"/>
    <cellStyle name="Outputs 2 2 5 3 3 2" xfId="35326"/>
    <cellStyle name="Table Head Aligned 2 2 5 3 3 2" xfId="35327"/>
    <cellStyle name="Table Head Green 2 2 5 3 3 2" xfId="35328"/>
    <cellStyle name="Title [Helv] 2 2 5 3 3 2" xfId="35329"/>
    <cellStyle name="Title [Palat] 2 2 5 3 3 2" xfId="35330"/>
    <cellStyle name="dp*SubTitle 2 2 2 3 3 2" xfId="35331"/>
    <cellStyle name="Border Thin 2 2 2 3 3 2" xfId="35332"/>
    <cellStyle name="Bold/Border 2 2 3 4 2 3 3 2" xfId="35333"/>
    <cellStyle name="Magic 2 2 3 4 2 3 3 2" xfId="35334"/>
    <cellStyle name="Title [Helv] 2 2 3 4 2 3 3 2" xfId="35335"/>
    <cellStyle name="Style 51 2 2 2 3 3 2" xfId="35336"/>
    <cellStyle name="Style 45 2 2 2 3 3 2" xfId="35337"/>
    <cellStyle name="Style 49 2 2 2 3 3 2" xfId="35338"/>
    <cellStyle name="Style 44 2 2 2 3 3 2" xfId="35339"/>
    <cellStyle name="Style 51 3 2 2 3 3 2" xfId="35340"/>
    <cellStyle name="Style 49 3 2 2 3 3 2" xfId="35341"/>
    <cellStyle name="Style 45 3 2 2 3 3 2" xfId="35342"/>
    <cellStyle name="Style 44 3 2 2 3 3 2" xfId="35343"/>
    <cellStyle name="P-Green Rule 2 2 2 3 3 2" xfId="35344"/>
    <cellStyle name="PB Table Standard Row 2 2 2 3 3 2" xfId="35345"/>
    <cellStyle name="dp*ThinLineBelow 2 2 2 3 3 2" xfId="35346"/>
    <cellStyle name="dp*ThinLineBelow 2 3 2 3 3 2" xfId="35347"/>
    <cellStyle name="Style 44 3 3 2 3 3 2" xfId="35348"/>
    <cellStyle name="COL HEADINGS 2 2 3 4 2 3 3 2" xfId="35349"/>
    <cellStyle name="Style 49 4 3 4 2 3 3 2" xfId="35350"/>
    <cellStyle name="Afjusted 3 3 4 2 3 3 2" xfId="35351"/>
    <cellStyle name="Date [mm-d-yyyy] 3 3 4 2 3 3 2" xfId="35352"/>
    <cellStyle name="Afjusted 4 3 4 2 3 3 2" xfId="35353"/>
    <cellStyle name="ac 2 2 3 4 2 3 3 2" xfId="35354"/>
    <cellStyle name="Afjusted 2 2 3 4 2 3 3 2" xfId="35355"/>
    <cellStyle name="Date [mmm-yyyy] 2 2 3 4 2 3 3 2" xfId="35356"/>
    <cellStyle name="dp*NumberLine 2 2 3 4 2 3 3 2" xfId="35357"/>
    <cellStyle name="dp*NumberLineEPS 2 2 3 4 2 3 3 2" xfId="35358"/>
    <cellStyle name="dp*SheetSubTitle 2 2 3 4 2 3 3 2" xfId="35359"/>
    <cellStyle name="Heading [Helv] 2 2 3 4 2 3 3 2" xfId="35360"/>
    <cellStyle name="Outputs 2 2 3 4 2 3 3 2" xfId="35361"/>
    <cellStyle name="Table Head Aligned 2 2 3 4 2 3 3 2" xfId="35362"/>
    <cellStyle name="Title [Palat] 2 2 3 4 2 3 3 2" xfId="35363"/>
    <cellStyle name="Afjusted 3 5 2 3 3 2" xfId="35364"/>
    <cellStyle name="Style 45 3 3 2 3 3 2" xfId="35365"/>
    <cellStyle name="Style 51 3 3 2 3 3 2" xfId="35366"/>
    <cellStyle name="Style 44 2 3 2 3 3 2" xfId="35367"/>
    <cellStyle name="Style 45 2 3 2 3 3 2" xfId="35368"/>
    <cellStyle name="Style 49 2 3 2 3 3 2" xfId="35369"/>
    <cellStyle name="Border Thin 3 5 2 3 3 2" xfId="35370"/>
    <cellStyle name="ac 2 2 4 2 3 3 2" xfId="35371"/>
    <cellStyle name="Afjusted 2 2 5 2 3 3 2" xfId="35372"/>
    <cellStyle name="Bold/Border 2 2 4 2 3 3 2" xfId="35373"/>
    <cellStyle name="COL HEADINGS 2 2 4 2 3 3 2" xfId="35374"/>
    <cellStyle name="Date [mmm-yyyy] 2 2 4 2 3 3 2" xfId="35375"/>
    <cellStyle name="dp*NumberLine 2 2 4 2 3 3 2" xfId="35376"/>
    <cellStyle name="dp*NumberLineEPS 2 2 4 2 3 3 2" xfId="35377"/>
    <cellStyle name="dp*SheetSubTitle 2 2 4 2 3 3 2" xfId="35378"/>
    <cellStyle name="Heading [Palat] 2 2 4 2 3 3 2" xfId="35379"/>
    <cellStyle name="Outputs 2 2 4 2 3 3 2" xfId="35380"/>
    <cellStyle name="Magic 2 2 4 2 3 3 2" xfId="35381"/>
    <cellStyle name="Title [Helv] 2 2 4 2 3 3 2" xfId="35382"/>
    <cellStyle name="Title [Palat] 2 2 4 2 3 3 2" xfId="35383"/>
    <cellStyle name="Title [Palat] 2 2 3 3 2 3 3 2" xfId="35384"/>
    <cellStyle name="Title [Helv] 2 2 3 3 2 3 3 2" xfId="35385"/>
    <cellStyle name="Table Head Aligned 2 2 3 3 2 3 3 2" xfId="35386"/>
    <cellStyle name="Magic 2 2 3 3 2 3 3 2" xfId="35387"/>
    <cellStyle name="Heading [Helv] 2 2 3 3 2 3 3 2" xfId="35388"/>
    <cellStyle name="dp*NumberLineEPS 2 2 3 3 2 3 3 2" xfId="35389"/>
    <cellStyle name="COL HEADINGS 2 2 3 3 2 3 3 2" xfId="35390"/>
    <cellStyle name="ac 2 2 3 3 2 3 3 2" xfId="35391"/>
    <cellStyle name="Afjusted 4 3 3 2 3 3 2" xfId="35392"/>
    <cellStyle name="Border Thin 3 3 3 2 3 3 2" xfId="35393"/>
    <cellStyle name="PB Table Standard Row 3 3 3 2 3 3 2" xfId="35394"/>
    <cellStyle name="Style 44 4 3 3 2 3 3 2" xfId="35395"/>
    <cellStyle name="Style 51 4 3 3 2 3 3 2" xfId="35396"/>
    <cellStyle name="Afjusted 3 3 3 2 3 3 2" xfId="35397"/>
    <cellStyle name="Style 49 4 5 2 3 3 2" xfId="35398"/>
    <cellStyle name="Style 44 4 5 2 3 3 2" xfId="35399"/>
    <cellStyle name="P-Green Rule 3 5 2 3 3 2" xfId="35400"/>
    <cellStyle name="dp*SubTitle 3 5 2 3 3 2" xfId="35401"/>
    <cellStyle name="Afjusted 4 5 2 3 3 2" xfId="35402"/>
    <cellStyle name="ac 2 3 2 3 3 2" xfId="35403"/>
    <cellStyle name="Bold/Border 2 3 2 3 3 2" xfId="35404"/>
    <cellStyle name="COL HEADINGS 2 3 2 3 3 2" xfId="35405"/>
    <cellStyle name="Date [mmm-yyyy] 2 3 2 3 3 2" xfId="35406"/>
    <cellStyle name="dp*NumberLine 2 3 2 3 3 2" xfId="35407"/>
    <cellStyle name="dp*NumberLineEPS 2 3 2 3 3 2" xfId="35408"/>
    <cellStyle name="dp*SheetSubTitle 2 3 2 3 3 2" xfId="35409"/>
    <cellStyle name="Heading [Helv] 2 3 2 3 3 2" xfId="35410"/>
    <cellStyle name="Heading [Palat] 2 3 2 3 3 2" xfId="35411"/>
    <cellStyle name="Magic 2 3 2 3 3 2" xfId="35412"/>
    <cellStyle name="Outputs 2 3 2 3 3 2" xfId="35413"/>
    <cellStyle name="Date [mmm-yyyy] 2 2 3 3 2 3 3 2" xfId="35414"/>
    <cellStyle name="Afjusted 2 2 3 3 2 3 3 2" xfId="35415"/>
    <cellStyle name="dp*ThinLineBelow 3 3 3 2 3 3 2" xfId="35416"/>
    <cellStyle name="Style 49 4 3 3 2 3 3 2" xfId="35417"/>
    <cellStyle name="Outputs 2 2 3 3 2 3 3 2" xfId="35418"/>
    <cellStyle name="dp*NumberLine 2 2 3 3 2 3 3 2" xfId="35419"/>
    <cellStyle name="Bold/Border 2 2 3 3 2 3 3 2" xfId="35420"/>
    <cellStyle name="dp*SubTitle 3 3 3 2 3 3 2" xfId="35421"/>
    <cellStyle name="Style 45 4 3 3 2 3 3 2" xfId="35422"/>
    <cellStyle name="Table Head Aligned 2 3 2 3 3 2" xfId="35423"/>
    <cellStyle name="Table Head Green 2 3 2 3 3 2" xfId="35424"/>
    <cellStyle name="Title [Helv] 2 3 2 3 3 2" xfId="35425"/>
    <cellStyle name="Title [Palat] 2 3 2 3 3 2" xfId="35426"/>
    <cellStyle name="Style 45 4 3 4 2 3 3 2" xfId="35427"/>
    <cellStyle name="Style 51 4 3 4 2 3 3 2" xfId="35428"/>
    <cellStyle name="Afjusted 3 4 2 3 3 2" xfId="35429"/>
    <cellStyle name="P-Green Rule 3 3 4 2 3 3 2" xfId="35430"/>
    <cellStyle name="Border Thin 2 3 2 3 3 2" xfId="35431"/>
    <cellStyle name="Style 49 3 3 2 3 3 2" xfId="35432"/>
    <cellStyle name="Style 51 2 3 2 3 3 2" xfId="35433"/>
    <cellStyle name="Heading [Helv] 2 2 4 2 3 3 2" xfId="35434"/>
    <cellStyle name="Table Head Aligned 2 2 4 2 3 3 2" xfId="35435"/>
    <cellStyle name="Table Head Green 2 2 4 2 3 3 2" xfId="35436"/>
    <cellStyle name="Table Head Green 2 2 3 3 2 3 3 2" xfId="35437"/>
    <cellStyle name="Heading [Palat] 2 2 3 3 2 3 3 2" xfId="35438"/>
    <cellStyle name="dp*SheetSubTitle 2 2 3 3 2 3 3 2" xfId="35439"/>
    <cellStyle name="P-Green Rule 3 3 3 2 3 3 2" xfId="35440"/>
    <cellStyle name="Date [mm-d-yyyy] 3 3 3 2 3 3 2" xfId="35441"/>
    <cellStyle name="Date [mm-d-yyyy] 3 4 2 3 3 2" xfId="35442"/>
    <cellStyle name="Style 51 4 4 2 3 3 2" xfId="35443"/>
    <cellStyle name="Style 49 4 4 2 3 3 2" xfId="35444"/>
    <cellStyle name="Style 45 4 4 2 3 3 2" xfId="35445"/>
    <cellStyle name="Style 44 4 4 2 3 3 2" xfId="35446"/>
    <cellStyle name="dp*ThinLineBelow 3 3 4 2 3 3 2" xfId="35447"/>
    <cellStyle name="P-Green Rule 3 4 2 3 3 2" xfId="35448"/>
    <cellStyle name="PB Table Standard Row 3 4 2 2 3 2" xfId="35449"/>
    <cellStyle name="dp*ThinLineBelow 3 4 2 3 3 2" xfId="35450"/>
    <cellStyle name="dp*SubTitle 3 4 2 3 3 2" xfId="35451"/>
    <cellStyle name="dp*SubTitle 3 3 4 2 3 3 2" xfId="35452"/>
    <cellStyle name="Border Thin 3 4 2 3 3 2" xfId="35453"/>
    <cellStyle name="Border Thin 3 3 4 2 3 3 2" xfId="35454"/>
    <cellStyle name="Afjusted 4 4 2 3 3 2" xfId="35455"/>
    <cellStyle name="Afjusted 2 2 4 2 3 3 2" xfId="35456"/>
    <cellStyle name="Style 44 4 3 4 2 3 3 2" xfId="35457"/>
    <cellStyle name="PB Table Standard Row 3 3 4 2 3 3 2" xfId="35458"/>
    <cellStyle name="Title [Palat] 2 2 3 5 3 3 2" xfId="35459"/>
    <cellStyle name="Title [Helv] 2 2 3 5 3 3 2" xfId="35460"/>
    <cellStyle name="Table Head Green 2 2 3 5 3 3 2" xfId="35461"/>
    <cellStyle name="Table Head Aligned 2 2 3 5 3 3 2" xfId="35462"/>
    <cellStyle name="Outputs 2 2 3 5 3 3 2" xfId="35463"/>
    <cellStyle name="Magic 2 2 3 5 3 3 2" xfId="35464"/>
    <cellStyle name="Heading [Palat] 2 2 3 5 3 3 2" xfId="35465"/>
    <cellStyle name="Heading [Helv] 2 2 3 5 3 3 2" xfId="35466"/>
    <cellStyle name="dp*SheetSubTitle 2 2 3 5 3 3 2" xfId="35467"/>
    <cellStyle name="dp*NumberLineEPS 2 2 3 5 3 3 2" xfId="35468"/>
    <cellStyle name="dp*NumberLine 2 2 3 5 3 3 2" xfId="35469"/>
    <cellStyle name="Date [mmm-yyyy] 2 2 3 5 3 3 2" xfId="35470"/>
    <cellStyle name="COL HEADINGS 2 2 3 5 3 3 2" xfId="35471"/>
    <cellStyle name="Bold/Border 2 2 3 5 3 3 2" xfId="35472"/>
    <cellStyle name="Afjusted 2 2 3 5 3 3 2" xfId="35473"/>
    <cellStyle name="ac 2 2 3 5 3 3 2" xfId="35474"/>
    <cellStyle name="Afjusted 4 3 5 3 3 2" xfId="35475"/>
    <cellStyle name="Border Thin 3 3 5 3 3 2" xfId="35476"/>
    <cellStyle name="dp*SubTitle 3 3 5 3 3 2" xfId="35477"/>
    <cellStyle name="dp*ThinLineBelow 3 3 5 3 3 2" xfId="35478"/>
    <cellStyle name="PB Table Standard Row 3 3 5 3 3 2" xfId="35479"/>
    <cellStyle name="P-Green Rule 3 3 5 3 3 2" xfId="35480"/>
    <cellStyle name="Style 44 4 3 5 3 3 2" xfId="35481"/>
    <cellStyle name="Style 45 4 3 5 3 3 2" xfId="35482"/>
    <cellStyle name="Style 49 4 3 5 3 3 2" xfId="35483"/>
    <cellStyle name="Style 51 4 3 5 3 3 2" xfId="35484"/>
    <cellStyle name="Date [mm-d-yyyy] 3 3 5 3 3 2" xfId="35485"/>
    <cellStyle name="Afjusted 3 3 5 3 3 2" xfId="35486"/>
    <cellStyle name="Date [mm-d-yyyy] 2 2 4 3 3 2" xfId="35487"/>
    <cellStyle name="Afjusted 3 2 5 3 3 2" xfId="35488"/>
    <cellStyle name="Date [mm-d-yyyy] 3 2 5 3 3 2" xfId="35489"/>
    <cellStyle name="Style 51 4 2 5 3 3 2" xfId="35490"/>
    <cellStyle name="Style 49 4 2 5 3 3 2" xfId="35491"/>
    <cellStyle name="Style 45 4 2 5 3 3 2" xfId="35492"/>
    <cellStyle name="Style 44 4 2 5 3 3 2" xfId="35493"/>
    <cellStyle name="P-Green Rule 3 2 5 3 3 2" xfId="35494"/>
    <cellStyle name="PB Table Standard Row 3 2 5 2 3 2" xfId="35495"/>
    <cellStyle name="dp*ThinLineBelow 3 2 5 3 3 2" xfId="35496"/>
    <cellStyle name="dp*SubTitle 3 2 5 3 3 2" xfId="35497"/>
    <cellStyle name="Border Thin 3 2 5 3 3 2" xfId="35498"/>
    <cellStyle name="Afjusted 4 2 5 3 3 2" xfId="35499"/>
    <cellStyle name="ac 2 2 2 5 3 3 2" xfId="35500"/>
    <cellStyle name="Afjusted 2 2 2 5 3 3 2" xfId="35501"/>
    <cellStyle name="Bold/Border 2 2 2 5 3 3 2" xfId="35502"/>
    <cellStyle name="COL HEADINGS 2 2 2 5 3 3 2" xfId="35503"/>
    <cellStyle name="Date [mmm-yyyy] 2 2 2 5 3 3 2" xfId="35504"/>
    <cellStyle name="dp*NumberLine 2 2 2 5 3 3 2" xfId="35505"/>
    <cellStyle name="dp*NumberLineEPS 2 2 2 5 3 3 2" xfId="35506"/>
    <cellStyle name="dp*SheetSubTitle 2 2 2 5 3 3 2" xfId="35507"/>
    <cellStyle name="Heading [Helv] 2 2 2 5 3 3 2" xfId="35508"/>
    <cellStyle name="Heading [Palat] 2 2 2 5 3 3 2" xfId="35509"/>
    <cellStyle name="Magic 2 2 2 5 3 3 2" xfId="35510"/>
    <cellStyle name="Outputs 2 2 2 5 3 3 2" xfId="35511"/>
    <cellStyle name="Table Head Aligned 2 2 2 5 3 3 2" xfId="35512"/>
    <cellStyle name="Table Head Green 2 2 2 5 3 3 2" xfId="35513"/>
    <cellStyle name="Title [Helv] 2 2 2 5 3 3 2" xfId="35514"/>
    <cellStyle name="Title [Palat] 2 2 2 5 3 3 2" xfId="35515"/>
    <cellStyle name="Table Head Green 2 2 3 4 2 3 3 2" xfId="35516"/>
    <cellStyle name="Heading [Palat] 2 2 3 4 2 3 3 2" xfId="35517"/>
    <cellStyle name="PB Table Standard Row 2 3 2 3 3 2" xfId="35518"/>
    <cellStyle name="P-Green Rule 2 3 2 3 3 2" xfId="35519"/>
    <cellStyle name="Title [Palat] 2 2 3 2 2 3 3 2" xfId="35520"/>
    <cellStyle name="Title [Helv] 2 2 3 2 2 3 3 2" xfId="35521"/>
    <cellStyle name="Table Head Green 2 2 3 2 2 3 3 2" xfId="35522"/>
    <cellStyle name="Table Head Aligned 2 2 3 2 2 3 3 2" xfId="35523"/>
    <cellStyle name="Outputs 2 2 3 2 2 3 3 2" xfId="35524"/>
    <cellStyle name="Magic 2 2 3 2 2 3 3 2" xfId="35525"/>
    <cellStyle name="Heading [Palat] 2 2 3 2 2 3 3 2" xfId="35526"/>
    <cellStyle name="Heading [Helv] 2 2 3 2 2 3 3 2" xfId="35527"/>
    <cellStyle name="dp*SheetSubTitle 2 2 3 2 2 3 3 2" xfId="35528"/>
    <cellStyle name="dp*NumberLineEPS 2 2 3 2 2 3 3 2" xfId="35529"/>
    <cellStyle name="dp*NumberLine 2 2 3 2 2 3 3 2" xfId="35530"/>
    <cellStyle name="Date [mmm-yyyy] 2 2 3 2 2 3 3 2" xfId="35531"/>
    <cellStyle name="COL HEADINGS 2 2 3 2 2 3 3 2" xfId="35532"/>
    <cellStyle name="Bold/Border 2 2 3 2 2 3 3 2" xfId="35533"/>
    <cellStyle name="Afjusted 2 2 3 2 2 3 3 2" xfId="35534"/>
    <cellStyle name="ac 2 2 3 2 2 3 3 2" xfId="35535"/>
    <cellStyle name="Afjusted 4 3 2 2 3 3 2" xfId="35536"/>
    <cellStyle name="Border Thin 3 3 2 2 3 3 2" xfId="35537"/>
    <cellStyle name="dp*SubTitle 3 3 2 2 3 3 2" xfId="35538"/>
    <cellStyle name="dp*ThinLineBelow 3 3 2 2 3 3 2" xfId="35539"/>
    <cellStyle name="PB Table Standard Row 3 3 2 2 3 3 2" xfId="35540"/>
    <cellStyle name="P-Green Rule 3 3 2 2 3 3 2" xfId="35541"/>
    <cellStyle name="Style 44 4 3 2 2 3 3 2" xfId="35542"/>
    <cellStyle name="Style 45 4 3 2 2 3 3 2" xfId="35543"/>
    <cellStyle name="Style 49 4 3 2 2 3 3 2" xfId="35544"/>
    <cellStyle name="Style 51 4 3 2 2 3 3 2" xfId="35545"/>
    <cellStyle name="Date [mm-d-yyyy] 3 3 2 2 3 3 2" xfId="35546"/>
    <cellStyle name="Afjusted 3 3 2 2 3 3 2" xfId="35547"/>
    <cellStyle name="Date [mm-d-yyyy] 3 5 2 3 3 2" xfId="35548"/>
    <cellStyle name="dp*SubTitle 2 3 2 3 3 2" xfId="35549"/>
    <cellStyle name="Date [mm-d-yyyy] 2 2 2 2 3 3 2" xfId="35550"/>
    <cellStyle name="Afjusted 3 2 2 2 3 3 2" xfId="35551"/>
    <cellStyle name="PB Table Standard Row 3 5 2 3 3 2" xfId="35552"/>
    <cellStyle name="Date [mm-d-yyyy] 3 2 2 2 3 3 2" xfId="35553"/>
    <cellStyle name="Style 51 4 2 2 2 3 3 2" xfId="35554"/>
    <cellStyle name="Style 49 4 2 2 2 3 3 2" xfId="35555"/>
    <cellStyle name="Style 45 4 2 2 2 3 3 2" xfId="35556"/>
    <cellStyle name="Style 44 4 2 2 2 3 3 2" xfId="35557"/>
    <cellStyle name="Style 45 4 5 2 3 3 2" xfId="35558"/>
    <cellStyle name="P-Green Rule 3 2 2 2 3 3 2" xfId="35559"/>
    <cellStyle name="PB Table Standard Row 3 2 2 2 3 3 2" xfId="35560"/>
    <cellStyle name="dp*ThinLineBelow 3 2 2 2 3 3 2" xfId="35561"/>
    <cellStyle name="dp*SubTitle 3 2 2 2 3 3 2" xfId="35562"/>
    <cellStyle name="Style 51 4 5 2 3 3 2" xfId="35563"/>
    <cellStyle name="Border Thin 3 2 2 2 3 3 2" xfId="35564"/>
    <cellStyle name="Afjusted 4 2 2 2 3 3 2" xfId="35565"/>
    <cellStyle name="ac 2 2 2 2 2 3 3 2" xfId="35566"/>
    <cellStyle name="Afjusted 2 2 2 2 2 3 3 2" xfId="35567"/>
    <cellStyle name="Bold/Border 2 2 2 2 2 3 3 2" xfId="35568"/>
    <cellStyle name="COL HEADINGS 2 2 2 2 2 3 3 2" xfId="35569"/>
    <cellStyle name="Date [mmm-yyyy] 2 2 2 2 2 3 3 2" xfId="35570"/>
    <cellStyle name="dp*NumberLine 2 2 2 2 2 3 3 2" xfId="35571"/>
    <cellStyle name="dp*NumberLineEPS 2 2 2 2 2 3 3 2" xfId="35572"/>
    <cellStyle name="dp*SheetSubTitle 2 2 2 2 2 3 3 2" xfId="35573"/>
    <cellStyle name="Heading [Helv] 2 2 2 2 2 3 3 2" xfId="35574"/>
    <cellStyle name="Heading [Palat] 2 2 2 2 2 3 3 2" xfId="35575"/>
    <cellStyle name="Magic 2 2 2 2 2 3 3 2" xfId="35576"/>
    <cellStyle name="Outputs 2 2 2 2 2 3 3 2" xfId="35577"/>
    <cellStyle name="Table Head Aligned 2 2 2 2 2 3 3 2" xfId="35578"/>
    <cellStyle name="Table Head Green 2 2 2 2 2 3 3 2" xfId="35579"/>
    <cellStyle name="Title [Helv] 2 2 2 2 2 3 3 2" xfId="35580"/>
    <cellStyle name="Title [Palat] 2 2 2 2 2 3 3 2" xfId="35581"/>
    <cellStyle name="dp*ThinLineBelow 3 5 2 3 3 2" xfId="35582"/>
    <cellStyle name="Date [mm-d-yyyy] 2 2 3 2 3 3 2" xfId="35583"/>
    <cellStyle name="Afjusted 3 2 3 2 3 3 2" xfId="35584"/>
    <cellStyle name="Date [mm-d-yyyy] 3 2 3 2 3 3 2" xfId="35585"/>
    <cellStyle name="Style 51 4 2 3 2 3 3 2" xfId="35586"/>
    <cellStyle name="Style 49 4 2 3 2 3 3 2" xfId="35587"/>
    <cellStyle name="Style 45 4 2 3 2 3 3 2" xfId="35588"/>
    <cellStyle name="Style 44 4 2 3 2 3 3 2" xfId="35589"/>
    <cellStyle name="P-Green Rule 3 2 3 2 3 3 2" xfId="35590"/>
    <cellStyle name="PB Table Standard Row 3 2 3 2 3 3 2" xfId="35591"/>
    <cellStyle name="dp*ThinLineBelow 3 2 3 2 3 3 2" xfId="35592"/>
    <cellStyle name="dp*SubTitle 3 2 3 2 3 3 2" xfId="35593"/>
    <cellStyle name="Border Thin 3 2 3 2 3 3 2" xfId="35594"/>
    <cellStyle name="Afjusted 4 2 3 2 3 3 2" xfId="35595"/>
    <cellStyle name="ac 2 2 2 3 2 3 3 2" xfId="35596"/>
    <cellStyle name="Afjusted 2 2 2 3 2 3 3 2" xfId="35597"/>
    <cellStyle name="Bold/Border 2 2 2 3 2 3 3 2" xfId="35598"/>
    <cellStyle name="COL HEADINGS 2 2 2 3 2 3 3 2" xfId="35599"/>
    <cellStyle name="Date [mmm-yyyy] 2 2 2 3 2 3 3 2" xfId="35600"/>
    <cellStyle name="dp*NumberLine 2 2 2 3 2 3 3 2" xfId="35601"/>
    <cellStyle name="dp*NumberLineEPS 2 2 2 3 2 3 3 2" xfId="35602"/>
    <cellStyle name="dp*SheetSubTitle 2 2 2 3 2 3 3 2" xfId="35603"/>
    <cellStyle name="Heading [Helv] 2 2 2 3 2 3 3 2" xfId="35604"/>
    <cellStyle name="Heading [Palat] 2 2 2 3 2 3 3 2" xfId="35605"/>
    <cellStyle name="Magic 2 2 2 3 2 3 3 2" xfId="35606"/>
    <cellStyle name="Outputs 2 2 2 3 2 3 3 2" xfId="35607"/>
    <cellStyle name="Table Head Aligned 2 2 2 3 2 3 3 2" xfId="35608"/>
    <cellStyle name="Table Head Green 2 2 2 3 2 3 3 2" xfId="35609"/>
    <cellStyle name="Title [Helv] 2 2 2 3 2 3 3 2" xfId="35610"/>
    <cellStyle name="Title [Palat] 2 2 2 3 2 3 3 2" xfId="35611"/>
    <cellStyle name="Afjusted 3 2 4 2 3 3 2" xfId="35612"/>
    <cellStyle name="Date [mm-d-yyyy] 3 2 4 2 3 3 2" xfId="35613"/>
    <cellStyle name="Style 51 4 2 4 2 3 3 2" xfId="35614"/>
    <cellStyle name="Style 49 4 2 4 2 3 3 2" xfId="35615"/>
    <cellStyle name="Style 45 4 2 4 2 3 3 2" xfId="35616"/>
    <cellStyle name="Style 44 4 2 4 2 3 3 2" xfId="35617"/>
    <cellStyle name="P-Green Rule 3 2 4 2 3 3 2" xfId="35618"/>
    <cellStyle name="PB Table Standard Row 3 2 4 2 3 3 2" xfId="35619"/>
    <cellStyle name="dp*ThinLineBelow 3 2 4 2 3 3 2" xfId="35620"/>
    <cellStyle name="dp*SubTitle 3 2 4 2 3 3 2" xfId="35621"/>
    <cellStyle name="Border Thin 3 2 4 2 3 3 2" xfId="35622"/>
    <cellStyle name="Afjusted 4 2 4 2 3 3 2" xfId="35623"/>
    <cellStyle name="ac 2 2 2 4 2 3 3 2" xfId="35624"/>
    <cellStyle name="Afjusted 2 2 2 4 2 3 3 2" xfId="35625"/>
    <cellStyle name="Bold/Border 2 2 2 4 2 3 3 2" xfId="35626"/>
    <cellStyle name="COL HEADINGS 2 2 2 4 2 3 3 2" xfId="35627"/>
    <cellStyle name="Date [mmm-yyyy] 2 2 2 4 2 3 3 2" xfId="35628"/>
    <cellStyle name="dp*NumberLine 2 2 2 4 2 3 3 2" xfId="35629"/>
    <cellStyle name="dp*NumberLineEPS 2 2 2 4 2 3 3 2" xfId="35630"/>
    <cellStyle name="dp*SheetSubTitle 2 2 2 4 2 3 3 2" xfId="35631"/>
    <cellStyle name="Heading [Helv] 2 2 2 4 2 3 3 2" xfId="35632"/>
    <cellStyle name="Heading [Palat] 2 2 2 4 2 3 3 2" xfId="35633"/>
    <cellStyle name="Magic 2 2 2 4 2 3 3 2" xfId="35634"/>
    <cellStyle name="Outputs 2 2 2 4 2 3 3 2" xfId="35635"/>
    <cellStyle name="Table Head Aligned 2 2 2 4 2 3 3 2" xfId="35636"/>
    <cellStyle name="Table Head Green 2 2 2 4 2 3 3 2" xfId="35637"/>
    <cellStyle name="Title [Helv] 2 2 2 4 2 3 3 2" xfId="35638"/>
    <cellStyle name="Title [Palat] 2 2 2 4 2 3 3 2" xfId="35639"/>
    <cellStyle name="Border Thin 4 2 3 3 2" xfId="35640"/>
    <cellStyle name="Date [mm-d-yyyy] 4 2 3 3 2" xfId="35641"/>
    <cellStyle name="dp*SubTitle 4 2 3 3 2" xfId="35642"/>
    <cellStyle name="dp*ThinLineBelow 4 2 3 3 2" xfId="35643"/>
    <cellStyle name="PB Table Standard Row 4 2 3 3 2" xfId="35644"/>
    <cellStyle name="P-Green Rule 4 2 3 3 2" xfId="35645"/>
    <cellStyle name="Style 44 5 2 3 3 2" xfId="35646"/>
    <cellStyle name="Style 45 5 2 3 3 2" xfId="35647"/>
    <cellStyle name="Style 49 5 2 3 3 2" xfId="35648"/>
    <cellStyle name="Style 51 5 2 3 3 2" xfId="35649"/>
    <cellStyle name="Title [Palat] 3 2 3 3 2" xfId="35650"/>
    <cellStyle name="Title [Helv] 3 2 3 3 2" xfId="35651"/>
    <cellStyle name="Table Head Green 3 2 3 3 2" xfId="35652"/>
    <cellStyle name="Table Head Aligned 3 2 3 3 2" xfId="35653"/>
    <cellStyle name="Outputs 3 2 3 3 2" xfId="35654"/>
    <cellStyle name="Magic 3 2 3 3 2" xfId="35655"/>
    <cellStyle name="Heading [Palat] 3 2 3 3 2" xfId="35656"/>
    <cellStyle name="Heading [Helv] 3 2 3 3 2" xfId="35657"/>
    <cellStyle name="dp*SheetSubTitle 3 2 3 3 2" xfId="35658"/>
    <cellStyle name="dp*NumberLineEPS 3 2 3 3 2" xfId="35659"/>
    <cellStyle name="dp*NumberLine 3 2 3 3 2" xfId="35660"/>
    <cellStyle name="COL HEADINGS 3 2 3 3 2" xfId="35661"/>
    <cellStyle name="Bold/Border 3 2 3 3 2" xfId="35662"/>
    <cellStyle name="Afjusted 5 2 3 3 2" xfId="35663"/>
    <cellStyle name="ac 3 2 3 3 2" xfId="35664"/>
    <cellStyle name="Date [mmm-yyyy] 3 2 3 3 2" xfId="35665"/>
    <cellStyle name="ac 2 4 2 3 3 2" xfId="35666"/>
    <cellStyle name="Afjusted 2 3 2 3 3 2" xfId="35667"/>
    <cellStyle name="Bold/Border 2 4 2 3 3 2" xfId="35668"/>
    <cellStyle name="Border Thin 2 4 2 3 3 2" xfId="35669"/>
    <cellStyle name="COL HEADINGS 2 4 2 3 3 2" xfId="35670"/>
    <cellStyle name="Date [mmm-yyyy] 2 4 2 3 3 2" xfId="35671"/>
    <cellStyle name="dp*NumberLine 2 4 2 3 3 2" xfId="35672"/>
    <cellStyle name="dp*NumberLineEPS 2 4 2 3 3 2" xfId="35673"/>
    <cellStyle name="dp*SheetSubTitle 2 4 2 3 3 2" xfId="35674"/>
    <cellStyle name="dp*SubTitle 2 4 2 3 3 2" xfId="35675"/>
    <cellStyle name="dp*ThinLineBelow 2 4 2 3 3 2" xfId="35676"/>
    <cellStyle name="Heading [Helv] 2 4 2 3 3 2" xfId="35677"/>
    <cellStyle name="Heading [Palat] 2 4 2 3 3 2" xfId="35678"/>
    <cellStyle name="Magic 2 4 2 3 3 2" xfId="35679"/>
    <cellStyle name="Outputs 2 4 2 3 3 2" xfId="35680"/>
    <cellStyle name="PB Table Standard Row 2 4 2 3 3 2" xfId="35681"/>
    <cellStyle name="P-Green Rule 2 4 2 3 3 2" xfId="35682"/>
    <cellStyle name="Style 44 3 4 2 3 3 2" xfId="35683"/>
    <cellStyle name="Style 45 3 4 2 3 3 2" xfId="35684"/>
    <cellStyle name="Style 49 3 4 2 3 3 2" xfId="35685"/>
    <cellStyle name="Style 51 3 4 2 3 3 2" xfId="35686"/>
    <cellStyle name="Style 44 2 4 2 3 3 2" xfId="35687"/>
    <cellStyle name="Style 45 2 4 2 3 3 2" xfId="35688"/>
    <cellStyle name="Style 49 2 4 2 3 3 2" xfId="35689"/>
    <cellStyle name="Style 51 2 4 2 3 3 2" xfId="35690"/>
    <cellStyle name="Table Head Aligned 2 4 2 3 3 2" xfId="35691"/>
    <cellStyle name="Table Head Green 2 4 2 3 3 2" xfId="35692"/>
    <cellStyle name="Title [Helv] 2 4 2 3 3 2" xfId="35693"/>
    <cellStyle name="Title [Palat] 2 4 2 3 3 2" xfId="35694"/>
    <cellStyle name="ac 4 2 3 3 2" xfId="35695"/>
    <cellStyle name="Bold/Border 4 2 3 3 2" xfId="35696"/>
    <cellStyle name="Border Thin 5 2 3 3 2" xfId="35697"/>
    <cellStyle name="COL HEADINGS 4 2 3 3 2" xfId="35698"/>
    <cellStyle name="Date [mm-d-yyyy] 5 2 3 3 2" xfId="35699"/>
    <cellStyle name="Heading [Helv] 4 2 3 3 2" xfId="35700"/>
    <cellStyle name="Heading [Palat] 4 2 3 3 2" xfId="35701"/>
    <cellStyle name="Outputs 4 2 3 3 2" xfId="35702"/>
    <cellStyle name="PB Table Standard Row 5 2 3 3 2" xfId="35703"/>
    <cellStyle name="P-Green Rule 5 2 3 3 2" xfId="35704"/>
    <cellStyle name="Style 44 6 2 3 3 2" xfId="35705"/>
    <cellStyle name="Style 45 6 2 3 3 2" xfId="35706"/>
    <cellStyle name="Style 49 6 2 3 3 2" xfId="35707"/>
    <cellStyle name="Style 51 6 2 3 3 2" xfId="35708"/>
    <cellStyle name="Table Head Green 4 2 3 3 2" xfId="35709"/>
    <cellStyle name="Afjusted 6 2 3 3 2" xfId="35710"/>
    <cellStyle name="ac 2 5 2 3 3 2" xfId="35711"/>
    <cellStyle name="Afjusted 2 4 2 3 3 2" xfId="35712"/>
    <cellStyle name="Bold/Border 2 5 2 3 3 2" xfId="35713"/>
    <cellStyle name="Border Thin 2 5 2 3 3 2" xfId="35714"/>
    <cellStyle name="COL HEADINGS 2 5 2 3 3 2" xfId="35715"/>
    <cellStyle name="Date [mmm-yyyy] 2 5 2 3 3 2" xfId="35716"/>
    <cellStyle name="dp*NumberLine 2 5 2 3 3 2" xfId="35717"/>
    <cellStyle name="dp*NumberLineEPS 2 5 2 3 3 2" xfId="35718"/>
    <cellStyle name="dp*SheetSubTitle 2 5 2 3 3 2" xfId="35719"/>
    <cellStyle name="dp*SubTitle 2 5 2 3 3 2" xfId="35720"/>
    <cellStyle name="dp*ThinLineBelow 2 5 2 3 3 2" xfId="35721"/>
    <cellStyle name="Heading [Helv] 2 5 2 3 3 2" xfId="35722"/>
    <cellStyle name="Heading [Palat] 2 5 2 3 3 2" xfId="35723"/>
    <cellStyle name="Magic 2 5 2 3 3 2" xfId="35724"/>
    <cellStyle name="Outputs 2 5 2 3 3 2" xfId="35725"/>
    <cellStyle name="PB Table Standard Row 2 5 2 3 3 2" xfId="35726"/>
    <cellStyle name="P-Green Rule 2 5 2 3 3 2" xfId="35727"/>
    <cellStyle name="Style 44 3 5 2 3 3 2" xfId="35728"/>
    <cellStyle name="Style 45 3 5 2 3 3 2" xfId="35729"/>
    <cellStyle name="Style 49 3 5 2 3 3 2" xfId="35730"/>
    <cellStyle name="Style 51 3 5 2 3 3 2" xfId="35731"/>
    <cellStyle name="Style 44 2 5 2 3 3 2" xfId="35732"/>
    <cellStyle name="Style 45 2 5 2 3 3 2" xfId="35733"/>
    <cellStyle name="Style 49 2 5 2 3 3 2" xfId="35734"/>
    <cellStyle name="Style 51 2 5 2 3 3 2" xfId="35735"/>
    <cellStyle name="Table Head Aligned 2 5 2 3 3 2" xfId="35736"/>
    <cellStyle name="Table Head Green 2 5 2 3 3 2" xfId="35737"/>
    <cellStyle name="Title [Helv] 2 5 2 3 3 2" xfId="35738"/>
    <cellStyle name="Title [Palat] 2 5 2 3 3 2" xfId="35739"/>
    <cellStyle name="ac 5 2 3 3 2" xfId="35740"/>
    <cellStyle name="Bold/Border 5 2 3 3 2" xfId="35741"/>
    <cellStyle name="Border Thin 6 2 3 3 2" xfId="35742"/>
    <cellStyle name="COL HEADINGS 5 2 3 3 2" xfId="35743"/>
    <cellStyle name="Heading [Helv] 5 2 3 3 2" xfId="35744"/>
    <cellStyle name="Heading [Palat] 5 2 3 3 2" xfId="35745"/>
    <cellStyle name="Outputs 5 2 3 3 2" xfId="35746"/>
    <cellStyle name="PB Table Standard Row 6 2 3 3 2" xfId="35747"/>
    <cellStyle name="P-Green Rule 6 2 3 3 2" xfId="35748"/>
    <cellStyle name="Style 44 7 2 3 3 2" xfId="35749"/>
    <cellStyle name="Style 45 7 2 3 3 2" xfId="35750"/>
    <cellStyle name="Style 49 7 2 3 3 2" xfId="35751"/>
    <cellStyle name="Style 51 7 2 3 3 2" xfId="35752"/>
    <cellStyle name="Table Head Green 5 2 3 3 2" xfId="35753"/>
    <cellStyle name="Title [Palat] 4 2 3 3 2" xfId="35754"/>
    <cellStyle name="ac 2 6 2 3 3 2" xfId="35755"/>
    <cellStyle name="Bold/Border 2 6 2 3 3 2" xfId="35756"/>
    <cellStyle name="Border Thin 2 6 2 3 3 2" xfId="35757"/>
    <cellStyle name="COL HEADINGS 2 6 2 3 3 2" xfId="35758"/>
    <cellStyle name="Heading [Helv] 2 6 2 3 3 2" xfId="35759"/>
    <cellStyle name="Heading [Palat] 2 6 2 3 3 2" xfId="35760"/>
    <cellStyle name="Outputs 2 6 2 3 3 2" xfId="35761"/>
    <cellStyle name="PB Table Standard Row 2 6 2 3 3 2" xfId="35762"/>
    <cellStyle name="P-Green Rule 2 6 2 3 3 2" xfId="35763"/>
    <cellStyle name="Style 44 3 6 2 3 3 2" xfId="35764"/>
    <cellStyle name="Style 45 3 6 2 3 3 2" xfId="35765"/>
    <cellStyle name="Style 49 3 6 2 3 3 2" xfId="35766"/>
    <cellStyle name="Style 51 3 6 2 3 3 2" xfId="35767"/>
    <cellStyle name="Style 44 2 6 2 3 3 2" xfId="35768"/>
    <cellStyle name="Style 45 2 6 2 3 3 2" xfId="35769"/>
    <cellStyle name="Style 49 2 6 2 3 3 2" xfId="35770"/>
    <cellStyle name="Style 51 2 6 2 3 3 2" xfId="35771"/>
    <cellStyle name="Table Head Green 2 6 2 3 3 2" xfId="35772"/>
    <cellStyle name="Title [Palat] 2 6 2 3 3 2" xfId="35773"/>
    <cellStyle name="Title [Palat] 5 2 3 3 2" xfId="35774"/>
    <cellStyle name="Title [Helv] 4 2 3 3 2" xfId="35775"/>
    <cellStyle name="Table Head Green 6 2 3 3 2" xfId="35776"/>
    <cellStyle name="Table Head Aligned 4 2 3 3 2" xfId="35777"/>
    <cellStyle name="Style 51 9 2 3 3 2" xfId="35778"/>
    <cellStyle name="Style 49 9 2 3 3 2" xfId="35779"/>
    <cellStyle name="Style 45 9 2 3 3 2" xfId="35780"/>
    <cellStyle name="Style 44 9 2 3 3 2" xfId="35781"/>
    <cellStyle name="P-Green Rule 7 2 3 3 2" xfId="35782"/>
    <cellStyle name="PB Table Standard Row 7 2 3 3 2" xfId="35783"/>
    <cellStyle name="Outputs 6 2 3 3 2" xfId="35784"/>
    <cellStyle name="Magic 4 2 3 3 2" xfId="35785"/>
    <cellStyle name="Heading [Palat] 6 2 3 3 2" xfId="35786"/>
    <cellStyle name="Heading [Helv] 6 2 3 3 2" xfId="35787"/>
    <cellStyle name="dp*ThinLineBelow 5 2 3 3 2" xfId="35788"/>
    <cellStyle name="dp*SubTitle 5 2 3 3 2" xfId="35789"/>
    <cellStyle name="dp*SheetSubTitle 4 2 3 3 2" xfId="35790"/>
    <cellStyle name="dp*NumberLineEPS 4 2 3 3 2" xfId="35791"/>
    <cellStyle name="dp*NumberLine 4 2 3 3 2" xfId="35792"/>
    <cellStyle name="Date [mmm-yyyy] 4 2 3 3 2" xfId="35793"/>
    <cellStyle name="Date [mm-d-yyyy] 7 2 3 3 2" xfId="35794"/>
    <cellStyle name="COL HEADINGS 6 2 3 3 2" xfId="35795"/>
    <cellStyle name="Border Thin 7 2 3 3 2" xfId="35796"/>
    <cellStyle name="Bold/Border 6 2 3 3 2" xfId="35797"/>
    <cellStyle name="Afjusted 7 2 3 3 2" xfId="35798"/>
    <cellStyle name="ac 6 2 3 3 2" xfId="35799"/>
    <cellStyle name="Style 44 8 2 3 3 2" xfId="35800"/>
    <cellStyle name="Style 45 8 2 3 3 2" xfId="35801"/>
    <cellStyle name="Style 49 8 2 3 3 2" xfId="35802"/>
    <cellStyle name="Style 51 8 2 3 3 2" xfId="35803"/>
    <cellStyle name="Title [Palat] 6 2 3 3 2" xfId="35804"/>
    <cellStyle name="Title [Helv] 5 2 3 3 2" xfId="35805"/>
    <cellStyle name="Table Head Green 7 2 3 3 2" xfId="35806"/>
    <cellStyle name="Table Head Aligned 5 2 3 3 2" xfId="35807"/>
    <cellStyle name="Outputs 7 2 3 3 2" xfId="35808"/>
    <cellStyle name="Magic 5 2 3 3 2" xfId="35809"/>
    <cellStyle name="Heading [Palat] 7 2 3 3 2" xfId="35810"/>
    <cellStyle name="Heading [Helv] 7 2 3 3 2" xfId="35811"/>
    <cellStyle name="dp*SheetSubTitle 5 2 3 3 2" xfId="35812"/>
    <cellStyle name="dp*NumberLineEPS 5 2 3 3 2" xfId="35813"/>
    <cellStyle name="dp*NumberLine 5 2 3 3 2" xfId="35814"/>
    <cellStyle name="Date [mmm-yyyy] 5 2 3 3 2" xfId="35815"/>
    <cellStyle name="COL HEADINGS 7 2 3 3 2" xfId="35816"/>
    <cellStyle name="Bold/Border 7 2 3 3 2" xfId="35817"/>
    <cellStyle name="Afjusted 8 2 3 3 2" xfId="35818"/>
    <cellStyle name="ac 7 2 3 3 2" xfId="35819"/>
    <cellStyle name="Title [Palat] 7 2 3 3 2" xfId="35820"/>
    <cellStyle name="Title [Helv] 6 2 3 3 2" xfId="35821"/>
    <cellStyle name="Table Head Green 8 2 3 3 2" xfId="35822"/>
    <cellStyle name="Table Head Aligned 6 2 3 3 2" xfId="35823"/>
    <cellStyle name="Outputs 8 2 3 3 2" xfId="35824"/>
    <cellStyle name="Magic 6 2 3 3 2" xfId="35825"/>
    <cellStyle name="Heading [Palat] 8 2 3 3 2" xfId="35826"/>
    <cellStyle name="Heading [Helv] 8 2 3 3 2" xfId="35827"/>
    <cellStyle name="dp*SheetSubTitle 6 2 3 3 2" xfId="35828"/>
    <cellStyle name="dp*NumberLineEPS 6 2 3 3 2" xfId="35829"/>
    <cellStyle name="dp*NumberLine 6 2 3 3 2" xfId="35830"/>
    <cellStyle name="COL HEADINGS 8 2 3 3 2" xfId="35831"/>
    <cellStyle name="Bold/Border 8 2 3 3 2" xfId="35832"/>
    <cellStyle name="Afjusted 9 2 3 3 2" xfId="35833"/>
    <cellStyle name="ac 8 2 3 3 2" xfId="35834"/>
    <cellStyle name="Date [mmm-yyyy] 6 2 3 3 2" xfId="35835"/>
    <cellStyle name="Title [Palat] 8 2 3 3 2" xfId="35836"/>
    <cellStyle name="Title [Helv] 7 2 3 3 2" xfId="35837"/>
    <cellStyle name="Table Head Green 9 2 3 3 2" xfId="35838"/>
    <cellStyle name="Table Head Aligned 7 2 3 3 2" xfId="35839"/>
    <cellStyle name="Outputs 9 2 3 3 2" xfId="35840"/>
    <cellStyle name="Magic 7 2 3 3 2" xfId="35841"/>
    <cellStyle name="Heading [Palat] 9 2 3 3 2" xfId="35842"/>
    <cellStyle name="Heading [Helv] 9 2 3 3 2" xfId="35843"/>
    <cellStyle name="dp*SheetSubTitle 7 2 3 3 2" xfId="35844"/>
    <cellStyle name="dp*NumberLineEPS 7 2 3 3 2" xfId="35845"/>
    <cellStyle name="dp*NumberLine 7 2 3 3 2" xfId="35846"/>
    <cellStyle name="Date [mmm-yyyy] 7 2 3 3 2" xfId="35847"/>
    <cellStyle name="COL HEADINGS 9 2 3 3 2" xfId="35848"/>
    <cellStyle name="Bold/Border 9 2 3 3 2" xfId="35849"/>
    <cellStyle name="Afjusted 10 2 3 3 2" xfId="35850"/>
    <cellStyle name="ac 9 2 3 3 2" xfId="35851"/>
    <cellStyle name="ac 5 10" xfId="35852"/>
    <cellStyle name="Arial6Bold 5 5" xfId="35853"/>
    <cellStyle name="Arial8Bold 5 5" xfId="35854"/>
    <cellStyle name="Arial8Italic 5 5" xfId="35855"/>
    <cellStyle name="ArialNormal 5 5" xfId="35856"/>
    <cellStyle name="Bold/Border 5 10" xfId="35857"/>
    <cellStyle name="Border Thin 6 10" xfId="35858"/>
    <cellStyle name="COL HEADINGS 5 10" xfId="35859"/>
    <cellStyle name="Date [mm-d-yyyy] 6 7" xfId="35860"/>
    <cellStyle name="DateYearEstimate 5 5" xfId="35861"/>
    <cellStyle name="DateYearWholeEstimate 5 5" xfId="35862"/>
    <cellStyle name="Draw lines around data in range 5 5" xfId="35863"/>
    <cellStyle name="Draw shadow and lines within range 5 5" xfId="35864"/>
    <cellStyle name="Format a row of totals 5 5" xfId="35865"/>
    <cellStyle name="Format text as bold, black on yellow 5 5" xfId="35866"/>
    <cellStyle name="Heading [Helv] 5 10" xfId="35867"/>
    <cellStyle name="Heading [Palat] 5 10" xfId="35868"/>
    <cellStyle name="ItemTypeClass 5 5" xfId="35869"/>
    <cellStyle name="Main 4 5" xfId="35870"/>
    <cellStyle name="Outputs 5 10" xfId="35871"/>
    <cellStyle name="PB Table Standard Row 6 10" xfId="35872"/>
    <cellStyle name="P-Green Rule 6 10" xfId="35873"/>
    <cellStyle name="SAPBEXaggItemX 4 5" xfId="35874"/>
    <cellStyle name="SAPBEXHLevel0 4 5" xfId="35875"/>
    <cellStyle name="SAPBEXHLevel0X 4 5" xfId="35876"/>
    <cellStyle name="SAPBEXHLevel1 4 5" xfId="35877"/>
    <cellStyle name="SAPBEXHLevel1X 4 5" xfId="35878"/>
    <cellStyle name="SAPBEXHLevel2 4 5" xfId="35879"/>
    <cellStyle name="SAPBEXHLevel2X 4 5" xfId="35880"/>
    <cellStyle name="SAPBEXHLevel3 4 5" xfId="35881"/>
    <cellStyle name="SAPBEXHLevel3X 4 5" xfId="35882"/>
    <cellStyle name="SAPBEXresItemX 4 5" xfId="35883"/>
    <cellStyle name="SAPBEXstdItemX 4 5" xfId="35884"/>
    <cellStyle name="Style 21 5 5" xfId="35885"/>
    <cellStyle name="Style 22 5 5" xfId="35886"/>
    <cellStyle name="Style 35 5 5" xfId="35887"/>
    <cellStyle name="Style 36 5 5" xfId="35888"/>
    <cellStyle name="Style 37 5 5" xfId="35889"/>
    <cellStyle name="Style 40 5 5" xfId="35890"/>
    <cellStyle name="Style 42 5 5" xfId="35891"/>
    <cellStyle name="Style 43 5 5" xfId="35892"/>
    <cellStyle name="Style 44 7 10" xfId="35893"/>
    <cellStyle name="Style 45 7 10" xfId="35894"/>
    <cellStyle name="Style 48 5 5" xfId="35895"/>
    <cellStyle name="Style 49 7 10" xfId="35896"/>
    <cellStyle name="Style 50 5 5" xfId="35897"/>
    <cellStyle name="Style 51 7 10" xfId="35898"/>
    <cellStyle name="Style 52 5 5" xfId="35899"/>
    <cellStyle name="Style 53 5 5" xfId="35900"/>
    <cellStyle name="SymbolBlue 5 5" xfId="35901"/>
    <cellStyle name="Table Head Green 5 10" xfId="35902"/>
    <cellStyle name="Title [Palat] 4 10" xfId="35903"/>
    <cellStyle name="UNLOCKED 25 5" xfId="35904"/>
    <cellStyle name="WingdingsBlack 5 5" xfId="35905"/>
    <cellStyle name="WingdingsRed 5 5" xfId="35906"/>
    <cellStyle name="WingdingsWhite 5 5" xfId="35907"/>
    <cellStyle name="ac 2 6 10" xfId="35908"/>
    <cellStyle name="Bold/Border 2 6 10" xfId="35909"/>
    <cellStyle name="Border Thin 2 6 10" xfId="35910"/>
    <cellStyle name="COL HEADINGS 2 6 10" xfId="35911"/>
    <cellStyle name="Date [mm-d-yyyy] 2 3 7" xfId="35912"/>
    <cellStyle name="Header2 2 2 5" xfId="35913"/>
    <cellStyle name="Heading [Helv] 2 6 10" xfId="35914"/>
    <cellStyle name="Heading [Palat] 2 6 10" xfId="35915"/>
    <cellStyle name="Outputs 2 6 10" xfId="35916"/>
    <cellStyle name="PB Table Standard Row 2 6 10" xfId="35917"/>
    <cellStyle name="P-Green Rule 2 6 10" xfId="35918"/>
    <cellStyle name="Style 44 3 6 10" xfId="35919"/>
    <cellStyle name="Style 45 3 6 10" xfId="35920"/>
    <cellStyle name="Style 49 3 6 10" xfId="35921"/>
    <cellStyle name="Style 51 3 6 10" xfId="35922"/>
    <cellStyle name="Style 44 2 6 10" xfId="35923"/>
    <cellStyle name="Style 45 2 6 10" xfId="35924"/>
    <cellStyle name="Style 49 2 6 10" xfId="35925"/>
    <cellStyle name="Style 51 2 6 10" xfId="35926"/>
    <cellStyle name="Table Head Green 2 6 10" xfId="35927"/>
    <cellStyle name="Title [Palat] 2 6 10" xfId="35928"/>
    <cellStyle name="Border Thin 3 5 5 5" xfId="35929"/>
    <cellStyle name="Style 51 7 5 5" xfId="35930"/>
    <cellStyle name="UNLOCKED 26 5" xfId="35931"/>
    <cellStyle name="FieldName 4 5" xfId="35932"/>
    <cellStyle name="WingdingsWhite 6 5" xfId="35933"/>
    <cellStyle name="WingdingsRed 6 5" xfId="35934"/>
    <cellStyle name="WingdingsBlack 6 5" xfId="35935"/>
    <cellStyle name="UNLOCKED 28 5" xfId="35936"/>
    <cellStyle name="Title [Palat] 5 10" xfId="35937"/>
    <cellStyle name="Title [Helv] 4 10" xfId="35938"/>
    <cellStyle name="Table Head Green 6 10" xfId="35939"/>
    <cellStyle name="Table Head Aligned 4 10" xfId="35940"/>
    <cellStyle name="SymbolBlue 6 5" xfId="35941"/>
    <cellStyle name="Style 53 6 5" xfId="35942"/>
    <cellStyle name="Style 52 6 5" xfId="35943"/>
    <cellStyle name="Style 51 9 8" xfId="35944"/>
    <cellStyle name="Style 50 6 5" xfId="35945"/>
    <cellStyle name="Style 49 9 8" xfId="35946"/>
    <cellStyle name="Style 48 6 5" xfId="35947"/>
    <cellStyle name="Style 45 9 8" xfId="35948"/>
    <cellStyle name="Style 44 9 8" xfId="35949"/>
    <cellStyle name="Style 43 6 5" xfId="35950"/>
    <cellStyle name="Style 42 6 5" xfId="35951"/>
    <cellStyle name="Style 40 6 5" xfId="35952"/>
    <cellStyle name="Style 37 6 5" xfId="35953"/>
    <cellStyle name="Style 36 6 5" xfId="35954"/>
    <cellStyle name="Style 35 6 5" xfId="35955"/>
    <cellStyle name="Style 28 4 5" xfId="35956"/>
    <cellStyle name="Style 27 4 5" xfId="35957"/>
    <cellStyle name="Style 24 4 5" xfId="35958"/>
    <cellStyle name="Style 26 4 5" xfId="35959"/>
    <cellStyle name="Style 25 4 5" xfId="35960"/>
    <cellStyle name="Style 22 6 5" xfId="35961"/>
    <cellStyle name="Style 21 6 5" xfId="35962"/>
    <cellStyle name="SSFixed2 3 5" xfId="35963"/>
    <cellStyle name="SSDfltPct0 3 5" xfId="35964"/>
    <cellStyle name="SSDfltPct 3 5" xfId="35965"/>
    <cellStyle name="SSDecs3 3 5" xfId="35966"/>
    <cellStyle name="SSComma2 3 5" xfId="35967"/>
    <cellStyle name="SSComma0 3 5" xfId="35968"/>
    <cellStyle name="SAPBEXundefined 3 5" xfId="35969"/>
    <cellStyle name="SAPBEXtitle 3 5" xfId="35970"/>
    <cellStyle name="SAPBEXstdItemX 5 5" xfId="35971"/>
    <cellStyle name="SAPBEXstdItem 3 5" xfId="35972"/>
    <cellStyle name="SAPBEXstdDataEmph 3 5" xfId="35973"/>
    <cellStyle name="SAPBEXstdData 3 5" xfId="35974"/>
    <cellStyle name="SAPBEXresItemX 5 5" xfId="35975"/>
    <cellStyle name="SAPBEXresItem 3 5" xfId="35976"/>
    <cellStyle name="SAPBEXresDataEmph 3 5" xfId="35977"/>
    <cellStyle name="SAPBEXresData 3 5" xfId="35978"/>
    <cellStyle name="SAPBEXHLevel3X 5 5" xfId="35979"/>
    <cellStyle name="SAPBEXHLevel3 5 5" xfId="35980"/>
    <cellStyle name="SAPBEXHLevel2X 5 5" xfId="35981"/>
    <cellStyle name="SAPBEXHLevel2 5 5" xfId="35982"/>
    <cellStyle name="SAPBEXHLevel1X 5 5" xfId="35983"/>
    <cellStyle name="SAPBEXHLevel1 5 5" xfId="35984"/>
    <cellStyle name="SAPBEXHLevel0X 5 5" xfId="35985"/>
    <cellStyle name="SAPBEXHLevel0 5 5" xfId="35986"/>
    <cellStyle name="SAPBEXformats 3 5" xfId="35987"/>
    <cellStyle name="SAPBEXexcGood3 3 5" xfId="35988"/>
    <cellStyle name="SAPBEXexcGood2 3 5" xfId="35989"/>
    <cellStyle name="SAPBEXexcGood1 3 5" xfId="35990"/>
    <cellStyle name="SAPBEXexcCritical6 3 5" xfId="35991"/>
    <cellStyle name="SAPBEXexcCritical5 3 5" xfId="35992"/>
    <cellStyle name="SAPBEXexcCritical4 3 5" xfId="35993"/>
    <cellStyle name="SAPBEXexcBad9 3 5" xfId="35994"/>
    <cellStyle name="SAPBEXexcBad8 3 5" xfId="35995"/>
    <cellStyle name="SAPBEXexcBad7 3 5" xfId="35996"/>
    <cellStyle name="SAPBEXaggItemX 5 5" xfId="35997"/>
    <cellStyle name="SAPBEXaggItem 3 5" xfId="35998"/>
    <cellStyle name="SAPBEXaggDataEmph 3 5" xfId="35999"/>
    <cellStyle name="SAPBEXaggData 3 5" xfId="36000"/>
    <cellStyle name="Arial6Bold 7 5" xfId="36001"/>
    <cellStyle name="Arial8Bold 7 5" xfId="36002"/>
    <cellStyle name="Arial8Italic 7 5" xfId="36003"/>
    <cellStyle name="ArialNormal 7 5" xfId="36004"/>
    <cellStyle name="Border 5 5" xfId="36005"/>
    <cellStyle name="P-Green Rule 7 7" xfId="36006"/>
    <cellStyle name="PB Table Standard Row 7 6" xfId="36007"/>
    <cellStyle name="Outputs 6 10" xfId="36008"/>
    <cellStyle name="dp*Number%ItalicsLineAbove 5 5" xfId="36009"/>
    <cellStyle name="dp*ThinLineAbove 5 5" xfId="36010"/>
    <cellStyle name="Draw lines around data in range 7 5" xfId="36011"/>
    <cellStyle name="Draw shadow and lines within range 7 5" xfId="36012"/>
    <cellStyle name="Millions 9 5" xfId="36013"/>
    <cellStyle name="Main 5 5" xfId="36014"/>
    <cellStyle name="Magic 4 10" xfId="36015"/>
    <cellStyle name="ItemTypeClass 6 5" xfId="36016"/>
    <cellStyle name="Format a row of totals 7 5" xfId="36017"/>
    <cellStyle name="Format text as bold, black on yellow 7 5" xfId="36018"/>
    <cellStyle name="Heading [Palat] 6 10" xfId="36019"/>
    <cellStyle name="Heading [Helv] 6 10" xfId="36020"/>
    <cellStyle name="Format text as bold, black on yellow 6 5" xfId="36021"/>
    <cellStyle name="Format a row of totals 6 5" xfId="36022"/>
    <cellStyle name="ItemTypeClass 7 5" xfId="36023"/>
    <cellStyle name="Main 6 5" xfId="36024"/>
    <cellStyle name="Draw shadow and lines within range 6 5" xfId="36025"/>
    <cellStyle name="Draw lines around data in range 6 5" xfId="36026"/>
    <cellStyle name="dp*ThinLineBelow 5 8" xfId="36027"/>
    <cellStyle name="dp*ThinLineAbove 4 5" xfId="36028"/>
    <cellStyle name="dp*SubTitle 5 7" xfId="36029"/>
    <cellStyle name="dp*SheetSubTitle 4 10" xfId="36030"/>
    <cellStyle name="dp*NumberLineEPS 4 10" xfId="36031"/>
    <cellStyle name="dp*NumberLine 4 10" xfId="36032"/>
    <cellStyle name="dp*Number%ItalicsLineAbove 4 5" xfId="36033"/>
    <cellStyle name="Millions 10 5" xfId="36034"/>
    <cellStyle name="DateYearWholeEstimate 6 5" xfId="36035"/>
    <cellStyle name="DateYearEstimate 6 5" xfId="36036"/>
    <cellStyle name="Date [mmm-yyyy] 4 10" xfId="36037"/>
    <cellStyle name="Date [mm-d-yyyy] 7 9" xfId="36038"/>
    <cellStyle name="COL HEADINGS 6 10" xfId="36039"/>
    <cellStyle name="Border Thin 7 7" xfId="36040"/>
    <cellStyle name="Border 4 5" xfId="36041"/>
    <cellStyle name="Bold/Border 6 10" xfId="36042"/>
    <cellStyle name="ArialNormal 6 5" xfId="36043"/>
    <cellStyle name="Arial8Italic 6 5" xfId="36044"/>
    <cellStyle name="Arial8Bold 6 5" xfId="36045"/>
    <cellStyle name="Arial6Bold 6 5" xfId="36046"/>
    <cellStyle name="Afjusted 7 10" xfId="36047"/>
    <cellStyle name="ac 6 10" xfId="36048"/>
    <cellStyle name="SAPBEXaggData 4 5" xfId="36049"/>
    <cellStyle name="SAPBEXaggDataEmph 4 5" xfId="36050"/>
    <cellStyle name="SAPBEXaggItem 4 5" xfId="36051"/>
    <cellStyle name="SAPBEXaggItemX 6 5" xfId="36052"/>
    <cellStyle name="SAPBEXexcBad7 4 5" xfId="36053"/>
    <cellStyle name="SAPBEXexcBad8 4 5" xfId="36054"/>
    <cellStyle name="SAPBEXexcBad9 4 5" xfId="36055"/>
    <cellStyle name="SAPBEXexcCritical4 4 5" xfId="36056"/>
    <cellStyle name="SAPBEXexcCritical5 4 5" xfId="36057"/>
    <cellStyle name="SAPBEXexcCritical6 4 5" xfId="36058"/>
    <cellStyle name="SAPBEXexcGood2 4 5" xfId="36059"/>
    <cellStyle name="SAPBEXexcGood1 4 5" xfId="36060"/>
    <cellStyle name="SAPBEXexcGood3 4 5" xfId="36061"/>
    <cellStyle name="SAPBEXformats 4 5" xfId="36062"/>
    <cellStyle name="SAPBEXHLevel0 6 5" xfId="36063"/>
    <cellStyle name="SAPBEXHLevel0X 6 5" xfId="36064"/>
    <cellStyle name="SAPBEXHLevel1 6 5" xfId="36065"/>
    <cellStyle name="SAPBEXHLevel1X 6 5" xfId="36066"/>
    <cellStyle name="SAPBEXHLevel2 6 5" xfId="36067"/>
    <cellStyle name="SAPBEXHLevel2X 6 5" xfId="36068"/>
    <cellStyle name="SAPBEXHLevel3 6 5" xfId="36069"/>
    <cellStyle name="SAPBEXHLevel3X 6 5" xfId="36070"/>
    <cellStyle name="SAPBEXresData 4 5" xfId="36071"/>
    <cellStyle name="SAPBEXresDataEmph 4 5" xfId="36072"/>
    <cellStyle name="SAPBEXresItem 4 5" xfId="36073"/>
    <cellStyle name="SAPBEXresItemX 6 5" xfId="36074"/>
    <cellStyle name="SAPBEXstdData 4 5" xfId="36075"/>
    <cellStyle name="SAPBEXstdDataEmph 4 5" xfId="36076"/>
    <cellStyle name="SAPBEXstdItem 4 5" xfId="36077"/>
    <cellStyle name="SAPBEXstdItemX 6 5" xfId="36078"/>
    <cellStyle name="SAPBEXtitle 4 5" xfId="36079"/>
    <cellStyle name="SAPBEXundefined 4 5" xfId="36080"/>
    <cellStyle name="Style 44 8 10" xfId="36081"/>
    <cellStyle name="Style 45 8 10" xfId="36082"/>
    <cellStyle name="Style 49 8 10" xfId="36083"/>
    <cellStyle name="Style 51 8 10" xfId="36084"/>
    <cellStyle name="SSComma0 4 5" xfId="36085"/>
    <cellStyle name="SSComma2 4 5" xfId="36086"/>
    <cellStyle name="SSDecs3 4 5" xfId="36087"/>
    <cellStyle name="SSDfltPct 4 5" xfId="36088"/>
    <cellStyle name="SSDfltPct0 4 5" xfId="36089"/>
    <cellStyle name="SSFixed2 4 5" xfId="36090"/>
    <cellStyle name="Style 22 7 5" xfId="36091"/>
    <cellStyle name="Style 24 5 5" xfId="36092"/>
    <cellStyle name="Style 25 5 5" xfId="36093"/>
    <cellStyle name="Style 26 5 5" xfId="36094"/>
    <cellStyle name="Style 27 5 5" xfId="36095"/>
    <cellStyle name="Style 28 5 5" xfId="36096"/>
    <cellStyle name="Style 35 7 5" xfId="36097"/>
    <cellStyle name="Style 36 7 5" xfId="36098"/>
    <cellStyle name="Style 37 7 5" xfId="36099"/>
    <cellStyle name="Style 40 7 5" xfId="36100"/>
    <cellStyle name="Style 42 7 5" xfId="36101"/>
    <cellStyle name="Style 43 7 5" xfId="36102"/>
    <cellStyle name="Style 48 7 5" xfId="36103"/>
    <cellStyle name="Style 50 7 5" xfId="36104"/>
    <cellStyle name="Style 52 7 5" xfId="36105"/>
    <cellStyle name="Style 53 7 5" xfId="36106"/>
    <cellStyle name="UNLOCKED 27 5" xfId="36107"/>
    <cellStyle name="SymbolBlue 7 5" xfId="36108"/>
    <cellStyle name="Style 21 7 5" xfId="36109"/>
    <cellStyle name="DateYearWholeEstimate 7 5" xfId="36110"/>
    <cellStyle name="DateYearEstimate 7 5" xfId="36111"/>
    <cellStyle name="UNLOCKED 29 5" xfId="36112"/>
    <cellStyle name="WingdingsBlack 7 5" xfId="36113"/>
    <cellStyle name="WingdingsRed 7 5" xfId="36114"/>
    <cellStyle name="WingdingsWhite 7 5" xfId="36115"/>
    <cellStyle name="UNLOCKED 31 5" xfId="36116"/>
    <cellStyle name="Title [Palat] 6 9" xfId="36117"/>
    <cellStyle name="Title [Helv] 5 9" xfId="36118"/>
    <cellStyle name="Table Head Green 7 9" xfId="36119"/>
    <cellStyle name="Table Head Aligned 5 9" xfId="36120"/>
    <cellStyle name="Outputs 7 9" xfId="36121"/>
    <cellStyle name="Millions 11 5" xfId="36122"/>
    <cellStyle name="Magic 5 9" xfId="36123"/>
    <cellStyle name="Heading [Palat] 7 9" xfId="36124"/>
    <cellStyle name="Heading [Helv] 7 9" xfId="36125"/>
    <cellStyle name="dp*SheetSubTitle 5 9" xfId="36126"/>
    <cellStyle name="dp*NumberLineEPS 5 9" xfId="36127"/>
    <cellStyle name="dp*NumberLine 5 9" xfId="36128"/>
    <cellStyle name="Date [mmm-yyyy] 5 9" xfId="36129"/>
    <cellStyle name="COL HEADINGS 7 9" xfId="36130"/>
    <cellStyle name="Bold/Border 7 9" xfId="36131"/>
    <cellStyle name="Afjusted 8 9" xfId="36132"/>
    <cellStyle name="ac 7 9" xfId="36133"/>
    <cellStyle name="UNLOCKED 30 5" xfId="36134"/>
    <cellStyle name="FieldName 5 5" xfId="36135"/>
    <cellStyle name="WingdingsWhite 8 5" xfId="36136"/>
    <cellStyle name="WingdingsRed 8 5" xfId="36137"/>
    <cellStyle name="WingdingsBlack 8 5" xfId="36138"/>
    <cellStyle name="UNLOCKED 33 5" xfId="36139"/>
    <cellStyle name="Title [Palat] 7 9" xfId="36140"/>
    <cellStyle name="Title [Helv] 6 9" xfId="36141"/>
    <cellStyle name="Table Head Green 8 9" xfId="36142"/>
    <cellStyle name="Table Head Aligned 6 9" xfId="36143"/>
    <cellStyle name="SymbolBlue 8 5" xfId="36144"/>
    <cellStyle name="Style 53 8 5" xfId="36145"/>
    <cellStyle name="Style 52 8 5" xfId="36146"/>
    <cellStyle name="Style 50 8 5" xfId="36147"/>
    <cellStyle name="Style 48 8 5" xfId="36148"/>
    <cellStyle name="Style 43 8 5" xfId="36149"/>
    <cellStyle name="Style 42 8 5" xfId="36150"/>
    <cellStyle name="Style 40 8 5" xfId="36151"/>
    <cellStyle name="Style 37 8 5" xfId="36152"/>
    <cellStyle name="Style 36 8 5" xfId="36153"/>
    <cellStyle name="Style 35 8 5" xfId="36154"/>
    <cellStyle name="Style 28 6 5" xfId="36155"/>
    <cellStyle name="Style 26 6 5" xfId="36156"/>
    <cellStyle name="Style 27 6 5" xfId="36157"/>
    <cellStyle name="Style 25 6 5" xfId="36158"/>
    <cellStyle name="Style 24 6 5" xfId="36159"/>
    <cellStyle name="Style 22 8 5" xfId="36160"/>
    <cellStyle name="Style 21 8 5" xfId="36161"/>
    <cellStyle name="SSFixed2 5 5" xfId="36162"/>
    <cellStyle name="SSDfltPct0 5 5" xfId="36163"/>
    <cellStyle name="SSDfltPct 5 5" xfId="36164"/>
    <cellStyle name="SSDecs3 5 5" xfId="36165"/>
    <cellStyle name="SSComma2 5 5" xfId="36166"/>
    <cellStyle name="SSComma0 5 5" xfId="36167"/>
    <cellStyle name="SAPBEXundefined 5 5" xfId="36168"/>
    <cellStyle name="SAPBEXtitle 5 5" xfId="36169"/>
    <cellStyle name="SAPBEXstdItemX 7 5" xfId="36170"/>
    <cellStyle name="SAPBEXstdItem 5 5" xfId="36171"/>
    <cellStyle name="SAPBEXstdDataEmph 5 5" xfId="36172"/>
    <cellStyle name="SAPBEXstdData 5 5" xfId="36173"/>
    <cellStyle name="SAPBEXresItemX 7 5" xfId="36174"/>
    <cellStyle name="SAPBEXresItem 5 5" xfId="36175"/>
    <cellStyle name="SAPBEXresDataEmph 5 5" xfId="36176"/>
    <cellStyle name="SAPBEXresData 5 5" xfId="36177"/>
    <cellStyle name="SAPBEXHLevel3X 7 5" xfId="36178"/>
    <cellStyle name="SAPBEXHLevel3 7 5" xfId="36179"/>
    <cellStyle name="SAPBEXHLevel2X 7 5" xfId="36180"/>
    <cellStyle name="SAPBEXHLevel2 7 5" xfId="36181"/>
    <cellStyle name="SAPBEXHLevel1X 7 5" xfId="36182"/>
    <cellStyle name="SAPBEXHLevel1 7 5" xfId="36183"/>
    <cellStyle name="SAPBEXHLevel0X 7 5" xfId="36184"/>
    <cellStyle name="SAPBEXHLevel0 7 5" xfId="36185"/>
    <cellStyle name="SAPBEXformats 5 5" xfId="36186"/>
    <cellStyle name="SAPBEXexcGood3 5 5" xfId="36187"/>
    <cellStyle name="SAPBEXexcGood2 5 5" xfId="36188"/>
    <cellStyle name="SAPBEXexcGood1 5 5" xfId="36189"/>
    <cellStyle name="SAPBEXexcCritical6 5 5" xfId="36190"/>
    <cellStyle name="SAPBEXexcCritical5 5 5" xfId="36191"/>
    <cellStyle name="SAPBEXexcCritical4 5 5" xfId="36192"/>
    <cellStyle name="SAPBEXexcBad9 5 5" xfId="36193"/>
    <cellStyle name="SAPBEXexcBad8 5 5" xfId="36194"/>
    <cellStyle name="SAPBEXexcBad7 5 5" xfId="36195"/>
    <cellStyle name="SAPBEXaggItemX 7 5" xfId="36196"/>
    <cellStyle name="SAPBEXaggItem 5 5" xfId="36197"/>
    <cellStyle name="SAPBEXaggDataEmph 5 5" xfId="36198"/>
    <cellStyle name="SAPBEXaggData 5 5" xfId="36199"/>
    <cellStyle name="Outputs 8 9" xfId="36200"/>
    <cellStyle name="Millions 12 5" xfId="36201"/>
    <cellStyle name="Main 7 5" xfId="36202"/>
    <cellStyle name="Magic 6 9" xfId="36203"/>
    <cellStyle name="ItemTypeClass 8 5" xfId="36204"/>
    <cellStyle name="Heading [Palat] 8 9" xfId="36205"/>
    <cellStyle name="Heading [Helv] 8 9" xfId="36206"/>
    <cellStyle name="Format text as bold, black on yellow 8 5" xfId="36207"/>
    <cellStyle name="Format a row of totals 8 5" xfId="36208"/>
    <cellStyle name="Draw shadow and lines within range 8 5" xfId="36209"/>
    <cellStyle name="Draw lines around data in range 8 5" xfId="36210"/>
    <cellStyle name="dp*ThinLineAbove 6 5" xfId="36211"/>
    <cellStyle name="dp*SheetSubTitle 6 9" xfId="36212"/>
    <cellStyle name="dp*NumberLineEPS 6 9" xfId="36213"/>
    <cellStyle name="dp*NumberLine 6 9" xfId="36214"/>
    <cellStyle name="dp*Number%ItalicsLineAbove 6 5" xfId="36215"/>
    <cellStyle name="DateYearWholeEstimate 8 5" xfId="36216"/>
    <cellStyle name="DateYearEstimate 8 5" xfId="36217"/>
    <cellStyle name="COL HEADINGS 8 9" xfId="36218"/>
    <cellStyle name="Border 6 5" xfId="36219"/>
    <cellStyle name="Bold/Border 8 9" xfId="36220"/>
    <cellStyle name="ArialNormal 8 5" xfId="36221"/>
    <cellStyle name="Arial8Italic 8 5" xfId="36222"/>
    <cellStyle name="Arial8Bold 8 5" xfId="36223"/>
    <cellStyle name="Arial6Bold 8 5" xfId="36224"/>
    <cellStyle name="Afjusted 9 9" xfId="36225"/>
    <cellStyle name="ac 8 9" xfId="36226"/>
    <cellStyle name="UNLOCKED 32 5" xfId="36227"/>
    <cellStyle name="Date [mmm-yyyy] 6 9" xfId="36228"/>
    <cellStyle name="UNLOCKED 35 5" xfId="36229"/>
    <cellStyle name="Title [Palat] 8 9" xfId="36230"/>
    <cellStyle name="Title [Helv] 7 9" xfId="36231"/>
    <cellStyle name="Table Head Green 9 9" xfId="36232"/>
    <cellStyle name="Table Head Aligned 7 9" xfId="36233"/>
    <cellStyle name="Outputs 9 9" xfId="36234"/>
    <cellStyle name="Millions 13 5" xfId="36235"/>
    <cellStyle name="Magic 7 9" xfId="36236"/>
    <cellStyle name="Heading [Palat] 9 9" xfId="36237"/>
    <cellStyle name="Heading [Helv] 9 9" xfId="36238"/>
    <cellStyle name="dp*SheetSubTitle 7 9" xfId="36239"/>
    <cellStyle name="dp*NumberLineEPS 7 9" xfId="36240"/>
    <cellStyle name="dp*NumberLine 7 9" xfId="36241"/>
    <cellStyle name="Date [mmm-yyyy] 7 9" xfId="36242"/>
    <cellStyle name="COL HEADINGS 9 9" xfId="36243"/>
    <cellStyle name="Bold/Border 9 9" xfId="36244"/>
    <cellStyle name="Afjusted 10 9" xfId="36245"/>
    <cellStyle name="ac 9 9" xfId="36246"/>
    <cellStyle name="UNLOCKED 34 5" xfId="36247"/>
    <cellStyle name="Style 25 8 2" xfId="36248"/>
    <cellStyle name="Style 35 10 2" xfId="36249"/>
    <cellStyle name="Style 40 10 2" xfId="36250"/>
    <cellStyle name="Style 52 10 2" xfId="36251"/>
    <cellStyle name="P-Green Rule 6 5 5" xfId="36252"/>
    <cellStyle name="PB Table Standard Row 6 5 5" xfId="36253"/>
    <cellStyle name="Millions 2 3 2" xfId="36254"/>
    <cellStyle name="Outputs 5 5 5" xfId="36255"/>
    <cellStyle name="ArialNormal 2 3 2" xfId="36256"/>
    <cellStyle name="dp*Number%ItalicsLineAbove 2 3 2" xfId="36257"/>
    <cellStyle name="SAPBEXaggItem 2 3 2" xfId="36258"/>
    <cellStyle name="SAPBEXexcBad8 2 3 2" xfId="36259"/>
    <cellStyle name="SAPBEXexcGood2 2 3 2" xfId="36260"/>
    <cellStyle name="SAPBEXHLevel0X 2 3 2" xfId="36261"/>
    <cellStyle name="SAPBEXHLevel2 2 3 2" xfId="36262"/>
    <cellStyle name="SAPBEXHLevel3X 2 3 2" xfId="36263"/>
    <cellStyle name="Table Head Green 2 2 4 8 2" xfId="36264"/>
    <cellStyle name="P-Green Rule 3 3 3 8 2" xfId="36265"/>
    <cellStyle name="Style 49 4 4 8 2" xfId="36266"/>
    <cellStyle name="P-Green Rule 3 4 5 2" xfId="36267"/>
    <cellStyle name="dp*SubTitle 3 4 5 2" xfId="36268"/>
    <cellStyle name="Style 44 4 3 4 8 2" xfId="36269"/>
    <cellStyle name="PB Table Standard Row 3 3 4 8 2" xfId="36270"/>
    <cellStyle name="Afjusted 3 3 10 2" xfId="36271"/>
    <cellStyle name="Note 2 6 2" xfId="36272"/>
    <cellStyle name="Afjusted 4 2 10 2" xfId="36273"/>
    <cellStyle name="Heading [Helv] 2 2 2 10 2" xfId="36274"/>
    <cellStyle name="Table Head Green 2 2 3 2 8 2" xfId="36275"/>
    <cellStyle name="Afjusted 2 2 3 2 8 2" xfId="36276"/>
    <cellStyle name="Style 45 4 3 2 8 2" xfId="36277"/>
    <cellStyle name="Heading [Helv] 5 5 5" xfId="36278"/>
    <cellStyle name="Heading [Palat] 2 2 2 2 8 2" xfId="36279"/>
    <cellStyle name="Table Head Green 2 2 2 2 8 2" xfId="36280"/>
    <cellStyle name="Afjusted 3 2 3 8 2" xfId="36281"/>
    <cellStyle name="Style 49 4 2 3 8 2" xfId="36282"/>
    <cellStyle name="dp*NumberLine 2 2 2 3 8 2" xfId="36283"/>
    <cellStyle name="Outputs 2 2 2 3 8 2" xfId="36284"/>
    <cellStyle name="Border Thin 3 2 4 8 2" xfId="36285"/>
    <cellStyle name="Date [mmm-yyyy] 2 2 2 4 8 2" xfId="36286"/>
    <cellStyle name="Table Head Aligned 2 2 2 4 8 2" xfId="36287"/>
    <cellStyle name="Style 44 5 8 2" xfId="36288"/>
    <cellStyle name="UNLOCKED 14 3 2" xfId="36289"/>
    <cellStyle name="WingdingsWhite 3 3 2" xfId="36290"/>
    <cellStyle name="Style 48 3 3 2" xfId="36291"/>
    <cellStyle name="UNLOCKED 15 3 2" xfId="36292"/>
    <cellStyle name="Format text as bold, black on yellow 4 3 2" xfId="36293"/>
    <cellStyle name="dp*SubTitle 2 5 8 2" xfId="36294"/>
    <cellStyle name="COL HEADINGS 5 5 5" xfId="36295"/>
    <cellStyle name="dp*NumberLineEPS 2 5 8 2" xfId="36296"/>
    <cellStyle name="Style 44 3 5 8 2" xfId="36297"/>
    <cellStyle name="Style 45 2 5 8 2" xfId="36298"/>
    <cellStyle name="Bold/Border 5 5 5" xfId="36299"/>
    <cellStyle name="ac 5 8 2" xfId="36300"/>
    <cellStyle name="Style 21 4 3 2" xfId="36301"/>
    <cellStyle name="Style 36 2 3 2" xfId="36302"/>
    <cellStyle name="Style 45 2 5 5 5" xfId="36303"/>
    <cellStyle name="Date [mmm-yyyy] 2 5 5 5" xfId="36304"/>
    <cellStyle name="Bold/Border 2 5 5 5" xfId="36305"/>
    <cellStyle name="Afjusted 2 4 5 5" xfId="36306"/>
    <cellStyle name="ac 2 5 5 5" xfId="36307"/>
    <cellStyle name="dp*SubTitle 3 3 3 8 2" xfId="36308"/>
    <cellStyle name="COL HEADINGS 2 3 8 2" xfId="36309"/>
    <cellStyle name="Style 51 6 5 5" xfId="36310"/>
    <cellStyle name="PB Table Standard Row 5 5 5" xfId="36311"/>
    <cellStyle name="Millions 4 3 2" xfId="36312"/>
    <cellStyle name="COL HEADINGS 2 2 2 10 2" xfId="36313"/>
    <cellStyle name="Table Head Aligned 2 2 2 10 2" xfId="36314"/>
    <cellStyle name="dp*SheetSubTitle 2 2 3 2 8 2" xfId="36315"/>
    <cellStyle name="Date [mmm-yyyy] 2 2 3 2 8 2" xfId="36316"/>
    <cellStyle name="ac 2 2 3 2 8 2" xfId="36317"/>
    <cellStyle name="Style 49 4 3 2 8 2" xfId="36318"/>
    <cellStyle name="Heading [Palat] 4 5 5" xfId="36319"/>
    <cellStyle name="ac 3 8 2" xfId="36320"/>
    <cellStyle name="dp*SheetSubTitle 2 5 8 2" xfId="36321"/>
    <cellStyle name="Style 45 3 5 8 2" xfId="36322"/>
    <cellStyle name="Bold/Border 4 5 5" xfId="36323"/>
    <cellStyle name="COL HEADINGS 5 8 2" xfId="36324"/>
    <cellStyle name="ac 4 5 5" xfId="36325"/>
    <cellStyle name="Outputs 5 8 2" xfId="36326"/>
    <cellStyle name="SAPBEXHLevel0X 4 3 2" xfId="36327"/>
    <cellStyle name="Title [Palat] 2 2 3 3 8 2" xfId="36328"/>
    <cellStyle name="Afjusted 3 3 3 8 2" xfId="36329"/>
    <cellStyle name="Title [Helv] 2 4 5 5" xfId="36330"/>
    <cellStyle name="Table Head Green 2 4 5 5" xfId="36331"/>
    <cellStyle name="Table Head Aligned 2 4 5 5" xfId="36332"/>
    <cellStyle name="Style 51 2 4 5 5" xfId="36333"/>
    <cellStyle name="Style 49 2 4 5 5" xfId="36334"/>
    <cellStyle name="Style 45 2 4 5 5" xfId="36335"/>
    <cellStyle name="Style 44 2 4 5 5" xfId="36336"/>
    <cellStyle name="Style 51 3 4 5 5" xfId="36337"/>
    <cellStyle name="Style 49 3 4 5 5" xfId="36338"/>
    <cellStyle name="Style 45 3 4 5 5" xfId="36339"/>
    <cellStyle name="Style 44 3 4 5 5" xfId="36340"/>
    <cellStyle name="P-Green Rule 2 4 5 5" xfId="36341"/>
    <cellStyle name="PB Table Standard Row 2 4 5 5" xfId="36342"/>
    <cellStyle name="Outputs 2 4 5 5" xfId="36343"/>
    <cellStyle name="Magic 2 4 5 5" xfId="36344"/>
    <cellStyle name="Heading [Palat] 2 4 5 5" xfId="36345"/>
    <cellStyle name="Heading [Helv] 2 4 5 5" xfId="36346"/>
    <cellStyle name="COL HEADINGS 2 4 5 5" xfId="36347"/>
    <cellStyle name="Style 45 4 3 3 8 2" xfId="36348"/>
    <cellStyle name="Date [mmm-yyyy] 3 5 5" xfId="36349"/>
    <cellStyle name="Afjusted 5 5 5" xfId="36350"/>
    <cellStyle name="Bold/Border 3 5 5" xfId="36351"/>
    <cellStyle name="COL HEADINGS 3 5 5" xfId="36352"/>
    <cellStyle name="dp*NumberLine 3 5 5" xfId="36353"/>
    <cellStyle name="dp*NumberLineEPS 3 5 5" xfId="36354"/>
    <cellStyle name="dp*NumberLineEPS 2 2 2 4 8 2" xfId="36355"/>
    <cellStyle name="Heading [Palat] 3 5 5" xfId="36356"/>
    <cellStyle name="Magic 3 5 5" xfId="36357"/>
    <cellStyle name="Title [Helv] 3 5 5" xfId="36358"/>
    <cellStyle name="Style 36 4 3 2" xfId="36359"/>
    <cellStyle name="Style 40 4 3 2" xfId="36360"/>
    <cellStyle name="WingdingsWhite 10 2" xfId="36361"/>
    <cellStyle name="Date [mm-d-yyyy] 4 5 5" xfId="36362"/>
    <cellStyle name="Title [Palat] 2 2 2 4 5 5" xfId="36363"/>
    <cellStyle name="Title [Helv] 2 2 2 4 5 5" xfId="36364"/>
    <cellStyle name="Heading [Palat] 2 2 2 4 5 5" xfId="36365"/>
    <cellStyle name="dp*NumberLineEPS 2 2 2 4 5 5" xfId="36366"/>
    <cellStyle name="dp*NumberLine 2 2 2 4 5 5" xfId="36367"/>
    <cellStyle name="Bold/Border 2 2 2 4 5 5" xfId="36368"/>
    <cellStyle name="Afjusted 2 2 2 4 5 5" xfId="36369"/>
    <cellStyle name="ac 2 2 2 4 5 5" xfId="36370"/>
    <cellStyle name="dp*SubTitle 3 2 4 5 5" xfId="36371"/>
    <cellStyle name="P-Green Rule 3 2 4 5 5" xfId="36372"/>
    <cellStyle name="Style 49 4 2 4 5 5" xfId="36373"/>
    <cellStyle name="Afjusted 3 2 4 5 5" xfId="36374"/>
    <cellStyle name="Table Head Green 2 2 2 3 5 5" xfId="36375"/>
    <cellStyle name="Magic 2 2 2 3 5 5" xfId="36376"/>
    <cellStyle name="dp*SheetSubTitle 2 2 2 3 5 5" xfId="36377"/>
    <cellStyle name="Date [mmm-yyyy] 2 2 2 3 5 5" xfId="36378"/>
    <cellStyle name="Afjusted 2 2 2 3 5 5" xfId="36379"/>
    <cellStyle name="Border Thin 3 2 3 5 5" xfId="36380"/>
    <cellStyle name="PB Table Standard Row 3 2 3 5 5" xfId="36381"/>
    <cellStyle name="Date [mm-d-yyyy] 2 2 3 5 5" xfId="36382"/>
    <cellStyle name="Heading [Palat] 2 2 2 2 5 5" xfId="36383"/>
    <cellStyle name="dp*NumberLineEPS 2 2 2 2 5 5" xfId="36384"/>
    <cellStyle name="dp*NumberLine 2 2 2 2 5 5" xfId="36385"/>
    <cellStyle name="Date [mmm-yyyy] 2 2 2 2 5 5" xfId="36386"/>
    <cellStyle name="COL HEADINGS 2 2 2 2 5 5" xfId="36387"/>
    <cellStyle name="Bold/Border 2 2 2 2 5 5" xfId="36388"/>
    <cellStyle name="Afjusted 2 2 2 2 5 5" xfId="36389"/>
    <cellStyle name="Style 51 4 5 5 5" xfId="36390"/>
    <cellStyle name="dp*SubTitle 3 2 2 5 5" xfId="36391"/>
    <cellStyle name="dp*ThinLineBelow 3 2 2 5 5" xfId="36392"/>
    <cellStyle name="PB Table Standard Row 3 2 2 5 5" xfId="36393"/>
    <cellStyle name="Style 44 4 2 2 5 5" xfId="36394"/>
    <cellStyle name="Style 49 4 2 2 5 5" xfId="36395"/>
    <cellStyle name="Style 51 4 2 2 5 5" xfId="36396"/>
    <cellStyle name="Afjusted 3 2 2 5 5" xfId="36397"/>
    <cellStyle name="Date [mm-d-yyyy] 2 2 2 5 5" xfId="36398"/>
    <cellStyle name="Afjusted 3 3 2 5 5" xfId="36399"/>
    <cellStyle name="Style 49 4 3 2 5 5" xfId="36400"/>
    <cellStyle name="Style 44 4 3 2 5 5" xfId="36401"/>
    <cellStyle name="P-Green Rule 3 3 2 5 5" xfId="36402"/>
    <cellStyle name="dp*SubTitle 3 3 2 5 5" xfId="36403"/>
    <cellStyle name="ac 2 2 3 2 5 5" xfId="36404"/>
    <cellStyle name="dp*NumberLineEPS 2 2 3 2 5 5" xfId="36405"/>
    <cellStyle name="Heading [Palat] 2 2 3 2 5 5" xfId="36406"/>
    <cellStyle name="Magic 2 2 3 2 5 5" xfId="36407"/>
    <cellStyle name="Outputs 2 2 3 2 5 5" xfId="36408"/>
    <cellStyle name="Style 49 6 8 2" xfId="36409"/>
    <cellStyle name="Style 48 4 3 2" xfId="36410"/>
    <cellStyle name="Style 50 4 3 2" xfId="36411"/>
    <cellStyle name="Afjusted 2 2 2 8 5" xfId="36412"/>
    <cellStyle name="PB Table Standard Row 3 2 6 5" xfId="36413"/>
    <cellStyle name="P-Green Rule 3 2 7 5" xfId="36414"/>
    <cellStyle name="Style 49 4 2 7 5" xfId="36415"/>
    <cellStyle name="Afjusted 4 4 7 2" xfId="36416"/>
    <cellStyle name="Date [mm-d-yyyy] 2 2 7 5" xfId="36417"/>
    <cellStyle name="Style 45 6 8 2" xfId="36418"/>
    <cellStyle name="Style 51 2 3 8 2" xfId="36419"/>
    <cellStyle name="Table Head Green 2 2 3 4 8 2" xfId="36420"/>
    <cellStyle name="Style 53 4 3 2" xfId="36421"/>
    <cellStyle name="Date [mm-d-yyyy] 3 2 4 8 2" xfId="36422"/>
    <cellStyle name="Magic 2 5 8 2" xfId="36423"/>
    <cellStyle name="DateYearWholeEstimate 5 3 2" xfId="36424"/>
    <cellStyle name="Date [mmm-yyyy] 2 4 8 2" xfId="36425"/>
    <cellStyle name="Bold/Border 2 2 3 8 5" xfId="36426"/>
    <cellStyle name="dp*NumberLine 2 2 3 8 5" xfId="36427"/>
    <cellStyle name="dp*NumberLineEPS 2 2 3 8 5" xfId="36428"/>
    <cellStyle name="dp*SheetSubTitle 2 2 3 8 5" xfId="36429"/>
    <cellStyle name="Magic 2 2 3 8 5" xfId="36430"/>
    <cellStyle name="Outputs 2 2 3 8 5" xfId="36431"/>
    <cellStyle name="Table Head Aligned 2 2 3 8 5" xfId="36432"/>
    <cellStyle name="Table Head Green 2 2 3 8 5" xfId="36433"/>
    <cellStyle name="Title [Helv] 2 2 3 8 5" xfId="36434"/>
    <cellStyle name="Title [Palat] 2 2 3 8 5" xfId="36435"/>
    <cellStyle name="Border Thin 3 4 4 5" xfId="36436"/>
    <cellStyle name="dp*SubTitle 3 3 4 5 5" xfId="36437"/>
    <cellStyle name="dp*SubTitle 3 4 4 5" xfId="36438"/>
    <cellStyle name="dp*ThinLineBelow 3 4 4 5" xfId="36439"/>
    <cellStyle name="PB Table Standard Row 3 4 3 5" xfId="36440"/>
    <cellStyle name="Style 44 4 4 5 5" xfId="36441"/>
    <cellStyle name="Style 45 4 4 5 5" xfId="36442"/>
    <cellStyle name="ac 2 2 2 4 4 4 2" xfId="36443"/>
    <cellStyle name="Date [mm-d-yyyy] 3 4 5 5" xfId="36444"/>
    <cellStyle name="Date [mm-d-yyyy] 3 3 3 5 5" xfId="36445"/>
    <cellStyle name="P-Green Rule 3 3 3 5 5" xfId="36446"/>
    <cellStyle name="dp*SheetSubTitle 2 2 3 3 5 5" xfId="36447"/>
    <cellStyle name="Heading [Palat] 2 2 3 3 5 5" xfId="36448"/>
    <cellStyle name="Table Head Aligned 2 2 4 5 5" xfId="36449"/>
    <cellStyle name="Afjusted 3 4 5 5" xfId="36450"/>
    <cellStyle name="Style 45 4 3 4 5 5" xfId="36451"/>
    <cellStyle name="Title [Helv] 2 3 5 5" xfId="36452"/>
    <cellStyle name="Style 45 4 3 3 5 5" xfId="36453"/>
    <cellStyle name="dp*SubTitle 3 3 3 5 5" xfId="36454"/>
    <cellStyle name="Style 49 4 3 3 5 5" xfId="36455"/>
    <cellStyle name="dp*ThinLineBelow 3 3 3 5 5" xfId="36456"/>
    <cellStyle name="Afjusted 2 2 3 3 5 5" xfId="36457"/>
    <cellStyle name="Date [mmm-yyyy] 2 2 3 3 5 5" xfId="36458"/>
    <cellStyle name="Magic 2 3 5 5" xfId="36459"/>
    <cellStyle name="Heading [Palat] 2 3 5 5" xfId="36460"/>
    <cellStyle name="Style 51 3 3 5 5" xfId="36461"/>
    <cellStyle name="Afjusted 4 5 8 2" xfId="36462"/>
    <cellStyle name="Border Thin 2 5 8 2" xfId="36463"/>
    <cellStyle name="Style 35 3 3 2" xfId="36464"/>
    <cellStyle name="Heading [Palat] 2 4 8 2" xfId="36465"/>
    <cellStyle name="SAPBEXHLevel2 3 3 2" xfId="36466"/>
    <cellStyle name="UNLOCKED 11 3 2" xfId="36467"/>
    <cellStyle name="Outputs 2 2 3 3 8 2" xfId="36468"/>
    <cellStyle name="SAPBEXHLevel2X 3 3 2" xfId="36469"/>
    <cellStyle name="Heading [Helv] 2 3 8 2" xfId="36470"/>
    <cellStyle name="Table Head Green 2 3 8 2" xfId="36471"/>
    <cellStyle name="Style 43 2 3 2" xfId="36472"/>
    <cellStyle name="Style 45 2 8 5" xfId="36473"/>
    <cellStyle name="Style 44 2 8 5" xfId="36474"/>
    <cellStyle name="Style 51 3 8 5" xfId="36475"/>
    <cellStyle name="P-Green Rule 2 8 5" xfId="36476"/>
    <cellStyle name="PB Table Standard Row 2 7 5" xfId="36477"/>
    <cellStyle name="Afjusted 4 2 2 8 2" xfId="36478"/>
    <cellStyle name="Style 49 4 2 4 8 2" xfId="36479"/>
    <cellStyle name="dp*SubTitle 2 6 5" xfId="36480"/>
    <cellStyle name="Border Thin 2 7 5" xfId="36481"/>
    <cellStyle name="Draw shadow and lines within range 5 3 2" xfId="36482"/>
    <cellStyle name="Style 45 4 3 4 8 2" xfId="36483"/>
    <cellStyle name="Date [mmm-yyyy] 3 4 4 2" xfId="36484"/>
    <cellStyle name="Style 49 3 4 4 4 2" xfId="36485"/>
    <cellStyle name="Arial8Italic 10 2" xfId="36486"/>
    <cellStyle name="Draw lines around data in range 10 2" xfId="36487"/>
    <cellStyle name="ItemTypeClass 10 2" xfId="36488"/>
    <cellStyle name="SAPBEXaggItem 7 2" xfId="36489"/>
    <cellStyle name="Style 42 10 2" xfId="36490"/>
    <cellStyle name="Header2 2 4 2" xfId="36491"/>
    <cellStyle name="DateYearEstimate 2 3 2" xfId="36492"/>
    <cellStyle name="SAPBEXaggData 2 3 2" xfId="36493"/>
    <cellStyle name="SAPBEXexcCritical6 2 3 2" xfId="36494"/>
    <cellStyle name="SAPBEXresDataEmph 2 3 2" xfId="36495"/>
    <cellStyle name="dp*SheetSubTitle 2 2 3 3 8 2" xfId="36496"/>
    <cellStyle name="dp*ThinLineBelow 3 3 4 8 2" xfId="36497"/>
    <cellStyle name="dp*ThinLineBelow 3 4 5 2" xfId="36498"/>
    <cellStyle name="Input 2 5 2" xfId="36499"/>
    <cellStyle name="Output 2 2 3 2" xfId="36500"/>
    <cellStyle name="dp*SheetSubTitle 2 2 2 10 2" xfId="36501"/>
    <cellStyle name="Title [Palat] 2 2 3 2 8 2" xfId="36502"/>
    <cellStyle name="Outputs 2 2 3 2 8 2" xfId="36503"/>
    <cellStyle name="Magic 2 2 3 2 8 2" xfId="36504"/>
    <cellStyle name="dp*NumberLineEPS 2 2 3 2 8 2" xfId="36505"/>
    <cellStyle name="COL HEADINGS 2 2 3 2 8 2" xfId="36506"/>
    <cellStyle name="Bold/Border 2 2 3 2 8 2" xfId="36507"/>
    <cellStyle name="Style 44 4 3 2 8 2" xfId="36508"/>
    <cellStyle name="Afjusted 3 3 2 8 2" xfId="36509"/>
    <cellStyle name="Heading [Helv] 2 2 2 2 8 2" xfId="36510"/>
    <cellStyle name="Style 51 4 2 3 8 2" xfId="36511"/>
    <cellStyle name="dp*ThinLineBelow 3 2 3 8 2" xfId="36512"/>
    <cellStyle name="COL HEADINGS 2 2 2 3 8 2" xfId="36513"/>
    <cellStyle name="Heading [Helv] 2 2 2 3 8 2" xfId="36514"/>
    <cellStyle name="Title [Helv] 2 2 2 3 8 2" xfId="36515"/>
    <cellStyle name="dp*SubTitle 3 2 4 8 2" xfId="36516"/>
    <cellStyle name="Table Head Green 3 8 2" xfId="36517"/>
    <cellStyle name="Style 25 3 3 2" xfId="36518"/>
    <cellStyle name="dp*Number%ItalicsLineAbove 3 3 2" xfId="36519"/>
    <cellStyle name="Arial6Bold 3 3 2" xfId="36520"/>
    <cellStyle name="ac 2 4 8 2" xfId="36521"/>
    <cellStyle name="Afjusted 2 3 8 2" xfId="36522"/>
    <cellStyle name="Bold/Border 2 4 8 2" xfId="36523"/>
    <cellStyle name="PB Table Standard Row 2 4 8 2" xfId="36524"/>
    <cellStyle name="Arial8Italic 4 3 2" xfId="36525"/>
    <cellStyle name="Bold/Border 4 8 2" xfId="36526"/>
    <cellStyle name="SAPBEXHLevel0 3 3 2" xfId="36527"/>
    <cellStyle name="Heading [Helv] 2 5 8 2" xfId="36528"/>
    <cellStyle name="Heading [Palat] 2 5 8 2" xfId="36529"/>
    <cellStyle name="Style 49 3 5 8 2" xfId="36530"/>
    <cellStyle name="Style 51 2 5 8 2" xfId="36531"/>
    <cellStyle name="Table Head Aligned 2 5 8 2" xfId="36532"/>
    <cellStyle name="Title [Palat] 2 5 8 2" xfId="36533"/>
    <cellStyle name="PB Table Standard Row 6 8 2" xfId="36534"/>
    <cellStyle name="SAPBEXHLevel1X 4 3 2" xfId="36535"/>
    <cellStyle name="SAPBEXHLevel3 4 3 2" xfId="36536"/>
    <cellStyle name="SAPBEXstdItemX 4 3 2" xfId="36537"/>
    <cellStyle name="Style 22 5 3 2" xfId="36538"/>
    <cellStyle name="Style 42 5 3 2" xfId="36539"/>
    <cellStyle name="Style 49 7 8 2" xfId="36540"/>
    <cellStyle name="Style 52 5 3 2" xfId="36541"/>
    <cellStyle name="Style 53 5 3 2" xfId="36542"/>
    <cellStyle name="UNLOCKED 25 3 2" xfId="36543"/>
    <cellStyle name="ac 2 6 8 2" xfId="36544"/>
    <cellStyle name="Bold/Border 2 6 8 2" xfId="36545"/>
    <cellStyle name="Border Thin 2 6 8 2" xfId="36546"/>
    <cellStyle name="COL HEADINGS 2 6 8 2" xfId="36547"/>
    <cellStyle name="Date [mm-d-yyyy] 2 3 6 2" xfId="36548"/>
    <cellStyle name="Header2 2 2 3 2" xfId="36549"/>
    <cellStyle name="Heading [Helv] 2 6 8 2" xfId="36550"/>
    <cellStyle name="Style 35 2 3 2" xfId="36551"/>
    <cellStyle name="dp*SheetSubTitle 2 4 4 6" xfId="36552"/>
    <cellStyle name="Style 44 3 4 4 6" xfId="36553"/>
    <cellStyle name="Style 49 2 4 4 6" xfId="36554"/>
    <cellStyle name="Bold/Border 2 4 4 6" xfId="36555"/>
    <cellStyle name="Heading [Helv] 2 4 4 6" xfId="36556"/>
    <cellStyle name="Style 49 3 4 4 6" xfId="36557"/>
    <cellStyle name="Date [mmm-yyyy] 3 4 6" xfId="36558"/>
    <cellStyle name="PB Table Standard Row 2 4 4 6" xfId="36559"/>
    <cellStyle name="Table Head Aligned 2 2 2 7 6" xfId="36560"/>
    <cellStyle name="Style 44 2 4 4 6" xfId="36561"/>
    <cellStyle name="Table Head Aligned 2 2 2 3 4 6" xfId="36562"/>
    <cellStyle name="ac 2 2 2 4 4 6" xfId="36563"/>
    <cellStyle name="dp*SheetSubTitle 2 2 7 6" xfId="36564"/>
    <cellStyle name="ItemTypeClass 5 3 2" xfId="36565"/>
    <cellStyle name="Format a row of totals 2 3 2" xfId="36566"/>
    <cellStyle name="Style 51 4 2 4 8 2" xfId="36567"/>
    <cellStyle name="SAPBEXHLevel3X 3 3 2" xfId="36568"/>
    <cellStyle name="Millions 8 3 2" xfId="36569"/>
    <cellStyle name="Date [mmm-yyyy] 2 3 8 2" xfId="36570"/>
    <cellStyle name="SAPBEXaggItemX 4 3 2" xfId="36571"/>
    <cellStyle name="COL HEADINGS 2 2 3 3 5 5" xfId="36572"/>
    <cellStyle name="ItemTypeClass 3 3 2" xfId="36573"/>
    <cellStyle name="Date [mmm-yyyy] 2 3 5 5" xfId="36574"/>
    <cellStyle name="Outputs 2 5 5 5" xfId="36575"/>
    <cellStyle name="dp*ThinLineBelow 2 5 5 5" xfId="36576"/>
    <cellStyle name="Afjusted 3 2 2 8 2" xfId="36577"/>
    <cellStyle name="dp*NumberLineEPS 2 3 5 5" xfId="36578"/>
    <cellStyle name="Style 44 2 4 4 4 2" xfId="36579"/>
    <cellStyle name="Format a row of totals 10 2" xfId="36580"/>
    <cellStyle name="Style 48 2 3 2" xfId="36581"/>
    <cellStyle name="Table Head Aligned 2 3 8 2" xfId="36582"/>
    <cellStyle name="Title [Helv] 2 2 2 2 8 2" xfId="36583"/>
    <cellStyle name="Style 45 4 2 2 5 5" xfId="36584"/>
    <cellStyle name="SAPBEXHLevel0 2 3 2" xfId="36585"/>
    <cellStyle name="Title [Helv] 2 3 8 2" xfId="36586"/>
    <cellStyle name="UNLOCKED 10 3 2" xfId="36587"/>
    <cellStyle name="Afjusted 4 5 5 5" xfId="36588"/>
    <cellStyle name="COL HEADINGS 2 3 5 5" xfId="36589"/>
    <cellStyle name="Heading [Helv] 2 2 3 4 5 5" xfId="36590"/>
    <cellStyle name="Outputs 2 3 8 2" xfId="36591"/>
    <cellStyle name="ArialNormal 4 3 2" xfId="36592"/>
    <cellStyle name="Afjusted 3 6 9" xfId="36593"/>
    <cellStyle name="Outputs 4 8 2" xfId="36594"/>
    <cellStyle name="Bold/Border 2 2 3 4 8 2" xfId="36595"/>
    <cellStyle name="Magic 2 4 4 4 2" xfId="36596"/>
    <cellStyle name="SSFixed2 7 2" xfId="36597"/>
    <cellStyle name="ac 2 7 9" xfId="36598"/>
    <cellStyle name="Afjusted 2 5 9" xfId="36599"/>
    <cellStyle name="Bold/Border 2 7 9" xfId="36600"/>
    <cellStyle name="COL HEADINGS 2 7 9" xfId="36601"/>
    <cellStyle name="Date [mmm-yyyy] 2 6 9" xfId="36602"/>
    <cellStyle name="dp*ThinLineBelow 2 4 5 5" xfId="36603"/>
    <cellStyle name="Border Thin 2 4 5 5" xfId="36604"/>
    <cellStyle name="dp*NumberLine 2 6 9" xfId="36605"/>
    <cellStyle name="dp*NumberLineEPS 2 6 9" xfId="36606"/>
    <cellStyle name="dp*SheetSubTitle 2 6 9" xfId="36607"/>
    <cellStyle name="Heading [Helv] 3 5 5" xfId="36608"/>
    <cellStyle name="ac 2 2 2 2 5 5" xfId="36609"/>
    <cellStyle name="Afjusted 2 2 3 2 5 5" xfId="36610"/>
    <cellStyle name="Heading [Helv] 2 7 9" xfId="36611"/>
    <cellStyle name="Heading [Palat] 2 7 9" xfId="36612"/>
    <cellStyle name="Afjusted 2 2 4 5 5" xfId="36613"/>
    <cellStyle name="Magic 2 6 9" xfId="36614"/>
    <cellStyle name="Style 44 4 3 4 5 5" xfId="36615"/>
    <cellStyle name="WingdingsBlack 10 2" xfId="36616"/>
    <cellStyle name="ac 2 4 5 5" xfId="36617"/>
    <cellStyle name="dp*SheetSubTitle 2 4 5 5" xfId="36618"/>
    <cellStyle name="Outputs 2 7 9" xfId="36619"/>
    <cellStyle name="Afjusted 3 9 5" xfId="36620"/>
    <cellStyle name="Heading [Palat] 4 8 2" xfId="36621"/>
    <cellStyle name="SAPBEXaggItemX 3 3 2" xfId="36622"/>
    <cellStyle name="Heading [Helv] 4 8 2" xfId="36623"/>
    <cellStyle name="Table Head Aligned 2 6 9" xfId="36624"/>
    <cellStyle name="Table Head Green 2 7 9" xfId="36625"/>
    <cellStyle name="Title [Helv] 2 6 9" xfId="36626"/>
    <cellStyle name="Title [Palat] 2 7 9" xfId="36627"/>
    <cellStyle name="dp*NumberLine 2 4 8 2" xfId="36628"/>
    <cellStyle name="Table Head Aligned 2 2 2 3 4 4 2" xfId="36629"/>
    <cellStyle name="Bold/Border 2 4 4 4 2" xfId="36630"/>
    <cellStyle name="WingdingsBlack 2 3 2" xfId="36631"/>
    <cellStyle name="PB Table Standard Row 3 3 3 5 5" xfId="36632"/>
    <cellStyle name="Heading [Helv] 2 2 4 8 2" xfId="36633"/>
    <cellStyle name="Afjusted 4 4 5 5" xfId="36634"/>
    <cellStyle name="Draw shadow and lines within range 4 3 2" xfId="36635"/>
    <cellStyle name="dp*SubTitle 3 5 5 5" xfId="36636"/>
    <cellStyle name="SAPBEXaggItemX 2 3 2" xfId="36637"/>
    <cellStyle name="Table Head Aligned 2 2 3 3 5 5" xfId="36638"/>
    <cellStyle name="Style 22 4 3 2" xfId="36639"/>
    <cellStyle name="Style 44 2 5 5 5" xfId="36640"/>
    <cellStyle name="dp*SheetSubTitle 3 5 5" xfId="36641"/>
    <cellStyle name="Outputs 3 5 5" xfId="36642"/>
    <cellStyle name="Table Head Green 2 2 2 4 5 5" xfId="36643"/>
    <cellStyle name="P-Green Rule 3 2 3 5 5" xfId="36644"/>
    <cellStyle name="dp*ThinLineBelow 3 5 5 5" xfId="36645"/>
    <cellStyle name="SAPBEXexcBad9 7 2" xfId="36646"/>
    <cellStyle name="SAPBEXHLevel0 9 2" xfId="36647"/>
    <cellStyle name="SSDecs3 7 2" xfId="36648"/>
    <cellStyle name="Style 21 10 2" xfId="36649"/>
    <cellStyle name="Style 43 10 2" xfId="36650"/>
    <cellStyle name="Arial6Bold 2 3 2" xfId="36651"/>
    <cellStyle name="DateYearWholeEstimate 2 3 2" xfId="36652"/>
    <cellStyle name="SAPBEXaggDataEmph 2 3 2" xfId="36653"/>
    <cellStyle name="SAPBEXexcGood1 2 3 2" xfId="36654"/>
    <cellStyle name="Magic 2 2 2 10 2" xfId="36655"/>
    <cellStyle name="Total 2 5 2" xfId="36656"/>
    <cellStyle name="Title [Palat] 2 2 2 3 8 2" xfId="36657"/>
    <cellStyle name="ac 2 2 2 4 8 2" xfId="36658"/>
    <cellStyle name="Table Head Aligned 3 8 2" xfId="36659"/>
    <cellStyle name="Style 24 3 3 2" xfId="36660"/>
    <cellStyle name="DateYearWholeEstimate 3 3 2" xfId="36661"/>
    <cellStyle name="ac 4 8 2" xfId="36662"/>
    <cellStyle name="SAPBEXHLevel0X 3 3 2" xfId="36663"/>
    <cellStyle name="UNLOCKED 24 3 2" xfId="36664"/>
    <cellStyle name="Date [mm-d-yyyy] 6 6 2" xfId="36665"/>
    <cellStyle name="DateYearEstimate 5 3 2" xfId="36666"/>
    <cellStyle name="Magic 2 2 4 5 5" xfId="36667"/>
    <cellStyle name="Date [mm-d-yyyy] 3 6 9" xfId="36668"/>
    <cellStyle name="Style 51 4 6 9" xfId="36669"/>
    <cellStyle name="Style 49 4 6 9" xfId="36670"/>
    <cellStyle name="Style 45 4 6 9" xfId="36671"/>
    <cellStyle name="Style 44 4 6 9" xfId="36672"/>
    <cellStyle name="P-Green Rule 3 6 9" xfId="36673"/>
    <cellStyle name="PB Table Standard Row 3 6 9" xfId="36674"/>
    <cellStyle name="Border Thin 3 3 4 5 5" xfId="36675"/>
    <cellStyle name="dp*ThinLineBelow 3 6 9" xfId="36676"/>
    <cellStyle name="dp*SubTitle 3 6 9" xfId="36677"/>
    <cellStyle name="dp*NumberLineEPS 2 4 5 5" xfId="36678"/>
    <cellStyle name="Afjusted 6 8 2" xfId="36679"/>
    <cellStyle name="Border Thin 3 6 9" xfId="36680"/>
    <cellStyle name="dp*SheetSubTitle 2 2 4 5 5" xfId="36681"/>
    <cellStyle name="dp*ThinLineBelow 2 5 8 2" xfId="36682"/>
    <cellStyle name="UNLOCKED 8 3 2" xfId="36683"/>
    <cellStyle name="Afjusted 4 6 9" xfId="36684"/>
    <cellStyle name="dp*NumberLineEPS 2 2 2 3 8 2" xfId="36685"/>
    <cellStyle name="ac 2 2 5 9" xfId="36686"/>
    <cellStyle name="Afjusted 2 2 6 9" xfId="36687"/>
    <cellStyle name="Bold/Border 2 2 5 9" xfId="36688"/>
    <cellStyle name="COL HEADINGS 2 2 5 9" xfId="36689"/>
    <cellStyle name="Date [mmm-yyyy] 2 2 5 9" xfId="36690"/>
    <cellStyle name="dp*SubTitle 2 4 5 5" xfId="36691"/>
    <cellStyle name="Bold/Border 2 4 5 5" xfId="36692"/>
    <cellStyle name="Style 35 4 3 2" xfId="36693"/>
    <cellStyle name="dp*NumberLine 2 2 5 9" xfId="36694"/>
    <cellStyle name="dp*NumberLineEPS 2 2 5 9" xfId="36695"/>
    <cellStyle name="dp*SheetSubTitle 2 2 5 9" xfId="36696"/>
    <cellStyle name="Heading [Helv] 2 2 5 9" xfId="36697"/>
    <cellStyle name="Heading [Palat] 2 2 5 9" xfId="36698"/>
    <cellStyle name="Magic 2 2 5 9" xfId="36699"/>
    <cellStyle name="Outputs 2 2 5 9" xfId="36700"/>
    <cellStyle name="Table Head Aligned 2 2 5 9" xfId="36701"/>
    <cellStyle name="Table Head Green 2 2 5 9" xfId="36702"/>
    <cellStyle name="Title [Helv] 2 2 5 9" xfId="36703"/>
    <cellStyle name="Title [Palat] 2 2 5 9" xfId="36704"/>
    <cellStyle name="Heading [Palat] 2 2 4 5 5" xfId="36705"/>
    <cellStyle name="dp*NumberLine 2 2 4 5 5" xfId="36706"/>
    <cellStyle name="Date [mmm-yyyy] 2 2 4 5 5" xfId="36707"/>
    <cellStyle name="COL HEADINGS 2 2 4 5 5" xfId="36708"/>
    <cellStyle name="Bold/Border 2 2 4 5 5" xfId="36709"/>
    <cellStyle name="Afjusted 2 2 5 5 5" xfId="36710"/>
    <cellStyle name="ac 2 2 4 5 5" xfId="36711"/>
    <cellStyle name="Outputs 3 8 2" xfId="36712"/>
    <cellStyle name="Style 49 4 3 3 8 2" xfId="36713"/>
    <cellStyle name="Style 53 10 2" xfId="36714"/>
    <cellStyle name="dp*SubTitle 2 2 5 5" xfId="36715"/>
    <cellStyle name="Afjusted 4 2 4 8 2" xfId="36716"/>
    <cellStyle name="Border Thin 3 3 3 8 2" xfId="36717"/>
    <cellStyle name="Style 26 8 2" xfId="36718"/>
    <cellStyle name="Border Thin 2 3 7 2" xfId="36719"/>
    <cellStyle name="dp*NumberLine 2 2 2 4 8 2" xfId="36720"/>
    <cellStyle name="Bold/Border 2 2 3 4 5 5" xfId="36721"/>
    <cellStyle name="Style 44 4 5 5 5" xfId="36722"/>
    <cellStyle name="dp*ThinLineBelow 4 5 5" xfId="36723"/>
    <cellStyle name="Style 51 5 5 5" xfId="36724"/>
    <cellStyle name="PB Table Standard Row 4 5 5" xfId="36725"/>
    <cellStyle name="ac 2 2 3 3 5 5" xfId="36726"/>
    <cellStyle name="P-Green Rule 3 5 5 5" xfId="36727"/>
    <cellStyle name="dp*SubTitle 4 5 5" xfId="36728"/>
    <cellStyle name="Style 44 5 5 5" xfId="36729"/>
    <cellStyle name="Style 49 5 5 5" xfId="36730"/>
    <cellStyle name="Style 45 5 5 5" xfId="36731"/>
    <cellStyle name="P-Green Rule 4 5 5" xfId="36732"/>
    <cellStyle name="Outputs 2 2 3 4 5 5" xfId="36733"/>
    <cellStyle name="Table Head Aligned 2 2 3 2 5 5" xfId="36734"/>
    <cellStyle name="Title [Helv] 2 2 3 2 5 5" xfId="36735"/>
    <cellStyle name="P-Green Rule 2 3 5 5" xfId="36736"/>
    <cellStyle name="Heading [Palat] 2 2 3 4 5 5" xfId="36737"/>
    <cellStyle name="Afjusted 4 2 2 5 5" xfId="36738"/>
    <cellStyle name="COL HEADINGS 2 5 5 5" xfId="36739"/>
    <cellStyle name="Draw lines around data in range 3 3 2" xfId="36740"/>
    <cellStyle name="Style 49 6 5 5" xfId="36741"/>
    <cellStyle name="Title [Palat] 2 9 6" xfId="36742"/>
    <cellStyle name="Style 42 2 3 2" xfId="36743"/>
    <cellStyle name="Style 37 4 3 2" xfId="36744"/>
    <cellStyle name="Style 51 4 3 3 8 2" xfId="36745"/>
    <cellStyle name="SAPBEXHLevel0 4 3 2" xfId="36746"/>
    <cellStyle name="Input 2 2 3 2" xfId="36747"/>
    <cellStyle name="SymbolBlue 2 3 2" xfId="36748"/>
    <cellStyle name="Afjusted 4 3 4 5 5" xfId="36749"/>
    <cellStyle name="dp*NumberLine 2 2 3 4 5 5" xfId="36750"/>
    <cellStyle name="dp*SubTitle 2 2 2 9" xfId="36751"/>
    <cellStyle name="Border Thin 2 2 2 9" xfId="36752"/>
    <cellStyle name="SAPBEXexcBad9 2 3 2" xfId="36753"/>
    <cellStyle name="Style 44 3 2 5 5" xfId="36754"/>
    <cellStyle name="Border Thin 2 3 5 5" xfId="36755"/>
    <cellStyle name="Style 40 5 3 2" xfId="36756"/>
    <cellStyle name="WingdingsWhite 5 3 2" xfId="36757"/>
    <cellStyle name="Style 49 2 6 8 2" xfId="36758"/>
    <cellStyle name="Style 26 3 3 2" xfId="36759"/>
    <cellStyle name="Style 51 4 3 3 5 5" xfId="36760"/>
    <cellStyle name="UNLOCKED 7 3 2" xfId="36761"/>
    <cellStyle name="Magic 2 2 4 8 2" xfId="36762"/>
    <cellStyle name="Bold/Border 2 2 3 4 2 9" xfId="36763"/>
    <cellStyle name="Date [mm-d-yyyy] 4 8 2" xfId="36764"/>
    <cellStyle name="Magic 2 2 3 4 2 9" xfId="36765"/>
    <cellStyle name="Title [Helv] 2 2 3 4 2 9" xfId="36766"/>
    <cellStyle name="Style 51 2 2 2 9" xfId="36767"/>
    <cellStyle name="Style 45 2 2 2 9" xfId="36768"/>
    <cellStyle name="Style 49 2 2 2 9" xfId="36769"/>
    <cellStyle name="Style 44 2 2 2 9" xfId="36770"/>
    <cellStyle name="Style 51 3 2 2 9" xfId="36771"/>
    <cellStyle name="Style 49 3 2 2 9" xfId="36772"/>
    <cellStyle name="Style 45 3 2 2 9" xfId="36773"/>
    <cellStyle name="Style 44 3 2 2 9" xfId="36774"/>
    <cellStyle name="P-Green Rule 2 2 2 9" xfId="36775"/>
    <cellStyle name="PB Table Standard Row 2 2 2 9" xfId="36776"/>
    <cellStyle name="dp*ThinLineBelow 2 2 2 9" xfId="36777"/>
    <cellStyle name="ArialNormal 3 3 2" xfId="36778"/>
    <cellStyle name="dp*ThinLineBelow 2 3 2 9" xfId="36779"/>
    <cellStyle name="Style 44 3 3 2 9" xfId="36780"/>
    <cellStyle name="COL HEADINGS 2 2 3 4 2 9" xfId="36781"/>
    <cellStyle name="Style 49 4 3 4 2 9" xfId="36782"/>
    <cellStyle name="Table Head Green 2 2 2 4 8 2" xfId="36783"/>
    <cellStyle name="Afjusted 3 3 4 2 9" xfId="36784"/>
    <cellStyle name="Date [mm-d-yyyy] 3 3 4 2 9" xfId="36785"/>
    <cellStyle name="Afjusted 4 3 4 2 9" xfId="36786"/>
    <cellStyle name="ac 2 2 3 4 2 9" xfId="36787"/>
    <cellStyle name="Afjusted 2 2 3 4 2 9" xfId="36788"/>
    <cellStyle name="Date [mmm-yyyy] 2 2 3 4 2 9" xfId="36789"/>
    <cellStyle name="dp*NumberLine 2 2 3 4 2 9" xfId="36790"/>
    <cellStyle name="dp*NumberLineEPS 2 2 3 4 2 9" xfId="36791"/>
    <cellStyle name="dp*SheetSubTitle 2 2 3 4 2 9" xfId="36792"/>
    <cellStyle name="Heading [Helv] 2 2 3 4 2 9" xfId="36793"/>
    <cellStyle name="Outputs 2 2 3 4 2 9" xfId="36794"/>
    <cellStyle name="Table Head Aligned 2 2 3 4 2 9" xfId="36795"/>
    <cellStyle name="Title [Palat] 2 2 3 4 2 9" xfId="36796"/>
    <cellStyle name="Outputs 2 6 8 2" xfId="36797"/>
    <cellStyle name="Afjusted 2 2 4 7 2" xfId="36798"/>
    <cellStyle name="Table Head Aligned 2 4 8 2" xfId="36799"/>
    <cellStyle name="Afjusted 3 5 2 9" xfId="36800"/>
    <cellStyle name="Style 45 3 3 2 9" xfId="36801"/>
    <cellStyle name="Style 51 3 3 2 9" xfId="36802"/>
    <cellStyle name="Style 44 2 3 2 9" xfId="36803"/>
    <cellStyle name="Style 45 2 3 2 9" xfId="36804"/>
    <cellStyle name="Style 49 2 3 2 9" xfId="36805"/>
    <cellStyle name="Border Thin 3 5 2 9" xfId="36806"/>
    <cellStyle name="ac 2 2 4 2 9" xfId="36807"/>
    <cellStyle name="Afjusted 2 2 5 2 9" xfId="36808"/>
    <cellStyle name="Bold/Border 2 2 4 2 9" xfId="36809"/>
    <cellStyle name="COL HEADINGS 2 2 4 2 9" xfId="36810"/>
    <cellStyle name="Date [mmm-yyyy] 2 2 4 2 9" xfId="36811"/>
    <cellStyle name="dp*NumberLine 2 2 4 2 9" xfId="36812"/>
    <cellStyle name="dp*NumberLineEPS 2 2 4 2 9" xfId="36813"/>
    <cellStyle name="dp*SheetSubTitle 2 2 4 2 9" xfId="36814"/>
    <cellStyle name="Heading [Palat] 2 2 4 2 9" xfId="36815"/>
    <cellStyle name="Outputs 2 2 4 2 9" xfId="36816"/>
    <cellStyle name="Magic 2 2 4 2 9" xfId="36817"/>
    <cellStyle name="Title [Helv] 2 2 4 2 9" xfId="36818"/>
    <cellStyle name="Title [Palat] 2 2 4 2 9" xfId="36819"/>
    <cellStyle name="Title [Palat] 2 2 3 3 2 9" xfId="36820"/>
    <cellStyle name="Title [Helv] 2 2 3 3 2 9" xfId="36821"/>
    <cellStyle name="Table Head Aligned 2 2 3 3 2 9" xfId="36822"/>
    <cellStyle name="Magic 2 2 3 3 2 9" xfId="36823"/>
    <cellStyle name="Heading [Helv] 2 2 3 3 2 9" xfId="36824"/>
    <cellStyle name="dp*NumberLineEPS 2 2 3 3 2 9" xfId="36825"/>
    <cellStyle name="COL HEADINGS 2 2 3 3 2 9" xfId="36826"/>
    <cellStyle name="ac 2 2 3 3 2 9" xfId="36827"/>
    <cellStyle name="Afjusted 4 3 3 2 9" xfId="36828"/>
    <cellStyle name="Border Thin 3 3 3 2 9" xfId="36829"/>
    <cellStyle name="PB Table Standard Row 3 3 3 2 9" xfId="36830"/>
    <cellStyle name="Style 44 4 3 3 2 9" xfId="36831"/>
    <cellStyle name="Style 51 4 3 3 2 9" xfId="36832"/>
    <cellStyle name="Afjusted 3 3 3 2 9" xfId="36833"/>
    <cellStyle name="Style 21 3 3 2" xfId="36834"/>
    <cellStyle name="Style 49 4 5 2 9" xfId="36835"/>
    <cellStyle name="SSDfltPct 2 3 2" xfId="36836"/>
    <cellStyle name="Style 44 4 5 2 9" xfId="36837"/>
    <cellStyle name="P-Green Rule 3 5 2 9" xfId="36838"/>
    <cellStyle name="dp*SubTitle 3 5 2 9" xfId="36839"/>
    <cellStyle name="Afjusted 4 5 2 9" xfId="36840"/>
    <cellStyle name="Afjusted 2 2 3 4 5 5" xfId="36841"/>
    <cellStyle name="dp*ThinLineBelow 2 2 5 5" xfId="36842"/>
    <cellStyle name="Heading [Helv] 2 4 4 4 2" xfId="36843"/>
    <cellStyle name="Afjusted 3 3 3 5 5" xfId="36844"/>
    <cellStyle name="ac 2 3 2 9" xfId="36845"/>
    <cellStyle name="Bold/Border 2 3 2 9" xfId="36846"/>
    <cellStyle name="COL HEADINGS 2 3 2 9" xfId="36847"/>
    <cellStyle name="Date [mmm-yyyy] 2 3 2 9" xfId="36848"/>
    <cellStyle name="dp*NumberLine 2 3 2 9" xfId="36849"/>
    <cellStyle name="dp*NumberLineEPS 2 3 2 9" xfId="36850"/>
    <cellStyle name="dp*SheetSubTitle 2 3 2 9" xfId="36851"/>
    <cellStyle name="Heading [Helv] 2 3 2 9" xfId="36852"/>
    <cellStyle name="Heading [Palat] 2 3 2 9" xfId="36853"/>
    <cellStyle name="Magic 2 3 2 9" xfId="36854"/>
    <cellStyle name="Outputs 2 3 2 9" xfId="36855"/>
    <cellStyle name="Afjusted 6 5 5" xfId="36856"/>
    <cellStyle name="Date [mmm-yyyy] 2 2 3 3 2 9" xfId="36857"/>
    <cellStyle name="Afjusted 2 2 3 3 2 9" xfId="36858"/>
    <cellStyle name="dp*ThinLineBelow 3 3 3 2 9" xfId="36859"/>
    <cellStyle name="Style 49 4 3 3 2 9" xfId="36860"/>
    <cellStyle name="Outputs 2 2 3 3 2 9" xfId="36861"/>
    <cellStyle name="dp*NumberLine 2 2 3 3 2 9" xfId="36862"/>
    <cellStyle name="Bold/Border 2 2 3 3 2 9" xfId="36863"/>
    <cellStyle name="dp*SubTitle 3 3 3 2 9" xfId="36864"/>
    <cellStyle name="Style 45 4 3 3 2 9" xfId="36865"/>
    <cellStyle name="Table Head Aligned 2 3 2 9" xfId="36866"/>
    <cellStyle name="Table Head Green 2 3 2 9" xfId="36867"/>
    <cellStyle name="Title [Helv] 2 3 2 9" xfId="36868"/>
    <cellStyle name="Title [Palat] 2 3 2 9" xfId="36869"/>
    <cellStyle name="Border Thin 3 3 3 5 5" xfId="36870"/>
    <cellStyle name="Style 45 4 3 4 2 9" xfId="36871"/>
    <cellStyle name="Heading [Palat] 2 6 8 2" xfId="36872"/>
    <cellStyle name="Style 51 4 3 4 2 9" xfId="36873"/>
    <cellStyle name="Title [Helv] 2 2 3 3 5 5" xfId="36874"/>
    <cellStyle name="Afjusted 3 4 2 9" xfId="36875"/>
    <cellStyle name="P-Green Rule 3 3 4 2 9" xfId="36876"/>
    <cellStyle name="Border Thin 2 3 2 9" xfId="36877"/>
    <cellStyle name="Style 49 3 3 2 9" xfId="36878"/>
    <cellStyle name="Style 51 2 3 2 9" xfId="36879"/>
    <cellStyle name="Heading [Helv] 2 2 4 2 9" xfId="36880"/>
    <cellStyle name="Table Head Aligned 2 2 4 2 9" xfId="36881"/>
    <cellStyle name="Table Head Green 2 2 4 2 9" xfId="36882"/>
    <cellStyle name="Table Head Green 2 2 3 3 2 9" xfId="36883"/>
    <cellStyle name="Heading [Palat] 2 2 3 3 2 9" xfId="36884"/>
    <cellStyle name="dp*SheetSubTitle 2 2 3 3 2 9" xfId="36885"/>
    <cellStyle name="P-Green Rule 3 3 3 2 9" xfId="36886"/>
    <cellStyle name="Date [mm-d-yyyy] 3 3 3 2 9" xfId="36887"/>
    <cellStyle name="Outputs 2 2 4 5 5" xfId="36888"/>
    <cellStyle name="Date [mm-d-yyyy] 3 4 2 9" xfId="36889"/>
    <cellStyle name="Style 51 4 4 2 9" xfId="36890"/>
    <cellStyle name="Style 49 4 4 2 9" xfId="36891"/>
    <cellStyle name="Style 45 4 4 2 9" xfId="36892"/>
    <cellStyle name="Style 44 4 4 2 9" xfId="36893"/>
    <cellStyle name="dp*ThinLineBelow 3 3 4 2 9" xfId="36894"/>
    <cellStyle name="P-Green Rule 3 4 2 8" xfId="36895"/>
    <cellStyle name="PB Table Standard Row 3 4 2 6" xfId="36896"/>
    <cellStyle name="dp*ThinLineBelow 3 4 2 8" xfId="36897"/>
    <cellStyle name="dp*SubTitle 3 4 2 7" xfId="36898"/>
    <cellStyle name="dp*SubTitle 3 3 4 2 9" xfId="36899"/>
    <cellStyle name="Border Thin 3 4 2 7" xfId="36900"/>
    <cellStyle name="dp*NumberLineEPS 2 2 4 5 5" xfId="36901"/>
    <cellStyle name="Border Thin 3 3 4 2 9" xfId="36902"/>
    <cellStyle name="Border Thin 2 2 5 5" xfId="36903"/>
    <cellStyle name="Afjusted 4 4 2 9" xfId="36904"/>
    <cellStyle name="Afjusted 2 2 4 2 9" xfId="36905"/>
    <cellStyle name="dp*NumberLine 2 2 2 2 8 2" xfId="36906"/>
    <cellStyle name="Style 44 4 3 4 2 9" xfId="36907"/>
    <cellStyle name="dp*NumberLineEPS 2 2 4 8 2" xfId="36908"/>
    <cellStyle name="Bold/Border 2 2 4 8 2" xfId="36909"/>
    <cellStyle name="PB Table Standard Row 3 3 4 2 9" xfId="36910"/>
    <cellStyle name="PB Table Standard Row 4 8 2" xfId="36911"/>
    <cellStyle name="Title [Palat] 2 2 3 5 9" xfId="36912"/>
    <cellStyle name="Title [Helv] 2 2 3 5 9" xfId="36913"/>
    <cellStyle name="Table Head Green 2 2 3 5 9" xfId="36914"/>
    <cellStyle name="Table Head Aligned 2 2 3 5 9" xfId="36915"/>
    <cellStyle name="Outputs 2 2 3 5 9" xfId="36916"/>
    <cellStyle name="Magic 2 2 3 5 9" xfId="36917"/>
    <cellStyle name="Heading [Palat] 2 2 3 5 9" xfId="36918"/>
    <cellStyle name="Heading [Helv] 2 2 3 5 9" xfId="36919"/>
    <cellStyle name="dp*SheetSubTitle 2 2 3 5 9" xfId="36920"/>
    <cellStyle name="dp*NumberLineEPS 2 2 3 5 9" xfId="36921"/>
    <cellStyle name="dp*NumberLine 2 2 3 5 9" xfId="36922"/>
    <cellStyle name="Date [mmm-yyyy] 2 2 3 5 9" xfId="36923"/>
    <cellStyle name="COL HEADINGS 2 2 3 5 9" xfId="36924"/>
    <cellStyle name="Bold/Border 2 2 3 5 9" xfId="36925"/>
    <cellStyle name="Afjusted 2 2 3 5 9" xfId="36926"/>
    <cellStyle name="ac 2 2 3 5 9" xfId="36927"/>
    <cellStyle name="Afjusted 2 2 5 4 6" xfId="36928"/>
    <cellStyle name="Afjusted 4 3 5 9" xfId="36929"/>
    <cellStyle name="Border Thin 3 3 5 9" xfId="36930"/>
    <cellStyle name="dp*SubTitle 3 3 5 9" xfId="36931"/>
    <cellStyle name="dp*ThinLineBelow 3 3 5 9" xfId="36932"/>
    <cellStyle name="PB Table Standard Row 3 3 5 9" xfId="36933"/>
    <cellStyle name="P-Green Rule 3 3 5 9" xfId="36934"/>
    <cellStyle name="Style 44 4 3 5 9" xfId="36935"/>
    <cellStyle name="Style 45 4 3 5 9" xfId="36936"/>
    <cellStyle name="Style 49 4 3 5 9" xfId="36937"/>
    <cellStyle name="Style 51 4 3 5 9" xfId="36938"/>
    <cellStyle name="Title [Palat] 2 2 3 2 5 5" xfId="36939"/>
    <cellStyle name="Date [mm-d-yyyy] 3 3 5 9" xfId="36940"/>
    <cellStyle name="Magic 2 5 5 5" xfId="36941"/>
    <cellStyle name="dp*SubTitle 2 5 5 5" xfId="36942"/>
    <cellStyle name="Afjusted 3 3 5 9" xfId="36943"/>
    <cellStyle name="Magic 2 2 2 2 8 2" xfId="36944"/>
    <cellStyle name="Style 53 3 3 2" xfId="36945"/>
    <cellStyle name="ac 5 5 5" xfId="36946"/>
    <cellStyle name="Title [Palat] 2 6 8 2" xfId="36947"/>
    <cellStyle name="Border Thin 2 5 5 5" xfId="36948"/>
    <cellStyle name="Border Thin 3 2 2 5 5" xfId="36949"/>
    <cellStyle name="Table Head Green 2 2 3 2 5 5" xfId="36950"/>
    <cellStyle name="Table Head Green 2 2 3 4 5 5" xfId="36951"/>
    <cellStyle name="dp*SubTitle 3 2 7 5" xfId="36952"/>
    <cellStyle name="Heading [Helv] 2 2 3 3 8 2" xfId="36953"/>
    <cellStyle name="COL HEADINGS 2 2 3 3 8 2" xfId="36954"/>
    <cellStyle name="SAPBEXstdItem 2 3 2" xfId="36955"/>
    <cellStyle name="dp*ThinLineBelow 3 2 7 5" xfId="36956"/>
    <cellStyle name="dp*NumberLine 2 3 5 5" xfId="36957"/>
    <cellStyle name="ac 2 2 3 3 8 2" xfId="36958"/>
    <cellStyle name="UNLOCKED 9 3 2" xfId="36959"/>
    <cellStyle name="Table Head Green 5 8 2" xfId="36960"/>
    <cellStyle name="Style 43 3 3 2" xfId="36961"/>
    <cellStyle name="Date [mm-d-yyyy] 2 2 4 9" xfId="36962"/>
    <cellStyle name="Afjusted 3 2 5 9" xfId="36963"/>
    <cellStyle name="P-Green Rule 3 3 4 5 5" xfId="36964"/>
    <cellStyle name="PB Table Standard Row 2 3 4 5" xfId="36965"/>
    <cellStyle name="Style 36 10 2" xfId="36966"/>
    <cellStyle name="Date [mm-d-yyyy] 3 2 5 9" xfId="36967"/>
    <cellStyle name="Style 51 4 2 5 9" xfId="36968"/>
    <cellStyle name="Style 49 4 2 5 9" xfId="36969"/>
    <cellStyle name="Style 45 4 2 5 9" xfId="36970"/>
    <cellStyle name="Style 44 4 2 5 9" xfId="36971"/>
    <cellStyle name="P-Green Rule 3 2 5 9" xfId="36972"/>
    <cellStyle name="PB Table Standard Row 3 2 5 6" xfId="36973"/>
    <cellStyle name="dp*ThinLineBelow 3 2 5 9" xfId="36974"/>
    <cellStyle name="dp*SubTitle 3 2 5 9" xfId="36975"/>
    <cellStyle name="Border Thin 3 2 5 9" xfId="36976"/>
    <cellStyle name="Style 43 5 3 2" xfId="36977"/>
    <cellStyle name="Afjusted 4 2 5 9" xfId="36978"/>
    <cellStyle name="ac 2 2 2 5 9" xfId="36979"/>
    <cellStyle name="Afjusted 2 2 2 5 9" xfId="36980"/>
    <cellStyle name="Bold/Border 2 2 2 5 9" xfId="36981"/>
    <cellStyle name="COL HEADINGS 2 2 2 5 9" xfId="36982"/>
    <cellStyle name="Date [mmm-yyyy] 2 2 2 5 9" xfId="36983"/>
    <cellStyle name="dp*NumberLine 2 2 2 5 9" xfId="36984"/>
    <cellStyle name="dp*NumberLineEPS 2 2 2 5 9" xfId="36985"/>
    <cellStyle name="dp*SheetSubTitle 2 2 2 5 9" xfId="36986"/>
    <cellStyle name="Heading [Helv] 2 2 2 5 9" xfId="36987"/>
    <cellStyle name="Heading [Palat] 2 2 2 5 9" xfId="36988"/>
    <cellStyle name="Magic 2 2 2 5 9" xfId="36989"/>
    <cellStyle name="Outputs 2 2 2 5 9" xfId="36990"/>
    <cellStyle name="Table Head Aligned 2 2 2 5 9" xfId="36991"/>
    <cellStyle name="Table Head Green 2 2 2 5 9" xfId="36992"/>
    <cellStyle name="Title [Helv] 2 2 2 5 9" xfId="36993"/>
    <cellStyle name="Title [Palat] 2 2 2 5 9" xfId="36994"/>
    <cellStyle name="SymbolBlue 5 3 2" xfId="36995"/>
    <cellStyle name="Table Head Green 2 2 3 4 2 9" xfId="36996"/>
    <cellStyle name="Heading [Palat] 2 2 3 4 2 9" xfId="36997"/>
    <cellStyle name="PB Table Standard Row 2 3 2 9" xfId="36998"/>
    <cellStyle name="P-Green Rule 2 3 2 9" xfId="36999"/>
    <cellStyle name="Title [Palat] 2 2 3 2 2 9" xfId="37000"/>
    <cellStyle name="Title [Helv] 2 2 3 2 2 9" xfId="37001"/>
    <cellStyle name="Table Head Green 2 2 3 2 2 9" xfId="37002"/>
    <cellStyle name="Table Head Aligned 2 2 3 2 2 9" xfId="37003"/>
    <cellStyle name="Outputs 2 2 3 2 2 9" xfId="37004"/>
    <cellStyle name="Magic 2 2 3 2 2 9" xfId="37005"/>
    <cellStyle name="Heading [Palat] 2 2 3 2 2 9" xfId="37006"/>
    <cellStyle name="Heading [Helv] 2 2 3 2 2 9" xfId="37007"/>
    <cellStyle name="dp*SheetSubTitle 2 2 3 2 2 9" xfId="37008"/>
    <cellStyle name="dp*NumberLineEPS 2 2 3 2 2 9" xfId="37009"/>
    <cellStyle name="dp*NumberLine 2 2 3 2 2 9" xfId="37010"/>
    <cellStyle name="Date [mmm-yyyy] 2 2 3 2 2 9" xfId="37011"/>
    <cellStyle name="COL HEADINGS 2 2 3 2 2 9" xfId="37012"/>
    <cellStyle name="Bold/Border 2 2 3 2 2 9" xfId="37013"/>
    <cellStyle name="Afjusted 2 2 3 2 2 9" xfId="37014"/>
    <cellStyle name="ac 2 2 3 2 2 9" xfId="37015"/>
    <cellStyle name="Afjusted 4 3 2 2 9" xfId="37016"/>
    <cellStyle name="Border Thin 3 3 2 2 9" xfId="37017"/>
    <cellStyle name="dp*SubTitle 3 3 2 2 9" xfId="37018"/>
    <cellStyle name="dp*ThinLineBelow 3 3 2 2 9" xfId="37019"/>
    <cellStyle name="PB Table Standard Row 3 3 2 2 9" xfId="37020"/>
    <cellStyle name="P-Green Rule 3 3 2 2 9" xfId="37021"/>
    <cellStyle name="Style 44 4 3 2 2 9" xfId="37022"/>
    <cellStyle name="Style 45 4 3 2 2 9" xfId="37023"/>
    <cellStyle name="Style 49 4 3 2 2 9" xfId="37024"/>
    <cellStyle name="Style 51 4 3 2 2 9" xfId="37025"/>
    <cellStyle name="Date [mm-d-yyyy] 3 3 2 2 9" xfId="37026"/>
    <cellStyle name="Afjusted 3 3 2 2 9" xfId="37027"/>
    <cellStyle name="Date [mm-d-yyyy] 3 5 2 9" xfId="37028"/>
    <cellStyle name="dp*SubTitle 2 3 2 9" xfId="37029"/>
    <cellStyle name="COL HEADINGS 3 8 2" xfId="37030"/>
    <cellStyle name="Date [mm-d-yyyy] 2 2 2 2 9" xfId="37031"/>
    <cellStyle name="Afjusted 3 2 2 2 9" xfId="37032"/>
    <cellStyle name="PB Table Standard Row 3 5 2 9" xfId="37033"/>
    <cellStyle name="Date [mm-d-yyyy] 3 2 2 2 9" xfId="37034"/>
    <cellStyle name="Style 51 4 2 2 2 9" xfId="37035"/>
    <cellStyle name="Style 49 4 2 2 2 9" xfId="37036"/>
    <cellStyle name="Style 45 4 2 2 2 9" xfId="37037"/>
    <cellStyle name="Style 44 4 2 2 2 9" xfId="37038"/>
    <cellStyle name="Style 45 4 5 2 9" xfId="37039"/>
    <cellStyle name="P-Green Rule 3 2 2 2 9" xfId="37040"/>
    <cellStyle name="PB Table Standard Row 3 2 2 2 9" xfId="37041"/>
    <cellStyle name="dp*ThinLineBelow 3 2 2 2 9" xfId="37042"/>
    <cellStyle name="dp*SubTitle 3 2 2 2 9" xfId="37043"/>
    <cellStyle name="Style 51 4 5 2 9" xfId="37044"/>
    <cellStyle name="Border Thin 3 2 2 2 9" xfId="37045"/>
    <cellStyle name="Afjusted 4 2 2 2 9" xfId="37046"/>
    <cellStyle name="ac 2 2 2 2 2 9" xfId="37047"/>
    <cellStyle name="Afjusted 2 2 2 2 2 9" xfId="37048"/>
    <cellStyle name="Bold/Border 2 2 2 2 2 9" xfId="37049"/>
    <cellStyle name="COL HEADINGS 2 2 2 2 2 9" xfId="37050"/>
    <cellStyle name="Date [mmm-yyyy] 2 2 2 2 2 9" xfId="37051"/>
    <cellStyle name="dp*NumberLine 2 2 2 2 2 9" xfId="37052"/>
    <cellStyle name="dp*NumberLineEPS 2 2 2 2 2 9" xfId="37053"/>
    <cellStyle name="dp*SheetSubTitle 2 2 2 2 2 9" xfId="37054"/>
    <cellStyle name="Heading [Helv] 2 2 2 2 2 9" xfId="37055"/>
    <cellStyle name="Heading [Palat] 2 2 2 2 2 9" xfId="37056"/>
    <cellStyle name="Magic 2 2 2 2 2 9" xfId="37057"/>
    <cellStyle name="Outputs 2 2 2 2 2 9" xfId="37058"/>
    <cellStyle name="Table Head Aligned 2 2 2 2 2 9" xfId="37059"/>
    <cellStyle name="Table Head Green 2 2 2 2 2 9" xfId="37060"/>
    <cellStyle name="Title [Helv] 2 2 2 2 2 9" xfId="37061"/>
    <cellStyle name="Title [Palat] 2 2 2 2 2 9" xfId="37062"/>
    <cellStyle name="dp*ThinLineBelow 3 5 2 9" xfId="37063"/>
    <cellStyle name="Date [mm-d-yyyy] 2 2 3 2 9" xfId="37064"/>
    <cellStyle name="Afjusted 3 2 3 2 9" xfId="37065"/>
    <cellStyle name="Date [mm-d-yyyy] 3 2 3 2 9" xfId="37066"/>
    <cellStyle name="Style 51 4 2 3 2 9" xfId="37067"/>
    <cellStyle name="Style 49 4 2 3 2 9" xfId="37068"/>
    <cellStyle name="Style 45 4 2 3 2 9" xfId="37069"/>
    <cellStyle name="Style 44 4 2 3 2 9" xfId="37070"/>
    <cellStyle name="P-Green Rule 3 2 3 2 9" xfId="37071"/>
    <cellStyle name="PB Table Standard Row 3 2 3 2 9" xfId="37072"/>
    <cellStyle name="dp*ThinLineBelow 3 2 3 2 9" xfId="37073"/>
    <cellStyle name="dp*SubTitle 3 2 3 2 9" xfId="37074"/>
    <cellStyle name="Border Thin 3 2 3 2 9" xfId="37075"/>
    <cellStyle name="Afjusted 4 2 3 2 9" xfId="37076"/>
    <cellStyle name="ac 2 2 2 3 2 9" xfId="37077"/>
    <cellStyle name="Afjusted 2 2 2 3 2 9" xfId="37078"/>
    <cellStyle name="Bold/Border 2 2 2 3 2 9" xfId="37079"/>
    <cellStyle name="COL HEADINGS 2 2 2 3 2 9" xfId="37080"/>
    <cellStyle name="Date [mmm-yyyy] 2 2 2 3 2 9" xfId="37081"/>
    <cellStyle name="dp*NumberLine 2 2 2 3 2 9" xfId="37082"/>
    <cellStyle name="dp*NumberLineEPS 2 2 2 3 2 9" xfId="37083"/>
    <cellStyle name="dp*SheetSubTitle 2 2 2 3 2 9" xfId="37084"/>
    <cellStyle name="Heading [Helv] 2 2 2 3 2 9" xfId="37085"/>
    <cellStyle name="Heading [Palat] 2 2 2 3 2 9" xfId="37086"/>
    <cellStyle name="Magic 2 2 2 3 2 9" xfId="37087"/>
    <cellStyle name="Outputs 2 2 2 3 2 9" xfId="37088"/>
    <cellStyle name="Table Head Aligned 2 2 2 3 2 9" xfId="37089"/>
    <cellStyle name="Table Head Green 2 2 2 3 2 9" xfId="37090"/>
    <cellStyle name="Title [Helv] 2 2 2 3 2 9" xfId="37091"/>
    <cellStyle name="Title [Palat] 2 2 2 3 2 9" xfId="37092"/>
    <cellStyle name="Afjusted 3 2 4 2 9" xfId="37093"/>
    <cellStyle name="Date [mm-d-yyyy] 3 2 4 2 9" xfId="37094"/>
    <cellStyle name="Style 51 4 2 4 2 9" xfId="37095"/>
    <cellStyle name="Style 49 4 2 4 2 9" xfId="37096"/>
    <cellStyle name="Style 45 4 2 4 2 9" xfId="37097"/>
    <cellStyle name="Style 44 4 2 4 2 9" xfId="37098"/>
    <cellStyle name="P-Green Rule 3 2 4 2 9" xfId="37099"/>
    <cellStyle name="PB Table Standard Row 3 2 4 2 9" xfId="37100"/>
    <cellStyle name="dp*ThinLineBelow 3 2 4 2 9" xfId="37101"/>
    <cellStyle name="dp*SubTitle 3 2 4 2 9" xfId="37102"/>
    <cellStyle name="Border Thin 3 2 4 2 9" xfId="37103"/>
    <cellStyle name="Afjusted 4 2 4 2 9" xfId="37104"/>
    <cellStyle name="ac 2 2 2 4 2 9" xfId="37105"/>
    <cellStyle name="Afjusted 2 2 2 4 2 9" xfId="37106"/>
    <cellStyle name="Bold/Border 2 2 2 4 2 9" xfId="37107"/>
    <cellStyle name="COL HEADINGS 2 2 2 4 2 9" xfId="37108"/>
    <cellStyle name="Date [mmm-yyyy] 2 2 2 4 2 9" xfId="37109"/>
    <cellStyle name="dp*NumberLine 2 2 2 4 2 9" xfId="37110"/>
    <cellStyle name="dp*NumberLineEPS 2 2 2 4 2 9" xfId="37111"/>
    <cellStyle name="dp*SheetSubTitle 2 2 2 4 2 9" xfId="37112"/>
    <cellStyle name="Heading [Helv] 2 2 2 4 2 9" xfId="37113"/>
    <cellStyle name="Heading [Palat] 2 2 2 4 2 9" xfId="37114"/>
    <cellStyle name="Magic 2 2 2 4 2 9" xfId="37115"/>
    <cellStyle name="Outputs 2 2 2 4 2 9" xfId="37116"/>
    <cellStyle name="Table Head Aligned 2 2 2 4 2 9" xfId="37117"/>
    <cellStyle name="Table Head Green 2 2 2 4 2 9" xfId="37118"/>
    <cellStyle name="Title [Helv] 2 2 2 4 2 9" xfId="37119"/>
    <cellStyle name="Title [Palat] 2 2 2 4 2 9" xfId="37120"/>
    <cellStyle name="Border Thin 4 2 9" xfId="37121"/>
    <cellStyle name="Style 45 5 8 2" xfId="37122"/>
    <cellStyle name="Date [mm-d-yyyy] 4 2 9" xfId="37123"/>
    <cellStyle name="dp*SubTitle 4 2 9" xfId="37124"/>
    <cellStyle name="dp*ThinLineBelow 4 2 9" xfId="37125"/>
    <cellStyle name="PB Table Standard Row 4 2 9" xfId="37126"/>
    <cellStyle name="P-Green Rule 4 2 9" xfId="37127"/>
    <cellStyle name="Style 44 5 2 9" xfId="37128"/>
    <cellStyle name="Style 45 5 2 9" xfId="37129"/>
    <cellStyle name="Style 49 5 2 9" xfId="37130"/>
    <cellStyle name="Style 51 5 2 9" xfId="37131"/>
    <cellStyle name="PB Table Standard Row 2 6 8 2" xfId="37132"/>
    <cellStyle name="UNLOCKED 13 3 2" xfId="37133"/>
    <cellStyle name="P-Green Rule 2 6 8 2" xfId="37134"/>
    <cellStyle name="Millions 3 3 2" xfId="37135"/>
    <cellStyle name="dp*ThinLineBelow 3 3 3 8 2" xfId="37136"/>
    <cellStyle name="Style 49 2 3 5 5" xfId="37137"/>
    <cellStyle name="Outputs 4 5 5" xfId="37138"/>
    <cellStyle name="Border Thin 4 4 4 2" xfId="37139"/>
    <cellStyle name="Table Head Aligned 2 2 2 4 5 5" xfId="37140"/>
    <cellStyle name="Outputs 2 5 8 2" xfId="37141"/>
    <cellStyle name="Style 45 3 6 8 2" xfId="37142"/>
    <cellStyle name="Title [Palat] 3 2 9" xfId="37143"/>
    <cellStyle name="Title [Helv] 3 2 9" xfId="37144"/>
    <cellStyle name="Table Head Green 3 2 9" xfId="37145"/>
    <cellStyle name="Table Head Aligned 3 2 9" xfId="37146"/>
    <cellStyle name="DateYearEstimate 4 3 2" xfId="37147"/>
    <cellStyle name="Style 52 3 3 2" xfId="37148"/>
    <cellStyle name="DateYearEstimate 3 3 2" xfId="37149"/>
    <cellStyle name="Heading [Helv] 2 2 2 4 8 2" xfId="37150"/>
    <cellStyle name="Afjusted 3 2 4 8 2" xfId="37151"/>
    <cellStyle name="Outputs 3 2 9" xfId="37152"/>
    <cellStyle name="Magic 3 2 9" xfId="37153"/>
    <cellStyle name="Style 52 4 3 2" xfId="37154"/>
    <cellStyle name="Heading [Palat] 3 2 9" xfId="37155"/>
    <cellStyle name="Heading [Helv] 3 2 9" xfId="37156"/>
    <cellStyle name="Title [Palat] 2 2 2 2 5 5" xfId="37157"/>
    <cellStyle name="Style 44 4 2 3 5 5" xfId="37158"/>
    <cellStyle name="Heading [Helv] 2 4 8 2" xfId="37159"/>
    <cellStyle name="dp*SheetSubTitle 3 2 9" xfId="37160"/>
    <cellStyle name="dp*NumberLineEPS 3 2 9" xfId="37161"/>
    <cellStyle name="dp*NumberLine 3 2 9" xfId="37162"/>
    <cellStyle name="Style 21 5 3 2" xfId="37163"/>
    <cellStyle name="Date [mmm-yyyy] 3 8 2" xfId="37164"/>
    <cellStyle name="COL HEADINGS 3 2 9" xfId="37165"/>
    <cellStyle name="Bold/Border 3 2 9" xfId="37166"/>
    <cellStyle name="Style 51 3 5 5 5" xfId="37167"/>
    <cellStyle name="Title [Palat] 2 5 5 5" xfId="37168"/>
    <cellStyle name="Afjusted 5 2 9" xfId="37169"/>
    <cellStyle name="ac 3 2 9" xfId="37170"/>
    <cellStyle name="Style 44 3 6 8 2" xfId="37171"/>
    <cellStyle name="dp*SheetSubTitle 2 2 7 4 2" xfId="37172"/>
    <cellStyle name="Date [mmm-yyyy] 3 2 9" xfId="37173"/>
    <cellStyle name="Afjusted 2 2 5 4 4 2" xfId="37174"/>
    <cellStyle name="Style 49 3 6 8 2" xfId="37175"/>
    <cellStyle name="Time Strip 2 3 2" xfId="37176"/>
    <cellStyle name="Title [Palat] 2 9 4 2" xfId="37177"/>
    <cellStyle name="Style 51 3 6 8 2" xfId="37178"/>
    <cellStyle name="Bold/Border 2 5 8 2" xfId="37179"/>
    <cellStyle name="ac 2 4 2 9" xfId="37180"/>
    <cellStyle name="Afjusted 2 3 2 9" xfId="37181"/>
    <cellStyle name="Bold/Border 2 4 2 9" xfId="37182"/>
    <cellStyle name="Border Thin 2 4 2 9" xfId="37183"/>
    <cellStyle name="COL HEADINGS 2 4 2 9" xfId="37184"/>
    <cellStyle name="Date [mmm-yyyy] 2 4 2 9" xfId="37185"/>
    <cellStyle name="dp*NumberLine 2 4 2 9" xfId="37186"/>
    <cellStyle name="dp*NumberLineEPS 2 4 2 9" xfId="37187"/>
    <cellStyle name="dp*SheetSubTitle 2 4 2 9" xfId="37188"/>
    <cellStyle name="dp*SubTitle 2 4 2 9" xfId="37189"/>
    <cellStyle name="dp*ThinLineBelow 2 4 2 9" xfId="37190"/>
    <cellStyle name="Heading [Helv] 2 4 2 9" xfId="37191"/>
    <cellStyle name="Heading [Palat] 2 4 2 9" xfId="37192"/>
    <cellStyle name="Magic 2 4 2 9" xfId="37193"/>
    <cellStyle name="Outputs 2 4 2 9" xfId="37194"/>
    <cellStyle name="PB Table Standard Row 2 4 2 9" xfId="37195"/>
    <cellStyle name="P-Green Rule 2 4 2 9" xfId="37196"/>
    <cellStyle name="Style 44 3 4 2 9" xfId="37197"/>
    <cellStyle name="Style 45 3 4 2 9" xfId="37198"/>
    <cellStyle name="Style 49 3 4 2 9" xfId="37199"/>
    <cellStyle name="Style 51 3 4 2 9" xfId="37200"/>
    <cellStyle name="Style 44 2 4 2 9" xfId="37201"/>
    <cellStyle name="Style 45 2 4 2 9" xfId="37202"/>
    <cellStyle name="Style 49 2 4 2 9" xfId="37203"/>
    <cellStyle name="Style 51 2 4 2 9" xfId="37204"/>
    <cellStyle name="Table Head Aligned 2 4 2 9" xfId="37205"/>
    <cellStyle name="Table Head Green 2 4 2 9" xfId="37206"/>
    <cellStyle name="Title [Helv] 2 4 2 9" xfId="37207"/>
    <cellStyle name="Title [Palat] 2 4 2 9" xfId="37208"/>
    <cellStyle name="Style 44 3 4 4 4 2" xfId="37209"/>
    <cellStyle name="Table Head Green 2 6 8 2" xfId="37210"/>
    <cellStyle name="Style 45 2 3 5 5" xfId="37211"/>
    <cellStyle name="Style 44 7 5 5" xfId="37212"/>
    <cellStyle name="Style 28 8 2" xfId="37213"/>
    <cellStyle name="Calculation 2 5 2" xfId="37214"/>
    <cellStyle name="Bold/Border 2 2 2 10 2" xfId="37215"/>
    <cellStyle name="Outputs 2 2 2 10 2" xfId="37216"/>
    <cellStyle name="Heading [Helv] 2 2 3 2 8 2" xfId="37217"/>
    <cellStyle name="Border Thin 3 3 2 7 2" xfId="37218"/>
    <cellStyle name="Style 51 5 8 2" xfId="37219"/>
    <cellStyle name="UNLOCKED 16 3 2" xfId="37220"/>
    <cellStyle name="Style 27 3 3 2" xfId="37221"/>
    <cellStyle name="Bold/Border 3 8 2" xfId="37222"/>
    <cellStyle name="WingdingsRed 4 3 2" xfId="37223"/>
    <cellStyle name="Table Head Green 2 5 8 2" xfId="37224"/>
    <cellStyle name="ArialNormal 5 3 2" xfId="37225"/>
    <cellStyle name="ac 4 2 9" xfId="37226"/>
    <cellStyle name="SSDfltPct0 2 3 2" xfId="37227"/>
    <cellStyle name="Title [Helv] 2 5 5 5" xfId="37228"/>
    <cellStyle name="Style 49 3 5 5 5" xfId="37229"/>
    <cellStyle name="Heading [Palat] 2 5 5 5" xfId="37230"/>
    <cellStyle name="dp*SheetSubTitle 2 5 5 5" xfId="37231"/>
    <cellStyle name="SSComma2 2 3 2" xfId="37232"/>
    <cellStyle name="Bold/Border 4 2 9" xfId="37233"/>
    <cellStyle name="Border Thin 5 2 9" xfId="37234"/>
    <cellStyle name="Table Head Green 4 5 5" xfId="37235"/>
    <cellStyle name="Style 45 6 5 5" xfId="37236"/>
    <cellStyle name="COL HEADINGS 4 2 9" xfId="37237"/>
    <cellStyle name="dp*NumberLineEPS 2 2 2 10 2" xfId="37238"/>
    <cellStyle name="dp*SubTitle 3 3 2 7 2" xfId="37239"/>
    <cellStyle name="Style 49 2 5 8 2" xfId="37240"/>
    <cellStyle name="Border Thin 5 5 5" xfId="37241"/>
    <cellStyle name="Date [mm-d-yyyy] 5 2 9" xfId="37242"/>
    <cellStyle name="Style 45 2 6 8 2" xfId="37243"/>
    <cellStyle name="Table Head Aligned 3 5 5" xfId="37244"/>
    <cellStyle name="Title [Palat] 3 5 5" xfId="37245"/>
    <cellStyle name="Style 36 3 3 2" xfId="37246"/>
    <cellStyle name="Heading [Helv] 2 2 2 4 5 5" xfId="37247"/>
    <cellStyle name="Date [mmm-yyyy] 2 2 2 4 5 5" xfId="37248"/>
    <cellStyle name="Afjusted 4 2 4 5 5" xfId="37249"/>
    <cellStyle name="dp*ThinLineBelow 3 2 4 5 5" xfId="37250"/>
    <cellStyle name="Style 44 4 2 4 5 5" xfId="37251"/>
    <cellStyle name="Style 51 4 2 4 5 5" xfId="37252"/>
    <cellStyle name="Title [Palat] 2 2 2 3 5 5" xfId="37253"/>
    <cellStyle name="Table Head Aligned 2 2 2 3 5 5" xfId="37254"/>
    <cellStyle name="Heading [Palat] 2 2 2 3 5 5" xfId="37255"/>
    <cellStyle name="dp*NumberLineEPS 2 2 2 3 5 5" xfId="37256"/>
    <cellStyle name="COL HEADINGS 2 2 2 3 5 5" xfId="37257"/>
    <cellStyle name="ac 2 2 2 3 5 5" xfId="37258"/>
    <cellStyle name="dp*SubTitle 3 2 3 5 5" xfId="37259"/>
    <cellStyle name="Style 45 4 2 3 5 5" xfId="37260"/>
    <cellStyle name="Title [Helv] 2 2 2 2 5 5" xfId="37261"/>
    <cellStyle name="Heading [Helv] 2 2 2 2 5 5" xfId="37262"/>
    <cellStyle name="P-Green Rule 3 2 2 5 5" xfId="37263"/>
    <cellStyle name="Date [mm-d-yyyy] 3 2 2 5 5" xfId="37264"/>
    <cellStyle name="PB Table Standard Row 3 3 2 4 5" xfId="37265"/>
    <cellStyle name="Border Thin 3 3 2 5 5" xfId="37266"/>
    <cellStyle name="COL HEADINGS 2 2 3 2 5 5" xfId="37267"/>
    <cellStyle name="dp*SheetSubTitle 2 2 3 2 5 5" xfId="37268"/>
    <cellStyle name="Style 44 6 8 2" xfId="37269"/>
    <cellStyle name="Heading [Helv] 4 2 9" xfId="37270"/>
    <cellStyle name="Heading [Palat] 4 2 9" xfId="37271"/>
    <cellStyle name="Date [mmm-yyyy] 2 2 2 2 8 2" xfId="37272"/>
    <cellStyle name="Style 44 4 2 7 5" xfId="37273"/>
    <cellStyle name="Style 51 4 2 7 5" xfId="37274"/>
    <cellStyle name="FieldName 2 3 2" xfId="37275"/>
    <cellStyle name="Afjusted 3 3 8 5" xfId="37276"/>
    <cellStyle name="Style 44 3 4 8 2" xfId="37277"/>
    <cellStyle name="ac 2 2 3 8 5" xfId="37278"/>
    <cellStyle name="COL HEADINGS 2 2 3 8 5" xfId="37279"/>
    <cellStyle name="Heading [Helv] 2 2 3 8 5" xfId="37280"/>
    <cellStyle name="P-Green Rule 3 4 4 5" xfId="37281"/>
    <cellStyle name="Style 49 4 4 5 5" xfId="37282"/>
    <cellStyle name="Table Head Green 2 2 3 3 5 5" xfId="37283"/>
    <cellStyle name="Heading [Helv] 2 2 4 5 5" xfId="37284"/>
    <cellStyle name="Style 51 4 3 4 5 5" xfId="37285"/>
    <cellStyle name="dp*SheetSubTitle 2 3 8 2" xfId="37286"/>
    <cellStyle name="Table Head Green 2 3 5 5" xfId="37287"/>
    <cellStyle name="Bold/Border 2 2 3 3 5 5" xfId="37288"/>
    <cellStyle name="Heading [Helv] 2 3 5 5" xfId="37289"/>
    <cellStyle name="Style 49 4 3 4 5 5" xfId="37290"/>
    <cellStyle name="Style 28 2 3 2" xfId="37291"/>
    <cellStyle name="UNLOCKED 3 3 2" xfId="37292"/>
    <cellStyle name="Style 51 2 8 5" xfId="37293"/>
    <cellStyle name="Style 49 3 9 5" xfId="37294"/>
    <cellStyle name="dp*NumberLineEPS 2 2 2 2 8 2" xfId="37295"/>
    <cellStyle name="Table Head Green 2 4 8 2" xfId="37296"/>
    <cellStyle name="Outputs 4 2 9" xfId="37297"/>
    <cellStyle name="Style 42 4 3 2" xfId="37298"/>
    <cellStyle name="PB Table Standard Row 5 2 9" xfId="37299"/>
    <cellStyle name="Outputs 2 2 4 8 2" xfId="37300"/>
    <cellStyle name="SAPBEXstdItemX 3 3 2" xfId="37301"/>
    <cellStyle name="Heading [Palat] 2 2 2 3 8 2" xfId="37302"/>
    <cellStyle name="P-Green Rule 5 2 9" xfId="37303"/>
    <cellStyle name="Draw lines around data in range 2 3 2" xfId="37304"/>
    <cellStyle name="Calculation 2 2 3 2" xfId="37305"/>
    <cellStyle name="Afjusted 4 3 2 8 2" xfId="37306"/>
    <cellStyle name="Style 51 4 3 2 8 2" xfId="37307"/>
    <cellStyle name="ac 2 2 2 2 8 2" xfId="37308"/>
    <cellStyle name="Outputs 2 2 2 2 8 2" xfId="37309"/>
    <cellStyle name="Style 44 4 2 3 8 2" xfId="37310"/>
    <cellStyle name="Afjusted 4 2 3 8 2" xfId="37311"/>
    <cellStyle name="Date [mmm-yyyy] 2 2 2 3 8 2" xfId="37312"/>
    <cellStyle name="Magic 2 2 2 3 8 2" xfId="37313"/>
    <cellStyle name="Style 45 4 2 4 8 2" xfId="37314"/>
    <cellStyle name="Border Thin 2 4 8 2" xfId="37315"/>
    <cellStyle name="Style 49 3 4 8 2" xfId="37316"/>
    <cellStyle name="DateYearWholeEstimate 4 3 2" xfId="37317"/>
    <cellStyle name="Style 44 6 2 9" xfId="37318"/>
    <cellStyle name="Style 45 6 2 9" xfId="37319"/>
    <cellStyle name="Style 49 6 2 9" xfId="37320"/>
    <cellStyle name="Style 43 4 3 2" xfId="37321"/>
    <cellStyle name="Style 51 6 2 9" xfId="37322"/>
    <cellStyle name="PB Table Standard Row 2 5 8 2" xfId="37323"/>
    <cellStyle name="Table Head Green 4 2 9" xfId="37324"/>
    <cellStyle name="SAPBEXHLevel2 4 3 2" xfId="37325"/>
    <cellStyle name="Style 45 7 8 2" xfId="37326"/>
    <cellStyle name="Style 50 5 3 2" xfId="37327"/>
    <cellStyle name="Title [Palat] 4 8 2" xfId="37328"/>
    <cellStyle name="WingdingsBlack 5 3 2" xfId="37329"/>
    <cellStyle name="Magic 2 4 4 6" xfId="37330"/>
    <cellStyle name="Border Thin 4 4 6" xfId="37331"/>
    <cellStyle name="Heading [Helv] 5 8 2" xfId="37332"/>
    <cellStyle name="Style 49 3 2 5 5" xfId="37333"/>
    <cellStyle name="SAPBEXHLevel1 4 3 2" xfId="37334"/>
    <cellStyle name="dp*NumberLineEPS 2 2 3 3 5 5" xfId="37335"/>
    <cellStyle name="Afjusted 6 2 9" xfId="37336"/>
    <cellStyle name="ac 2 5 2 9" xfId="37337"/>
    <cellStyle name="Afjusted 2 4 2 9" xfId="37338"/>
    <cellStyle name="Bold/Border 2 5 2 9" xfId="37339"/>
    <cellStyle name="Border Thin 2 5 2 9" xfId="37340"/>
    <cellStyle name="COL HEADINGS 2 5 2 9" xfId="37341"/>
    <cellStyle name="Date [mmm-yyyy] 2 5 2 9" xfId="37342"/>
    <cellStyle name="dp*NumberLine 2 5 2 9" xfId="37343"/>
    <cellStyle name="dp*NumberLineEPS 2 5 2 9" xfId="37344"/>
    <cellStyle name="dp*SheetSubTitle 2 5 2 9" xfId="37345"/>
    <cellStyle name="dp*SubTitle 2 5 2 9" xfId="37346"/>
    <cellStyle name="dp*ThinLineBelow 2 5 2 9" xfId="37347"/>
    <cellStyle name="Heading [Helv] 2 5 2 9" xfId="37348"/>
    <cellStyle name="Heading [Palat] 2 5 2 9" xfId="37349"/>
    <cellStyle name="Magic 2 5 2 9" xfId="37350"/>
    <cellStyle name="Outputs 2 5 2 9" xfId="37351"/>
    <cellStyle name="PB Table Standard Row 2 5 2 9" xfId="37352"/>
    <cellStyle name="P-Green Rule 2 5 2 9" xfId="37353"/>
    <cellStyle name="Style 44 3 5 2 9" xfId="37354"/>
    <cellStyle name="Style 45 3 5 2 9" xfId="37355"/>
    <cellStyle name="Style 49 3 5 2 9" xfId="37356"/>
    <cellStyle name="Style 51 3 5 2 9" xfId="37357"/>
    <cellStyle name="Style 44 2 5 2 9" xfId="37358"/>
    <cellStyle name="Style 45 2 5 2 9" xfId="37359"/>
    <cellStyle name="Style 49 2 5 2 9" xfId="37360"/>
    <cellStyle name="Style 51 2 5 2 9" xfId="37361"/>
    <cellStyle name="Table Head Aligned 2 5 2 9" xfId="37362"/>
    <cellStyle name="Table Head Green 2 5 2 9" xfId="37363"/>
    <cellStyle name="Title [Helv] 2 5 2 9" xfId="37364"/>
    <cellStyle name="Title [Palat] 2 5 2 9" xfId="37365"/>
    <cellStyle name="Date [mmm-yyyy] 2 4 5 5" xfId="37366"/>
    <cellStyle name="Heading [Palat] 2 2 3 2 8 2" xfId="37367"/>
    <cellStyle name="ac 3 5 5" xfId="37368"/>
    <cellStyle name="dp*NumberLine 2 2 3 2 5 5" xfId="37369"/>
    <cellStyle name="Style 49 2 4 4 4 2" xfId="37370"/>
    <cellStyle name="Style 45 3 4 8 2" xfId="37371"/>
    <cellStyle name="SAPBEXHLevel1 3 3 2" xfId="37372"/>
    <cellStyle name="COL HEADINGS 4 8 2" xfId="37373"/>
    <cellStyle name="SAPBEXHLevel1 2 3 2" xfId="37374"/>
    <cellStyle name="P-Green Rule 2 5 8 2" xfId="37375"/>
    <cellStyle name="Style 44 2 3 5 5" xfId="37376"/>
    <cellStyle name="Style 49 7 5 5" xfId="37377"/>
    <cellStyle name="dp*ThinLineAbove 8 2" xfId="37378"/>
    <cellStyle name="Style 22 10 2" xfId="37379"/>
    <cellStyle name="dp*NumberLine 2 2 2 10 2" xfId="37380"/>
    <cellStyle name="Title [Palat] 2 2 2 10 2" xfId="37381"/>
    <cellStyle name="dp*NumberLine 2 2 3 2 8 2" xfId="37382"/>
    <cellStyle name="PB Table Standard Row 3 3 2 6 2" xfId="37383"/>
    <cellStyle name="dp*ThinLineBelow 4 8 2" xfId="37384"/>
    <cellStyle name="SymbolBlue 3 3 2" xfId="37385"/>
    <cellStyle name="Style 22 3 3 2" xfId="37386"/>
    <cellStyle name="Afjusted 5 8 2" xfId="37387"/>
    <cellStyle name="P-Green Rule 5 8 2" xfId="37388"/>
    <cellStyle name="UNLOCKED 21 3 2" xfId="37389"/>
    <cellStyle name="Border Thin 6 5 5" xfId="37390"/>
    <cellStyle name="Border Thin 6 8 2" xfId="37391"/>
    <cellStyle name="ac 5 2 9" xfId="37392"/>
    <cellStyle name="Table Head Green 2 5 5 5" xfId="37393"/>
    <cellStyle name="Style 45 3 5 5 5" xfId="37394"/>
    <cellStyle name="Heading [Helv] 2 5 5 5" xfId="37395"/>
    <cellStyle name="dp*NumberLineEPS 2 5 5 5" xfId="37396"/>
    <cellStyle name="Style 25 2 3 2" xfId="37397"/>
    <cellStyle name="Style 53 2 3 2" xfId="37398"/>
    <cellStyle name="Bold/Border 5 2 9" xfId="37399"/>
    <cellStyle name="Border Thin 6 2 9" xfId="37400"/>
    <cellStyle name="Arial8Bold 10 2" xfId="37401"/>
    <cellStyle name="Border 8 2" xfId="37402"/>
    <cellStyle name="Style 44 6 5 5" xfId="37403"/>
    <cellStyle name="COL HEADINGS 5 2 9" xfId="37404"/>
    <cellStyle name="Total 2 2 3 2" xfId="37405"/>
    <cellStyle name="ac 2 2 2 10 2" xfId="37406"/>
    <cellStyle name="Heading [Palat] 2 2 2 10 2" xfId="37407"/>
    <cellStyle name="Table Head Aligned 2 2 3 2 8 2" xfId="37408"/>
    <cellStyle name="P-Green Rule 3 3 2 8 2" xfId="37409"/>
    <cellStyle name="Title [Helv] 2 5 8 2" xfId="37410"/>
    <cellStyle name="Style 35 5 3 2" xfId="37411"/>
    <cellStyle name="Style 51 2 6 8 2" xfId="37412"/>
    <cellStyle name="Title [Palat] 2 4 5 5" xfId="37413"/>
    <cellStyle name="Table Head Green 3 5 5" xfId="37414"/>
    <cellStyle name="WingdingsRed 10 2" xfId="37415"/>
    <cellStyle name="Border Thin 4 5 5" xfId="37416"/>
    <cellStyle name="dp*SheetSubTitle 2 2 2 4 5 5" xfId="37417"/>
    <cellStyle name="COL HEADINGS 2 2 2 4 5 5" xfId="37418"/>
    <cellStyle name="Border Thin 3 2 4 5 5" xfId="37419"/>
    <cellStyle name="PB Table Standard Row 3 2 4 5 5" xfId="37420"/>
    <cellStyle name="Style 45 4 2 4 5 5" xfId="37421"/>
    <cellStyle name="Date [mm-d-yyyy] 3 2 4 5 5" xfId="37422"/>
    <cellStyle name="Title [Helv] 2 2 2 3 5 5" xfId="37423"/>
    <cellStyle name="Outputs 2 2 2 3 5 5" xfId="37424"/>
    <cellStyle name="Heading [Helv] 2 2 2 3 5 5" xfId="37425"/>
    <cellStyle name="dp*NumberLine 2 2 2 3 5 5" xfId="37426"/>
    <cellStyle name="Bold/Border 2 2 2 3 5 5" xfId="37427"/>
    <cellStyle name="Afjusted 4 2 3 5 5" xfId="37428"/>
    <cellStyle name="dp*ThinLineBelow 3 2 3 5 5" xfId="37429"/>
    <cellStyle name="Style 49 4 2 3 5 5" xfId="37430"/>
    <cellStyle name="Table Head Green 2 2 2 2 5 5" xfId="37431"/>
    <cellStyle name="dp*SheetSubTitle 2 2 2 2 5 5" xfId="37432"/>
    <cellStyle name="Style 45 4 5 5 5" xfId="37433"/>
    <cellStyle name="PB Table Standard Row 3 5 5 5" xfId="37434"/>
    <cellStyle name="dp*ThinLineBelow 3 3 2 5 5" xfId="37435"/>
    <cellStyle name="Afjusted 4 3 2 5 5" xfId="37436"/>
    <cellStyle name="Date [mmm-yyyy] 2 2 3 2 5 5" xfId="37437"/>
    <cellStyle name="Heading [Helv] 2 2 3 2 5 5" xfId="37438"/>
    <cellStyle name="Heading [Helv] 5 2 9" xfId="37439"/>
    <cellStyle name="Heading [Palat] 5 2 9" xfId="37440"/>
    <cellStyle name="Style 51 2 4 8 2" xfId="37441"/>
    <cellStyle name="Draw lines around data in range 4 3 2" xfId="37442"/>
    <cellStyle name="Afjusted 4 2 8 5" xfId="37443"/>
    <cellStyle name="Style 45 4 2 7 5" xfId="37444"/>
    <cellStyle name="Date [mm-d-yyyy] 3 2 8 5" xfId="37445"/>
    <cellStyle name="Afjusted 3 2 8 5" xfId="37446"/>
    <cellStyle name="Style 37 10 2" xfId="37447"/>
    <cellStyle name="Style 51 6 8 2" xfId="37448"/>
    <cellStyle name="Heading [Palat] 2 2 3 4 8 2" xfId="37449"/>
    <cellStyle name="Date [mmm-yyyy] 2 2 3 8 5" xfId="37450"/>
    <cellStyle name="Heading [Palat] 2 2 3 8 5" xfId="37451"/>
    <cellStyle name="dp*ThinLineBelow 3 3 4 5 5" xfId="37452"/>
    <cellStyle name="Style 51 4 4 5 5" xfId="37453"/>
    <cellStyle name="Table Head Green 2 2 4 5 5" xfId="37454"/>
    <cellStyle name="Style 51 2 3 5 5" xfId="37455"/>
    <cellStyle name="Title [Palat] 2 3 5 5" xfId="37456"/>
    <cellStyle name="Table Head Aligned 2 3 5 5" xfId="37457"/>
    <cellStyle name="dp*NumberLine 2 2 3 3 5 5" xfId="37458"/>
    <cellStyle name="Outputs 2 3 5 5" xfId="37459"/>
    <cellStyle name="dp*SheetSubTitle 2 3 5 5" xfId="37460"/>
    <cellStyle name="Style 49 2 9 5" xfId="37461"/>
    <cellStyle name="Style 45 3 8 5" xfId="37462"/>
    <cellStyle name="dp*ThinLineBelow 2 7 5" xfId="37463"/>
    <cellStyle name="Outputs 5 2 9" xfId="37464"/>
    <cellStyle name="COL HEADINGS 2 5 8 2" xfId="37465"/>
    <cellStyle name="SAPBEXtitle 2 3 2" xfId="37466"/>
    <cellStyle name="Afjusted 4 3 3 8 2" xfId="37467"/>
    <cellStyle name="PB Table Standard Row 6 2 9" xfId="37468"/>
    <cellStyle name="P-Green Rule 3 3 4 8 2" xfId="37469"/>
    <cellStyle name="dp*NumberLine 2 2 3 3 8 2" xfId="37470"/>
    <cellStyle name="Style 50 10 2" xfId="37471"/>
    <cellStyle name="P-Green Rule 6 2 9" xfId="37472"/>
    <cellStyle name="Format text as bold, black on yellow 2 3 2" xfId="37473"/>
    <cellStyle name="Date [mm-d-yyyy] 3 4 8 2" xfId="37474"/>
    <cellStyle name="dp*ThinLineBelow 3 3 2 8 2" xfId="37475"/>
    <cellStyle name="Date [mm-d-yyyy] 3 3 2 8 2" xfId="37476"/>
    <cellStyle name="dp*SubTitle 2 3 7 2" xfId="37477"/>
    <cellStyle name="dp*SheetSubTitle 2 2 2 2 8 2" xfId="37478"/>
    <cellStyle name="Date [mm-d-yyyy] 2 2 3 8 2" xfId="37479"/>
    <cellStyle name="P-Green Rule 3 2 3 8 2" xfId="37480"/>
    <cellStyle name="Bold/Border 2 2 2 3 8 2" xfId="37481"/>
    <cellStyle name="dp*SheetSubTitle 2 2 2 3 8 2" xfId="37482"/>
    <cellStyle name="Style 44 4 2 4 8 2" xfId="37483"/>
    <cellStyle name="Border Thin 4 8 2" xfId="37484"/>
    <cellStyle name="dp*NumberLineEPS 2 4 8 2" xfId="37485"/>
    <cellStyle name="Style 51 3 4 8 2" xfId="37486"/>
    <cellStyle name="Border Thin 5 8 2" xfId="37487"/>
    <cellStyle name="Date [mm-d-yyyy] 5 8 2" xfId="37488"/>
    <cellStyle name="Style 44 7 2 9" xfId="37489"/>
    <cellStyle name="Style 45 7 2 9" xfId="37490"/>
    <cellStyle name="Style 49 7 2 9" xfId="37491"/>
    <cellStyle name="Style 51 7 2 9" xfId="37492"/>
    <cellStyle name="WingdingsBlack 4 3 2" xfId="37493"/>
    <cellStyle name="Table Head Green 5 2 9" xfId="37494"/>
    <cellStyle name="Main 4 3 2" xfId="37495"/>
    <cellStyle name="SAPBEXHLevel2X 4 3 2" xfId="37496"/>
    <cellStyle name="Style 36 5 3 2" xfId="37497"/>
    <cellStyle name="Style 48 5 3 2" xfId="37498"/>
    <cellStyle name="Style 51 7 8 2" xfId="37499"/>
    <cellStyle name="Title [Palat] 4 2 9" xfId="37500"/>
    <cellStyle name="WingdingsRed 5 3 2" xfId="37501"/>
    <cellStyle name="Date [mmm-yyyy] 2 4 4 6" xfId="37502"/>
    <cellStyle name="Style 44 4 3 3 8 2" xfId="37503"/>
    <cellStyle name="Style 44 3 3 5 5" xfId="37504"/>
    <cellStyle name="Table Head Green 2 2 2 3 8 2" xfId="37505"/>
    <cellStyle name="Style 44 2 2 5 5" xfId="37506"/>
    <cellStyle name="Table Head Aligned 2 2 3 4 5 5" xfId="37507"/>
    <cellStyle name="Table Head Green 5 5 5" xfId="37508"/>
    <cellStyle name="Heading [Helv] 3 8 2" xfId="37509"/>
    <cellStyle name="SAPBEXHLevel2 9 2" xfId="37510"/>
    <cellStyle name="dp*SheetSubTitle 2 2 2 4 8 2" xfId="37511"/>
    <cellStyle name="ac 2 6 2 9" xfId="37512"/>
    <cellStyle name="Bold/Border 2 6 2 9" xfId="37513"/>
    <cellStyle name="Border Thin 2 6 2 9" xfId="37514"/>
    <cellStyle name="COL HEADINGS 2 6 2 9" xfId="37515"/>
    <cellStyle name="Afjusted 2 3 5 5" xfId="37516"/>
    <cellStyle name="Bold/Border 2 2 3 2 5 5" xfId="37517"/>
    <cellStyle name="Heading [Helv] 2 6 2 9" xfId="37518"/>
    <cellStyle name="Heading [Palat] 2 6 2 9" xfId="37519"/>
    <cellStyle name="Outputs 2 6 2 9" xfId="37520"/>
    <cellStyle name="PB Table Standard Row 2 6 2 9" xfId="37521"/>
    <cellStyle name="P-Green Rule 2 6 2 9" xfId="37522"/>
    <cellStyle name="Style 44 3 6 2 9" xfId="37523"/>
    <cellStyle name="Style 45 3 6 2 9" xfId="37524"/>
    <cellStyle name="Style 49 3 6 2 9" xfId="37525"/>
    <cellStyle name="Style 51 3 6 2 9" xfId="37526"/>
    <cellStyle name="Style 44 2 6 2 9" xfId="37527"/>
    <cellStyle name="Style 45 2 6 2 9" xfId="37528"/>
    <cellStyle name="Style 49 2 6 2 9" xfId="37529"/>
    <cellStyle name="Style 51 2 6 2 9" xfId="37530"/>
    <cellStyle name="Table Head Green 2 6 2 9" xfId="37531"/>
    <cellStyle name="Title [Palat] 2 6 2 9" xfId="37532"/>
    <cellStyle name="Bold/Border 2 3 5 5" xfId="37533"/>
    <cellStyle name="SAPBEXHLevel2X 2 3 2" xfId="37534"/>
    <cellStyle name="SSComma2 7 2" xfId="37535"/>
    <cellStyle name="Style 49 3 3 5 5" xfId="37536"/>
    <cellStyle name="Style 37 5 3 2" xfId="37537"/>
    <cellStyle name="Style 44 2 6 8 2" xfId="37538"/>
    <cellStyle name="SAPBEXresData 2 3 2" xfId="37539"/>
    <cellStyle name="dp*NumberLine 2 5 5 5" xfId="37540"/>
    <cellStyle name="Title [Palat] 2 2 2 4 8 2" xfId="37541"/>
    <cellStyle name="Style 45 3 3 5 5" xfId="37542"/>
    <cellStyle name="Format a row of totals 3 3 2" xfId="37543"/>
    <cellStyle name="Title [Palat] 2 2 3 4 5 5" xfId="37544"/>
    <cellStyle name="ac 2 2 3 4 5 5" xfId="37545"/>
    <cellStyle name="Date [mm-d-yyyy] 3 3 4 5 5" xfId="37546"/>
    <cellStyle name="Magic 2 2 3 4 5 5" xfId="37547"/>
    <cellStyle name="Title [Palat] 2 2 4 5 5" xfId="37548"/>
    <cellStyle name="Afjusted 4 3 3 5 5" xfId="37549"/>
    <cellStyle name="SAPBEXstdDataEmph 2 3 2" xfId="37550"/>
    <cellStyle name="PB Table Standard Row 2 2 5 5" xfId="37551"/>
    <cellStyle name="Magic 2 3 8 2" xfId="37552"/>
    <cellStyle name="Style 45 3 2 5 5" xfId="37553"/>
    <cellStyle name="Style 51 3 2 5 5" xfId="37554"/>
    <cellStyle name="Title [Helv] 2 2 3 4 5 5" xfId="37555"/>
    <cellStyle name="dp*ThinLineAbove 2 3 2" xfId="37556"/>
    <cellStyle name="dp*SubTitle 3 3 4 8 2" xfId="37557"/>
    <cellStyle name="SAPBEXexcBad8 7 2" xfId="37558"/>
    <cellStyle name="dp*SheetSubTitle 2 2 3 4 5 5" xfId="37559"/>
    <cellStyle name="PB Table Standard Row 3 4 4 2" xfId="37560"/>
    <cellStyle name="Style 49 2 3 8 2" xfId="37561"/>
    <cellStyle name="Table Head Aligned 2 2 3 3 8 2" xfId="37562"/>
    <cellStyle name="Date [mmm-yyyy] 2 2 3 4 8 2" xfId="37563"/>
    <cellStyle name="Date [mmm-yyyy] 2 4 4 4 2" xfId="37564"/>
    <cellStyle name="WingdingsRed 3 3 2" xfId="37565"/>
    <cellStyle name="Draw shadow and lines within range 3 3 2" xfId="37566"/>
    <cellStyle name="SAPBEXstdItem 7 2" xfId="37567"/>
    <cellStyle name="SAPBEXresDataEmph 7 2" xfId="37568"/>
    <cellStyle name="SAPBEXstdData 2 3 2" xfId="37569"/>
    <cellStyle name="Style 49 2 2 5 5" xfId="37570"/>
    <cellStyle name="Style 45 2 2 5 5" xfId="37571"/>
    <cellStyle name="Heading [Palat] 3 8 2" xfId="37572"/>
    <cellStyle name="Date [mmm-yyyy] 2 2 3 4 5 5" xfId="37573"/>
    <cellStyle name="ac 2 3 5 5" xfId="37574"/>
    <cellStyle name="Date [mm-d-yyyy] 5 5 5" xfId="37575"/>
    <cellStyle name="Format text as bold, black on yellow 5 3 2" xfId="37576"/>
    <cellStyle name="Style 51 2 2 5 5" xfId="37577"/>
    <cellStyle name="Format text as bold, black on yellow 3 3 2" xfId="37578"/>
    <cellStyle name="Afjusted 2 2 3 3 8 2" xfId="37579"/>
    <cellStyle name="Style 49 4 3 4 8 2" xfId="37580"/>
    <cellStyle name="COL HEADINGS 2 2 3 4 5 5" xfId="37581"/>
    <cellStyle name="Afjusted 3 3 4 5 5" xfId="37582"/>
    <cellStyle name="dp*ThinLineBelow 2 3 5 5" xfId="37583"/>
    <cellStyle name="Date [mmm-yyyy] 2 2 4 8 2" xfId="37584"/>
    <cellStyle name="Style 49 4 5 5 5" xfId="37585"/>
    <cellStyle name="WingdingsWhite 4 3 2" xfId="37586"/>
    <cellStyle name="Millions 7 3 2" xfId="37587"/>
    <cellStyle name="Outputs 2 2 2 4 5 5" xfId="37588"/>
    <cellStyle name="Title [Palat] 5 2 9" xfId="37589"/>
    <cellStyle name="Title [Helv] 4 2 9" xfId="37590"/>
    <cellStyle name="SAPBEXHLevel3X 4 3 2" xfId="37591"/>
    <cellStyle name="Table Head Green 6 2 9" xfId="37592"/>
    <cellStyle name="Table Head Aligned 4 2 9" xfId="37593"/>
    <cellStyle name="Style 51 9 2 9" xfId="37594"/>
    <cellStyle name="Style 49 9 2 9" xfId="37595"/>
    <cellStyle name="Style 45 9 2 9" xfId="37596"/>
    <cellStyle name="Style 44 9 2 9" xfId="37597"/>
    <cellStyle name="Format a row of totals 4 3 2" xfId="37598"/>
    <cellStyle name="Title [Helv] 2 4 8 2" xfId="37599"/>
    <cellStyle name="Magic 2 4 8 2" xfId="37600"/>
    <cellStyle name="Border 3 3 2" xfId="37601"/>
    <cellStyle name="FieldName 3 3 2" xfId="37602"/>
    <cellStyle name="dp*SheetSubTitle 3 8 2" xfId="37603"/>
    <cellStyle name="Style 50 3 3 2" xfId="37604"/>
    <cellStyle name="dp*SubTitle 4 8 2" xfId="37605"/>
    <cellStyle name="P-Green Rule 3 2 4 8 2" xfId="37606"/>
    <cellStyle name="Table Head Green 2 2 2 10 2" xfId="37607"/>
    <cellStyle name="Border Thin 3 4 5 2" xfId="37608"/>
    <cellStyle name="Table Head Aligned 2 2 4 8 2" xfId="37609"/>
    <cellStyle name="SAPBEXformats 2 3 2" xfId="37610"/>
    <cellStyle name="SAPBEXexcBad7 2 3 2" xfId="37611"/>
    <cellStyle name="ItemTypeClass 2 3 2" xfId="37612"/>
    <cellStyle name="Arial8Bold 2 3 2" xfId="37613"/>
    <cellStyle name="Style 24 8 2" xfId="37614"/>
    <cellStyle name="SAPBEXHLevel2X 9 2" xfId="37615"/>
    <cellStyle name="SAPBEXexcCritical4 7 2" xfId="37616"/>
    <cellStyle name="Style 51 2 5 5 5" xfId="37617"/>
    <cellStyle name="P-Green Rule 2 5 5 5" xfId="37618"/>
    <cellStyle name="P-Green Rule 7 2 9" xfId="37619"/>
    <cellStyle name="PB Table Standard Row 7 2 9" xfId="37620"/>
    <cellStyle name="Outputs 6 2 9" xfId="37621"/>
    <cellStyle name="Style 44 3 8 5" xfId="37622"/>
    <cellStyle name="Magic 4 2 9" xfId="37623"/>
    <cellStyle name="Date [mm-d-yyyy] 3 2 3 5 5" xfId="37624"/>
    <cellStyle name="Outputs 2 2 2 2 5 5" xfId="37625"/>
    <cellStyle name="Border Thin 3 2 7 5" xfId="37626"/>
    <cellStyle name="Heading [Palat] 6 2 9" xfId="37627"/>
    <cellStyle name="Heading [Helv] 6 2 9" xfId="37628"/>
    <cellStyle name="Date [mm-d-yyyy] 3 3 2 5 5" xfId="37629"/>
    <cellStyle name="dp*SubTitle 2 3 5 5" xfId="37630"/>
    <cellStyle name="Table Head Aligned 2 2 2 2 5 5" xfId="37631"/>
    <cellStyle name="Style 51 4 2 3 5 5" xfId="37632"/>
    <cellStyle name="EYCurrency 2 3 2" xfId="37633"/>
    <cellStyle name="Heading [Palat] 5 8 2" xfId="37634"/>
    <cellStyle name="dp*ThinLineBelow 5 2 9" xfId="37635"/>
    <cellStyle name="UNLOCKED 19 3 2" xfId="37636"/>
    <cellStyle name="dp*SubTitle 5 2 9" xfId="37637"/>
    <cellStyle name="dp*SheetSubTitle 4 2 9" xfId="37638"/>
    <cellStyle name="dp*NumberLineEPS 4 2 9" xfId="37639"/>
    <cellStyle name="dp*NumberLine 4 2 9" xfId="37640"/>
    <cellStyle name="dp*NumberLine 2 4 5 5" xfId="37641"/>
    <cellStyle name="Date [mmm-yyyy] 4 2 9" xfId="37642"/>
    <cellStyle name="Date [mm-d-yyyy] 7 2 9" xfId="37643"/>
    <cellStyle name="COL HEADINGS 6 2 9" xfId="37644"/>
    <cellStyle name="Border Thin 7 2 9" xfId="37645"/>
    <cellStyle name="Bold/Border 6 2 9" xfId="37646"/>
    <cellStyle name="Style 44 3 5 5 5" xfId="37647"/>
    <cellStyle name="Table Head Aligned 2 5 5 5" xfId="37648"/>
    <cellStyle name="Table Head Aligned 2 2 2 2 8 2" xfId="37649"/>
    <cellStyle name="Afjusted 7 2 9" xfId="37650"/>
    <cellStyle name="ac 6 2 9" xfId="37651"/>
    <cellStyle name="SAPBEXaggData 7 2" xfId="37652"/>
    <cellStyle name="SAPBEXexcCritical5 7 2" xfId="37653"/>
    <cellStyle name="SAPBEXresItem 7 2" xfId="37654"/>
    <cellStyle name="Style 27 8 2" xfId="37655"/>
    <cellStyle name="Afjusted 3 11 2" xfId="37656"/>
    <cellStyle name="Arial8Italic 2 3 2" xfId="37657"/>
    <cellStyle name="Main 2 3 2" xfId="37658"/>
    <cellStyle name="SAPBEXexcCritical4 2 3 2" xfId="37659"/>
    <cellStyle name="SAPBEXHLevel1X 2 3 2" xfId="37660"/>
    <cellStyle name="Style 44 8 2 9" xfId="37661"/>
    <cellStyle name="Style 45 8 2 9" xfId="37662"/>
    <cellStyle name="Style 49 8 2 9" xfId="37663"/>
    <cellStyle name="Style 51 8 2 9" xfId="37664"/>
    <cellStyle name="Afjusted 2 2 2 10 2" xfId="37665"/>
    <cellStyle name="Title [Helv] 2 2 2 10 2" xfId="37666"/>
    <cellStyle name="P-Green Rule 4 8 2" xfId="37667"/>
    <cellStyle name="WingdingsBlack 3 3 2" xfId="37668"/>
    <cellStyle name="Style 42 3 3 2" xfId="37669"/>
    <cellStyle name="dp*NumberLineEPS 3 8 2" xfId="37670"/>
    <cellStyle name="Arial8Italic 3 3 2" xfId="37671"/>
    <cellStyle name="Arial6Bold 4 3 2" xfId="37672"/>
    <cellStyle name="Date [mmm-yyyy] 2 5 8 2" xfId="37673"/>
    <cellStyle name="PB Table Standard Row 3 2 4 8 2" xfId="37674"/>
    <cellStyle name="COL HEADINGS 4 5 5" xfId="37675"/>
    <cellStyle name="Heading [Helv] 2 2 3 3 5 5" xfId="37676"/>
    <cellStyle name="P-Green Rule 5 5 5" xfId="37677"/>
    <cellStyle name="Magic 2 2 3 4 8 2" xfId="37678"/>
    <cellStyle name="Heading [Palat] 5 5 5" xfId="37679"/>
    <cellStyle name="SAPBEXexcGood3 2 3 2" xfId="37680"/>
    <cellStyle name="Heading [Helv] 4 5 5" xfId="37681"/>
    <cellStyle name="Date [mm-d-yyyy] 3 2 3 8 2" xfId="37682"/>
    <cellStyle name="Title [Palat] 3 8 2" xfId="37683"/>
    <cellStyle name="Style 45 4 3 2 5 5" xfId="37684"/>
    <cellStyle name="Style 44 4 3 3 5 5" xfId="37685"/>
    <cellStyle name="Magic 2 2 3 3 5 5" xfId="37686"/>
    <cellStyle name="Title [Palat] 2 2 3 3 5 5" xfId="37687"/>
    <cellStyle name="dp*NumberLineEPS 2 2 3 4 5 5" xfId="37688"/>
    <cellStyle name="P-Green Rule 2 2 5 5" xfId="37689"/>
    <cellStyle name="dp*NumberLine 2 3 8 2" xfId="37690"/>
    <cellStyle name="Draw lines around data in range 5 3 2" xfId="37691"/>
    <cellStyle name="Title [Helv] 2 2 4 5 5" xfId="37692"/>
    <cellStyle name="Table Head Green 2 2 3 3 8 2" xfId="37693"/>
    <cellStyle name="Style 45 4 2 3 8 2" xfId="37694"/>
    <cellStyle name="UNLOCKED 26 3 2" xfId="37695"/>
    <cellStyle name="Title [Helv] 2 2 3 2 8 2" xfId="37696"/>
    <cellStyle name="Table Head Aligned 2 2 2 3 8 2" xfId="37697"/>
    <cellStyle name="Title [Palat] 6 2 9" xfId="37698"/>
    <cellStyle name="Title [Helv] 5 2 9" xfId="37699"/>
    <cellStyle name="Table Head Green 7 2 9" xfId="37700"/>
    <cellStyle name="Table Head Aligned 5 2 9" xfId="37701"/>
    <cellStyle name="Outputs 7 2 9" xfId="37702"/>
    <cellStyle name="PB Table Standard Row 3 3 4 5 5" xfId="37703"/>
    <cellStyle name="Magic 5 2 9" xfId="37704"/>
    <cellStyle name="Heading [Palat] 7 2 9" xfId="37705"/>
    <cellStyle name="Heading [Helv] 7 2 9" xfId="37706"/>
    <cellStyle name="dp*SheetSubTitle 5 2 9" xfId="37707"/>
    <cellStyle name="dp*NumberLineEPS 5 2 9" xfId="37708"/>
    <cellStyle name="dp*NumberLine 5 2 9" xfId="37709"/>
    <cellStyle name="Date [mmm-yyyy] 5 2 9" xfId="37710"/>
    <cellStyle name="COL HEADINGS 7 2 9" xfId="37711"/>
    <cellStyle name="Bold/Border 7 2 9" xfId="37712"/>
    <cellStyle name="Afjusted 8 2 9" xfId="37713"/>
    <cellStyle name="ac 7 2 9" xfId="37714"/>
    <cellStyle name="Style 51 3 3 8 2" xfId="37715"/>
    <cellStyle name="Date [mm-d-yyyy] 3 3 3 8 2" xfId="37716"/>
    <cellStyle name="Magic 2 2 2 4 5 5" xfId="37717"/>
    <cellStyle name="dp*ThinLineAbove 3 3 2" xfId="37718"/>
    <cellStyle name="Title [Palat] 7 2 9" xfId="37719"/>
    <cellStyle name="Title [Helv] 6 2 9" xfId="37720"/>
    <cellStyle name="SAPBEXresItemX 4 3 2" xfId="37721"/>
    <cellStyle name="Table Head Green 8 2 9" xfId="37722"/>
    <cellStyle name="Table Head Aligned 6 2 9" xfId="37723"/>
    <cellStyle name="dp*NumberLine 2 5 8 2" xfId="37724"/>
    <cellStyle name="Arial8Bold 4 3 2" xfId="37725"/>
    <cellStyle name="Title [Palat] 2 4 8 2" xfId="37726"/>
    <cellStyle name="Outputs 2 4 8 2" xfId="37727"/>
    <cellStyle name="dp*NumberLine 3 8 2" xfId="37728"/>
    <cellStyle name="Arial8Bold 3 3 2" xfId="37729"/>
    <cellStyle name="Style 28 3 3 2" xfId="37730"/>
    <cellStyle name="Title [Helv] 3 8 2" xfId="37731"/>
    <cellStyle name="Style 49 5 8 2" xfId="37732"/>
    <cellStyle name="dp*ThinLineBelow 3 2 4 8 2" xfId="37733"/>
    <cellStyle name="Output 2 5 2" xfId="37734"/>
    <cellStyle name="Date [mmm-yyyy] 2 2 2 10 2" xfId="37735"/>
    <cellStyle name="Afjusted 3 2 10 2" xfId="37736"/>
    <cellStyle name="Border Thin 3 3 4 8 2" xfId="37737"/>
    <cellStyle name="Heading [Palat] 2 2 3 3 8 2" xfId="37738"/>
    <cellStyle name="SAPBEXHLevel3 2 3 2" xfId="37739"/>
    <cellStyle name="SAPBEXexcCritical5 2 3 2" xfId="37740"/>
    <cellStyle name="Millions 6 3 2" xfId="37741"/>
    <cellStyle name="Millions 5 3 2" xfId="37742"/>
    <cellStyle name="Global 2 3 2" xfId="37743"/>
    <cellStyle name="SymbolBlue 10 2" xfId="37744"/>
    <cellStyle name="SAPBEXstdItemX 9 2" xfId="37745"/>
    <cellStyle name="SAPBEXexcCritical6 7 2" xfId="37746"/>
    <cellStyle name="SAPBEXaggDataEmph 7 2" xfId="37747"/>
    <cellStyle name="Outputs 8 2 9" xfId="37748"/>
    <cellStyle name="Magic 6 2 9" xfId="37749"/>
    <cellStyle name="Format a row of totals 5 3 2" xfId="37750"/>
    <cellStyle name="Heading [Palat] 8 2 9" xfId="37751"/>
    <cellStyle name="Heading [Helv] 8 2 9" xfId="37752"/>
    <cellStyle name="Style 51 4 3 2 5 5" xfId="37753"/>
    <cellStyle name="Date [mm-d-yyyy] 3 5 5 5" xfId="37754"/>
    <cellStyle name="Magic 2 2 2 2 5 5" xfId="37755"/>
    <cellStyle name="Afjusted 3 2 3 5 5" xfId="37756"/>
    <cellStyle name="Title [Helv] 2 2 2 4 8 2" xfId="37757"/>
    <cellStyle name="dp*SheetSubTitle 6 2 9" xfId="37758"/>
    <cellStyle name="dp*NumberLineEPS 6 2 9" xfId="37759"/>
    <cellStyle name="dp*NumberLine 6 2 9" xfId="37760"/>
    <cellStyle name="Style 44 7 8 2" xfId="37761"/>
    <cellStyle name="COL HEADINGS 8 2 9" xfId="37762"/>
    <cellStyle name="Bold/Border 8 2 9" xfId="37763"/>
    <cellStyle name="PB Table Standard Row 2 5 5 5" xfId="37764"/>
    <cellStyle name="Style 49 2 5 5 5" xfId="37765"/>
    <cellStyle name="Afjusted 9 2 9" xfId="37766"/>
    <cellStyle name="ac 8 2 9" xfId="37767"/>
    <cellStyle name="Date [mmm-yyyy] 6 2 9" xfId="37768"/>
    <cellStyle name="Magic 3 8 2" xfId="37769"/>
    <cellStyle name="Title [Palat] 8 2 9" xfId="37770"/>
    <cellStyle name="Title [Helv] 7 2 9" xfId="37771"/>
    <cellStyle name="Table Head Green 9 2 9" xfId="37772"/>
    <cellStyle name="Table Head Aligned 7 2 9" xfId="37773"/>
    <cellStyle name="Outputs 9 2 9" xfId="37774"/>
    <cellStyle name="Title [Helv] 2 2 3 4 8 2" xfId="37775"/>
    <cellStyle name="Magic 7 2 9" xfId="37776"/>
    <cellStyle name="Heading [Palat] 9 2 9" xfId="37777"/>
    <cellStyle name="Heading [Helv] 9 2 9" xfId="37778"/>
    <cellStyle name="dp*SheetSubTitle 7 2 9" xfId="37779"/>
    <cellStyle name="dp*NumberLineEPS 7 2 9" xfId="37780"/>
    <cellStyle name="dp*NumberLine 7 2 9" xfId="37781"/>
    <cellStyle name="Date [mmm-yyyy] 7 2 9" xfId="37782"/>
    <cellStyle name="COL HEADINGS 9 2 9" xfId="37783"/>
    <cellStyle name="Bold/Border 9 2 9" xfId="37784"/>
    <cellStyle name="Afjusted 10 2 9" xfId="37785"/>
    <cellStyle name="ac 9 2 9" xfId="37786"/>
    <cellStyle name="Title [Palat] 4 5 5" xfId="37787"/>
    <cellStyle name="Afjusted 3 5 8 2" xfId="37788"/>
    <cellStyle name="Title [Palat] 2 2 3 4 8 2" xfId="37789"/>
    <cellStyle name="Title [Helv] 2 2 4 8 2" xfId="37790"/>
    <cellStyle name="UNLOCKED 5 3 2" xfId="37791"/>
    <cellStyle name="Style 52 2 3 2" xfId="37792"/>
    <cellStyle name="Style 22 2 3 2" xfId="37793"/>
    <cellStyle name="SAPBEXresItemX 2 3 2" xfId="37794"/>
    <cellStyle name="P-Green Rule 6 8 2" xfId="37795"/>
    <cellStyle name="ac 2 6 5 5" xfId="37796"/>
    <cellStyle name="Bold/Border 2 6 5 5" xfId="37797"/>
    <cellStyle name="Border Thin 2 6 5 5" xfId="37798"/>
    <cellStyle name="COL HEADINGS 2 6 5 5" xfId="37799"/>
    <cellStyle name="Title [Palat] 2 2 2 2 8 2" xfId="37800"/>
    <cellStyle name="Heading [Helv] 2 6 5 5" xfId="37801"/>
    <cellStyle name="Heading [Palat] 2 6 5 5" xfId="37802"/>
    <cellStyle name="Outputs 2 6 5 5" xfId="37803"/>
    <cellStyle name="PB Table Standard Row 2 6 5 5" xfId="37804"/>
    <cellStyle name="P-Green Rule 2 6 5 5" xfId="37805"/>
    <cellStyle name="Style 44 3 6 5 5" xfId="37806"/>
    <cellStyle name="Style 45 3 6 5 5" xfId="37807"/>
    <cellStyle name="Style 49 3 6 5 5" xfId="37808"/>
    <cellStyle name="Style 51 3 6 5 5" xfId="37809"/>
    <cellStyle name="Style 44 2 6 5 5" xfId="37810"/>
    <cellStyle name="Style 45 2 6 5 5" xfId="37811"/>
    <cellStyle name="Style 49 2 6 5 5" xfId="37812"/>
    <cellStyle name="Style 51 2 6 5 5" xfId="37813"/>
    <cellStyle name="Table Head Green 2 6 5 5" xfId="37814"/>
    <cellStyle name="Title [Palat] 2 6 5 5" xfId="37815"/>
    <cellStyle name="Afjusted 3 4 8 2" xfId="37816"/>
    <cellStyle name="UNLOCKED 6 3 2" xfId="37817"/>
    <cellStyle name="Style 37 2 3 2" xfId="37818"/>
    <cellStyle name="SAPBEXundefined 2 3 2" xfId="37819"/>
    <cellStyle name="SAPBEXresItem 2 3 2" xfId="37820"/>
    <cellStyle name="SAPBEXresItemX 3 3 2" xfId="37821"/>
    <cellStyle name="PB Table Standard Row 3 3 3 8 2" xfId="37822"/>
    <cellStyle name="EYColumnHeading 10 3 2" xfId="37823"/>
    <cellStyle name="Title [Palat] 2 2 4 8 2" xfId="37824"/>
    <cellStyle name="COL HEADINGS 2 2 4 8 2" xfId="37825"/>
    <cellStyle name="Afjusted 2 2 5 8 2" xfId="37826"/>
    <cellStyle name="dp*NumberLineEPS 2 2 3 4 8 2" xfId="37827"/>
    <cellStyle name="dp*NumberLineEPS 2 3 8 2" xfId="37828"/>
    <cellStyle name="Draw shadow and lines within range 2 3 2" xfId="37829"/>
    <cellStyle name="SAPBEXHLevel3 3 3 2" xfId="37830"/>
    <cellStyle name="ItemTypeClass 4 3 2" xfId="37831"/>
    <cellStyle name="dp*NumberLine 2 2 3 4 8 2" xfId="37832"/>
    <cellStyle name="Afjusted 4 3 4 8 2" xfId="37833"/>
    <cellStyle name="UNLOCKED 12 3 2" xfId="37834"/>
    <cellStyle name="dp*SheetSubTitle 2 2 3 4 8 2" xfId="37835"/>
    <cellStyle name="Title [Helv] 2 2 3 3 8 2" xfId="37836"/>
    <cellStyle name="COL HEADINGS 2 2 3 4 8 2" xfId="37837"/>
    <cellStyle name="Afjusted 2 2 3 4 8 2" xfId="37838"/>
    <cellStyle name="Style 26 2 3 2" xfId="37839"/>
    <cellStyle name="UNLOCKED 2 3 2" xfId="37840"/>
    <cellStyle name="Heading [Palat] 2 2 4 8 2" xfId="37841"/>
    <cellStyle name="dp*NumberLineEPS 2 2 3 3 8 2" xfId="37842"/>
    <cellStyle name="ac 2 2 3 4 8 2" xfId="37843"/>
    <cellStyle name="Style 40 2 3 2" xfId="37844"/>
    <cellStyle name="SAPBEXstdItemX 2 3 2" xfId="37845"/>
    <cellStyle name="Style 27 2 3 2" xfId="37846"/>
    <cellStyle name="SSFixed2 2 3 2" xfId="37847"/>
    <cellStyle name="Date [mm-d-yyyy] 3 3 4 8 2" xfId="37848"/>
    <cellStyle name="Style 24 2 3 2" xfId="37849"/>
    <cellStyle name="Style 21 2 3 2" xfId="37850"/>
    <cellStyle name="Style 44 3 3 8 2" xfId="37851"/>
    <cellStyle name="Table Head Aligned 2 2 3 4 8 2" xfId="37852"/>
    <cellStyle name="SSComma0 2 3 2" xfId="37853"/>
    <cellStyle name="dp*ThinLineBelow 2 3 8 2" xfId="37854"/>
    <cellStyle name="Outputs 2 2 3 4 8 2" xfId="37855"/>
    <cellStyle name="dp*NumberLine 2 2 4 8 2" xfId="37856"/>
    <cellStyle name="Table Head Green 4 8 2" xfId="37857"/>
    <cellStyle name="Heading [Helv] 2 2 3 4 8 2" xfId="37858"/>
    <cellStyle name="WingdingsWhite 2 3 2" xfId="37859"/>
    <cellStyle name="Title [Palat] 2 3 8 2" xfId="37860"/>
    <cellStyle name="Magic 2 2 3 3 8 2" xfId="37861"/>
    <cellStyle name="Style 44 2 3 8 2" xfId="37862"/>
    <cellStyle name="Style 45 2 3 8 2" xfId="37863"/>
    <cellStyle name="Style 45 3 3 8 2" xfId="37864"/>
    <cellStyle name="ac 2 2 4 8 2" xfId="37865"/>
    <cellStyle name="Bold/Border 2 2 3 3 8 2" xfId="37866"/>
    <cellStyle name="Date [mmm-yyyy] 2 2 3 3 8 2" xfId="37867"/>
    <cellStyle name="SAPBEXHLevel1X 3 3 2" xfId="37868"/>
    <cellStyle name="Style 37 3 3 2" xfId="37869"/>
    <cellStyle name="Title [Palat] 5 5 5" xfId="37870"/>
    <cellStyle name="Title [Helv] 4 5 5" xfId="37871"/>
    <cellStyle name="Table Head Green 6 5 5" xfId="37872"/>
    <cellStyle name="Table Head Aligned 4 5 5" xfId="37873"/>
    <cellStyle name="dp*Number%ItalicsLineAbove 8 2" xfId="37874"/>
    <cellStyle name="SAPBEXexcBad7 7 2" xfId="37875"/>
    <cellStyle name="SAPBEXexcGood3 7 2" xfId="37876"/>
    <cellStyle name="SAPBEXHLevel1X 9 2" xfId="37877"/>
    <cellStyle name="SAPBEXresData 7 2" xfId="37878"/>
    <cellStyle name="SAPBEXstdDataEmph 7 2" xfId="37879"/>
    <cellStyle name="SSComma0 7 2" xfId="37880"/>
    <cellStyle name="SSDfltPct0 7 2" xfId="37881"/>
    <cellStyle name="Bold/Border 5 8 2" xfId="37882"/>
    <cellStyle name="Arial8Bold 5 3 2" xfId="37883"/>
    <cellStyle name="Outputs 6 5 5" xfId="37884"/>
    <cellStyle name="dp*SubTitle 2 4 8 2" xfId="37885"/>
    <cellStyle name="Magic 4 5 5" xfId="37886"/>
    <cellStyle name="Magic 2 2 2 4 8 2" xfId="37887"/>
    <cellStyle name="Bold/Border 2 2 2 4 8 2" xfId="37888"/>
    <cellStyle name="P-Green Rule 2 3 8 2" xfId="37889"/>
    <cellStyle name="Heading [Palat] 6 5 5" xfId="37890"/>
    <cellStyle name="Heading [Helv] 6 5 5" xfId="37891"/>
    <cellStyle name="Border Thin 3 2 3 8 2" xfId="37892"/>
    <cellStyle name="Afjusted 2 2 2 3 8 2" xfId="37893"/>
    <cellStyle name="COL HEADINGS 2 2 2 4 8 2" xfId="37894"/>
    <cellStyle name="Outputs 2 2 2 4 8 2" xfId="37895"/>
    <cellStyle name="UNLOCKED 17 3 2" xfId="37896"/>
    <cellStyle name="COL HEADINGS 2 4 8 2" xfId="37897"/>
    <cellStyle name="dp*ThinLineBelow 2 4 8 2" xfId="37898"/>
    <cellStyle name="P-Green Rule 2 4 8 2" xfId="37899"/>
    <cellStyle name="dp*SheetSubTitle 4 5 5" xfId="37900"/>
    <cellStyle name="dp*NumberLineEPS 4 5 5" xfId="37901"/>
    <cellStyle name="dp*NumberLine 4 5 5" xfId="37902"/>
    <cellStyle name="Date [mmm-yyyy] 4 5 5" xfId="37903"/>
    <cellStyle name="COL HEADINGS 6 5 5" xfId="37904"/>
    <cellStyle name="Style 44 2 5 8 2" xfId="37905"/>
    <cellStyle name="Bold/Border 6 5 5" xfId="37906"/>
    <cellStyle name="Arial8Italic 5 3 2" xfId="37907"/>
    <cellStyle name="Afjusted 7 5 5" xfId="37908"/>
    <cellStyle name="ac 6 5 5" xfId="37909"/>
    <cellStyle name="SSDfltPct 7 2" xfId="37910"/>
    <cellStyle name="SAPBEXundefined 7 2" xfId="37911"/>
    <cellStyle name="SAPBEXstdData 7 2" xfId="37912"/>
    <cellStyle name="SAPBEXHLevel3X 9 2" xfId="37913"/>
    <cellStyle name="SAPBEXformats 7 2" xfId="37914"/>
    <cellStyle name="SAPBEXHLevel1 9 2" xfId="37915"/>
    <cellStyle name="SAPBEXexcGood2 7 2" xfId="37916"/>
    <cellStyle name="Style 44 8 5 5" xfId="37917"/>
    <cellStyle name="Style 45 8 5 5" xfId="37918"/>
    <cellStyle name="Style 49 8 5 5" xfId="37919"/>
    <cellStyle name="Style 51 8 5 5" xfId="37920"/>
    <cellStyle name="DateYearWholeEstimate 10 2" xfId="37921"/>
    <cellStyle name="Bold/Border 2 3 8 2" xfId="37922"/>
    <cellStyle name="Afjusted 3 3 4 8 2" xfId="37923"/>
    <cellStyle name="Style 50 2 3 2" xfId="37924"/>
    <cellStyle name="WingdingsRed 2 3 2" xfId="37925"/>
    <cellStyle name="PB Table Standard Row 5 8 2" xfId="37926"/>
    <cellStyle name="PB Table Standard Row 3 2 3 8 2" xfId="37927"/>
    <cellStyle name="Heading [Palat] 2 3 8 2" xfId="37928"/>
    <cellStyle name="ac 2 3 8 2" xfId="37929"/>
    <cellStyle name="dp*SheetSubTitle 2 2 4 8 2" xfId="37930"/>
    <cellStyle name="SymbolBlue 4 3 2" xfId="37931"/>
    <cellStyle name="COL HEADINGS 2 2 2 2 8 2" xfId="37932"/>
    <cellStyle name="Style 49 2 4 8 2" xfId="37933"/>
    <cellStyle name="UNLOCKED 20 3 2" xfId="37934"/>
    <cellStyle name="Afjusted 2 4 8 2" xfId="37935"/>
    <cellStyle name="UNLOCKED 4 3 2" xfId="37936"/>
    <cellStyle name="Style 40 3 3 2" xfId="37937"/>
    <cellStyle name="DateYearEstimate 10 2" xfId="37938"/>
    <cellStyle name="Draw shadow and lines within range 10 2" xfId="37939"/>
    <cellStyle name="Format text as bold, black on yellow 10 2" xfId="37940"/>
    <cellStyle name="Main 9 2" xfId="37941"/>
    <cellStyle name="SAPBEXaggItemX 9 2" xfId="37942"/>
    <cellStyle name="SAPBEXexcGood1 7 2" xfId="37943"/>
    <cellStyle name="SAPBEXHLevel0X 9 2" xfId="37944"/>
    <cellStyle name="SAPBEXHLevel3 9 2" xfId="37945"/>
    <cellStyle name="SAPBEXresItemX 9 2" xfId="37946"/>
    <cellStyle name="SAPBEXtitle 7 2" xfId="37947"/>
    <cellStyle name="Main 3 3 2" xfId="37948"/>
    <cellStyle name="PB Table Standard Row 2 3 6 2" xfId="37949"/>
    <cellStyle name="Bold/Border 2 2 2 2 8 2" xfId="37950"/>
    <cellStyle name="dp*SubTitle 3 2 3 8 2" xfId="37951"/>
    <cellStyle name="ac 2 2 2 3 8 2" xfId="37952"/>
    <cellStyle name="Afjusted 2 2 2 4 8 2" xfId="37953"/>
    <cellStyle name="Heading [Palat] 2 2 2 4 8 2" xfId="37954"/>
    <cellStyle name="UNLOCKED 18 3 2" xfId="37955"/>
    <cellStyle name="dp*SheetSubTitle 2 4 8 2" xfId="37956"/>
    <cellStyle name="Style 45 2 4 8 2" xfId="37957"/>
    <cellStyle name="ac 2 5 8 2" xfId="37958"/>
    <cellStyle name="Style 51 3 5 8 2" xfId="37959"/>
    <cellStyle name="UNLOCKED 23 3 2" xfId="37960"/>
    <cellStyle name="Arial6Bold 5 3 2" xfId="37961"/>
    <cellStyle name="dp*SheetSubTitle 2 4 4 4 2" xfId="37962"/>
    <cellStyle name="ArialNormal 10 2" xfId="37963"/>
    <cellStyle name="Afjusted 2 2 2 2 8 2" xfId="37964"/>
    <cellStyle name="Style 44 2 4 8 2" xfId="37965"/>
    <cellStyle name="UNLOCKED 22 3 2" xfId="37966"/>
    <cellStyle name="UNLOCKED 39 2" xfId="37967"/>
    <cellStyle name="Style 51 4 3 4 8 2" xfId="37968"/>
    <cellStyle name="Style 49 3 3 8 2" xfId="37969"/>
    <cellStyle name="Style 48 10 2" xfId="37970"/>
    <cellStyle name="Afjusted 3 6 4 5" xfId="37971"/>
    <cellStyle name="ac 2 7 4 5" xfId="37972"/>
    <cellStyle name="Afjusted 2 5 4 5" xfId="37973"/>
    <cellStyle name="Bold/Border 2 7 4 5" xfId="37974"/>
    <cellStyle name="COL HEADINGS 2 7 4 5" xfId="37975"/>
    <cellStyle name="Date [mmm-yyyy] 2 6 4 5" xfId="37976"/>
    <cellStyle name="dp*NumberLine 2 6 4 5" xfId="37977"/>
    <cellStyle name="dp*NumberLineEPS 2 6 4 5" xfId="37978"/>
    <cellStyle name="dp*SheetSubTitle 2 6 4 5" xfId="37979"/>
    <cellStyle name="Heading [Helv] 2 7 4 5" xfId="37980"/>
    <cellStyle name="Heading [Palat] 2 7 4 5" xfId="37981"/>
    <cellStyle name="Magic 2 6 4 5" xfId="37982"/>
    <cellStyle name="Outputs 2 7 4 5" xfId="37983"/>
    <cellStyle name="Table Head Aligned 2 6 4 5" xfId="37984"/>
    <cellStyle name="Table Head Green 2 7 4 5" xfId="37985"/>
    <cellStyle name="Title [Helv] 2 6 4 5" xfId="37986"/>
    <cellStyle name="Title [Palat] 2 7 4 5" xfId="37987"/>
    <cellStyle name="Date [mm-d-yyyy] 3 6 4 5" xfId="37988"/>
    <cellStyle name="Style 51 4 6 4 5" xfId="37989"/>
    <cellStyle name="Style 49 4 6 4 5" xfId="37990"/>
    <cellStyle name="Style 45 4 6 4 5" xfId="37991"/>
    <cellStyle name="Style 44 4 6 4 5" xfId="37992"/>
    <cellStyle name="P-Green Rule 3 6 4 5" xfId="37993"/>
    <cellStyle name="PB Table Standard Row 3 6 4 5" xfId="37994"/>
    <cellStyle name="dp*ThinLineBelow 3 6 4 5" xfId="37995"/>
    <cellStyle name="dp*SubTitle 3 6 4 5" xfId="37996"/>
    <cellStyle name="Border Thin 3 6 4 5" xfId="37997"/>
    <cellStyle name="Afjusted 4 6 4 5" xfId="37998"/>
    <cellStyle name="ac 2 2 5 4 5" xfId="37999"/>
    <cellStyle name="Afjusted 2 2 6 4 5" xfId="38000"/>
    <cellStyle name="Bold/Border 2 2 5 4 5" xfId="38001"/>
    <cellStyle name="COL HEADINGS 2 2 5 4 5" xfId="38002"/>
    <cellStyle name="Date [mmm-yyyy] 2 2 5 4 5" xfId="38003"/>
    <cellStyle name="dp*NumberLine 2 2 5 4 5" xfId="38004"/>
    <cellStyle name="dp*NumberLineEPS 2 2 5 4 5" xfId="38005"/>
    <cellStyle name="dp*SheetSubTitle 2 2 5 4 5" xfId="38006"/>
    <cellStyle name="Heading [Helv] 2 2 5 4 5" xfId="38007"/>
    <cellStyle name="Heading [Palat] 2 2 5 4 5" xfId="38008"/>
    <cellStyle name="Magic 2 2 5 4 5" xfId="38009"/>
    <cellStyle name="Outputs 2 2 5 4 5" xfId="38010"/>
    <cellStyle name="Table Head Aligned 2 2 5 4 5" xfId="38011"/>
    <cellStyle name="Table Head Green 2 2 5 4 5" xfId="38012"/>
    <cellStyle name="Title [Helv] 2 2 5 4 5" xfId="38013"/>
    <cellStyle name="Title [Palat] 2 2 5 4 5" xfId="38014"/>
    <cellStyle name="dp*SubTitle 2 2 2 4 5" xfId="38015"/>
    <cellStyle name="Border Thin 2 2 2 4 5" xfId="38016"/>
    <cellStyle name="Bold/Border 2 2 3 4 2 4 5" xfId="38017"/>
    <cellStyle name="Magic 2 2 3 4 2 4 5" xfId="38018"/>
    <cellStyle name="Title [Helv] 2 2 3 4 2 4 5" xfId="38019"/>
    <cellStyle name="Style 51 2 2 2 4 5" xfId="38020"/>
    <cellStyle name="Style 45 2 2 2 4 5" xfId="38021"/>
    <cellStyle name="Style 49 2 2 2 4 5" xfId="38022"/>
    <cellStyle name="Style 44 2 2 2 4 5" xfId="38023"/>
    <cellStyle name="Style 51 3 2 2 4 5" xfId="38024"/>
    <cellStyle name="Style 49 3 2 2 4 5" xfId="38025"/>
    <cellStyle name="Style 45 3 2 2 4 5" xfId="38026"/>
    <cellStyle name="Style 44 3 2 2 4 5" xfId="38027"/>
    <cellStyle name="P-Green Rule 2 2 2 4 5" xfId="38028"/>
    <cellStyle name="PB Table Standard Row 2 2 2 4 5" xfId="38029"/>
    <cellStyle name="dp*ThinLineBelow 2 2 2 4 5" xfId="38030"/>
    <cellStyle name="dp*ThinLineBelow 2 3 2 4 5" xfId="38031"/>
    <cellStyle name="Style 44 3 3 2 4 5" xfId="38032"/>
    <cellStyle name="COL HEADINGS 2 2 3 4 2 4 5" xfId="38033"/>
    <cellStyle name="Style 49 4 3 4 2 4 5" xfId="38034"/>
    <cellStyle name="Afjusted 3 3 4 2 4 5" xfId="38035"/>
    <cellStyle name="Date [mm-d-yyyy] 3 3 4 2 4 5" xfId="38036"/>
    <cellStyle name="Afjusted 4 3 4 2 4 5" xfId="38037"/>
    <cellStyle name="ac 2 2 3 4 2 4 5" xfId="38038"/>
    <cellStyle name="Afjusted 2 2 3 4 2 4 5" xfId="38039"/>
    <cellStyle name="Date [mmm-yyyy] 2 2 3 4 2 4 5" xfId="38040"/>
    <cellStyle name="dp*NumberLine 2 2 3 4 2 4 5" xfId="38041"/>
    <cellStyle name="dp*NumberLineEPS 2 2 3 4 2 4 5" xfId="38042"/>
    <cellStyle name="dp*SheetSubTitle 2 2 3 4 2 4 5" xfId="38043"/>
    <cellStyle name="Heading [Helv] 2 2 3 4 2 4 5" xfId="38044"/>
    <cellStyle name="Outputs 2 2 3 4 2 4 5" xfId="38045"/>
    <cellStyle name="Table Head Aligned 2 2 3 4 2 4 5" xfId="38046"/>
    <cellStyle name="Title [Palat] 2 2 3 4 2 4 5" xfId="38047"/>
    <cellStyle name="Afjusted 3 5 2 4 5" xfId="38048"/>
    <cellStyle name="Style 45 3 3 2 4 5" xfId="38049"/>
    <cellStyle name="Style 51 3 3 2 4 5" xfId="38050"/>
    <cellStyle name="Style 44 2 3 2 4 5" xfId="38051"/>
    <cellStyle name="Style 45 2 3 2 4 5" xfId="38052"/>
    <cellStyle name="Style 49 2 3 2 4 5" xfId="38053"/>
    <cellStyle name="Border Thin 3 5 2 4 5" xfId="38054"/>
    <cellStyle name="ac 2 2 4 2 4 5" xfId="38055"/>
    <cellStyle name="Afjusted 2 2 5 2 4 5" xfId="38056"/>
    <cellStyle name="Bold/Border 2 2 4 2 4 5" xfId="38057"/>
    <cellStyle name="COL HEADINGS 2 2 4 2 4 5" xfId="38058"/>
    <cellStyle name="Date [mmm-yyyy] 2 2 4 2 4 5" xfId="38059"/>
    <cellStyle name="dp*NumberLine 2 2 4 2 4 5" xfId="38060"/>
    <cellStyle name="dp*NumberLineEPS 2 2 4 2 4 5" xfId="38061"/>
    <cellStyle name="dp*SheetSubTitle 2 2 4 2 4 5" xfId="38062"/>
    <cellStyle name="Heading [Palat] 2 2 4 2 4 5" xfId="38063"/>
    <cellStyle name="Outputs 2 2 4 2 4 5" xfId="38064"/>
    <cellStyle name="Magic 2 2 4 2 4 5" xfId="38065"/>
    <cellStyle name="Title [Helv] 2 2 4 2 4 5" xfId="38066"/>
    <cellStyle name="Title [Palat] 2 2 4 2 4 5" xfId="38067"/>
    <cellStyle name="Title [Palat] 2 2 3 3 2 4 5" xfId="38068"/>
    <cellStyle name="Title [Helv] 2 2 3 3 2 4 5" xfId="38069"/>
    <cellStyle name="Table Head Aligned 2 2 3 3 2 4 5" xfId="38070"/>
    <cellStyle name="Magic 2 2 3 3 2 4 5" xfId="38071"/>
    <cellStyle name="Heading [Helv] 2 2 3 3 2 4 5" xfId="38072"/>
    <cellStyle name="dp*NumberLineEPS 2 2 3 3 2 4 5" xfId="38073"/>
    <cellStyle name="COL HEADINGS 2 2 3 3 2 4 5" xfId="38074"/>
    <cellStyle name="ac 2 2 3 3 2 4 5" xfId="38075"/>
    <cellStyle name="Afjusted 4 3 3 2 4 5" xfId="38076"/>
    <cellStyle name="Border Thin 3 3 3 2 4 5" xfId="38077"/>
    <cellStyle name="PB Table Standard Row 3 3 3 2 4 5" xfId="38078"/>
    <cellStyle name="Style 44 4 3 3 2 4 5" xfId="38079"/>
    <cellStyle name="Style 51 4 3 3 2 4 5" xfId="38080"/>
    <cellStyle name="Afjusted 3 3 3 2 4 5" xfId="38081"/>
    <cellStyle name="Style 49 4 5 2 4 5" xfId="38082"/>
    <cellStyle name="Style 44 4 5 2 4 5" xfId="38083"/>
    <cellStyle name="P-Green Rule 3 5 2 4 5" xfId="38084"/>
    <cellStyle name="dp*SubTitle 3 5 2 4 5" xfId="38085"/>
    <cellStyle name="Afjusted 4 5 2 4 5" xfId="38086"/>
    <cellStyle name="ac 2 3 2 4 5" xfId="38087"/>
    <cellStyle name="Bold/Border 2 3 2 4 5" xfId="38088"/>
    <cellStyle name="COL HEADINGS 2 3 2 4 5" xfId="38089"/>
    <cellStyle name="Date [mmm-yyyy] 2 3 2 4 5" xfId="38090"/>
    <cellStyle name="dp*NumberLine 2 3 2 4 5" xfId="38091"/>
    <cellStyle name="dp*NumberLineEPS 2 3 2 4 5" xfId="38092"/>
    <cellStyle name="dp*SheetSubTitle 2 3 2 4 5" xfId="38093"/>
    <cellStyle name="Heading [Helv] 2 3 2 4 5" xfId="38094"/>
    <cellStyle name="Heading [Palat] 2 3 2 4 5" xfId="38095"/>
    <cellStyle name="Magic 2 3 2 4 5" xfId="38096"/>
    <cellStyle name="Outputs 2 3 2 4 5" xfId="38097"/>
    <cellStyle name="Date [mmm-yyyy] 2 2 3 3 2 4 5" xfId="38098"/>
    <cellStyle name="Afjusted 2 2 3 3 2 4 5" xfId="38099"/>
    <cellStyle name="dp*ThinLineBelow 3 3 3 2 4 5" xfId="38100"/>
    <cellStyle name="Style 49 4 3 3 2 4 5" xfId="38101"/>
    <cellStyle name="Outputs 2 2 3 3 2 4 5" xfId="38102"/>
    <cellStyle name="dp*NumberLine 2 2 3 3 2 4 5" xfId="38103"/>
    <cellStyle name="Bold/Border 2 2 3 3 2 4 5" xfId="38104"/>
    <cellStyle name="dp*SubTitle 3 3 3 2 4 5" xfId="38105"/>
    <cellStyle name="Style 45 4 3 3 2 4 5" xfId="38106"/>
    <cellStyle name="Table Head Aligned 2 3 2 4 5" xfId="38107"/>
    <cellStyle name="Table Head Green 2 3 2 4 5" xfId="38108"/>
    <cellStyle name="Title [Helv] 2 3 2 4 5" xfId="38109"/>
    <cellStyle name="Title [Palat] 2 3 2 4 5" xfId="38110"/>
    <cellStyle name="Style 45 4 3 4 2 4 5" xfId="38111"/>
    <cellStyle name="Style 51 4 3 4 2 4 5" xfId="38112"/>
    <cellStyle name="Afjusted 3 4 2 4 5" xfId="38113"/>
    <cellStyle name="P-Green Rule 3 3 4 2 4 5" xfId="38114"/>
    <cellStyle name="Border Thin 2 3 2 4 5" xfId="38115"/>
    <cellStyle name="Style 49 3 3 2 4 5" xfId="38116"/>
    <cellStyle name="Style 51 2 3 2 4 5" xfId="38117"/>
    <cellStyle name="Heading [Helv] 2 2 4 2 4 5" xfId="38118"/>
    <cellStyle name="Table Head Aligned 2 2 4 2 4 5" xfId="38119"/>
    <cellStyle name="Table Head Green 2 2 4 2 4 5" xfId="38120"/>
    <cellStyle name="Table Head Green 2 2 3 3 2 4 5" xfId="38121"/>
    <cellStyle name="Heading [Palat] 2 2 3 3 2 4 5" xfId="38122"/>
    <cellStyle name="dp*SheetSubTitle 2 2 3 3 2 4 5" xfId="38123"/>
    <cellStyle name="P-Green Rule 3 3 3 2 4 5" xfId="38124"/>
    <cellStyle name="Date [mm-d-yyyy] 3 3 3 2 4 5" xfId="38125"/>
    <cellStyle name="Date [mm-d-yyyy] 3 4 2 4 5" xfId="38126"/>
    <cellStyle name="Style 51 4 4 2 4 5" xfId="38127"/>
    <cellStyle name="Style 49 4 4 2 4 5" xfId="38128"/>
    <cellStyle name="Style 45 4 4 2 4 5" xfId="38129"/>
    <cellStyle name="Style 44 4 4 2 4 5" xfId="38130"/>
    <cellStyle name="dp*ThinLineBelow 3 3 4 2 4 5" xfId="38131"/>
    <cellStyle name="P-Green Rule 3 4 2 4 5" xfId="38132"/>
    <cellStyle name="PB Table Standard Row 3 4 2 3 5" xfId="38133"/>
    <cellStyle name="dp*ThinLineBelow 3 4 2 4 5" xfId="38134"/>
    <cellStyle name="dp*SubTitle 3 4 2 4 5" xfId="38135"/>
    <cellStyle name="dp*SubTitle 3 3 4 2 4 5" xfId="38136"/>
    <cellStyle name="Border Thin 3 4 2 4 5" xfId="38137"/>
    <cellStyle name="Border Thin 3 3 4 2 4 5" xfId="38138"/>
    <cellStyle name="Afjusted 4 4 2 4 5" xfId="38139"/>
    <cellStyle name="Afjusted 2 2 4 2 4 5" xfId="38140"/>
    <cellStyle name="Style 44 4 3 4 2 4 5" xfId="38141"/>
    <cellStyle name="PB Table Standard Row 3 3 4 2 4 5" xfId="38142"/>
    <cellStyle name="Title [Palat] 2 2 3 5 4 5" xfId="38143"/>
    <cellStyle name="Title [Helv] 2 2 3 5 4 5" xfId="38144"/>
    <cellStyle name="Table Head Green 2 2 3 5 4 5" xfId="38145"/>
    <cellStyle name="Table Head Aligned 2 2 3 5 4 5" xfId="38146"/>
    <cellStyle name="Outputs 2 2 3 5 4 5" xfId="38147"/>
    <cellStyle name="Magic 2 2 3 5 4 5" xfId="38148"/>
    <cellStyle name="Heading [Palat] 2 2 3 5 4 5" xfId="38149"/>
    <cellStyle name="Heading [Helv] 2 2 3 5 4 5" xfId="38150"/>
    <cellStyle name="dp*SheetSubTitle 2 2 3 5 4 5" xfId="38151"/>
    <cellStyle name="dp*NumberLineEPS 2 2 3 5 4 5" xfId="38152"/>
    <cellStyle name="dp*NumberLine 2 2 3 5 4 5" xfId="38153"/>
    <cellStyle name="Date [mmm-yyyy] 2 2 3 5 4 5" xfId="38154"/>
    <cellStyle name="COL HEADINGS 2 2 3 5 4 5" xfId="38155"/>
    <cellStyle name="Bold/Border 2 2 3 5 4 5" xfId="38156"/>
    <cellStyle name="Afjusted 2 2 3 5 4 5" xfId="38157"/>
    <cellStyle name="ac 2 2 3 5 4 5" xfId="38158"/>
    <cellStyle name="Afjusted 4 3 5 4 5" xfId="38159"/>
    <cellStyle name="Border Thin 3 3 5 4 5" xfId="38160"/>
    <cellStyle name="dp*SubTitle 3 3 5 4 5" xfId="38161"/>
    <cellStyle name="dp*ThinLineBelow 3 3 5 4 5" xfId="38162"/>
    <cellStyle name="PB Table Standard Row 3 3 5 4 5" xfId="38163"/>
    <cellStyle name="P-Green Rule 3 3 5 4 5" xfId="38164"/>
    <cellStyle name="Style 44 4 3 5 4 5" xfId="38165"/>
    <cellStyle name="Style 45 4 3 5 4 5" xfId="38166"/>
    <cellStyle name="Style 49 4 3 5 4 5" xfId="38167"/>
    <cellStyle name="Style 51 4 3 5 4 5" xfId="38168"/>
    <cellStyle name="Date [mm-d-yyyy] 3 3 5 4 5" xfId="38169"/>
    <cellStyle name="Afjusted 3 3 5 4 5" xfId="38170"/>
    <cellStyle name="Date [mm-d-yyyy] 2 2 4 4 5" xfId="38171"/>
    <cellStyle name="Afjusted 3 2 5 4 5" xfId="38172"/>
    <cellStyle name="Date [mm-d-yyyy] 3 2 5 4 5" xfId="38173"/>
    <cellStyle name="Style 51 4 2 5 4 5" xfId="38174"/>
    <cellStyle name="Style 49 4 2 5 4 5" xfId="38175"/>
    <cellStyle name="Style 45 4 2 5 4 5" xfId="38176"/>
    <cellStyle name="Style 44 4 2 5 4 5" xfId="38177"/>
    <cellStyle name="P-Green Rule 3 2 5 4 5" xfId="38178"/>
    <cellStyle name="PB Table Standard Row 3 2 5 3 5" xfId="38179"/>
    <cellStyle name="dp*ThinLineBelow 3 2 5 4 5" xfId="38180"/>
    <cellStyle name="dp*SubTitle 3 2 5 4 5" xfId="38181"/>
    <cellStyle name="Border Thin 3 2 5 4 5" xfId="38182"/>
    <cellStyle name="Afjusted 4 2 5 4 5" xfId="38183"/>
    <cellStyle name="ac 2 2 2 5 4 5" xfId="38184"/>
    <cellStyle name="Afjusted 2 2 2 5 4 5" xfId="38185"/>
    <cellStyle name="Bold/Border 2 2 2 5 4 5" xfId="38186"/>
    <cellStyle name="COL HEADINGS 2 2 2 5 4 5" xfId="38187"/>
    <cellStyle name="Date [mmm-yyyy] 2 2 2 5 4 5" xfId="38188"/>
    <cellStyle name="dp*NumberLine 2 2 2 5 4 5" xfId="38189"/>
    <cellStyle name="dp*NumberLineEPS 2 2 2 5 4 5" xfId="38190"/>
    <cellStyle name="dp*SheetSubTitle 2 2 2 5 4 5" xfId="38191"/>
    <cellStyle name="Heading [Helv] 2 2 2 5 4 5" xfId="38192"/>
    <cellStyle name="Heading [Palat] 2 2 2 5 4 5" xfId="38193"/>
    <cellStyle name="Magic 2 2 2 5 4 5" xfId="38194"/>
    <cellStyle name="Outputs 2 2 2 5 4 5" xfId="38195"/>
    <cellStyle name="Table Head Aligned 2 2 2 5 4 5" xfId="38196"/>
    <cellStyle name="Table Head Green 2 2 2 5 4 5" xfId="38197"/>
    <cellStyle name="Title [Helv] 2 2 2 5 4 5" xfId="38198"/>
    <cellStyle name="Title [Palat] 2 2 2 5 4 5" xfId="38199"/>
    <cellStyle name="Table Head Green 2 2 3 4 2 4 5" xfId="38200"/>
    <cellStyle name="Heading [Palat] 2 2 3 4 2 4 5" xfId="38201"/>
    <cellStyle name="PB Table Standard Row 2 3 2 4 5" xfId="38202"/>
    <cellStyle name="P-Green Rule 2 3 2 4 5" xfId="38203"/>
    <cellStyle name="Title [Palat] 2 2 3 2 2 4 5" xfId="38204"/>
    <cellStyle name="Title [Helv] 2 2 3 2 2 4 5" xfId="38205"/>
    <cellStyle name="Table Head Green 2 2 3 2 2 4 5" xfId="38206"/>
    <cellStyle name="Table Head Aligned 2 2 3 2 2 4 5" xfId="38207"/>
    <cellStyle name="Outputs 2 2 3 2 2 4 5" xfId="38208"/>
    <cellStyle name="Magic 2 2 3 2 2 4 5" xfId="38209"/>
    <cellStyle name="Heading [Palat] 2 2 3 2 2 4 5" xfId="38210"/>
    <cellStyle name="Heading [Helv] 2 2 3 2 2 4 5" xfId="38211"/>
    <cellStyle name="dp*SheetSubTitle 2 2 3 2 2 4 5" xfId="38212"/>
    <cellStyle name="dp*NumberLineEPS 2 2 3 2 2 4 5" xfId="38213"/>
    <cellStyle name="dp*NumberLine 2 2 3 2 2 4 5" xfId="38214"/>
    <cellStyle name="Date [mmm-yyyy] 2 2 3 2 2 4 5" xfId="38215"/>
    <cellStyle name="COL HEADINGS 2 2 3 2 2 4 5" xfId="38216"/>
    <cellStyle name="Bold/Border 2 2 3 2 2 4 5" xfId="38217"/>
    <cellStyle name="Afjusted 2 2 3 2 2 4 5" xfId="38218"/>
    <cellStyle name="ac 2 2 3 2 2 4 5" xfId="38219"/>
    <cellStyle name="Afjusted 4 3 2 2 4 5" xfId="38220"/>
    <cellStyle name="Border Thin 3 3 2 2 4 5" xfId="38221"/>
    <cellStyle name="dp*SubTitle 3 3 2 2 4 5" xfId="38222"/>
    <cellStyle name="dp*ThinLineBelow 3 3 2 2 4 5" xfId="38223"/>
    <cellStyle name="PB Table Standard Row 3 3 2 2 4 5" xfId="38224"/>
    <cellStyle name="P-Green Rule 3 3 2 2 4 5" xfId="38225"/>
    <cellStyle name="Style 44 4 3 2 2 4 5" xfId="38226"/>
    <cellStyle name="Style 45 4 3 2 2 4 5" xfId="38227"/>
    <cellStyle name="Style 49 4 3 2 2 4 5" xfId="38228"/>
    <cellStyle name="Style 51 4 3 2 2 4 5" xfId="38229"/>
    <cellStyle name="Date [mm-d-yyyy] 3 3 2 2 4 5" xfId="38230"/>
    <cellStyle name="Afjusted 3 3 2 2 4 5" xfId="38231"/>
    <cellStyle name="Date [mm-d-yyyy] 3 5 2 4 5" xfId="38232"/>
    <cellStyle name="dp*SubTitle 2 3 2 4 5" xfId="38233"/>
    <cellStyle name="Date [mm-d-yyyy] 2 2 2 2 4 5" xfId="38234"/>
    <cellStyle name="Afjusted 3 2 2 2 4 5" xfId="38235"/>
    <cellStyle name="PB Table Standard Row 3 5 2 4 5" xfId="38236"/>
    <cellStyle name="Date [mm-d-yyyy] 3 2 2 2 4 5" xfId="38237"/>
    <cellStyle name="Style 51 4 2 2 2 4 5" xfId="38238"/>
    <cellStyle name="Style 49 4 2 2 2 4 5" xfId="38239"/>
    <cellStyle name="Style 45 4 2 2 2 4 5" xfId="38240"/>
    <cellStyle name="Style 44 4 2 2 2 4 5" xfId="38241"/>
    <cellStyle name="Style 45 4 5 2 4 5" xfId="38242"/>
    <cellStyle name="P-Green Rule 3 2 2 2 4 5" xfId="38243"/>
    <cellStyle name="PB Table Standard Row 3 2 2 2 4 5" xfId="38244"/>
    <cellStyle name="dp*ThinLineBelow 3 2 2 2 4 5" xfId="38245"/>
    <cellStyle name="dp*SubTitle 3 2 2 2 4 5" xfId="38246"/>
    <cellStyle name="Style 51 4 5 2 4 5" xfId="38247"/>
    <cellStyle name="Border Thin 3 2 2 2 4 5" xfId="38248"/>
    <cellStyle name="Afjusted 4 2 2 2 4 5" xfId="38249"/>
    <cellStyle name="ac 2 2 2 2 2 4 5" xfId="38250"/>
    <cellStyle name="Afjusted 2 2 2 2 2 4 5" xfId="38251"/>
    <cellStyle name="Bold/Border 2 2 2 2 2 4 5" xfId="38252"/>
    <cellStyle name="COL HEADINGS 2 2 2 2 2 4 5" xfId="38253"/>
    <cellStyle name="Date [mmm-yyyy] 2 2 2 2 2 4 5" xfId="38254"/>
    <cellStyle name="dp*NumberLine 2 2 2 2 2 4 5" xfId="38255"/>
    <cellStyle name="dp*NumberLineEPS 2 2 2 2 2 4 5" xfId="38256"/>
    <cellStyle name="dp*SheetSubTitle 2 2 2 2 2 4 5" xfId="38257"/>
    <cellStyle name="Heading [Helv] 2 2 2 2 2 4 5" xfId="38258"/>
    <cellStyle name="Heading [Palat] 2 2 2 2 2 4 5" xfId="38259"/>
    <cellStyle name="Magic 2 2 2 2 2 4 5" xfId="38260"/>
    <cellStyle name="Outputs 2 2 2 2 2 4 5" xfId="38261"/>
    <cellStyle name="Table Head Aligned 2 2 2 2 2 4 5" xfId="38262"/>
    <cellStyle name="Table Head Green 2 2 2 2 2 4 5" xfId="38263"/>
    <cellStyle name="Title [Helv] 2 2 2 2 2 4 5" xfId="38264"/>
    <cellStyle name="Title [Palat] 2 2 2 2 2 4 5" xfId="38265"/>
    <cellStyle name="dp*ThinLineBelow 3 5 2 4 5" xfId="38266"/>
    <cellStyle name="Date [mm-d-yyyy] 2 2 3 2 4 5" xfId="38267"/>
    <cellStyle name="Afjusted 3 2 3 2 4 5" xfId="38268"/>
    <cellStyle name="Date [mm-d-yyyy] 3 2 3 2 4 5" xfId="38269"/>
    <cellStyle name="Style 51 4 2 3 2 4 5" xfId="38270"/>
    <cellStyle name="Style 49 4 2 3 2 4 5" xfId="38271"/>
    <cellStyle name="Style 45 4 2 3 2 4 5" xfId="38272"/>
    <cellStyle name="Style 44 4 2 3 2 4 5" xfId="38273"/>
    <cellStyle name="P-Green Rule 3 2 3 2 4 5" xfId="38274"/>
    <cellStyle name="PB Table Standard Row 3 2 3 2 4 5" xfId="38275"/>
    <cellStyle name="dp*ThinLineBelow 3 2 3 2 4 5" xfId="38276"/>
    <cellStyle name="dp*SubTitle 3 2 3 2 4 5" xfId="38277"/>
    <cellStyle name="Border Thin 3 2 3 2 4 5" xfId="38278"/>
    <cellStyle name="Afjusted 4 2 3 2 4 5" xfId="38279"/>
    <cellStyle name="ac 2 2 2 3 2 4 5" xfId="38280"/>
    <cellStyle name="Afjusted 2 2 2 3 2 4 5" xfId="38281"/>
    <cellStyle name="Bold/Border 2 2 2 3 2 4 5" xfId="38282"/>
    <cellStyle name="COL HEADINGS 2 2 2 3 2 4 5" xfId="38283"/>
    <cellStyle name="Date [mmm-yyyy] 2 2 2 3 2 4 5" xfId="38284"/>
    <cellStyle name="dp*NumberLine 2 2 2 3 2 4 5" xfId="38285"/>
    <cellStyle name="dp*NumberLineEPS 2 2 2 3 2 4 5" xfId="38286"/>
    <cellStyle name="dp*SheetSubTitle 2 2 2 3 2 4 5" xfId="38287"/>
    <cellStyle name="Heading [Helv] 2 2 2 3 2 4 5" xfId="38288"/>
    <cellStyle name="Heading [Palat] 2 2 2 3 2 4 5" xfId="38289"/>
    <cellStyle name="Magic 2 2 2 3 2 4 5" xfId="38290"/>
    <cellStyle name="Outputs 2 2 2 3 2 4 5" xfId="38291"/>
    <cellStyle name="Table Head Aligned 2 2 2 3 2 4 5" xfId="38292"/>
    <cellStyle name="Table Head Green 2 2 2 3 2 4 5" xfId="38293"/>
    <cellStyle name="Title [Helv] 2 2 2 3 2 4 5" xfId="38294"/>
    <cellStyle name="Title [Palat] 2 2 2 3 2 4 5" xfId="38295"/>
    <cellStyle name="Afjusted 3 2 4 2 4 5" xfId="38296"/>
    <cellStyle name="Date [mm-d-yyyy] 3 2 4 2 4 5" xfId="38297"/>
    <cellStyle name="Style 51 4 2 4 2 4 5" xfId="38298"/>
    <cellStyle name="Style 49 4 2 4 2 4 5" xfId="38299"/>
    <cellStyle name="Style 45 4 2 4 2 4 5" xfId="38300"/>
    <cellStyle name="Style 44 4 2 4 2 4 5" xfId="38301"/>
    <cellStyle name="P-Green Rule 3 2 4 2 4 5" xfId="38302"/>
    <cellStyle name="PB Table Standard Row 3 2 4 2 4 5" xfId="38303"/>
    <cellStyle name="dp*ThinLineBelow 3 2 4 2 4 5" xfId="38304"/>
    <cellStyle name="dp*SubTitle 3 2 4 2 4 5" xfId="38305"/>
    <cellStyle name="Border Thin 3 2 4 2 4 5" xfId="38306"/>
    <cellStyle name="Afjusted 4 2 4 2 4 5" xfId="38307"/>
    <cellStyle name="ac 2 2 2 4 2 4 5" xfId="38308"/>
    <cellStyle name="Afjusted 2 2 2 4 2 4 5" xfId="38309"/>
    <cellStyle name="Bold/Border 2 2 2 4 2 4 5" xfId="38310"/>
    <cellStyle name="COL HEADINGS 2 2 2 4 2 4 5" xfId="38311"/>
    <cellStyle name="Date [mmm-yyyy] 2 2 2 4 2 4 5" xfId="38312"/>
    <cellStyle name="dp*NumberLine 2 2 2 4 2 4 5" xfId="38313"/>
    <cellStyle name="dp*NumberLineEPS 2 2 2 4 2 4 5" xfId="38314"/>
    <cellStyle name="dp*SheetSubTitle 2 2 2 4 2 4 5" xfId="38315"/>
    <cellStyle name="Heading [Helv] 2 2 2 4 2 4 5" xfId="38316"/>
    <cellStyle name="Heading [Palat] 2 2 2 4 2 4 5" xfId="38317"/>
    <cellStyle name="Magic 2 2 2 4 2 4 5" xfId="38318"/>
    <cellStyle name="Outputs 2 2 2 4 2 4 5" xfId="38319"/>
    <cellStyle name="Table Head Aligned 2 2 2 4 2 4 5" xfId="38320"/>
    <cellStyle name="Table Head Green 2 2 2 4 2 4 5" xfId="38321"/>
    <cellStyle name="Title [Helv] 2 2 2 4 2 4 5" xfId="38322"/>
    <cellStyle name="Title [Palat] 2 2 2 4 2 4 5" xfId="38323"/>
    <cellStyle name="Border Thin 4 2 4 5" xfId="38324"/>
    <cellStyle name="Date [mm-d-yyyy] 4 2 4 5" xfId="38325"/>
    <cellStyle name="dp*SubTitle 4 2 4 5" xfId="38326"/>
    <cellStyle name="dp*ThinLineBelow 4 2 4 5" xfId="38327"/>
    <cellStyle name="PB Table Standard Row 4 2 4 5" xfId="38328"/>
    <cellStyle name="P-Green Rule 4 2 4 5" xfId="38329"/>
    <cellStyle name="Style 44 5 2 4 5" xfId="38330"/>
    <cellStyle name="Style 45 5 2 4 5" xfId="38331"/>
    <cellStyle name="Style 49 5 2 4 5" xfId="38332"/>
    <cellStyle name="Style 51 5 2 4 5" xfId="38333"/>
    <cellStyle name="Title [Palat] 3 2 4 5" xfId="38334"/>
    <cellStyle name="Title [Helv] 3 2 4 5" xfId="38335"/>
    <cellStyle name="Table Head Green 3 2 4 5" xfId="38336"/>
    <cellStyle name="Table Head Aligned 3 2 4 5" xfId="38337"/>
    <cellStyle name="Outputs 3 2 4 5" xfId="38338"/>
    <cellStyle name="Magic 3 2 4 5" xfId="38339"/>
    <cellStyle name="Heading [Palat] 3 2 4 5" xfId="38340"/>
    <cellStyle name="Heading [Helv] 3 2 4 5" xfId="38341"/>
    <cellStyle name="dp*SheetSubTitle 3 2 4 5" xfId="38342"/>
    <cellStyle name="dp*NumberLineEPS 3 2 4 5" xfId="38343"/>
    <cellStyle name="dp*NumberLine 3 2 4 5" xfId="38344"/>
    <cellStyle name="COL HEADINGS 3 2 4 5" xfId="38345"/>
    <cellStyle name="Bold/Border 3 2 4 5" xfId="38346"/>
    <cellStyle name="Afjusted 5 2 4 5" xfId="38347"/>
    <cellStyle name="ac 3 2 4 5" xfId="38348"/>
    <cellStyle name="Date [mmm-yyyy] 3 2 4 5" xfId="38349"/>
    <cellStyle name="ac 2 4 2 4 5" xfId="38350"/>
    <cellStyle name="Afjusted 2 3 2 4 5" xfId="38351"/>
    <cellStyle name="Bold/Border 2 4 2 4 5" xfId="38352"/>
    <cellStyle name="Border Thin 2 4 2 4 5" xfId="38353"/>
    <cellStyle name="COL HEADINGS 2 4 2 4 5" xfId="38354"/>
    <cellStyle name="Date [mmm-yyyy] 2 4 2 4 5" xfId="38355"/>
    <cellStyle name="dp*NumberLine 2 4 2 4 5" xfId="38356"/>
    <cellStyle name="dp*NumberLineEPS 2 4 2 4 5" xfId="38357"/>
    <cellStyle name="dp*SheetSubTitle 2 4 2 4 5" xfId="38358"/>
    <cellStyle name="dp*SubTitle 2 4 2 4 5" xfId="38359"/>
    <cellStyle name="dp*ThinLineBelow 2 4 2 4 5" xfId="38360"/>
    <cellStyle name="Heading [Helv] 2 4 2 4 5" xfId="38361"/>
    <cellStyle name="Heading [Palat] 2 4 2 4 5" xfId="38362"/>
    <cellStyle name="Magic 2 4 2 4 5" xfId="38363"/>
    <cellStyle name="Outputs 2 4 2 4 5" xfId="38364"/>
    <cellStyle name="PB Table Standard Row 2 4 2 4 5" xfId="38365"/>
    <cellStyle name="P-Green Rule 2 4 2 4 5" xfId="38366"/>
    <cellStyle name="Style 44 3 4 2 4 5" xfId="38367"/>
    <cellStyle name="Style 45 3 4 2 4 5" xfId="38368"/>
    <cellStyle name="Style 49 3 4 2 4 5" xfId="38369"/>
    <cellStyle name="Style 51 3 4 2 4 5" xfId="38370"/>
    <cellStyle name="Style 44 2 4 2 4 5" xfId="38371"/>
    <cellStyle name="Style 45 2 4 2 4 5" xfId="38372"/>
    <cellStyle name="Style 49 2 4 2 4 5" xfId="38373"/>
    <cellStyle name="Style 51 2 4 2 4 5" xfId="38374"/>
    <cellStyle name="Table Head Aligned 2 4 2 4 5" xfId="38375"/>
    <cellStyle name="Table Head Green 2 4 2 4 5" xfId="38376"/>
    <cellStyle name="Title [Helv] 2 4 2 4 5" xfId="38377"/>
    <cellStyle name="Title [Palat] 2 4 2 4 5" xfId="38378"/>
    <cellStyle name="ac 4 2 4 5" xfId="38379"/>
    <cellStyle name="Bold/Border 4 2 4 5" xfId="38380"/>
    <cellStyle name="Border Thin 5 2 4 5" xfId="38381"/>
    <cellStyle name="COL HEADINGS 4 2 4 5" xfId="38382"/>
    <cellStyle name="Date [mm-d-yyyy] 5 2 4 5" xfId="38383"/>
    <cellStyle name="Heading [Helv] 4 2 4 5" xfId="38384"/>
    <cellStyle name="Heading [Palat] 4 2 4 5" xfId="38385"/>
    <cellStyle name="Outputs 4 2 4 5" xfId="38386"/>
    <cellStyle name="PB Table Standard Row 5 2 4 5" xfId="38387"/>
    <cellStyle name="P-Green Rule 5 2 4 5" xfId="38388"/>
    <cellStyle name="Style 44 6 2 4 5" xfId="38389"/>
    <cellStyle name="Style 45 6 2 4 5" xfId="38390"/>
    <cellStyle name="Style 49 6 2 4 5" xfId="38391"/>
    <cellStyle name="Style 51 6 2 4 5" xfId="38392"/>
    <cellStyle name="Table Head Green 4 2 4 5" xfId="38393"/>
    <cellStyle name="Afjusted 6 2 4 5" xfId="38394"/>
    <cellStyle name="ac 2 5 2 4 5" xfId="38395"/>
    <cellStyle name="Afjusted 2 4 2 4 5" xfId="38396"/>
    <cellStyle name="Bold/Border 2 5 2 4 5" xfId="38397"/>
    <cellStyle name="Border Thin 2 5 2 4 5" xfId="38398"/>
    <cellStyle name="COL HEADINGS 2 5 2 4 5" xfId="38399"/>
    <cellStyle name="Date [mmm-yyyy] 2 5 2 4 5" xfId="38400"/>
    <cellStyle name="dp*NumberLine 2 5 2 4 5" xfId="38401"/>
    <cellStyle name="dp*NumberLineEPS 2 5 2 4 5" xfId="38402"/>
    <cellStyle name="dp*SheetSubTitle 2 5 2 4 5" xfId="38403"/>
    <cellStyle name="dp*SubTitle 2 5 2 4 5" xfId="38404"/>
    <cellStyle name="dp*ThinLineBelow 2 5 2 4 5" xfId="38405"/>
    <cellStyle name="Heading [Helv] 2 5 2 4 5" xfId="38406"/>
    <cellStyle name="Heading [Palat] 2 5 2 4 5" xfId="38407"/>
    <cellStyle name="Magic 2 5 2 4 5" xfId="38408"/>
    <cellStyle name="Outputs 2 5 2 4 5" xfId="38409"/>
    <cellStyle name="PB Table Standard Row 2 5 2 4 5" xfId="38410"/>
    <cellStyle name="P-Green Rule 2 5 2 4 5" xfId="38411"/>
    <cellStyle name="Style 44 3 5 2 4 5" xfId="38412"/>
    <cellStyle name="Style 45 3 5 2 4 5" xfId="38413"/>
    <cellStyle name="Style 49 3 5 2 4 5" xfId="38414"/>
    <cellStyle name="Style 51 3 5 2 4 5" xfId="38415"/>
    <cellStyle name="Style 44 2 5 2 4 5" xfId="38416"/>
    <cellStyle name="Style 45 2 5 2 4 5" xfId="38417"/>
    <cellStyle name="Style 49 2 5 2 4 5" xfId="38418"/>
    <cellStyle name="Style 51 2 5 2 4 5" xfId="38419"/>
    <cellStyle name="Table Head Aligned 2 5 2 4 5" xfId="38420"/>
    <cellStyle name="Table Head Green 2 5 2 4 5" xfId="38421"/>
    <cellStyle name="Title [Helv] 2 5 2 4 5" xfId="38422"/>
    <cellStyle name="Title [Palat] 2 5 2 4 5" xfId="38423"/>
    <cellStyle name="ac 5 2 4 5" xfId="38424"/>
    <cellStyle name="Bold/Border 5 2 4 5" xfId="38425"/>
    <cellStyle name="Border Thin 6 2 4 5" xfId="38426"/>
    <cellStyle name="COL HEADINGS 5 2 4 5" xfId="38427"/>
    <cellStyle name="Heading [Helv] 5 2 4 5" xfId="38428"/>
    <cellStyle name="Heading [Palat] 5 2 4 5" xfId="38429"/>
    <cellStyle name="Outputs 5 2 4 5" xfId="38430"/>
    <cellStyle name="PB Table Standard Row 6 2 4 5" xfId="38431"/>
    <cellStyle name="P-Green Rule 6 2 4 5" xfId="38432"/>
    <cellStyle name="Style 44 7 2 4 5" xfId="38433"/>
    <cellStyle name="Style 45 7 2 4 5" xfId="38434"/>
    <cellStyle name="Style 49 7 2 4 5" xfId="38435"/>
    <cellStyle name="Style 51 7 2 4 5" xfId="38436"/>
    <cellStyle name="Table Head Green 5 2 4 5" xfId="38437"/>
    <cellStyle name="Title [Palat] 4 2 4 5" xfId="38438"/>
    <cellStyle name="ac 2 6 2 4 5" xfId="38439"/>
    <cellStyle name="Bold/Border 2 6 2 4 5" xfId="38440"/>
    <cellStyle name="Border Thin 2 6 2 4 5" xfId="38441"/>
    <cellStyle name="COL HEADINGS 2 6 2 4 5" xfId="38442"/>
    <cellStyle name="Heading [Helv] 2 6 2 4 5" xfId="38443"/>
    <cellStyle name="Heading [Palat] 2 6 2 4 5" xfId="38444"/>
    <cellStyle name="Outputs 2 6 2 4 5" xfId="38445"/>
    <cellStyle name="PB Table Standard Row 2 6 2 4 5" xfId="38446"/>
    <cellStyle name="P-Green Rule 2 6 2 4 5" xfId="38447"/>
    <cellStyle name="Style 44 3 6 2 4 5" xfId="38448"/>
    <cellStyle name="Style 45 3 6 2 4 5" xfId="38449"/>
    <cellStyle name="Style 49 3 6 2 4 5" xfId="38450"/>
    <cellStyle name="Style 51 3 6 2 4 5" xfId="38451"/>
    <cellStyle name="Style 44 2 6 2 4 5" xfId="38452"/>
    <cellStyle name="Style 45 2 6 2 4 5" xfId="38453"/>
    <cellStyle name="Style 49 2 6 2 4 5" xfId="38454"/>
    <cellStyle name="Style 51 2 6 2 4 5" xfId="38455"/>
    <cellStyle name="Table Head Green 2 6 2 4 5" xfId="38456"/>
    <cellStyle name="Title [Palat] 2 6 2 4 5" xfId="38457"/>
    <cellStyle name="Title [Palat] 5 2 4 5" xfId="38458"/>
    <cellStyle name="Title [Helv] 4 2 4 5" xfId="38459"/>
    <cellStyle name="Table Head Green 6 2 4 5" xfId="38460"/>
    <cellStyle name="Table Head Aligned 4 2 4 5" xfId="38461"/>
    <cellStyle name="Style 51 9 2 4 5" xfId="38462"/>
    <cellStyle name="Style 49 9 2 4 5" xfId="38463"/>
    <cellStyle name="Style 45 9 2 4 5" xfId="38464"/>
    <cellStyle name="Style 44 9 2 4 5" xfId="38465"/>
    <cellStyle name="P-Green Rule 7 2 4 5" xfId="38466"/>
    <cellStyle name="PB Table Standard Row 7 2 4 5" xfId="38467"/>
    <cellStyle name="Outputs 6 2 4 5" xfId="38468"/>
    <cellStyle name="Magic 4 2 4 5" xfId="38469"/>
    <cellStyle name="Heading [Palat] 6 2 4 5" xfId="38470"/>
    <cellStyle name="Heading [Helv] 6 2 4 5" xfId="38471"/>
    <cellStyle name="dp*ThinLineBelow 5 2 4 5" xfId="38472"/>
    <cellStyle name="dp*SubTitle 5 2 4 5" xfId="38473"/>
    <cellStyle name="dp*SheetSubTitle 4 2 4 5" xfId="38474"/>
    <cellStyle name="dp*NumberLineEPS 4 2 4 5" xfId="38475"/>
    <cellStyle name="dp*NumberLine 4 2 4 5" xfId="38476"/>
    <cellStyle name="Date [mmm-yyyy] 4 2 4 5" xfId="38477"/>
    <cellStyle name="Date [mm-d-yyyy] 7 2 4 5" xfId="38478"/>
    <cellStyle name="COL HEADINGS 6 2 4 5" xfId="38479"/>
    <cellStyle name="Border Thin 7 2 4 5" xfId="38480"/>
    <cellStyle name="Bold/Border 6 2 4 5" xfId="38481"/>
    <cellStyle name="Afjusted 7 2 4 5" xfId="38482"/>
    <cellStyle name="ac 6 2 4 5" xfId="38483"/>
    <cellStyle name="Style 44 8 2 4 5" xfId="38484"/>
    <cellStyle name="Style 45 8 2 4 5" xfId="38485"/>
    <cellStyle name="Style 49 8 2 4 5" xfId="38486"/>
    <cellStyle name="Style 51 8 2 4 5" xfId="38487"/>
    <cellStyle name="Title [Palat] 6 2 4 5" xfId="38488"/>
    <cellStyle name="Title [Helv] 5 2 4 5" xfId="38489"/>
    <cellStyle name="Table Head Green 7 2 4 5" xfId="38490"/>
    <cellStyle name="Table Head Aligned 5 2 4 5" xfId="38491"/>
    <cellStyle name="Outputs 7 2 4 5" xfId="38492"/>
    <cellStyle name="Magic 5 2 4 5" xfId="38493"/>
    <cellStyle name="Heading [Palat] 7 2 4 5" xfId="38494"/>
    <cellStyle name="Heading [Helv] 7 2 4 5" xfId="38495"/>
    <cellStyle name="dp*SheetSubTitle 5 2 4 5" xfId="38496"/>
    <cellStyle name="dp*NumberLineEPS 5 2 4 5" xfId="38497"/>
    <cellStyle name="dp*NumberLine 5 2 4 5" xfId="38498"/>
    <cellStyle name="Date [mmm-yyyy] 5 2 4 5" xfId="38499"/>
    <cellStyle name="COL HEADINGS 7 2 4 5" xfId="38500"/>
    <cellStyle name="Bold/Border 7 2 4 5" xfId="38501"/>
    <cellStyle name="Afjusted 8 2 4 5" xfId="38502"/>
    <cellStyle name="ac 7 2 4 5" xfId="38503"/>
    <cellStyle name="Title [Palat] 7 2 4 5" xfId="38504"/>
    <cellStyle name="Title [Helv] 6 2 4 5" xfId="38505"/>
    <cellStyle name="Table Head Green 8 2 4 5" xfId="38506"/>
    <cellStyle name="Table Head Aligned 6 2 4 5" xfId="38507"/>
    <cellStyle name="Outputs 8 2 4 5" xfId="38508"/>
    <cellStyle name="Magic 6 2 4 5" xfId="38509"/>
    <cellStyle name="Heading [Palat] 8 2 4 5" xfId="38510"/>
    <cellStyle name="Heading [Helv] 8 2 4 5" xfId="38511"/>
    <cellStyle name="dp*SheetSubTitle 6 2 4 5" xfId="38512"/>
    <cellStyle name="dp*NumberLineEPS 6 2 4 5" xfId="38513"/>
    <cellStyle name="dp*NumberLine 6 2 4 5" xfId="38514"/>
    <cellStyle name="COL HEADINGS 8 2 4 5" xfId="38515"/>
    <cellStyle name="Bold/Border 8 2 4 5" xfId="38516"/>
    <cellStyle name="Afjusted 9 2 4 5" xfId="38517"/>
    <cellStyle name="ac 8 2 4 5" xfId="38518"/>
    <cellStyle name="Date [mmm-yyyy] 6 2 4 5" xfId="38519"/>
    <cellStyle name="Title [Palat] 8 2 4 5" xfId="38520"/>
    <cellStyle name="Title [Helv] 7 2 4 5" xfId="38521"/>
    <cellStyle name="Table Head Green 9 2 4 5" xfId="38522"/>
    <cellStyle name="Table Head Aligned 7 2 4 5" xfId="38523"/>
    <cellStyle name="Outputs 9 2 4 5" xfId="38524"/>
    <cellStyle name="Magic 7 2 4 5" xfId="38525"/>
    <cellStyle name="Heading [Palat] 9 2 4 5" xfId="38526"/>
    <cellStyle name="Heading [Helv] 9 2 4 5" xfId="38527"/>
    <cellStyle name="dp*SheetSubTitle 7 2 4 5" xfId="38528"/>
    <cellStyle name="dp*NumberLineEPS 7 2 4 5" xfId="38529"/>
    <cellStyle name="dp*NumberLine 7 2 4 5" xfId="38530"/>
    <cellStyle name="Date [mmm-yyyy] 7 2 4 5" xfId="38531"/>
    <cellStyle name="COL HEADINGS 9 2 4 5" xfId="38532"/>
    <cellStyle name="Bold/Border 9 2 4 5" xfId="38533"/>
    <cellStyle name="Afjusted 10 2 4 5" xfId="38534"/>
    <cellStyle name="ac 9 2 4 5" xfId="38535"/>
    <cellStyle name="Afjusted 3 8 6" xfId="38536"/>
    <cellStyle name="Bold/Border 2 2 2 2 4 6" xfId="38537"/>
    <cellStyle name="Outputs 2 9 6" xfId="38538"/>
    <cellStyle name="Table Head Green 2 2 3 2 4 6" xfId="38539"/>
    <cellStyle name="PB Table Standard Row 5 4 6" xfId="38540"/>
    <cellStyle name="Outputs 4 4 6" xfId="38541"/>
    <cellStyle name="Heading [Palat] 4 4 6" xfId="38542"/>
    <cellStyle name="Heading [Helv] 4 4 6" xfId="38543"/>
    <cellStyle name="COL HEADINGS 4 4 6" xfId="38544"/>
    <cellStyle name="Border Thin 5 4 6" xfId="38545"/>
    <cellStyle name="Title [Helv] 2 4 4 6" xfId="38546"/>
    <cellStyle name="Style 51 2 4 4 6" xfId="38547"/>
    <cellStyle name="ac 3 4 6" xfId="38548"/>
    <cellStyle name="Afjusted 5 4 6" xfId="38549"/>
    <cellStyle name="COL HEADINGS 3 4 6" xfId="38550"/>
    <cellStyle name="Arial6Bold 9 5" xfId="38551"/>
    <cellStyle name="Arial8Bold 9 5" xfId="38552"/>
    <cellStyle name="Arial8Italic 9 5" xfId="38553"/>
    <cellStyle name="ArialNormal 9 5" xfId="38554"/>
    <cellStyle name="Table Head Green 3 4 6" xfId="38555"/>
    <cellStyle name="Border 7 5" xfId="38556"/>
    <cellStyle name="Style 51 5 4 6" xfId="38557"/>
    <cellStyle name="Style 49 5 4 6" xfId="38558"/>
    <cellStyle name="Style 45 5 4 6" xfId="38559"/>
    <cellStyle name="Style 44 5 4 6" xfId="38560"/>
    <cellStyle name="dp*ThinLineBelow 4 4 6" xfId="38561"/>
    <cellStyle name="Title [Helv] 2 2 2 4 4 6" xfId="38562"/>
    <cellStyle name="Outputs 2 2 2 4 4 6" xfId="38563"/>
    <cellStyle name="Magic 2 2 2 4 4 6" xfId="38564"/>
    <cellStyle name="dp*NumberLine 2 2 2 4 4 6" xfId="38565"/>
    <cellStyle name="Bold/Border 2 2 2 4 4 6" xfId="38566"/>
    <cellStyle name="Afjusted 2 2 2 4 4 6" xfId="38567"/>
    <cellStyle name="Border Thin 3 2 4 4 6" xfId="38568"/>
    <cellStyle name="dp*SubTitle 3 2 4 4 6" xfId="38569"/>
    <cellStyle name="Style 45 4 2 4 4 6" xfId="38570"/>
    <cellStyle name="Style 49 4 2 4 4 6" xfId="38571"/>
    <cellStyle name="Style 51 4 2 4 4 6" xfId="38572"/>
    <cellStyle name="Title [Palat] 2 2 2 3 4 6" xfId="38573"/>
    <cellStyle name="Title [Helv] 2 2 2 3 4 6" xfId="38574"/>
    <cellStyle name="Table Head Green 2 2 2 3 4 6" xfId="38575"/>
    <cellStyle name="Outputs 2 2 2 3 4 6" xfId="38576"/>
    <cellStyle name="Heading [Helv] 2 2 2 3 4 6" xfId="38577"/>
    <cellStyle name="dp*NumberLine 2 2 2 3 4 6" xfId="38578"/>
    <cellStyle name="Bold/Border 2 2 2 3 4 6" xfId="38579"/>
    <cellStyle name="Afjusted 4 2 3 4 6" xfId="38580"/>
    <cellStyle name="dp*ThinLineBelow 3 2 3 4 6" xfId="38581"/>
    <cellStyle name="Style 44 4 2 3 4 6" xfId="38582"/>
    <cellStyle name="Style 51 4 2 3 4 6" xfId="38583"/>
    <cellStyle name="Date [mm-d-yyyy] 2 2 3 4 6" xfId="38584"/>
    <cellStyle name="dp*ThinLineBelow 3 5 4 6" xfId="38585"/>
    <cellStyle name="Table Head Green 2 2 2 2 4 6" xfId="38586"/>
    <cellStyle name="Table Head Aligned 2 2 2 2 4 6" xfId="38587"/>
    <cellStyle name="Outputs 2 2 2 2 4 6" xfId="38588"/>
    <cellStyle name="Magic 2 2 2 2 4 6" xfId="38589"/>
    <cellStyle name="dp*ThinLineBelow 3 2 2 4 6" xfId="38590"/>
    <cellStyle name="dp*SubTitle 3 3 2 4 6" xfId="38591"/>
    <cellStyle name="Afjusted 2 2 3 2 4 6" xfId="38592"/>
    <cellStyle name="dp*NumberLineEPS 2 2 2 7 6" xfId="38593"/>
    <cellStyle name="dp*NumberLine 2 2 2 7 6" xfId="38594"/>
    <cellStyle name="Date [mmm-yyyy] 2 2 2 7 6" xfId="38595"/>
    <cellStyle name="COL HEADINGS 2 2 2 7 6" xfId="38596"/>
    <cellStyle name="ac 2 2 2 7 6" xfId="38597"/>
    <cellStyle name="Afjusted 4 2 7 6" xfId="38598"/>
    <cellStyle name="Date [mm-d-yyyy] 3 2 7 6" xfId="38599"/>
    <cellStyle name="Afjusted 3 3 7 6" xfId="38600"/>
    <cellStyle name="Style 49 4 3 7 6" xfId="38601"/>
    <cellStyle name="P-Green Rule 3 3 7 6" xfId="38602"/>
    <cellStyle name="dp*SubTitle 3 3 7 6" xfId="38603"/>
    <cellStyle name="Border Thin 3 3 7 6" xfId="38604"/>
    <cellStyle name="Afjusted 2 2 3 7 6" xfId="38605"/>
    <cellStyle name="Date [mmm-yyyy] 2 2 3 7 6" xfId="38606"/>
    <cellStyle name="dp*NumberLine 2 2 3 7 6" xfId="38607"/>
    <cellStyle name="dp*NumberLineEPS 2 2 3 7 6" xfId="38608"/>
    <cellStyle name="dp*SheetSubTitle 2 2 3 7 6" xfId="38609"/>
    <cellStyle name="Heading [Helv] 2 2 3 7 6" xfId="38610"/>
    <cellStyle name="Heading [Palat] 2 2 3 7 6" xfId="38611"/>
    <cellStyle name="Magic 2 2 3 7 6" xfId="38612"/>
    <cellStyle name="Outputs 2 2 3 7 6" xfId="38613"/>
    <cellStyle name="Table Head Aligned 2 2 3 7 6" xfId="38614"/>
    <cellStyle name="Table Head Green 2 2 3 7 6" xfId="38615"/>
    <cellStyle name="PB Table Standard Row 3 3 4 4 6" xfId="38616"/>
    <cellStyle name="DateYearEstimate 9 5" xfId="38617"/>
    <cellStyle name="DateYearWholeEstimate 9 5" xfId="38618"/>
    <cellStyle name="Style 44 4 3 4 4 6" xfId="38619"/>
    <cellStyle name="Afjusted 4 4 4 6" xfId="38620"/>
    <cellStyle name="dp*SubTitle 3 3 4 4 6" xfId="38621"/>
    <cellStyle name="dp*ThinLineBelow 3 3 4 4 6" xfId="38622"/>
    <cellStyle name="Style 44 4 4 4 6" xfId="38623"/>
    <cellStyle name="Style 51 4 4 4 6" xfId="38624"/>
    <cellStyle name="Date [mm-d-yyyy] 3 4 4 6" xfId="38625"/>
    <cellStyle name="Date [mm-d-yyyy] 3 3 3 4 6" xfId="38626"/>
    <cellStyle name="P-Green Rule 3 3 3 4 6" xfId="38627"/>
    <cellStyle name="dp*SheetSubTitle 2 2 3 3 4 6" xfId="38628"/>
    <cellStyle name="Heading [Palat] 2 2 3 3 4 6" xfId="38629"/>
    <cellStyle name="Table Head Green 2 2 3 3 4 6" xfId="38630"/>
    <cellStyle name="Table Head Green 2 2 4 4 6" xfId="38631"/>
    <cellStyle name="Table Head Aligned 2 2 4 4 6" xfId="38632"/>
    <cellStyle name="Heading [Helv] 2 2 4 4 6" xfId="38633"/>
    <cellStyle name="Style 51 2 3 4 6" xfId="38634"/>
    <cellStyle name="Style 49 3 3 4 6" xfId="38635"/>
    <cellStyle name="Border Thin 2 3 4 6" xfId="38636"/>
    <cellStyle name="P-Green Rule 3 3 4 4 6" xfId="38637"/>
    <cellStyle name="Afjusted 3 4 4 6" xfId="38638"/>
    <cellStyle name="Style 51 4 3 4 4 6" xfId="38639"/>
    <cellStyle name="Table Head Aligned 2 3 4 6" xfId="38640"/>
    <cellStyle name="Outputs 2 3 4 6" xfId="38641"/>
    <cellStyle name="Magic 2 3 4 6" xfId="38642"/>
    <cellStyle name="Heading [Palat] 2 3 4 6" xfId="38643"/>
    <cellStyle name="Heading [Helv] 2 3 4 6" xfId="38644"/>
    <cellStyle name="dp*SheetSubTitle 2 3 4 6" xfId="38645"/>
    <cellStyle name="dp*Number%ItalicsLineAbove 7 5" xfId="38646"/>
    <cellStyle name="dp*NumberLineEPS 2 3 4 6" xfId="38647"/>
    <cellStyle name="dp*SubTitle 3 5 4 6" xfId="38648"/>
    <cellStyle name="P-Green Rule 3 5 4 6" xfId="38649"/>
    <cellStyle name="dp*ThinLineAbove 7 5" xfId="38650"/>
    <cellStyle name="Style 44 4 5 4 6" xfId="38651"/>
    <cellStyle name="Style 49 4 5 4 6" xfId="38652"/>
    <cellStyle name="Afjusted 3 3 3 4 6" xfId="38653"/>
    <cellStyle name="Draw lines around data in range 9 5" xfId="38654"/>
    <cellStyle name="Draw shadow and lines within range 9 5" xfId="38655"/>
    <cellStyle name="Style 51 4 3 3 4 6" xfId="38656"/>
    <cellStyle name="Style 44 4 3 3 4 6" xfId="38657"/>
    <cellStyle name="Afjusted 4 3 3 4 6" xfId="38658"/>
    <cellStyle name="dp*NumberLineEPS 2 2 3 3 4 6" xfId="38659"/>
    <cellStyle name="Table Head Aligned 2 2 3 3 4 6" xfId="38660"/>
    <cellStyle name="Title [Helv] 2 2 3 3 4 6" xfId="38661"/>
    <cellStyle name="Title [Palat] 2 2 3 3 4 6" xfId="38662"/>
    <cellStyle name="Magic 2 2 4 4 6" xfId="38663"/>
    <cellStyle name="dp*SheetSubTitle 2 2 4 4 6" xfId="38664"/>
    <cellStyle name="dp*NumberLineEPS 2 2 4 4 6" xfId="38665"/>
    <cellStyle name="dp*NumberLine 2 2 4 4 6" xfId="38666"/>
    <cellStyle name="Date [mmm-yyyy] 2 2 4 4 6" xfId="38667"/>
    <cellStyle name="COL HEADINGS 2 2 4 4 6" xfId="38668"/>
    <cellStyle name="Bold/Border 2 2 4 4 6" xfId="38669"/>
    <cellStyle name="Outputs 2 2 3 4 4 6" xfId="38670"/>
    <cellStyle name="Heading [Helv] 2 2 3 4 4 6" xfId="38671"/>
    <cellStyle name="dp*NumberLine 2 2 3 4 4 6" xfId="38672"/>
    <cellStyle name="Date [mmm-yyyy] 2 2 3 4 4 6" xfId="38673"/>
    <cellStyle name="Afjusted 2 2 3 4 4 6" xfId="38674"/>
    <cellStyle name="Date [mm-d-yyyy] 3 3 4 4 6" xfId="38675"/>
    <cellStyle name="Style 49 4 3 4 4 6" xfId="38676"/>
    <cellStyle name="dp*ThinLineBelow 2 3 4 6" xfId="38677"/>
    <cellStyle name="PB Table Standard Row 2 2 4 6" xfId="38678"/>
    <cellStyle name="Style 45 3 2 4 6" xfId="38679"/>
    <cellStyle name="Style 44 2 2 4 6" xfId="38680"/>
    <cellStyle name="Style 51 2 2 4 6" xfId="38681"/>
    <cellStyle name="Format a row of totals 9 5" xfId="38682"/>
    <cellStyle name="Format text as bold, black on yellow 9 5" xfId="38683"/>
    <cellStyle name="Border Thin 2 2 4 6" xfId="38684"/>
    <cellStyle name="dp*SubTitle 2 2 4 6" xfId="38685"/>
    <cellStyle name="Title [Palat] 2 2 7 6" xfId="38686"/>
    <cellStyle name="Outputs 2 2 7 6" xfId="38687"/>
    <cellStyle name="Magic 2 2 7 6" xfId="38688"/>
    <cellStyle name="dp*NumberLineEPS 2 2 7 6" xfId="38689"/>
    <cellStyle name="Date [mmm-yyyy] 2 2 7 6" xfId="38690"/>
    <cellStyle name="ItemTypeClass 9 5" xfId="38691"/>
    <cellStyle name="Main 8 5" xfId="38692"/>
    <cellStyle name="Title [Helv] 2 8 6" xfId="38693"/>
    <cellStyle name="Table Head Green 2 9 6" xfId="38694"/>
    <cellStyle name="Table Head Aligned 2 8 6" xfId="38695"/>
    <cellStyle name="SAPBEXaggData 6 5" xfId="38696"/>
    <cellStyle name="SAPBEXaggDataEmph 6 5" xfId="38697"/>
    <cellStyle name="SAPBEXaggItem 6 5" xfId="38698"/>
    <cellStyle name="SAPBEXaggItemX 8 5" xfId="38699"/>
    <cellStyle name="SAPBEXexcBad7 6 5" xfId="38700"/>
    <cellStyle name="SAPBEXexcBad8 6 5" xfId="38701"/>
    <cellStyle name="SAPBEXexcBad9 6 5" xfId="38702"/>
    <cellStyle name="SAPBEXexcCritical4 6 5" xfId="38703"/>
    <cellStyle name="SAPBEXexcCritical5 6 5" xfId="38704"/>
    <cellStyle name="SAPBEXexcCritical6 6 5" xfId="38705"/>
    <cellStyle name="SAPBEXexcGood1 6 5" xfId="38706"/>
    <cellStyle name="SAPBEXexcGood2 6 5" xfId="38707"/>
    <cellStyle name="SAPBEXexcGood3 6 5" xfId="38708"/>
    <cellStyle name="SAPBEXformats 6 5" xfId="38709"/>
    <cellStyle name="SAPBEXHLevel0 8 5" xfId="38710"/>
    <cellStyle name="SAPBEXHLevel0X 8 5" xfId="38711"/>
    <cellStyle name="SAPBEXHLevel1 8 5" xfId="38712"/>
    <cellStyle name="SAPBEXHLevel1X 8 5" xfId="38713"/>
    <cellStyle name="SAPBEXHLevel2 8 5" xfId="38714"/>
    <cellStyle name="SAPBEXHLevel2X 8 5" xfId="38715"/>
    <cellStyle name="SAPBEXHLevel3 8 5" xfId="38716"/>
    <cellStyle name="SAPBEXHLevel3X 8 5" xfId="38717"/>
    <cellStyle name="SAPBEXresData 6 5" xfId="38718"/>
    <cellStyle name="SAPBEXresDataEmph 6 5" xfId="38719"/>
    <cellStyle name="SAPBEXresItem 6 5" xfId="38720"/>
    <cellStyle name="SAPBEXresItemX 8 5" xfId="38721"/>
    <cellStyle name="SAPBEXstdData 6 5" xfId="38722"/>
    <cellStyle name="SAPBEXstdDataEmph 6 5" xfId="38723"/>
    <cellStyle name="SAPBEXstdItem 6 5" xfId="38724"/>
    <cellStyle name="SAPBEXstdItemX 8 5" xfId="38725"/>
    <cellStyle name="SAPBEXtitle 6 5" xfId="38726"/>
    <cellStyle name="SAPBEXundefined 6 5" xfId="38727"/>
    <cellStyle name="SSComma0 6 5" xfId="38728"/>
    <cellStyle name="SSComma2 6 5" xfId="38729"/>
    <cellStyle name="SSDecs3 6 5" xfId="38730"/>
    <cellStyle name="SSDfltPct 6 5" xfId="38731"/>
    <cellStyle name="SSDfltPct0 6 5" xfId="38732"/>
    <cellStyle name="SSFixed2 6 5" xfId="38733"/>
    <cellStyle name="Style 21 9 5" xfId="38734"/>
    <cellStyle name="Style 22 9 5" xfId="38735"/>
    <cellStyle name="Style 24 7 5" xfId="38736"/>
    <cellStyle name="Style 25 7 5" xfId="38737"/>
    <cellStyle name="Style 26 7 5" xfId="38738"/>
    <cellStyle name="Style 27 7 5" xfId="38739"/>
    <cellStyle name="Style 28 7 5" xfId="38740"/>
    <cellStyle name="Style 35 9 5" xfId="38741"/>
    <cellStyle name="Style 36 9 5" xfId="38742"/>
    <cellStyle name="Style 37 9 5" xfId="38743"/>
    <cellStyle name="Style 40 9 5" xfId="38744"/>
    <cellStyle name="Style 42 9 5" xfId="38745"/>
    <cellStyle name="Style 43 9 5" xfId="38746"/>
    <cellStyle name="Style 48 9 5" xfId="38747"/>
    <cellStyle name="Style 50 9 5" xfId="38748"/>
    <cellStyle name="Style 52 9 5" xfId="38749"/>
    <cellStyle name="Style 53 9 5" xfId="38750"/>
    <cellStyle name="SymbolBlue 9 5" xfId="38751"/>
    <cellStyle name="UNLOCKED 36 5" xfId="38752"/>
    <cellStyle name="WingdingsBlack 9 5" xfId="38753"/>
    <cellStyle name="WingdingsRed 9 5" xfId="38754"/>
    <cellStyle name="WingdingsWhite 9 5" xfId="38755"/>
    <cellStyle name="COL HEADINGS 2 9 6" xfId="38756"/>
    <cellStyle name="Table Head Aligned 2 2 3 2 4 6" xfId="38757"/>
    <cellStyle name="Magic 3 4 6" xfId="38758"/>
    <cellStyle name="Style 49 3 8 6" xfId="38759"/>
    <cellStyle name="Table Head Aligned 3 4 6" xfId="38760"/>
    <cellStyle name="Heading [Palat] 2 2 2 2 4 6" xfId="38761"/>
    <cellStyle name="dp*SubTitle 2 3 4 6" xfId="38762"/>
    <cellStyle name="Date [mm-d-yyyy] 2 2 6 6" xfId="38763"/>
    <cellStyle name="Title [Helv] 2 2 2 7 6" xfId="38764"/>
    <cellStyle name="Date [mm-d-yyyy] 2 4 6" xfId="38765"/>
    <cellStyle name="dp*NumberLine 2 8 6" xfId="38766"/>
    <cellStyle name="Afjusted 3 7 6" xfId="38767"/>
    <cellStyle name="ac 2 8 6" xfId="38768"/>
    <cellStyle name="Afjusted 2 6 6" xfId="38769"/>
    <cellStyle name="Bold/Border 2 8 6" xfId="38770"/>
    <cellStyle name="COL HEADINGS 2 8 6" xfId="38771"/>
    <cellStyle name="Border Thin 3 3 2 4 6" xfId="38772"/>
    <cellStyle name="Date [mmm-yyyy] 2 7 6" xfId="38773"/>
    <cellStyle name="Style 45 4 3 3 4 6" xfId="38774"/>
    <cellStyle name="dp*NumberLine 2 3 4 6" xfId="38775"/>
    <cellStyle name="dp*NumberLine 2 7 6" xfId="38776"/>
    <cellStyle name="dp*NumberLineEPS 2 7 6" xfId="38777"/>
    <cellStyle name="dp*SheetSubTitle 2 7 6" xfId="38778"/>
    <cellStyle name="Afjusted 4 5 4 6" xfId="38779"/>
    <cellStyle name="dp*ThinLineBelow 2 6 6" xfId="38780"/>
    <cellStyle name="Millions 3 2 5" xfId="38781"/>
    <cellStyle name="Global 2 2 5" xfId="38782"/>
    <cellStyle name="Header2 2 3 5" xfId="38783"/>
    <cellStyle name="Heading [Helv] 2 8 6" xfId="38784"/>
    <cellStyle name="Heading [Palat] 2 8 6" xfId="38785"/>
    <cellStyle name="Millions 4 2 5" xfId="38786"/>
    <cellStyle name="Magic 2 7 6" xfId="38787"/>
    <cellStyle name="Millions 2 2 5" xfId="38788"/>
    <cellStyle name="COL HEADINGS 2 3 4 6" xfId="38789"/>
    <cellStyle name="dp*NumberLine 2 2 3 3 4 6" xfId="38790"/>
    <cellStyle name="Outputs 2 8 6" xfId="38791"/>
    <cellStyle name="P-Green Rule 2 7 6" xfId="38792"/>
    <cellStyle name="Style 44 3 7 6" xfId="38793"/>
    <cellStyle name="Style 45 3 7 6" xfId="38794"/>
    <cellStyle name="Style 49 3 7 6" xfId="38795"/>
    <cellStyle name="Style 51 3 7 6" xfId="38796"/>
    <cellStyle name="Style 44 2 7 6" xfId="38797"/>
    <cellStyle name="Style 45 2 7 6" xfId="38798"/>
    <cellStyle name="Style 49 2 7 6" xfId="38799"/>
    <cellStyle name="Style 51 2 7 6" xfId="38800"/>
    <cellStyle name="Table Head Aligned 2 7 6" xfId="38801"/>
    <cellStyle name="Table Head Green 2 8 6" xfId="38802"/>
    <cellStyle name="Time Strip 2 2 5" xfId="38803"/>
    <cellStyle name="Title [Helv] 2 7 6" xfId="38804"/>
    <cellStyle name="Title [Palat] 2 8 6" xfId="38805"/>
    <cellStyle name="Magic 2 8 6" xfId="38806"/>
    <cellStyle name="Date [mmm-yyyy] 2 8 6" xfId="38807"/>
    <cellStyle name="Millions 5 2 5" xfId="38808"/>
    <cellStyle name="Magic 2 2 2 7 6" xfId="38809"/>
    <cellStyle name="Title [Palat] 2 2 3 2 4 6" xfId="38810"/>
    <cellStyle name="ac 2 9 6" xfId="38811"/>
    <cellStyle name="Heading [Palat] 2 2 2 7 6" xfId="38812"/>
    <cellStyle name="Arial6Bold 2 2 5" xfId="38813"/>
    <cellStyle name="Arial8Bold 2 2 5" xfId="38814"/>
    <cellStyle name="Arial8Italic 2 2 5" xfId="38815"/>
    <cellStyle name="ArialNormal 2 2 5" xfId="38816"/>
    <cellStyle name="Border 2 2 5" xfId="38817"/>
    <cellStyle name="DateYearEstimate 2 2 5" xfId="38818"/>
    <cellStyle name="DateYearWholeEstimate 2 2 5" xfId="38819"/>
    <cellStyle name="dp*Number%ItalicsLineAbove 2 2 5" xfId="38820"/>
    <cellStyle name="dp*ThinLineAbove 2 2 5" xfId="38821"/>
    <cellStyle name="Draw lines around data in range 2 2 5" xfId="38822"/>
    <cellStyle name="Draw shadow and lines within range 2 2 5" xfId="38823"/>
    <cellStyle name="FieldName 2 2 5" xfId="38824"/>
    <cellStyle name="Format a row of totals 2 2 5" xfId="38825"/>
    <cellStyle name="Format text as bold, black on yellow 2 2 5" xfId="38826"/>
    <cellStyle name="ItemTypeClass 2 2 5" xfId="38827"/>
    <cellStyle name="Main 2 2 5" xfId="38828"/>
    <cellStyle name="Millions 6 2 5" xfId="38829"/>
    <cellStyle name="SAPBEXaggData 2 2 5" xfId="38830"/>
    <cellStyle name="SAPBEXaggDataEmph 2 2 5" xfId="38831"/>
    <cellStyle name="SAPBEXaggItem 2 2 5" xfId="38832"/>
    <cellStyle name="SAPBEXaggItemX 2 2 5" xfId="38833"/>
    <cellStyle name="SAPBEXexcBad7 2 2 5" xfId="38834"/>
    <cellStyle name="SAPBEXexcBad8 2 2 5" xfId="38835"/>
    <cellStyle name="SAPBEXexcBad9 2 2 5" xfId="38836"/>
    <cellStyle name="SAPBEXexcCritical4 2 2 5" xfId="38837"/>
    <cellStyle name="SAPBEXexcCritical5 2 2 5" xfId="38838"/>
    <cellStyle name="SAPBEXexcCritical6 2 2 5" xfId="38839"/>
    <cellStyle name="SAPBEXexcGood1 2 2 5" xfId="38840"/>
    <cellStyle name="SAPBEXexcGood2 2 2 5" xfId="38841"/>
    <cellStyle name="SAPBEXexcGood3 2 2 5" xfId="38842"/>
    <cellStyle name="SAPBEXformats 2 2 5" xfId="38843"/>
    <cellStyle name="SAPBEXHLevel0 2 2 5" xfId="38844"/>
    <cellStyle name="SAPBEXHLevel0X 2 2 5" xfId="38845"/>
    <cellStyle name="SAPBEXHLevel1 2 2 5" xfId="38846"/>
    <cellStyle name="SAPBEXHLevel1X 2 2 5" xfId="38847"/>
    <cellStyle name="SAPBEXHLevel2 2 2 5" xfId="38848"/>
    <cellStyle name="SAPBEXHLevel2X 2 2 5" xfId="38849"/>
    <cellStyle name="SAPBEXHLevel3 2 2 5" xfId="38850"/>
    <cellStyle name="SAPBEXHLevel3X 2 2 5" xfId="38851"/>
    <cellStyle name="SAPBEXresData 2 2 5" xfId="38852"/>
    <cellStyle name="SAPBEXresDataEmph 2 2 5" xfId="38853"/>
    <cellStyle name="SAPBEXresItem 2 2 5" xfId="38854"/>
    <cellStyle name="SAPBEXresItemX 2 2 5" xfId="38855"/>
    <cellStyle name="SAPBEXstdData 2 2 5" xfId="38856"/>
    <cellStyle name="SAPBEXstdDataEmph 2 2 5" xfId="38857"/>
    <cellStyle name="SAPBEXstdItem 2 2 5" xfId="38858"/>
    <cellStyle name="SAPBEXstdItemX 2 2 5" xfId="38859"/>
    <cellStyle name="SAPBEXtitle 2 2 5" xfId="38860"/>
    <cellStyle name="SAPBEXundefined 2 2 5" xfId="38861"/>
    <cellStyle name="SSComma0 2 2 5" xfId="38862"/>
    <cellStyle name="SSComma2 2 2 5" xfId="38863"/>
    <cellStyle name="SSDecs3 2 2 5" xfId="38864"/>
    <cellStyle name="SSDfltPct 2 2 5" xfId="38865"/>
    <cellStyle name="SSDfltPct0 2 2 5" xfId="38866"/>
    <cellStyle name="SSFixed2 2 2 5" xfId="38867"/>
    <cellStyle name="Style 21 2 2 5" xfId="38868"/>
    <cellStyle name="Style 22 2 2 5" xfId="38869"/>
    <cellStyle name="Style 24 2 2 5" xfId="38870"/>
    <cellStyle name="Style 25 2 2 5" xfId="38871"/>
    <cellStyle name="Style 26 2 2 5" xfId="38872"/>
    <cellStyle name="Style 27 2 2 5" xfId="38873"/>
    <cellStyle name="Style 28 2 2 5" xfId="38874"/>
    <cellStyle name="Style 35 2 2 5" xfId="38875"/>
    <cellStyle name="Style 36 2 2 5" xfId="38876"/>
    <cellStyle name="Style 37 2 2 5" xfId="38877"/>
    <cellStyle name="Style 40 2 2 5" xfId="38878"/>
    <cellStyle name="Style 42 2 2 5" xfId="38879"/>
    <cellStyle name="Style 43 2 2 5" xfId="38880"/>
    <cellStyle name="Style 48 2 2 5" xfId="38881"/>
    <cellStyle name="Style 50 2 2 5" xfId="38882"/>
    <cellStyle name="Style 52 2 2 5" xfId="38883"/>
    <cellStyle name="Style 53 2 2 5" xfId="38884"/>
    <cellStyle name="SymbolBlue 2 2 5" xfId="38885"/>
    <cellStyle name="UNLOCKED 2 2 5" xfId="38886"/>
    <cellStyle name="WingdingsBlack 2 2 5" xfId="38887"/>
    <cellStyle name="WingdingsRed 2 2 5" xfId="38888"/>
    <cellStyle name="WingdingsWhite 2 2 5" xfId="38889"/>
    <cellStyle name="dp*SheetSubTitle 2 2 2 7 6" xfId="38890"/>
    <cellStyle name="ac 2 2 3 7 6" xfId="38891"/>
    <cellStyle name="UNLOCKED 4 2 5" xfId="38892"/>
    <cellStyle name="Millions 7 2 5" xfId="38893"/>
    <cellStyle name="dp*SubTitle 3 7 6" xfId="38894"/>
    <cellStyle name="Bold/Border 2 3 4 6" xfId="38895"/>
    <cellStyle name="Style 49 4 3 3 4 6" xfId="38896"/>
    <cellStyle name="Title [Palat] 2 3 4 6" xfId="38897"/>
    <cellStyle name="Border Thin 3 7 6" xfId="38898"/>
    <cellStyle name="UNLOCKED 3 2 5" xfId="38899"/>
    <cellStyle name="dp*SheetSubTitle 2 2 2 2 4 6" xfId="38900"/>
    <cellStyle name="dp*NumberLineEPS 2 2 2 2 4 6" xfId="38901"/>
    <cellStyle name="UNLOCKED 5 2 5" xfId="38902"/>
    <cellStyle name="Afjusted 4 7 6" xfId="38903"/>
    <cellStyle name="UNLOCKED 6 2 5" xfId="38904"/>
    <cellStyle name="Bold/Border 4 4 6" xfId="38905"/>
    <cellStyle name="ac 2 2 6 6" xfId="38906"/>
    <cellStyle name="Afjusted 2 2 7 6" xfId="38907"/>
    <cellStyle name="Bold/Border 2 2 6 6" xfId="38908"/>
    <cellStyle name="COL HEADINGS 2 2 6 6" xfId="38909"/>
    <cellStyle name="Date [mmm-yyyy] 2 2 6 6" xfId="38910"/>
    <cellStyle name="Style 45 4 3 4 4 6" xfId="38911"/>
    <cellStyle name="dp*SubTitle 3 3 3 4 6" xfId="38912"/>
    <cellStyle name="Date [mmm-yyyy] 2 3 4 6" xfId="38913"/>
    <cellStyle name="dp*NumberLine 2 2 6 6" xfId="38914"/>
    <cellStyle name="dp*NumberLineEPS 2 2 6 6" xfId="38915"/>
    <cellStyle name="dp*SheetSubTitle 2 2 6 6" xfId="38916"/>
    <cellStyle name="Heading [Helv] 2 2 6 6" xfId="38917"/>
    <cellStyle name="Heading [Palat] 2 2 6 6" xfId="38918"/>
    <cellStyle name="Magic 2 2 6 6" xfId="38919"/>
    <cellStyle name="Outputs 2 2 6 6" xfId="38920"/>
    <cellStyle name="Table Head Aligned 2 2 6 6" xfId="38921"/>
    <cellStyle name="Table Head Green 2 2 6 6" xfId="38922"/>
    <cellStyle name="Title [Helv] 2 2 6 6" xfId="38923"/>
    <cellStyle name="Title [Palat] 2 2 6 6" xfId="38924"/>
    <cellStyle name="Date [mmm-yyyy] 2 2 2 2 4 6" xfId="38925"/>
    <cellStyle name="COL HEADINGS 2 2 2 2 4 6" xfId="38926"/>
    <cellStyle name="dp*NumberLine 2 2 2 2 4 6" xfId="38927"/>
    <cellStyle name="Date [mm-d-yyyy] 2 5 6" xfId="38928"/>
    <cellStyle name="PB Table Standard Row 3 2 2 4 6" xfId="38929"/>
    <cellStyle name="Afjusted 2 2 2 2 4 6" xfId="38930"/>
    <cellStyle name="UNLOCKED 7 2 5" xfId="38931"/>
    <cellStyle name="ac 2 2 2 2 4 6" xfId="38932"/>
    <cellStyle name="UNLOCKED 8 2 5" xfId="38933"/>
    <cellStyle name="Afjusted 4 2 2 4 6" xfId="38934"/>
    <cellStyle name="Style 45 3 3 4 6" xfId="38935"/>
    <cellStyle name="Style 49 2 3 4 6" xfId="38936"/>
    <cellStyle name="Style 51 3 3 4 6" xfId="38937"/>
    <cellStyle name="Border Thin 3 5 4 6" xfId="38938"/>
    <cellStyle name="Afjusted 3 5 4 6" xfId="38939"/>
    <cellStyle name="EYCurrency 2 2 5" xfId="38940"/>
    <cellStyle name="Style 45 2 3 4 6" xfId="38941"/>
    <cellStyle name="EYColumnHeading 10 2 5" xfId="38942"/>
    <cellStyle name="Style 44 2 3 4 6" xfId="38943"/>
    <cellStyle name="Style 45 4 2 2 4 6" xfId="38944"/>
    <cellStyle name="dp*SubTitle 2 2 3 6" xfId="38945"/>
    <cellStyle name="Border Thin 2 2 3 6" xfId="38946"/>
    <cellStyle name="P-Green Rule 2 3 4 6" xfId="38947"/>
    <cellStyle name="Date [mm-d-yyyy] 2 2 2 4 6" xfId="38948"/>
    <cellStyle name="dp*ThinLineBelow 2 4 4 6" xfId="38949"/>
    <cellStyle name="dp*NumberLineEPS 2 4 4 6" xfId="38950"/>
    <cellStyle name="COL HEADINGS 2 4 4 6" xfId="38951"/>
    <cellStyle name="Afjusted 2 3 4 6" xfId="38952"/>
    <cellStyle name="Bold/Border 2 2 3 4 3 6" xfId="38953"/>
    <cellStyle name="Magic 2 2 3 4 3 6" xfId="38954"/>
    <cellStyle name="Title [Helv] 2 2 3 4 3 6" xfId="38955"/>
    <cellStyle name="Style 51 2 2 3 6" xfId="38956"/>
    <cellStyle name="Style 45 2 2 3 6" xfId="38957"/>
    <cellStyle name="Style 49 2 2 3 6" xfId="38958"/>
    <cellStyle name="Style 44 2 2 3 6" xfId="38959"/>
    <cellStyle name="Style 51 3 2 3 6" xfId="38960"/>
    <cellStyle name="Style 49 3 2 3 6" xfId="38961"/>
    <cellStyle name="Style 45 3 2 3 6" xfId="38962"/>
    <cellStyle name="Style 44 3 2 3 6" xfId="38963"/>
    <cellStyle name="P-Green Rule 2 2 3 6" xfId="38964"/>
    <cellStyle name="PB Table Standard Row 2 2 3 6" xfId="38965"/>
    <cellStyle name="dp*ThinLineBelow 2 2 3 6" xfId="38966"/>
    <cellStyle name="dp*ThinLineBelow 2 3 3 6" xfId="38967"/>
    <cellStyle name="Style 44 3 3 3 6" xfId="38968"/>
    <cellStyle name="COL HEADINGS 2 2 3 4 3 6" xfId="38969"/>
    <cellStyle name="Style 49 4 3 4 3 6" xfId="38970"/>
    <cellStyle name="Date [mm-d-yyyy] 3 2 2 4 6" xfId="38971"/>
    <cellStyle name="Afjusted 3 3 4 3 6" xfId="38972"/>
    <cellStyle name="Date [mm-d-yyyy] 3 3 4 3 6" xfId="38973"/>
    <cellStyle name="Afjusted 4 3 4 3 6" xfId="38974"/>
    <cellStyle name="ac 2 2 3 4 3 6" xfId="38975"/>
    <cellStyle name="Afjusted 2 2 3 4 3 6" xfId="38976"/>
    <cellStyle name="Date [mmm-yyyy] 2 2 3 4 3 6" xfId="38977"/>
    <cellStyle name="dp*NumberLine 2 2 3 4 3 6" xfId="38978"/>
    <cellStyle name="dp*NumberLineEPS 2 2 3 4 3 6" xfId="38979"/>
    <cellStyle name="dp*SheetSubTitle 2 2 3 4 3 6" xfId="38980"/>
    <cellStyle name="Heading [Helv] 2 2 3 4 3 6" xfId="38981"/>
    <cellStyle name="Outputs 2 2 3 4 3 6" xfId="38982"/>
    <cellStyle name="Table Head Aligned 2 2 3 4 3 6" xfId="38983"/>
    <cellStyle name="Title [Palat] 2 2 3 4 3 6" xfId="38984"/>
    <cellStyle name="UNLOCKED 12 2 5" xfId="38985"/>
    <cellStyle name="Afjusted 3 5 3 6" xfId="38986"/>
    <cellStyle name="Style 45 3 3 3 6" xfId="38987"/>
    <cellStyle name="Style 51 3 3 3 6" xfId="38988"/>
    <cellStyle name="Style 44 2 3 3 6" xfId="38989"/>
    <cellStyle name="Style 45 2 3 3 6" xfId="38990"/>
    <cellStyle name="Style 49 2 3 3 6" xfId="38991"/>
    <cellStyle name="Border Thin 3 5 3 6" xfId="38992"/>
    <cellStyle name="ac 2 2 4 3 6" xfId="38993"/>
    <cellStyle name="Afjusted 2 2 5 3 6" xfId="38994"/>
    <cellStyle name="Bold/Border 2 2 4 3 6" xfId="38995"/>
    <cellStyle name="COL HEADINGS 2 2 4 3 6" xfId="38996"/>
    <cellStyle name="Date [mmm-yyyy] 2 2 4 3 6" xfId="38997"/>
    <cellStyle name="dp*NumberLine 2 2 4 3 6" xfId="38998"/>
    <cellStyle name="dp*NumberLineEPS 2 2 4 3 6" xfId="38999"/>
    <cellStyle name="dp*SheetSubTitle 2 2 4 3 6" xfId="39000"/>
    <cellStyle name="Heading [Palat] 2 2 4 3 6" xfId="39001"/>
    <cellStyle name="Outputs 2 2 4 3 6" xfId="39002"/>
    <cellStyle name="Magic 2 2 4 3 6" xfId="39003"/>
    <cellStyle name="Title [Helv] 2 2 4 3 6" xfId="39004"/>
    <cellStyle name="Title [Palat] 2 2 4 3 6" xfId="39005"/>
    <cellStyle name="Title [Palat] 2 2 3 3 3 6" xfId="39006"/>
    <cellStyle name="Title [Helv] 2 2 3 3 3 6" xfId="39007"/>
    <cellStyle name="Table Head Aligned 2 2 3 3 3 6" xfId="39008"/>
    <cellStyle name="Magic 2 2 3 3 3 6" xfId="39009"/>
    <cellStyle name="Heading [Helv] 2 2 3 3 3 6" xfId="39010"/>
    <cellStyle name="dp*NumberLineEPS 2 2 3 3 3 6" xfId="39011"/>
    <cellStyle name="COL HEADINGS 2 2 3 3 3 6" xfId="39012"/>
    <cellStyle name="ac 2 2 3 3 3 6" xfId="39013"/>
    <cellStyle name="Afjusted 4 3 3 3 6" xfId="39014"/>
    <cellStyle name="Border Thin 3 3 3 3 6" xfId="39015"/>
    <cellStyle name="PB Table Standard Row 3 3 3 3 6" xfId="39016"/>
    <cellStyle name="Style 44 4 3 3 3 6" xfId="39017"/>
    <cellStyle name="Style 51 4 3 3 3 6" xfId="39018"/>
    <cellStyle name="Afjusted 3 3 3 3 6" xfId="39019"/>
    <cellStyle name="Style 49 4 5 3 6" xfId="39020"/>
    <cellStyle name="UNLOCKED 9 2 5" xfId="39021"/>
    <cellStyle name="Style 44 4 5 3 6" xfId="39022"/>
    <cellStyle name="P-Green Rule 3 5 3 6" xfId="39023"/>
    <cellStyle name="dp*SubTitle 3 5 3 6" xfId="39024"/>
    <cellStyle name="Afjusted 4 5 3 6" xfId="39025"/>
    <cellStyle name="dp*SheetSubTitle 2 8 6" xfId="39026"/>
    <cellStyle name="UNLOCKED 11 2 5" xfId="39027"/>
    <cellStyle name="ac 2 3 3 6" xfId="39028"/>
    <cellStyle name="Bold/Border 2 3 3 6" xfId="39029"/>
    <cellStyle name="COL HEADINGS 2 3 3 6" xfId="39030"/>
    <cellStyle name="Date [mmm-yyyy] 2 3 3 6" xfId="39031"/>
    <cellStyle name="dp*NumberLine 2 3 3 6" xfId="39032"/>
    <cellStyle name="dp*NumberLineEPS 2 3 3 6" xfId="39033"/>
    <cellStyle name="dp*SheetSubTitle 2 3 3 6" xfId="39034"/>
    <cellStyle name="Heading [Helv] 2 3 3 6" xfId="39035"/>
    <cellStyle name="Heading [Palat] 2 3 3 6" xfId="39036"/>
    <cellStyle name="Magic 2 3 3 6" xfId="39037"/>
    <cellStyle name="Outputs 2 3 3 6" xfId="39038"/>
    <cellStyle name="Date [mmm-yyyy] 2 2 3 3 3 6" xfId="39039"/>
    <cellStyle name="Afjusted 2 2 3 3 3 6" xfId="39040"/>
    <cellStyle name="dp*ThinLineBelow 3 3 3 3 6" xfId="39041"/>
    <cellStyle name="Style 49 4 3 3 3 6" xfId="39042"/>
    <cellStyle name="Outputs 2 2 3 3 3 6" xfId="39043"/>
    <cellStyle name="dp*NumberLine 2 2 3 3 3 6" xfId="39044"/>
    <cellStyle name="Bold/Border 2 2 3 3 3 6" xfId="39045"/>
    <cellStyle name="dp*SubTitle 3 3 3 3 6" xfId="39046"/>
    <cellStyle name="Style 45 4 3 3 3 6" xfId="39047"/>
    <cellStyle name="Table Head Aligned 2 3 3 6" xfId="39048"/>
    <cellStyle name="Table Head Green 2 3 3 6" xfId="39049"/>
    <cellStyle name="Title [Helv] 2 3 3 6" xfId="39050"/>
    <cellStyle name="Title [Palat] 2 3 3 6" xfId="39051"/>
    <cellStyle name="Style 45 4 3 4 3 6" xfId="39052"/>
    <cellStyle name="UNLOCKED 10 2 5" xfId="39053"/>
    <cellStyle name="Style 51 4 3 4 3 6" xfId="39054"/>
    <cellStyle name="Afjusted 3 4 3 6" xfId="39055"/>
    <cellStyle name="P-Green Rule 3 3 4 3 6" xfId="39056"/>
    <cellStyle name="Border Thin 2 3 3 6" xfId="39057"/>
    <cellStyle name="Style 49 3 3 3 6" xfId="39058"/>
    <cellStyle name="Style 51 2 3 3 6" xfId="39059"/>
    <cellStyle name="Heading [Helv] 2 2 4 3 6" xfId="39060"/>
    <cellStyle name="Table Head Aligned 2 2 4 3 6" xfId="39061"/>
    <cellStyle name="Table Head Green 2 2 4 3 6" xfId="39062"/>
    <cellStyle name="Table Head Green 2 2 3 3 3 6" xfId="39063"/>
    <cellStyle name="Heading [Palat] 2 2 3 3 3 6" xfId="39064"/>
    <cellStyle name="dp*SheetSubTitle 2 2 3 3 3 6" xfId="39065"/>
    <cellStyle name="P-Green Rule 3 3 3 3 6" xfId="39066"/>
    <cellStyle name="Date [mm-d-yyyy] 3 3 3 3 6" xfId="39067"/>
    <cellStyle name="Date [mm-d-yyyy] 3 4 3 6" xfId="39068"/>
    <cellStyle name="Style 51 4 4 3 6" xfId="39069"/>
    <cellStyle name="Style 49 4 4 3 6" xfId="39070"/>
    <cellStyle name="Style 45 4 4 3 6" xfId="39071"/>
    <cellStyle name="Style 44 4 4 3 6" xfId="39072"/>
    <cellStyle name="dp*ThinLineBelow 3 3 4 3 6" xfId="39073"/>
    <cellStyle name="P-Green Rule 3 4 3 6" xfId="39074"/>
    <cellStyle name="dp*ThinLineBelow 3 4 3 6" xfId="39075"/>
    <cellStyle name="dp*SubTitle 3 4 3 6" xfId="39076"/>
    <cellStyle name="dp*SubTitle 3 3 4 3 6" xfId="39077"/>
    <cellStyle name="Border Thin 3 4 3 6" xfId="39078"/>
    <cellStyle name="Border Thin 3 3 4 3 6" xfId="39079"/>
    <cellStyle name="Afjusted 4 4 3 6" xfId="39080"/>
    <cellStyle name="Afjusted 2 2 4 3 6" xfId="39081"/>
    <cellStyle name="Style 44 4 3 4 3 6" xfId="39082"/>
    <cellStyle name="PB Table Standard Row 3 3 4 3 6" xfId="39083"/>
    <cellStyle name="Title [Palat] 2 2 3 6 6" xfId="39084"/>
    <cellStyle name="Title [Helv] 2 2 3 6 6" xfId="39085"/>
    <cellStyle name="Table Head Green 2 2 3 6 6" xfId="39086"/>
    <cellStyle name="Table Head Aligned 2 2 3 6 6" xfId="39087"/>
    <cellStyle name="Outputs 2 2 3 6 6" xfId="39088"/>
    <cellStyle name="Magic 2 2 3 6 6" xfId="39089"/>
    <cellStyle name="Heading [Palat] 2 2 3 6 6" xfId="39090"/>
    <cellStyle name="Heading [Helv] 2 2 3 6 6" xfId="39091"/>
    <cellStyle name="dp*SheetSubTitle 2 2 3 6 6" xfId="39092"/>
    <cellStyle name="dp*NumberLineEPS 2 2 3 6 6" xfId="39093"/>
    <cellStyle name="dp*NumberLine 2 2 3 6 6" xfId="39094"/>
    <cellStyle name="Date [mmm-yyyy] 2 2 3 6 6" xfId="39095"/>
    <cellStyle name="COL HEADINGS 2 2 3 6 6" xfId="39096"/>
    <cellStyle name="Bold/Border 2 2 3 6 6" xfId="39097"/>
    <cellStyle name="Afjusted 2 2 3 6 6" xfId="39098"/>
    <cellStyle name="ac 2 2 3 6 6" xfId="39099"/>
    <cellStyle name="Afjusted 4 3 6 6" xfId="39100"/>
    <cellStyle name="Border Thin 3 3 6 6" xfId="39101"/>
    <cellStyle name="dp*SubTitle 3 3 6 6" xfId="39102"/>
    <cellStyle name="dp*ThinLineBelow 3 3 6 6" xfId="39103"/>
    <cellStyle name="PB Table Standard Row 3 3 6 6" xfId="39104"/>
    <cellStyle name="P-Green Rule 3 3 6 6" xfId="39105"/>
    <cellStyle name="Style 44 4 3 6 6" xfId="39106"/>
    <cellStyle name="Style 45 4 3 6 6" xfId="39107"/>
    <cellStyle name="Style 49 4 3 6 6" xfId="39108"/>
    <cellStyle name="Style 51 4 3 6 6" xfId="39109"/>
    <cellStyle name="Date [mm-d-yyyy] 3 3 6 6" xfId="39110"/>
    <cellStyle name="Title [Palat] 2 4 4 6" xfId="39111"/>
    <cellStyle name="Style 51 3 4 4 6" xfId="39112"/>
    <cellStyle name="Afjusted 3 3 6 6" xfId="39113"/>
    <cellStyle name="Border Thin 2 4 4 6" xfId="39114"/>
    <cellStyle name="Calculation 2 3 5" xfId="39115"/>
    <cellStyle name="Afjusted 4 2 4 4 6" xfId="39116"/>
    <cellStyle name="ac 2 2 4 4 6" xfId="39117"/>
    <cellStyle name="Input 2 3 5" xfId="39118"/>
    <cellStyle name="Note 2 3 6" xfId="39119"/>
    <cellStyle name="Date [mm-d-yyyy] 3 5 4 6" xfId="39120"/>
    <cellStyle name="Output 2 2 2 5" xfId="39121"/>
    <cellStyle name="Input 2 2 2 5" xfId="39122"/>
    <cellStyle name="Afjusted 3 3 2 4 6" xfId="39123"/>
    <cellStyle name="Total 2 2 2 5" xfId="39124"/>
    <cellStyle name="Calculation 2 2 2 5" xfId="39125"/>
    <cellStyle name="PB Table Standard Row 3 3 2 3 6" xfId="39126"/>
    <cellStyle name="P-Green Rule 3 3 2 4 6" xfId="39127"/>
    <cellStyle name="Date [mm-d-yyyy] 3 3 2 4 6" xfId="39128"/>
    <cellStyle name="ac 2 4 4 6" xfId="39129"/>
    <cellStyle name="Date [mm-d-yyyy] 2 2 5 6" xfId="39130"/>
    <cellStyle name="Afjusted 3 2 6 6" xfId="39131"/>
    <cellStyle name="dp*SubTitle 3 2 2 4 6" xfId="39132"/>
    <cellStyle name="Style 45 2 4 4 6" xfId="39133"/>
    <cellStyle name="P-Green Rule 2 4 4 6" xfId="39134"/>
    <cellStyle name="Style 51 4 5 4 6" xfId="39135"/>
    <cellStyle name="Date [mm-d-yyyy] 3 2 6 6" xfId="39136"/>
    <cellStyle name="Style 51 4 2 6 6" xfId="39137"/>
    <cellStyle name="Style 49 4 2 6 6" xfId="39138"/>
    <cellStyle name="Style 45 4 2 6 6" xfId="39139"/>
    <cellStyle name="Style 44 4 2 6 6" xfId="39140"/>
    <cellStyle name="Heading [Palat] 2 4 4 6" xfId="39141"/>
    <cellStyle name="P-Green Rule 3 2 6 6" xfId="39142"/>
    <cellStyle name="dp*ThinLineBelow 3 2 6 6" xfId="39143"/>
    <cellStyle name="dp*SubTitle 3 2 6 6" xfId="39144"/>
    <cellStyle name="dp*SubTitle 2 4 4 6" xfId="39145"/>
    <cellStyle name="Border Thin 3 2 6 6" xfId="39146"/>
    <cellStyle name="dp*NumberLine 2 4 4 6" xfId="39147"/>
    <cellStyle name="Afjusted 4 2 6 6" xfId="39148"/>
    <cellStyle name="ac 2 2 2 6 6" xfId="39149"/>
    <cellStyle name="Afjusted 2 2 2 6 6" xfId="39150"/>
    <cellStyle name="Bold/Border 2 2 2 6 6" xfId="39151"/>
    <cellStyle name="COL HEADINGS 2 2 2 6 6" xfId="39152"/>
    <cellStyle name="Date [mmm-yyyy] 2 2 2 6 6" xfId="39153"/>
    <cellStyle name="dp*NumberLine 2 2 2 6 6" xfId="39154"/>
    <cellStyle name="dp*NumberLineEPS 2 2 2 6 6" xfId="39155"/>
    <cellStyle name="dp*SheetSubTitle 2 2 2 6 6" xfId="39156"/>
    <cellStyle name="Heading [Helv] 2 2 2 6 6" xfId="39157"/>
    <cellStyle name="Heading [Palat] 2 2 2 6 6" xfId="39158"/>
    <cellStyle name="Magic 2 2 2 6 6" xfId="39159"/>
    <cellStyle name="Outputs 2 2 2 6 6" xfId="39160"/>
    <cellStyle name="Table Head Aligned 2 2 2 6 6" xfId="39161"/>
    <cellStyle name="Table Head Green 2 2 2 6 6" xfId="39162"/>
    <cellStyle name="Title [Helv] 2 2 2 6 6" xfId="39163"/>
    <cellStyle name="Title [Palat] 2 2 2 6 6" xfId="39164"/>
    <cellStyle name="Style 45 3 4 4 6" xfId="39165"/>
    <cellStyle name="Output 2 3 5" xfId="39166"/>
    <cellStyle name="Border Thin 3 2 2 4 6" xfId="39167"/>
    <cellStyle name="Outputs 2 4 4 6" xfId="39168"/>
    <cellStyle name="Total 2 3 5" xfId="39169"/>
    <cellStyle name="Style 51 4 3 2 4 6" xfId="39170"/>
    <cellStyle name="Style 45 4 3 2 4 6" xfId="39171"/>
    <cellStyle name="Style 49 4 3 2 4 6" xfId="39172"/>
    <cellStyle name="Style 44 4 3 2 4 6" xfId="39173"/>
    <cellStyle name="dp*ThinLineBelow 3 3 2 4 6" xfId="39174"/>
    <cellStyle name="Table Head Green 2 2 3 4 3 6" xfId="39175"/>
    <cellStyle name="Heading [Palat] 2 2 3 4 3 6" xfId="39176"/>
    <cellStyle name="P-Green Rule 2 3 3 6" xfId="39177"/>
    <cellStyle name="Title [Palat] 2 2 3 2 3 6" xfId="39178"/>
    <cellStyle name="Title [Helv] 2 2 3 2 3 6" xfId="39179"/>
    <cellStyle name="Table Head Green 2 2 3 2 3 6" xfId="39180"/>
    <cellStyle name="Table Head Aligned 2 2 3 2 3 6" xfId="39181"/>
    <cellStyle name="Outputs 2 2 3 2 3 6" xfId="39182"/>
    <cellStyle name="Magic 2 2 3 2 3 6" xfId="39183"/>
    <cellStyle name="Heading [Palat] 2 2 3 2 3 6" xfId="39184"/>
    <cellStyle name="Heading [Helv] 2 2 3 2 3 6" xfId="39185"/>
    <cellStyle name="dp*SheetSubTitle 2 2 3 2 3 6" xfId="39186"/>
    <cellStyle name="dp*NumberLineEPS 2 2 3 2 3 6" xfId="39187"/>
    <cellStyle name="dp*NumberLine 2 2 3 2 3 6" xfId="39188"/>
    <cellStyle name="Date [mmm-yyyy] 2 2 3 2 3 6" xfId="39189"/>
    <cellStyle name="COL HEADINGS 2 2 3 2 3 6" xfId="39190"/>
    <cellStyle name="Bold/Border 2 2 3 2 3 6" xfId="39191"/>
    <cellStyle name="Afjusted 2 2 3 2 3 6" xfId="39192"/>
    <cellStyle name="ac 2 2 3 2 3 6" xfId="39193"/>
    <cellStyle name="Afjusted 4 3 2 3 6" xfId="39194"/>
    <cellStyle name="Border Thin 3 3 2 3 6" xfId="39195"/>
    <cellStyle name="dp*SubTitle 3 3 2 3 6" xfId="39196"/>
    <cellStyle name="dp*ThinLineBelow 3 3 2 3 6" xfId="39197"/>
    <cellStyle name="P-Green Rule 3 3 2 3 6" xfId="39198"/>
    <cellStyle name="Style 44 4 3 2 3 6" xfId="39199"/>
    <cellStyle name="Style 45 4 3 2 3 6" xfId="39200"/>
    <cellStyle name="Style 49 4 3 2 3 6" xfId="39201"/>
    <cellStyle name="Style 51 4 3 2 3 6" xfId="39202"/>
    <cellStyle name="Date [mm-d-yyyy] 3 3 2 3 6" xfId="39203"/>
    <cellStyle name="Afjusted 3 3 2 3 6" xfId="39204"/>
    <cellStyle name="Date [mm-d-yyyy] 3 5 3 6" xfId="39205"/>
    <cellStyle name="dp*SubTitle 2 3 3 6" xfId="39206"/>
    <cellStyle name="Date [mm-d-yyyy] 2 2 2 3 6" xfId="39207"/>
    <cellStyle name="Afjusted 3 2 2 3 6" xfId="39208"/>
    <cellStyle name="PB Table Standard Row 3 5 3 6" xfId="39209"/>
    <cellStyle name="Date [mm-d-yyyy] 3 2 2 3 6" xfId="39210"/>
    <cellStyle name="Style 51 4 2 2 3 6" xfId="39211"/>
    <cellStyle name="Style 49 4 2 2 3 6" xfId="39212"/>
    <cellStyle name="Style 45 4 2 2 3 6" xfId="39213"/>
    <cellStyle name="Style 44 4 2 2 3 6" xfId="39214"/>
    <cellStyle name="Style 45 4 5 3 6" xfId="39215"/>
    <cellStyle name="P-Green Rule 3 2 2 3 6" xfId="39216"/>
    <cellStyle name="PB Table Standard Row 3 2 2 3 6" xfId="39217"/>
    <cellStyle name="dp*ThinLineBelow 3 2 2 3 6" xfId="39218"/>
    <cellStyle name="dp*SubTitle 3 2 2 3 6" xfId="39219"/>
    <cellStyle name="Style 51 4 5 3 6" xfId="39220"/>
    <cellStyle name="Border Thin 3 2 2 3 6" xfId="39221"/>
    <cellStyle name="Afjusted 4 2 2 3 6" xfId="39222"/>
    <cellStyle name="ac 2 2 2 2 3 6" xfId="39223"/>
    <cellStyle name="Afjusted 2 2 2 2 3 6" xfId="39224"/>
    <cellStyle name="Bold/Border 2 2 2 2 3 6" xfId="39225"/>
    <cellStyle name="COL HEADINGS 2 2 2 2 3 6" xfId="39226"/>
    <cellStyle name="Date [mmm-yyyy] 2 2 2 2 3 6" xfId="39227"/>
    <cellStyle name="dp*NumberLine 2 2 2 2 3 6" xfId="39228"/>
    <cellStyle name="dp*NumberLineEPS 2 2 2 2 3 6" xfId="39229"/>
    <cellStyle name="dp*SheetSubTitle 2 2 2 2 3 6" xfId="39230"/>
    <cellStyle name="Heading [Helv] 2 2 2 2 3 6" xfId="39231"/>
    <cellStyle name="Heading [Palat] 2 2 2 2 3 6" xfId="39232"/>
    <cellStyle name="Magic 2 2 2 2 3 6" xfId="39233"/>
    <cellStyle name="Outputs 2 2 2 2 3 6" xfId="39234"/>
    <cellStyle name="Table Head Aligned 2 2 2 2 3 6" xfId="39235"/>
    <cellStyle name="Table Head Green 2 2 2 2 3 6" xfId="39236"/>
    <cellStyle name="Title [Helv] 2 2 2 2 3 6" xfId="39237"/>
    <cellStyle name="Title [Palat] 2 2 2 2 3 6" xfId="39238"/>
    <cellStyle name="dp*ThinLineBelow 3 5 3 6" xfId="39239"/>
    <cellStyle name="Date [mm-d-yyyy] 2 2 3 3 6" xfId="39240"/>
    <cellStyle name="Afjusted 3 2 3 3 6" xfId="39241"/>
    <cellStyle name="Date [mm-d-yyyy] 3 2 3 3 6" xfId="39242"/>
    <cellStyle name="Style 51 4 2 3 3 6" xfId="39243"/>
    <cellStyle name="Style 49 4 2 3 3 6" xfId="39244"/>
    <cellStyle name="Style 45 4 2 3 3 6" xfId="39245"/>
    <cellStyle name="Style 44 4 2 3 3 6" xfId="39246"/>
    <cellStyle name="P-Green Rule 3 2 3 3 6" xfId="39247"/>
    <cellStyle name="PB Table Standard Row 3 2 3 3 6" xfId="39248"/>
    <cellStyle name="dp*ThinLineBelow 3 2 3 3 6" xfId="39249"/>
    <cellStyle name="dp*SubTitle 3 2 3 3 6" xfId="39250"/>
    <cellStyle name="Border Thin 3 2 3 3 6" xfId="39251"/>
    <cellStyle name="Afjusted 4 2 3 3 6" xfId="39252"/>
    <cellStyle name="ac 2 2 2 3 3 6" xfId="39253"/>
    <cellStyle name="Afjusted 2 2 2 3 3 6" xfId="39254"/>
    <cellStyle name="Bold/Border 2 2 2 3 3 6" xfId="39255"/>
    <cellStyle name="COL HEADINGS 2 2 2 3 3 6" xfId="39256"/>
    <cellStyle name="Date [mmm-yyyy] 2 2 2 3 3 6" xfId="39257"/>
    <cellStyle name="dp*NumberLine 2 2 2 3 3 6" xfId="39258"/>
    <cellStyle name="dp*NumberLineEPS 2 2 2 3 3 6" xfId="39259"/>
    <cellStyle name="dp*SheetSubTitle 2 2 2 3 3 6" xfId="39260"/>
    <cellStyle name="Heading [Helv] 2 2 2 3 3 6" xfId="39261"/>
    <cellStyle name="Heading [Palat] 2 2 2 3 3 6" xfId="39262"/>
    <cellStyle name="Magic 2 2 2 3 3 6" xfId="39263"/>
    <cellStyle name="Outputs 2 2 2 3 3 6" xfId="39264"/>
    <cellStyle name="Table Head Aligned 2 2 2 3 3 6" xfId="39265"/>
    <cellStyle name="Table Head Green 2 2 2 3 3 6" xfId="39266"/>
    <cellStyle name="Title [Helv] 2 2 2 3 3 6" xfId="39267"/>
    <cellStyle name="Title [Palat] 2 2 2 3 3 6" xfId="39268"/>
    <cellStyle name="Afjusted 3 2 4 3 6" xfId="39269"/>
    <cellStyle name="Date [mm-d-yyyy] 3 2 4 3 6" xfId="39270"/>
    <cellStyle name="Style 51 4 2 4 3 6" xfId="39271"/>
    <cellStyle name="Style 49 4 2 4 3 6" xfId="39272"/>
    <cellStyle name="Style 45 4 2 4 3 6" xfId="39273"/>
    <cellStyle name="Style 44 4 2 4 3 6" xfId="39274"/>
    <cellStyle name="P-Green Rule 3 2 4 3 6" xfId="39275"/>
    <cellStyle name="PB Table Standard Row 3 2 4 3 6" xfId="39276"/>
    <cellStyle name="dp*ThinLineBelow 3 2 4 3 6" xfId="39277"/>
    <cellStyle name="dp*SubTitle 3 2 4 3 6" xfId="39278"/>
    <cellStyle name="Border Thin 3 2 4 3 6" xfId="39279"/>
    <cellStyle name="Afjusted 4 2 4 3 6" xfId="39280"/>
    <cellStyle name="ac 2 2 2 4 3 6" xfId="39281"/>
    <cellStyle name="Afjusted 2 2 2 4 3 6" xfId="39282"/>
    <cellStyle name="Bold/Border 2 2 2 4 3 6" xfId="39283"/>
    <cellStyle name="COL HEADINGS 2 2 2 4 3 6" xfId="39284"/>
    <cellStyle name="Date [mmm-yyyy] 2 2 2 4 3 6" xfId="39285"/>
    <cellStyle name="dp*NumberLine 2 2 2 4 3 6" xfId="39286"/>
    <cellStyle name="dp*NumberLineEPS 2 2 2 4 3 6" xfId="39287"/>
    <cellStyle name="dp*SheetSubTitle 2 2 2 4 3 6" xfId="39288"/>
    <cellStyle name="Heading [Helv] 2 2 2 4 3 6" xfId="39289"/>
    <cellStyle name="Heading [Palat] 2 2 2 4 3 6" xfId="39290"/>
    <cellStyle name="Magic 2 2 2 4 3 6" xfId="39291"/>
    <cellStyle name="Outputs 2 2 2 4 3 6" xfId="39292"/>
    <cellStyle name="Table Head Aligned 2 2 2 4 3 6" xfId="39293"/>
    <cellStyle name="Table Head Green 2 2 2 4 3 6" xfId="39294"/>
    <cellStyle name="Title [Helv] 2 2 2 4 3 6" xfId="39295"/>
    <cellStyle name="Title [Palat] 2 2 2 4 3 6" xfId="39296"/>
    <cellStyle name="Bold/Border 2 2 3 2 4 6" xfId="39297"/>
    <cellStyle name="Border Thin 4 3 6" xfId="39298"/>
    <cellStyle name="Date [mm-d-yyyy] 4 3 6" xfId="39299"/>
    <cellStyle name="dp*SubTitle 4 3 6" xfId="39300"/>
    <cellStyle name="dp*ThinLineBelow 4 3 6" xfId="39301"/>
    <cellStyle name="PB Table Standard Row 4 3 6" xfId="39302"/>
    <cellStyle name="P-Green Rule 4 3 6" xfId="39303"/>
    <cellStyle name="Style 44 5 3 6" xfId="39304"/>
    <cellStyle name="Style 45 5 3 6" xfId="39305"/>
    <cellStyle name="Style 49 5 3 6" xfId="39306"/>
    <cellStyle name="Style 51 5 3 6" xfId="39307"/>
    <cellStyle name="UNLOCKED 13 2 5" xfId="39308"/>
    <cellStyle name="COL HEADINGS 2 2 3 2 4 6" xfId="39309"/>
    <cellStyle name="UNLOCKED 14 2 5" xfId="39310"/>
    <cellStyle name="ac 2 2 3 2 4 6" xfId="39311"/>
    <cellStyle name="Date [mmm-yyyy] 2 2 3 2 4 6" xfId="39312"/>
    <cellStyle name="FieldName 3 2 5" xfId="39313"/>
    <cellStyle name="WingdingsWhite 3 2 5" xfId="39314"/>
    <cellStyle name="WingdingsRed 3 2 5" xfId="39315"/>
    <cellStyle name="WingdingsBlack 3 2 5" xfId="39316"/>
    <cellStyle name="UNLOCKED 16 2 5" xfId="39317"/>
    <cellStyle name="Title [Palat] 3 3 6" xfId="39318"/>
    <cellStyle name="Title [Helv] 3 3 6" xfId="39319"/>
    <cellStyle name="Table Head Green 3 3 6" xfId="39320"/>
    <cellStyle name="Table Head Aligned 3 3 6" xfId="39321"/>
    <cellStyle name="SymbolBlue 3 2 5" xfId="39322"/>
    <cellStyle name="Style 53 3 2 5" xfId="39323"/>
    <cellStyle name="Style 52 3 2 5" xfId="39324"/>
    <cellStyle name="Style 50 3 2 5" xfId="39325"/>
    <cellStyle name="Style 48 3 2 5" xfId="39326"/>
    <cellStyle name="Style 43 3 2 5" xfId="39327"/>
    <cellStyle name="Style 42 3 2 5" xfId="39328"/>
    <cellStyle name="Style 40 3 2 5" xfId="39329"/>
    <cellStyle name="Style 37 3 2 5" xfId="39330"/>
    <cellStyle name="Style 36 3 2 5" xfId="39331"/>
    <cellStyle name="Style 35 3 2 5" xfId="39332"/>
    <cellStyle name="Style 28 3 2 5" xfId="39333"/>
    <cellStyle name="Style 25 3 2 5" xfId="39334"/>
    <cellStyle name="Style 27 3 2 5" xfId="39335"/>
    <cellStyle name="Style 26 3 2 5" xfId="39336"/>
    <cellStyle name="Style 24 3 2 5" xfId="39337"/>
    <cellStyle name="Style 22 3 2 5" xfId="39338"/>
    <cellStyle name="Style 21 3 2 5" xfId="39339"/>
    <cellStyle name="Outputs 3 3 6" xfId="39340"/>
    <cellStyle name="Millions 8 2 5" xfId="39341"/>
    <cellStyle name="Magic 3 3 6" xfId="39342"/>
    <cellStyle name="ItemTypeClass 3 2 5" xfId="39343"/>
    <cellStyle name="Heading [Palat] 3 3 6" xfId="39344"/>
    <cellStyle name="Heading [Helv] 3 3 6" xfId="39345"/>
    <cellStyle name="Format text as bold, black on yellow 3 2 5" xfId="39346"/>
    <cellStyle name="Format a row of totals 3 2 5" xfId="39347"/>
    <cellStyle name="Draw shadow and lines within range 3 2 5" xfId="39348"/>
    <cellStyle name="Draw lines around data in range 3 2 5" xfId="39349"/>
    <cellStyle name="dp*ThinLineAbove 3 2 5" xfId="39350"/>
    <cellStyle name="dp*SheetSubTitle 3 3 6" xfId="39351"/>
    <cellStyle name="dp*NumberLineEPS 3 3 6" xfId="39352"/>
    <cellStyle name="dp*NumberLine 3 3 6" xfId="39353"/>
    <cellStyle name="dp*Number%ItalicsLineAbove 3 2 5" xfId="39354"/>
    <cellStyle name="DateYearWholeEstimate 3 2 5" xfId="39355"/>
    <cellStyle name="DateYearEstimate 3 2 5" xfId="39356"/>
    <cellStyle name="COL HEADINGS 3 3 6" xfId="39357"/>
    <cellStyle name="Border 3 2 5" xfId="39358"/>
    <cellStyle name="Bold/Border 3 3 6" xfId="39359"/>
    <cellStyle name="ArialNormal 3 2 5" xfId="39360"/>
    <cellStyle name="Arial8Italic 3 2 5" xfId="39361"/>
    <cellStyle name="Arial8Bold 3 2 5" xfId="39362"/>
    <cellStyle name="Arial6Bold 3 2 5" xfId="39363"/>
    <cellStyle name="Afjusted 5 3 6" xfId="39364"/>
    <cellStyle name="ac 3 3 6" xfId="39365"/>
    <cellStyle name="UNLOCKED 15 2 5" xfId="39366"/>
    <cellStyle name="dp*NumberLine 2 2 3 2 4 6" xfId="39367"/>
    <cellStyle name="Date [mmm-yyyy] 3 3 6" xfId="39368"/>
    <cellStyle name="dp*NumberLineEPS 2 2 3 2 4 6" xfId="39369"/>
    <cellStyle name="UNLOCKED 17 2 5" xfId="39370"/>
    <cellStyle name="Heading [Palat] 2 9 6" xfId="39371"/>
    <cellStyle name="dp*SheetSubTitle 2 2 3 2 4 6" xfId="39372"/>
    <cellStyle name="UNLOCKED 18 2 5" xfId="39373"/>
    <cellStyle name="Table Head Aligned 2 2 7 6" xfId="39374"/>
    <cellStyle name="UNLOCKED 19 2 5" xfId="39375"/>
    <cellStyle name="ac 2 4 3 6" xfId="39376"/>
    <cellStyle name="Afjusted 2 3 3 6" xfId="39377"/>
    <cellStyle name="Bold/Border 2 4 3 6" xfId="39378"/>
    <cellStyle name="Border Thin 2 4 3 6" xfId="39379"/>
    <cellStyle name="COL HEADINGS 2 4 3 6" xfId="39380"/>
    <cellStyle name="Date [mmm-yyyy] 2 4 3 6" xfId="39381"/>
    <cellStyle name="dp*NumberLine 2 4 3 6" xfId="39382"/>
    <cellStyle name="dp*NumberLineEPS 2 4 3 6" xfId="39383"/>
    <cellStyle name="dp*SheetSubTitle 2 4 3 6" xfId="39384"/>
    <cellStyle name="dp*SubTitle 2 4 3 6" xfId="39385"/>
    <cellStyle name="dp*ThinLineBelow 2 4 3 6" xfId="39386"/>
    <cellStyle name="Heading [Helv] 2 4 3 6" xfId="39387"/>
    <cellStyle name="Heading [Palat] 2 4 3 6" xfId="39388"/>
    <cellStyle name="Magic 2 4 3 6" xfId="39389"/>
    <cellStyle name="Outputs 2 4 3 6" xfId="39390"/>
    <cellStyle name="PB Table Standard Row 2 4 3 6" xfId="39391"/>
    <cellStyle name="P-Green Rule 2 4 3 6" xfId="39392"/>
    <cellStyle name="Style 44 3 4 3 6" xfId="39393"/>
    <cellStyle name="Style 45 3 4 3 6" xfId="39394"/>
    <cellStyle name="Style 49 3 4 3 6" xfId="39395"/>
    <cellStyle name="Style 51 3 4 3 6" xfId="39396"/>
    <cellStyle name="Style 44 2 4 3 6" xfId="39397"/>
    <cellStyle name="Style 45 2 4 3 6" xfId="39398"/>
    <cellStyle name="Style 49 2 4 3 6" xfId="39399"/>
    <cellStyle name="Style 51 2 4 3 6" xfId="39400"/>
    <cellStyle name="Table Head Aligned 2 4 3 6" xfId="39401"/>
    <cellStyle name="Table Head Green 2 4 3 6" xfId="39402"/>
    <cellStyle name="Title [Helv] 2 4 3 6" xfId="39403"/>
    <cellStyle name="Title [Palat] 2 4 3 6" xfId="39404"/>
    <cellStyle name="Heading [Helv] 2 2 3 2 4 6" xfId="39405"/>
    <cellStyle name="UNLOCKED 20 2 5" xfId="39406"/>
    <cellStyle name="Heading [Palat] 2 2 3 2 4 6" xfId="39407"/>
    <cellStyle name="Table Head Green 2 4 4 6" xfId="39408"/>
    <cellStyle name="ac 4 3 6" xfId="39409"/>
    <cellStyle name="dp*SheetSubTitle 3 4 6" xfId="39410"/>
    <cellStyle name="dp*NumberLine 3 4 6" xfId="39411"/>
    <cellStyle name="Arial6Bold 4 2 5" xfId="39412"/>
    <cellStyle name="Arial8Bold 4 2 5" xfId="39413"/>
    <cellStyle name="Arial8Italic 4 2 5" xfId="39414"/>
    <cellStyle name="ArialNormal 4 2 5" xfId="39415"/>
    <cellStyle name="Outputs 3 4 6" xfId="39416"/>
    <cellStyle name="Title [Helv] 3 4 6" xfId="39417"/>
    <cellStyle name="Bold/Border 4 3 6" xfId="39418"/>
    <cellStyle name="Border Thin 5 3 6" xfId="39419"/>
    <cellStyle name="P-Green Rule 4 4 6" xfId="39420"/>
    <cellStyle name="dp*SubTitle 4 4 6" xfId="39421"/>
    <cellStyle name="Table Head Green 2 2 2 4 4 6" xfId="39422"/>
    <cellStyle name="Heading [Palat] 2 2 2 4 4 6" xfId="39423"/>
    <cellStyle name="Date [mmm-yyyy] 2 2 2 4 4 6" xfId="39424"/>
    <cellStyle name="P-Green Rule 3 2 4 4 6" xfId="39425"/>
    <cellStyle name="dp*ThinLineBelow 3 2 4 4 6" xfId="39426"/>
    <cellStyle name="COL HEADINGS 4 3 6" xfId="39427"/>
    <cellStyle name="Date [mm-d-yyyy] 3 2 4 4 6" xfId="39428"/>
    <cellStyle name="Magic 2 2 2 3 4 6" xfId="39429"/>
    <cellStyle name="dp*SheetSubTitle 2 2 2 3 4 6" xfId="39430"/>
    <cellStyle name="Date [mmm-yyyy] 2 2 2 3 4 6" xfId="39431"/>
    <cellStyle name="Afjusted 2 2 2 3 4 6" xfId="39432"/>
    <cellStyle name="Border Thin 3 2 3 4 6" xfId="39433"/>
    <cellStyle name="PB Table Standard Row 3 2 3 4 6" xfId="39434"/>
    <cellStyle name="Style 45 4 2 3 4 6" xfId="39435"/>
    <cellStyle name="Date [mm-d-yyyy] 3 2 3 4 6" xfId="39436"/>
    <cellStyle name="Title [Palat] 2 2 2 2 4 6" xfId="39437"/>
    <cellStyle name="Bold/Border 2 2 2 7 6" xfId="39438"/>
    <cellStyle name="Style 45 4 3 7 6" xfId="39439"/>
    <cellStyle name="PB Table Standard Row 3 3 7 6" xfId="39440"/>
    <cellStyle name="Date [mm-d-yyyy] 5 3 6" xfId="39441"/>
    <cellStyle name="Bold/Border 2 2 3 7 6" xfId="39442"/>
    <cellStyle name="Title [Helv] 2 2 3 7 6" xfId="39443"/>
    <cellStyle name="DateYearEstimate 4 2 5" xfId="39444"/>
    <cellStyle name="DateYearWholeEstimate 4 2 5" xfId="39445"/>
    <cellStyle name="Style 45 4 4 4 6" xfId="39446"/>
    <cellStyle name="dp*ThinLineBelow 3 3 3 4 6" xfId="39447"/>
    <cellStyle name="Draw lines around data in range 4 2 5" xfId="39448"/>
    <cellStyle name="Draw shadow and lines within range 4 2 5" xfId="39449"/>
    <cellStyle name="PB Table Standard Row 3 3 3 4 6" xfId="39450"/>
    <cellStyle name="ac 2 2 3 3 4 6" xfId="39451"/>
    <cellStyle name="Heading [Helv] 2 2 3 3 4 6" xfId="39452"/>
    <cellStyle name="Title [Palat] 2 2 4 4 6" xfId="39453"/>
    <cellStyle name="Outputs 2 2 4 4 6" xfId="39454"/>
    <cellStyle name="Title [Palat] 2 2 3 4 4 6" xfId="39455"/>
    <cellStyle name="dp*SheetSubTitle 2 2 3 4 4 6" xfId="39456"/>
    <cellStyle name="ac 2 2 3 4 4 6" xfId="39457"/>
    <cellStyle name="Afjusted 3 3 4 4 6" xfId="39458"/>
    <cellStyle name="COL HEADINGS 2 2 3 4 4 6" xfId="39459"/>
    <cellStyle name="P-Green Rule 2 2 4 6" xfId="39460"/>
    <cellStyle name="Style 49 3 2 4 6" xfId="39461"/>
    <cellStyle name="Style 49 2 2 4 6" xfId="39462"/>
    <cellStyle name="Title [Helv] 2 2 3 4 4 6" xfId="39463"/>
    <cellStyle name="Bold/Border 2 2 3 4 4 6" xfId="39464"/>
    <cellStyle name="Format a row of totals 4 2 5" xfId="39465"/>
    <cellStyle name="Format text as bold, black on yellow 4 2 5" xfId="39466"/>
    <cellStyle name="Heading [Helv] 4 3 6" xfId="39467"/>
    <cellStyle name="Heading [Palat] 4 3 6" xfId="39468"/>
    <cellStyle name="Title [Helv] 2 2 7 6" xfId="39469"/>
    <cellStyle name="Heading [Palat] 2 2 7 6" xfId="39470"/>
    <cellStyle name="COL HEADINGS 2 2 7 6" xfId="39471"/>
    <cellStyle name="ac 2 2 7 6" xfId="39472"/>
    <cellStyle name="ItemTypeClass 4 2 5" xfId="39473"/>
    <cellStyle name="Main 3 2 5" xfId="39474"/>
    <cellStyle name="Outputs 4 3 6" xfId="39475"/>
    <cellStyle name="PB Table Standard Row 5 3 6" xfId="39476"/>
    <cellStyle name="P-Green Rule 5 3 6" xfId="39477"/>
    <cellStyle name="SAPBEXaggItemX 3 2 5" xfId="39478"/>
    <cellStyle name="SAPBEXHLevel0 3 2 5" xfId="39479"/>
    <cellStyle name="SAPBEXHLevel0X 3 2 5" xfId="39480"/>
    <cellStyle name="SAPBEXHLevel1 3 2 5" xfId="39481"/>
    <cellStyle name="SAPBEXHLevel1X 3 2 5" xfId="39482"/>
    <cellStyle name="SAPBEXHLevel2 3 2 5" xfId="39483"/>
    <cellStyle name="SAPBEXHLevel2X 3 2 5" xfId="39484"/>
    <cellStyle name="SAPBEXHLevel3 3 2 5" xfId="39485"/>
    <cellStyle name="SAPBEXHLevel3X 3 2 5" xfId="39486"/>
    <cellStyle name="SAPBEXresItemX 3 2 5" xfId="39487"/>
    <cellStyle name="SAPBEXstdItemX 3 2 5" xfId="39488"/>
    <cellStyle name="Style 21 4 2 5" xfId="39489"/>
    <cellStyle name="Style 22 4 2 5" xfId="39490"/>
    <cellStyle name="Style 35 4 2 5" xfId="39491"/>
    <cellStyle name="Style 36 4 2 5" xfId="39492"/>
    <cellStyle name="Style 37 4 2 5" xfId="39493"/>
    <cellStyle name="Style 40 4 2 5" xfId="39494"/>
    <cellStyle name="Style 42 4 2 5" xfId="39495"/>
    <cellStyle name="Style 43 4 2 5" xfId="39496"/>
    <cellStyle name="Style 44 6 3 6" xfId="39497"/>
    <cellStyle name="Style 45 6 3 6" xfId="39498"/>
    <cellStyle name="Style 48 4 2 5" xfId="39499"/>
    <cellStyle name="Style 49 6 3 6" xfId="39500"/>
    <cellStyle name="Style 50 4 2 5" xfId="39501"/>
    <cellStyle name="Style 51 6 3 6" xfId="39502"/>
    <cellStyle name="Style 52 4 2 5" xfId="39503"/>
    <cellStyle name="Style 53 4 2 5" xfId="39504"/>
    <cellStyle name="SymbolBlue 4 2 5" xfId="39505"/>
    <cellStyle name="Table Head Green 4 3 6" xfId="39506"/>
    <cellStyle name="UNLOCKED 21 2 5" xfId="39507"/>
    <cellStyle name="WingdingsBlack 4 2 5" xfId="39508"/>
    <cellStyle name="WingdingsRed 4 2 5" xfId="39509"/>
    <cellStyle name="WingdingsWhite 4 2 5" xfId="39510"/>
    <cellStyle name="Heading [Helv] 2 9 6" xfId="39511"/>
    <cellStyle name="Afjusted 6 3 6" xfId="39512"/>
    <cellStyle name="UNLOCKED 22 2 5" xfId="39513"/>
    <cellStyle name="ac 2 5 3 6" xfId="39514"/>
    <cellStyle name="Afjusted 2 4 3 6" xfId="39515"/>
    <cellStyle name="Bold/Border 2 5 3 6" xfId="39516"/>
    <cellStyle name="Border Thin 2 5 3 6" xfId="39517"/>
    <cellStyle name="COL HEADINGS 2 5 3 6" xfId="39518"/>
    <cellStyle name="Date [mmm-yyyy] 2 5 3 6" xfId="39519"/>
    <cellStyle name="dp*NumberLine 2 5 3 6" xfId="39520"/>
    <cellStyle name="dp*NumberLineEPS 2 5 3 6" xfId="39521"/>
    <cellStyle name="dp*SheetSubTitle 2 5 3 6" xfId="39522"/>
    <cellStyle name="dp*SubTitle 2 5 3 6" xfId="39523"/>
    <cellStyle name="dp*ThinLineBelow 2 5 3 6" xfId="39524"/>
    <cellStyle name="Heading [Helv] 2 5 3 6" xfId="39525"/>
    <cellStyle name="Heading [Palat] 2 5 3 6" xfId="39526"/>
    <cellStyle name="Magic 2 5 3 6" xfId="39527"/>
    <cellStyle name="Outputs 2 5 3 6" xfId="39528"/>
    <cellStyle name="PB Table Standard Row 2 5 3 6" xfId="39529"/>
    <cellStyle name="P-Green Rule 2 5 3 6" xfId="39530"/>
    <cellStyle name="Style 44 3 5 3 6" xfId="39531"/>
    <cellStyle name="Style 45 3 5 3 6" xfId="39532"/>
    <cellStyle name="Style 49 3 5 3 6" xfId="39533"/>
    <cellStyle name="Style 51 3 5 3 6" xfId="39534"/>
    <cellStyle name="Style 44 2 5 3 6" xfId="39535"/>
    <cellStyle name="Style 45 2 5 3 6" xfId="39536"/>
    <cellStyle name="Style 49 2 5 3 6" xfId="39537"/>
    <cellStyle name="Style 51 2 5 3 6" xfId="39538"/>
    <cellStyle name="Table Head Aligned 2 5 3 6" xfId="39539"/>
    <cellStyle name="Table Head Green 2 5 3 6" xfId="39540"/>
    <cellStyle name="Title [Helv] 2 5 3 6" xfId="39541"/>
    <cellStyle name="Title [Palat] 2 5 3 6" xfId="39542"/>
    <cellStyle name="Magic 2 2 3 2 4 6" xfId="39543"/>
    <cellStyle name="Table Head Green 2 3 4 6" xfId="39544"/>
    <cellStyle name="Outputs 2 2 3 2 4 6" xfId="39545"/>
    <cellStyle name="UNLOCKED 23 2 5" xfId="39546"/>
    <cellStyle name="Heading [Palat] 2 2 3 4 4 6" xfId="39547"/>
    <cellStyle name="UNLOCKED 24 2 5" xfId="39548"/>
    <cellStyle name="P-Green Rule 5 4 6" xfId="39549"/>
    <cellStyle name="Date [mm-d-yyyy] 5 4 6" xfId="39550"/>
    <cellStyle name="ac 4 4 6" xfId="39551"/>
    <cellStyle name="Table Head Aligned 2 4 4 6" xfId="39552"/>
    <cellStyle name="ac 5 3 6" xfId="39553"/>
    <cellStyle name="Bold/Border 3 4 6" xfId="39554"/>
    <cellStyle name="dp*NumberLineEPS 3 4 6" xfId="39555"/>
    <cellStyle name="Arial6Bold 5 2 5" xfId="39556"/>
    <cellStyle name="Arial8Bold 5 2 5" xfId="39557"/>
    <cellStyle name="Arial8Italic 5 2 5" xfId="39558"/>
    <cellStyle name="ArialNormal 5 2 5" xfId="39559"/>
    <cellStyle name="Heading [Helv] 3 4 6" xfId="39560"/>
    <cellStyle name="Title [Palat] 3 4 6" xfId="39561"/>
    <cellStyle name="Bold/Border 5 3 6" xfId="39562"/>
    <cellStyle name="Border Thin 6 3 6" xfId="39563"/>
    <cellStyle name="PB Table Standard Row 4 4 6" xfId="39564"/>
    <cellStyle name="Date [mm-d-yyyy] 4 4 6" xfId="39565"/>
    <cellStyle name="Title [Palat] 2 2 2 4 4 6" xfId="39566"/>
    <cellStyle name="Table Head Aligned 2 2 2 4 4 6" xfId="39567"/>
    <cellStyle name="Heading [Helv] 2 2 2 4 4 6" xfId="39568"/>
    <cellStyle name="COL HEADINGS 2 2 2 4 4 6" xfId="39569"/>
    <cellStyle name="Style 44 4 2 4 4 6" xfId="39570"/>
    <cellStyle name="PB Table Standard Row 3 2 4 4 6" xfId="39571"/>
    <cellStyle name="COL HEADINGS 5 3 6" xfId="39572"/>
    <cellStyle name="Afjusted 3 2 4 4 6" xfId="39573"/>
    <cellStyle name="Heading [Palat] 2 2 2 3 4 6" xfId="39574"/>
    <cellStyle name="dp*NumberLineEPS 2 2 2 3 4 6" xfId="39575"/>
    <cellStyle name="COL HEADINGS 2 2 2 3 4 6" xfId="39576"/>
    <cellStyle name="ac 2 2 2 3 4 6" xfId="39577"/>
    <cellStyle name="dp*SubTitle 3 2 3 4 6" xfId="39578"/>
    <cellStyle name="P-Green Rule 3 2 3 4 6" xfId="39579"/>
    <cellStyle name="Style 49 4 2 3 4 6" xfId="39580"/>
    <cellStyle name="Afjusted 3 2 3 4 6" xfId="39581"/>
    <cellStyle name="Title [Helv] 2 2 2 2 4 6" xfId="39582"/>
    <cellStyle name="Afjusted 2 2 2 7 6" xfId="39583"/>
    <cellStyle name="Date [mm-d-yyyy] 3 3 7 6" xfId="39584"/>
    <cellStyle name="Style 51 4 3 7 6" xfId="39585"/>
    <cellStyle name="Style 44 4 3 7 6" xfId="39586"/>
    <cellStyle name="dp*ThinLineBelow 3 3 7 6" xfId="39587"/>
    <cellStyle name="Afjusted 4 3 7 6" xfId="39588"/>
    <cellStyle name="Date [mm-d-yyyy] 6 2 6" xfId="39589"/>
    <cellStyle name="COL HEADINGS 2 2 3 7 6" xfId="39590"/>
    <cellStyle name="Title [Palat] 2 2 3 7 6" xfId="39591"/>
    <cellStyle name="DateYearEstimate 5 2 5" xfId="39592"/>
    <cellStyle name="DateYearWholeEstimate 5 2 5" xfId="39593"/>
    <cellStyle name="Afjusted 2 2 4 4 6" xfId="39594"/>
    <cellStyle name="Border Thin 3 3 4 4 6" xfId="39595"/>
    <cellStyle name="Style 49 4 4 4 6" xfId="39596"/>
    <cellStyle name="Afjusted 2 2 3 3 4 6" xfId="39597"/>
    <cellStyle name="Draw lines around data in range 5 2 5" xfId="39598"/>
    <cellStyle name="Draw shadow and lines within range 5 2 5" xfId="39599"/>
    <cellStyle name="Border Thin 3 3 3 4 6" xfId="39600"/>
    <cellStyle name="COL HEADINGS 2 2 3 3 4 6" xfId="39601"/>
    <cellStyle name="Magic 2 2 3 3 4 6" xfId="39602"/>
    <cellStyle name="Title [Helv] 2 2 4 4 6" xfId="39603"/>
    <cellStyle name="Heading [Palat] 2 2 4 4 6" xfId="39604"/>
    <cellStyle name="Table Head Aligned 2 2 3 4 4 6" xfId="39605"/>
    <cellStyle name="dp*NumberLineEPS 2 2 3 4 4 6" xfId="39606"/>
    <cellStyle name="Afjusted 4 3 4 4 6" xfId="39607"/>
    <cellStyle name="Style 44 3 3 4 6" xfId="39608"/>
    <cellStyle name="dp*ThinLineBelow 2 2 4 6" xfId="39609"/>
    <cellStyle name="Style 44 3 2 4 6" xfId="39610"/>
    <cellStyle name="Style 51 3 2 4 6" xfId="39611"/>
    <cellStyle name="Style 45 2 2 4 6" xfId="39612"/>
    <cellStyle name="Magic 2 2 3 4 4 6" xfId="39613"/>
    <cellStyle name="Format a row of totals 5 2 5" xfId="39614"/>
    <cellStyle name="Format text as bold, black on yellow 5 2 5" xfId="39615"/>
    <cellStyle name="Heading [Helv] 5 3 6" xfId="39616"/>
    <cellStyle name="Heading [Palat] 5 3 6" xfId="39617"/>
    <cellStyle name="Table Head Green 2 2 7 6" xfId="39618"/>
    <cellStyle name="Heading [Helv] 2 2 7 6" xfId="39619"/>
    <cellStyle name="Bold/Border 2 2 7 6" xfId="39620"/>
    <cellStyle name="ItemTypeClass 5 2 5" xfId="39621"/>
    <cellStyle name="Main 4 2 5" xfId="39622"/>
    <cellStyle name="Style 49 2 8 6" xfId="39623"/>
    <cellStyle name="Outputs 5 3 6" xfId="39624"/>
    <cellStyle name="PB Table Standard Row 6 3 6" xfId="39625"/>
    <cellStyle name="P-Green Rule 6 3 6" xfId="39626"/>
    <cellStyle name="SAPBEXaggItemX 4 2 5" xfId="39627"/>
    <cellStyle name="SAPBEXHLevel0 4 2 5" xfId="39628"/>
    <cellStyle name="SAPBEXHLevel0X 4 2 5" xfId="39629"/>
    <cellStyle name="SAPBEXHLevel1 4 2 5" xfId="39630"/>
    <cellStyle name="SAPBEXHLevel1X 4 2 5" xfId="39631"/>
    <cellStyle name="SAPBEXHLevel2 4 2 5" xfId="39632"/>
    <cellStyle name="SAPBEXHLevel2X 4 2 5" xfId="39633"/>
    <cellStyle name="SAPBEXHLevel3 4 2 5" xfId="39634"/>
    <cellStyle name="SAPBEXHLevel3X 4 2 5" xfId="39635"/>
    <cellStyle name="SAPBEXresItemX 4 2 5" xfId="39636"/>
    <cellStyle name="SAPBEXstdItemX 4 2 5" xfId="39637"/>
    <cellStyle name="Style 21 5 2 5" xfId="39638"/>
    <cellStyle name="Style 22 5 2 5" xfId="39639"/>
    <cellStyle name="Style 35 5 2 5" xfId="39640"/>
    <cellStyle name="Style 36 5 2 5" xfId="39641"/>
    <cellStyle name="Style 37 5 2 5" xfId="39642"/>
    <cellStyle name="Style 40 5 2 5" xfId="39643"/>
    <cellStyle name="Style 42 5 2 5" xfId="39644"/>
    <cellStyle name="Style 43 5 2 5" xfId="39645"/>
    <cellStyle name="Style 44 7 3 6" xfId="39646"/>
    <cellStyle name="Style 45 7 3 6" xfId="39647"/>
    <cellStyle name="Style 48 5 2 5" xfId="39648"/>
    <cellStyle name="Style 49 7 3 6" xfId="39649"/>
    <cellStyle name="Style 50 5 2 5" xfId="39650"/>
    <cellStyle name="Style 51 7 3 6" xfId="39651"/>
    <cellStyle name="Style 52 5 2 5" xfId="39652"/>
    <cellStyle name="Style 53 5 2 5" xfId="39653"/>
    <cellStyle name="SymbolBlue 5 2 5" xfId="39654"/>
    <cellStyle name="Table Head Green 5 3 6" xfId="39655"/>
    <cellStyle name="Title [Palat] 4 3 6" xfId="39656"/>
    <cellStyle name="UNLOCKED 25 2 5" xfId="39657"/>
    <cellStyle name="WingdingsBlack 5 2 5" xfId="39658"/>
    <cellStyle name="WingdingsRed 5 2 5" xfId="39659"/>
    <cellStyle name="WingdingsWhite 5 2 5" xfId="39660"/>
    <cellStyle name="ac 2 6 3 6" xfId="39661"/>
    <cellStyle name="Bold/Border 2 6 3 6" xfId="39662"/>
    <cellStyle name="Border Thin 2 6 3 6" xfId="39663"/>
    <cellStyle name="COL HEADINGS 2 6 3 6" xfId="39664"/>
    <cellStyle name="Date [mm-d-yyyy] 2 3 2 6" xfId="39665"/>
    <cellStyle name="Bold/Border 2 2 3 3 4 6" xfId="39666"/>
    <cellStyle name="Header2 2 2 2 5" xfId="39667"/>
    <cellStyle name="Heading [Helv] 2 6 3 6" xfId="39668"/>
    <cellStyle name="Heading [Palat] 2 6 3 6" xfId="39669"/>
    <cellStyle name="Outputs 2 2 3 3 4 6" xfId="39670"/>
    <cellStyle name="Outputs 2 6 3 6" xfId="39671"/>
    <cellStyle name="PB Table Standard Row 2 6 3 6" xfId="39672"/>
    <cellStyle name="P-Green Rule 2 6 3 6" xfId="39673"/>
    <cellStyle name="Style 44 3 6 3 6" xfId="39674"/>
    <cellStyle name="Style 45 3 6 3 6" xfId="39675"/>
    <cellStyle name="Style 49 3 6 3 6" xfId="39676"/>
    <cellStyle name="Style 51 3 6 3 6" xfId="39677"/>
    <cellStyle name="Style 44 2 6 3 6" xfId="39678"/>
    <cellStyle name="Style 45 2 6 3 6" xfId="39679"/>
    <cellStyle name="Style 49 2 6 3 6" xfId="39680"/>
    <cellStyle name="Style 51 2 6 3 6" xfId="39681"/>
    <cellStyle name="Table Head Green 2 6 3 6" xfId="39682"/>
    <cellStyle name="Title [Palat] 2 6 3 6" xfId="39683"/>
    <cellStyle name="Table Head Green 2 2 3 4 4 6" xfId="39684"/>
    <cellStyle name="UNLOCKED 26 2 5" xfId="39685"/>
    <cellStyle name="Table Head Green 2 2 2 7 6" xfId="39686"/>
    <cellStyle name="Outputs 2 2 2 7 6" xfId="39687"/>
    <cellStyle name="Title [Helv] 2 2 3 2 4 6" xfId="39688"/>
    <cellStyle name="PB Table Standard Row 3 5 4 6" xfId="39689"/>
    <cellStyle name="P-Green Rule 3 2 2 4 6" xfId="39690"/>
    <cellStyle name="Style 49 4 2 2 4 6" xfId="39691"/>
    <cellStyle name="dp*NumberLineEPS 2 8 6" xfId="39692"/>
    <cellStyle name="Heading [Helv] 2 2 2 7 6" xfId="39693"/>
    <cellStyle name="FieldName 4 2 5" xfId="39694"/>
    <cellStyle name="WingdingsWhite 6 2 5" xfId="39695"/>
    <cellStyle name="WingdingsRed 6 2 5" xfId="39696"/>
    <cellStyle name="WingdingsBlack 6 2 5" xfId="39697"/>
    <cellStyle name="UNLOCKED 28 2 5" xfId="39698"/>
    <cellStyle name="Title [Palat] 5 3 6" xfId="39699"/>
    <cellStyle name="Title [Helv] 4 3 6" xfId="39700"/>
    <cellStyle name="Table Head Green 6 3 6" xfId="39701"/>
    <cellStyle name="Table Head Aligned 4 3 6" xfId="39702"/>
    <cellStyle name="SymbolBlue 6 2 5" xfId="39703"/>
    <cellStyle name="Style 53 6 2 5" xfId="39704"/>
    <cellStyle name="Style 52 6 2 5" xfId="39705"/>
    <cellStyle name="Style 50 6 2 5" xfId="39706"/>
    <cellStyle name="Style 48 6 2 5" xfId="39707"/>
    <cellStyle name="Style 43 6 2 5" xfId="39708"/>
    <cellStyle name="Style 42 6 2 5" xfId="39709"/>
    <cellStyle name="Style 40 6 2 5" xfId="39710"/>
    <cellStyle name="Style 37 6 2 5" xfId="39711"/>
    <cellStyle name="Style 36 6 2 5" xfId="39712"/>
    <cellStyle name="Style 35 6 2 5" xfId="39713"/>
    <cellStyle name="Style 28 4 2 5" xfId="39714"/>
    <cellStyle name="Style 27 4 2 5" xfId="39715"/>
    <cellStyle name="Style 24 4 2 5" xfId="39716"/>
    <cellStyle name="Style 26 4 2 5" xfId="39717"/>
    <cellStyle name="Style 25 4 2 5" xfId="39718"/>
    <cellStyle name="Style 22 6 2 5" xfId="39719"/>
    <cellStyle name="Style 21 6 2 5" xfId="39720"/>
    <cellStyle name="SSFixed2 3 2 5" xfId="39721"/>
    <cellStyle name="SSDfltPct0 3 2 5" xfId="39722"/>
    <cellStyle name="SSDfltPct 3 2 5" xfId="39723"/>
    <cellStyle name="SSDecs3 3 2 5" xfId="39724"/>
    <cellStyle name="SSComma2 3 2 5" xfId="39725"/>
    <cellStyle name="SSComma0 3 2 5" xfId="39726"/>
    <cellStyle name="SAPBEXundefined 3 2 5" xfId="39727"/>
    <cellStyle name="SAPBEXtitle 3 2 5" xfId="39728"/>
    <cellStyle name="SAPBEXstdItemX 5 2 5" xfId="39729"/>
    <cellStyle name="SAPBEXstdItem 3 2 5" xfId="39730"/>
    <cellStyle name="SAPBEXstdDataEmph 3 2 5" xfId="39731"/>
    <cellStyle name="SAPBEXstdData 3 2 5" xfId="39732"/>
    <cellStyle name="SAPBEXresItemX 5 2 5" xfId="39733"/>
    <cellStyle name="SAPBEXresItem 3 2 5" xfId="39734"/>
    <cellStyle name="SAPBEXresDataEmph 3 2 5" xfId="39735"/>
    <cellStyle name="SAPBEXresData 3 2 5" xfId="39736"/>
    <cellStyle name="SAPBEXHLevel3X 5 2 5" xfId="39737"/>
    <cellStyle name="SAPBEXHLevel3 5 2 5" xfId="39738"/>
    <cellStyle name="SAPBEXHLevel2X 5 2 5" xfId="39739"/>
    <cellStyle name="SAPBEXHLevel2 5 2 5" xfId="39740"/>
    <cellStyle name="SAPBEXHLevel1X 5 2 5" xfId="39741"/>
    <cellStyle name="SAPBEXHLevel1 5 2 5" xfId="39742"/>
    <cellStyle name="SAPBEXHLevel0X 5 2 5" xfId="39743"/>
    <cellStyle name="SAPBEXHLevel0 5 2 5" xfId="39744"/>
    <cellStyle name="SAPBEXformats 3 2 5" xfId="39745"/>
    <cellStyle name="SAPBEXexcGood3 3 2 5" xfId="39746"/>
    <cellStyle name="SAPBEXexcGood2 3 2 5" xfId="39747"/>
    <cellStyle name="SAPBEXexcGood1 3 2 5" xfId="39748"/>
    <cellStyle name="SAPBEXexcCritical6 3 2 5" xfId="39749"/>
    <cellStyle name="SAPBEXexcCritical5 3 2 5" xfId="39750"/>
    <cellStyle name="SAPBEXexcCritical4 3 2 5" xfId="39751"/>
    <cellStyle name="SAPBEXexcBad9 3 2 5" xfId="39752"/>
    <cellStyle name="SAPBEXexcBad8 3 2 5" xfId="39753"/>
    <cellStyle name="SAPBEXexcBad7 3 2 5" xfId="39754"/>
    <cellStyle name="SAPBEXaggItemX 5 2 5" xfId="39755"/>
    <cellStyle name="SAPBEXaggItem 3 2 5" xfId="39756"/>
    <cellStyle name="SAPBEXaggDataEmph 3 2 5" xfId="39757"/>
    <cellStyle name="SAPBEXaggData 3 2 5" xfId="39758"/>
    <cellStyle name="Arial6Bold 7 2 5" xfId="39759"/>
    <cellStyle name="Arial8Bold 7 2 5" xfId="39760"/>
    <cellStyle name="Arial8Italic 7 2 5" xfId="39761"/>
    <cellStyle name="ArialNormal 7 2 5" xfId="39762"/>
    <cellStyle name="Border 5 2 5" xfId="39763"/>
    <cellStyle name="Outputs 6 3 6" xfId="39764"/>
    <cellStyle name="dp*Number%ItalicsLineAbove 5 2 5" xfId="39765"/>
    <cellStyle name="dp*ThinLineAbove 5 2 5" xfId="39766"/>
    <cellStyle name="Draw lines around data in range 7 2 5" xfId="39767"/>
    <cellStyle name="Draw shadow and lines within range 7 2 5" xfId="39768"/>
    <cellStyle name="Millions 9 2 5" xfId="39769"/>
    <cellStyle name="Main 5 2 5" xfId="39770"/>
    <cellStyle name="Magic 4 3 6" xfId="39771"/>
    <cellStyle name="ItemTypeClass 6 2 5" xfId="39772"/>
    <cellStyle name="Format a row of totals 7 2 5" xfId="39773"/>
    <cellStyle name="Format text as bold, black on yellow 7 2 5" xfId="39774"/>
    <cellStyle name="dp*NumberLine 2 2 7 6" xfId="39775"/>
    <cellStyle name="Heading [Palat] 6 3 6" xfId="39776"/>
    <cellStyle name="Heading [Helv] 6 3 6" xfId="39777"/>
    <cellStyle name="Format text as bold, black on yellow 6 2 5" xfId="39778"/>
    <cellStyle name="Format a row of totals 6 2 5" xfId="39779"/>
    <cellStyle name="ItemTypeClass 7 2 5" xfId="39780"/>
    <cellStyle name="Main 6 2 5" xfId="39781"/>
    <cellStyle name="Draw shadow and lines within range 6 2 5" xfId="39782"/>
    <cellStyle name="Draw lines around data in range 6 2 5" xfId="39783"/>
    <cellStyle name="dp*ThinLineBelow 5 3 6" xfId="39784"/>
    <cellStyle name="dp*ThinLineAbove 4 2 5" xfId="39785"/>
    <cellStyle name="dp*SubTitle 5 3 6" xfId="39786"/>
    <cellStyle name="dp*SheetSubTitle 4 3 6" xfId="39787"/>
    <cellStyle name="dp*NumberLineEPS 4 3 6" xfId="39788"/>
    <cellStyle name="dp*NumberLine 4 3 6" xfId="39789"/>
    <cellStyle name="ac 2 3 4 6" xfId="39790"/>
    <cellStyle name="dp*Number%ItalicsLineAbove 4 2 5" xfId="39791"/>
    <cellStyle name="Millions 10 2 5" xfId="39792"/>
    <cellStyle name="Date [mmm-yyyy] 2 2 3 3 4 6" xfId="39793"/>
    <cellStyle name="Title [Helv] 2 3 4 6" xfId="39794"/>
    <cellStyle name="DateYearWholeEstimate 6 2 5" xfId="39795"/>
    <cellStyle name="DateYearEstimate 6 2 5" xfId="39796"/>
    <cellStyle name="Date [mmm-yyyy] 4 3 6" xfId="39797"/>
    <cellStyle name="Date [mm-d-yyyy] 7 3 6" xfId="39798"/>
    <cellStyle name="COL HEADINGS 6 3 6" xfId="39799"/>
    <cellStyle name="dp*SheetSubTitle 2 2 2 4 4 6" xfId="39800"/>
    <cellStyle name="Border Thin 7 3 6" xfId="39801"/>
    <cellStyle name="Border 4 2 5" xfId="39802"/>
    <cellStyle name="Bold/Border 6 3 6" xfId="39803"/>
    <cellStyle name="ArialNormal 6 2 5" xfId="39804"/>
    <cellStyle name="Arial8Italic 6 2 5" xfId="39805"/>
    <cellStyle name="Arial8Bold 6 2 5" xfId="39806"/>
    <cellStyle name="Arial6Bold 6 2 5" xfId="39807"/>
    <cellStyle name="Afjusted 7 3 6" xfId="39808"/>
    <cellStyle name="ac 6 3 6" xfId="39809"/>
    <cellStyle name="SAPBEXaggData 4 2 5" xfId="39810"/>
    <cellStyle name="SAPBEXaggDataEmph 4 2 5" xfId="39811"/>
    <cellStyle name="SAPBEXaggItem 4 2 5" xfId="39812"/>
    <cellStyle name="SAPBEXaggItemX 6 2 5" xfId="39813"/>
    <cellStyle name="SAPBEXexcBad7 4 2 5" xfId="39814"/>
    <cellStyle name="SAPBEXexcBad8 4 2 5" xfId="39815"/>
    <cellStyle name="SAPBEXexcBad9 4 2 5" xfId="39816"/>
    <cellStyle name="SAPBEXexcCritical4 4 2 5" xfId="39817"/>
    <cellStyle name="SAPBEXexcCritical5 4 2 5" xfId="39818"/>
    <cellStyle name="SAPBEXexcCritical6 4 2 5" xfId="39819"/>
    <cellStyle name="SAPBEXexcGood2 4 2 5" xfId="39820"/>
    <cellStyle name="SAPBEXexcGood1 4 2 5" xfId="39821"/>
    <cellStyle name="SAPBEXexcGood3 4 2 5" xfId="39822"/>
    <cellStyle name="SAPBEXformats 4 2 5" xfId="39823"/>
    <cellStyle name="SAPBEXHLevel0 6 2 5" xfId="39824"/>
    <cellStyle name="SAPBEXHLevel0X 6 2 5" xfId="39825"/>
    <cellStyle name="SAPBEXHLevel1 6 2 5" xfId="39826"/>
    <cellStyle name="SAPBEXHLevel1X 6 2 5" xfId="39827"/>
    <cellStyle name="SAPBEXHLevel2 6 2 5" xfId="39828"/>
    <cellStyle name="SAPBEXHLevel2X 6 2 5" xfId="39829"/>
    <cellStyle name="SAPBEXHLevel3 6 2 5" xfId="39830"/>
    <cellStyle name="SAPBEXHLevel3X 6 2 5" xfId="39831"/>
    <cellStyle name="SAPBEXresData 4 2 5" xfId="39832"/>
    <cellStyle name="SAPBEXresDataEmph 4 2 5" xfId="39833"/>
    <cellStyle name="SAPBEXresItem 4 2 5" xfId="39834"/>
    <cellStyle name="SAPBEXresItemX 6 2 5" xfId="39835"/>
    <cellStyle name="SAPBEXstdData 4 2 5" xfId="39836"/>
    <cellStyle name="SAPBEXstdDataEmph 4 2 5" xfId="39837"/>
    <cellStyle name="SAPBEXstdItem 4 2 5" xfId="39838"/>
    <cellStyle name="SAPBEXstdItemX 6 2 5" xfId="39839"/>
    <cellStyle name="SAPBEXtitle 4 2 5" xfId="39840"/>
    <cellStyle name="SAPBEXundefined 4 2 5" xfId="39841"/>
    <cellStyle name="Style 44 8 3 6" xfId="39842"/>
    <cellStyle name="Style 45 8 3 6" xfId="39843"/>
    <cellStyle name="Style 49 8 3 6" xfId="39844"/>
    <cellStyle name="Style 51 8 3 6" xfId="39845"/>
    <cellStyle name="SSComma0 4 2 5" xfId="39846"/>
    <cellStyle name="SSComma2 4 2 5" xfId="39847"/>
    <cellStyle name="SSDecs3 4 2 5" xfId="39848"/>
    <cellStyle name="SSDfltPct 4 2 5" xfId="39849"/>
    <cellStyle name="SSDfltPct0 4 2 5" xfId="39850"/>
    <cellStyle name="SSFixed2 4 2 5" xfId="39851"/>
    <cellStyle name="Style 22 7 2 5" xfId="39852"/>
    <cellStyle name="Style 24 5 2 5" xfId="39853"/>
    <cellStyle name="Style 25 5 2 5" xfId="39854"/>
    <cellStyle name="Style 26 5 2 5" xfId="39855"/>
    <cellStyle name="Style 27 5 2 5" xfId="39856"/>
    <cellStyle name="Style 28 5 2 5" xfId="39857"/>
    <cellStyle name="Style 35 7 2 5" xfId="39858"/>
    <cellStyle name="Style 36 7 2 5" xfId="39859"/>
    <cellStyle name="Style 37 7 2 5" xfId="39860"/>
    <cellStyle name="Style 40 7 2 5" xfId="39861"/>
    <cellStyle name="Style 42 7 2 5" xfId="39862"/>
    <cellStyle name="Style 43 7 2 5" xfId="39863"/>
    <cellStyle name="Style 48 7 2 5" xfId="39864"/>
    <cellStyle name="Style 50 7 2 5" xfId="39865"/>
    <cellStyle name="Style 52 7 2 5" xfId="39866"/>
    <cellStyle name="Style 53 7 2 5" xfId="39867"/>
    <cellStyle name="UNLOCKED 27 2 5" xfId="39868"/>
    <cellStyle name="SymbolBlue 7 2 5" xfId="39869"/>
    <cellStyle name="Style 21 7 2 5" xfId="39870"/>
    <cellStyle name="Bold/Border 2 9 6" xfId="39871"/>
    <cellStyle name="Afjusted 3 2 2 4 6" xfId="39872"/>
    <cellStyle name="Style 44 4 2 2 4 6" xfId="39873"/>
    <cellStyle name="Heading [Helv] 2 2 2 2 4 6" xfId="39874"/>
    <cellStyle name="Style 45 4 5 4 6" xfId="39875"/>
    <cellStyle name="Afjusted 4 3 2 4 6" xfId="39876"/>
    <cellStyle name="PB Table Standard Row 2 3 3 6" xfId="39877"/>
    <cellStyle name="Style 51 4 2 2 4 6" xfId="39878"/>
    <cellStyle name="DateYearWholeEstimate 7 2 5" xfId="39879"/>
    <cellStyle name="DateYearEstimate 7 2 5" xfId="39880"/>
    <cellStyle name="UNLOCKED 29 2 5" xfId="39881"/>
    <cellStyle name="WingdingsBlack 7 2 5" xfId="39882"/>
    <cellStyle name="WingdingsRed 7 2 5" xfId="39883"/>
    <cellStyle name="WingdingsWhite 7 2 5" xfId="39884"/>
    <cellStyle name="UNLOCKED 31 2 5" xfId="39885"/>
    <cellStyle name="Title [Palat] 6 3 6" xfId="39886"/>
    <cellStyle name="Title [Helv] 5 3 6" xfId="39887"/>
    <cellStyle name="Table Head Green 7 3 6" xfId="39888"/>
    <cellStyle name="Table Head Aligned 5 3 6" xfId="39889"/>
    <cellStyle name="Outputs 7 3 6" xfId="39890"/>
    <cellStyle name="Millions 11 2 5" xfId="39891"/>
    <cellStyle name="Magic 5 3 6" xfId="39892"/>
    <cellStyle name="Heading [Palat] 7 3 6" xfId="39893"/>
    <cellStyle name="Heading [Helv] 7 3 6" xfId="39894"/>
    <cellStyle name="dp*SheetSubTitle 5 3 6" xfId="39895"/>
    <cellStyle name="dp*NumberLineEPS 5 3 6" xfId="39896"/>
    <cellStyle name="dp*NumberLine 5 3 6" xfId="39897"/>
    <cellStyle name="Date [mmm-yyyy] 5 3 6" xfId="39898"/>
    <cellStyle name="COL HEADINGS 7 3 6" xfId="39899"/>
    <cellStyle name="Bold/Border 7 3 6" xfId="39900"/>
    <cellStyle name="Afjusted 8 3 6" xfId="39901"/>
    <cellStyle name="ac 7 3 6" xfId="39902"/>
    <cellStyle name="UNLOCKED 30 2 5" xfId="39903"/>
    <cellStyle name="FieldName 5 2 5" xfId="39904"/>
    <cellStyle name="WingdingsWhite 8 2 5" xfId="39905"/>
    <cellStyle name="WingdingsRed 8 2 5" xfId="39906"/>
    <cellStyle name="WingdingsBlack 8 2 5" xfId="39907"/>
    <cellStyle name="UNLOCKED 33 2 5" xfId="39908"/>
    <cellStyle name="Title [Palat] 7 3 6" xfId="39909"/>
    <cellStyle name="Title [Helv] 6 3 6" xfId="39910"/>
    <cellStyle name="Table Head Green 8 3 6" xfId="39911"/>
    <cellStyle name="Table Head Aligned 6 3 6" xfId="39912"/>
    <cellStyle name="SymbolBlue 8 2 5" xfId="39913"/>
    <cellStyle name="Style 53 8 2 5" xfId="39914"/>
    <cellStyle name="Style 52 8 2 5" xfId="39915"/>
    <cellStyle name="Style 50 8 2 5" xfId="39916"/>
    <cellStyle name="Style 48 8 2 5" xfId="39917"/>
    <cellStyle name="Style 43 8 2 5" xfId="39918"/>
    <cellStyle name="Style 42 8 2 5" xfId="39919"/>
    <cellStyle name="Style 40 8 2 5" xfId="39920"/>
    <cellStyle name="Style 37 8 2 5" xfId="39921"/>
    <cellStyle name="Style 36 8 2 5" xfId="39922"/>
    <cellStyle name="Style 35 8 2 5" xfId="39923"/>
    <cellStyle name="Style 28 6 2 5" xfId="39924"/>
    <cellStyle name="Style 26 6 2 5" xfId="39925"/>
    <cellStyle name="Style 27 6 2 5" xfId="39926"/>
    <cellStyle name="Style 25 6 2 5" xfId="39927"/>
    <cellStyle name="Style 24 6 2 5" xfId="39928"/>
    <cellStyle name="Style 22 8 2 5" xfId="39929"/>
    <cellStyle name="Style 21 8 2 5" xfId="39930"/>
    <cellStyle name="SSFixed2 5 2 5" xfId="39931"/>
    <cellStyle name="SSDfltPct0 5 2 5" xfId="39932"/>
    <cellStyle name="SSDfltPct 5 2 5" xfId="39933"/>
    <cellStyle name="SSDecs3 5 2 5" xfId="39934"/>
    <cellStyle name="SSComma2 5 2 5" xfId="39935"/>
    <cellStyle name="SSComma0 5 2 5" xfId="39936"/>
    <cellStyle name="SAPBEXundefined 5 2 5" xfId="39937"/>
    <cellStyle name="SAPBEXtitle 5 2 5" xfId="39938"/>
    <cellStyle name="SAPBEXstdItemX 7 2 5" xfId="39939"/>
    <cellStyle name="SAPBEXstdItem 5 2 5" xfId="39940"/>
    <cellStyle name="SAPBEXstdDataEmph 5 2 5" xfId="39941"/>
    <cellStyle name="SAPBEXstdData 5 2 5" xfId="39942"/>
    <cellStyle name="SAPBEXresItemX 7 2 5" xfId="39943"/>
    <cellStyle name="SAPBEXresItem 5 2 5" xfId="39944"/>
    <cellStyle name="SAPBEXresDataEmph 5 2 5" xfId="39945"/>
    <cellStyle name="SAPBEXresData 5 2 5" xfId="39946"/>
    <cellStyle name="SAPBEXHLevel3X 7 2 5" xfId="39947"/>
    <cellStyle name="SAPBEXHLevel3 7 2 5" xfId="39948"/>
    <cellStyle name="SAPBEXHLevel2X 7 2 5" xfId="39949"/>
    <cellStyle name="SAPBEXHLevel2 7 2 5" xfId="39950"/>
    <cellStyle name="SAPBEXHLevel1X 7 2 5" xfId="39951"/>
    <cellStyle name="SAPBEXHLevel1 7 2 5" xfId="39952"/>
    <cellStyle name="SAPBEXHLevel0X 7 2 5" xfId="39953"/>
    <cellStyle name="SAPBEXHLevel0 7 2 5" xfId="39954"/>
    <cellStyle name="SAPBEXformats 5 2 5" xfId="39955"/>
    <cellStyle name="SAPBEXexcGood3 5 2 5" xfId="39956"/>
    <cellStyle name="SAPBEXexcGood2 5 2 5" xfId="39957"/>
    <cellStyle name="SAPBEXexcGood1 5 2 5" xfId="39958"/>
    <cellStyle name="SAPBEXexcCritical6 5 2 5" xfId="39959"/>
    <cellStyle name="SAPBEXexcCritical5 5 2 5" xfId="39960"/>
    <cellStyle name="SAPBEXexcCritical4 5 2 5" xfId="39961"/>
    <cellStyle name="SAPBEXexcBad9 5 2 5" xfId="39962"/>
    <cellStyle name="SAPBEXexcBad8 5 2 5" xfId="39963"/>
    <cellStyle name="SAPBEXexcBad7 5 2 5" xfId="39964"/>
    <cellStyle name="SAPBEXaggItemX 7 2 5" xfId="39965"/>
    <cellStyle name="SAPBEXaggItem 5 2 5" xfId="39966"/>
    <cellStyle name="SAPBEXaggDataEmph 5 2 5" xfId="39967"/>
    <cellStyle name="SAPBEXaggData 5 2 5" xfId="39968"/>
    <cellStyle name="Outputs 8 3 6" xfId="39969"/>
    <cellStyle name="Millions 12 2 5" xfId="39970"/>
    <cellStyle name="Main 7 2 5" xfId="39971"/>
    <cellStyle name="Magic 6 3 6" xfId="39972"/>
    <cellStyle name="ItemTypeClass 8 2 5" xfId="39973"/>
    <cellStyle name="Heading [Palat] 8 3 6" xfId="39974"/>
    <cellStyle name="Heading [Helv] 8 3 6" xfId="39975"/>
    <cellStyle name="Format text as bold, black on yellow 8 2 5" xfId="39976"/>
    <cellStyle name="Format a row of totals 8 2 5" xfId="39977"/>
    <cellStyle name="Draw shadow and lines within range 8 2 5" xfId="39978"/>
    <cellStyle name="Draw lines around data in range 8 2 5" xfId="39979"/>
    <cellStyle name="dp*ThinLineAbove 6 2 5" xfId="39980"/>
    <cellStyle name="dp*SheetSubTitle 6 3 6" xfId="39981"/>
    <cellStyle name="dp*NumberLineEPS 6 3 6" xfId="39982"/>
    <cellStyle name="dp*NumberLine 6 3 6" xfId="39983"/>
    <cellStyle name="dp*Number%ItalicsLineAbove 6 2 5" xfId="39984"/>
    <cellStyle name="DateYearWholeEstimate 8 2 5" xfId="39985"/>
    <cellStyle name="DateYearEstimate 8 2 5" xfId="39986"/>
    <cellStyle name="COL HEADINGS 8 3 6" xfId="39987"/>
    <cellStyle name="dp*NumberLineEPS 2 2 2 4 4 6" xfId="39988"/>
    <cellStyle name="Border 6 2 5" xfId="39989"/>
    <cellStyle name="Bold/Border 8 3 6" xfId="39990"/>
    <cellStyle name="ArialNormal 8 2 5" xfId="39991"/>
    <cellStyle name="Arial8Italic 8 2 5" xfId="39992"/>
    <cellStyle name="Arial8Bold 8 2 5" xfId="39993"/>
    <cellStyle name="Arial6Bold 8 2 5" xfId="39994"/>
    <cellStyle name="Afjusted 9 3 6" xfId="39995"/>
    <cellStyle name="ac 8 3 6" xfId="39996"/>
    <cellStyle name="UNLOCKED 32 2 5" xfId="39997"/>
    <cellStyle name="Date [mmm-yyyy] 6 3 6" xfId="39998"/>
    <cellStyle name="UNLOCKED 37 5" xfId="39999"/>
    <cellStyle name="UNLOCKED 35 2 5" xfId="40000"/>
    <cellStyle name="Title [Palat] 8 3 6" xfId="40001"/>
    <cellStyle name="Title [Helv] 7 3 6" xfId="40002"/>
    <cellStyle name="Table Head Green 9 3 6" xfId="40003"/>
    <cellStyle name="Table Head Aligned 7 3 6" xfId="40004"/>
    <cellStyle name="Outputs 9 3 6" xfId="40005"/>
    <cellStyle name="Millions 13 2 5" xfId="40006"/>
    <cellStyle name="Magic 7 3 6" xfId="40007"/>
    <cellStyle name="Heading [Palat] 9 3 6" xfId="40008"/>
    <cellStyle name="Heading [Helv] 9 3 6" xfId="40009"/>
    <cellStyle name="dp*SheetSubTitle 7 3 6" xfId="40010"/>
    <cellStyle name="dp*NumberLineEPS 7 3 6" xfId="40011"/>
    <cellStyle name="dp*NumberLine 7 3 6" xfId="40012"/>
    <cellStyle name="Date [mmm-yyyy] 7 3 6" xfId="40013"/>
    <cellStyle name="COL HEADINGS 9 3 6" xfId="40014"/>
    <cellStyle name="Bold/Border 9 3 6" xfId="40015"/>
    <cellStyle name="Afjusted 10 3 6" xfId="40016"/>
    <cellStyle name="ac 9 3 6" xfId="40017"/>
    <cellStyle name="UNLOCKED 34 2 5" xfId="40018"/>
    <cellStyle name="Title [Palat] 2 2 2 7 6" xfId="40019"/>
    <cellStyle name="Heading [Palat] 3 4 6" xfId="40020"/>
    <cellStyle name="Afjusted 3 2 7 6" xfId="40021"/>
    <cellStyle name="Afjusted 3 6 2 6" xfId="40022"/>
    <cellStyle name="ac 2 7 2 6" xfId="40023"/>
    <cellStyle name="Afjusted 2 5 2 6" xfId="40024"/>
    <cellStyle name="Bold/Border 2 7 2 6" xfId="40025"/>
    <cellStyle name="COL HEADINGS 2 7 2 6" xfId="40026"/>
    <cellStyle name="Date [mmm-yyyy] 2 6 2 6" xfId="40027"/>
    <cellStyle name="dp*NumberLine 2 6 2 6" xfId="40028"/>
    <cellStyle name="dp*NumberLineEPS 2 6 2 6" xfId="40029"/>
    <cellStyle name="dp*SheetSubTitle 2 6 2 6" xfId="40030"/>
    <cellStyle name="Heading [Helv] 2 7 2 6" xfId="40031"/>
    <cellStyle name="Heading [Palat] 2 7 2 6" xfId="40032"/>
    <cellStyle name="Magic 2 6 2 6" xfId="40033"/>
    <cellStyle name="Outputs 2 7 2 6" xfId="40034"/>
    <cellStyle name="Table Head Aligned 2 6 2 6" xfId="40035"/>
    <cellStyle name="Table Head Green 2 7 2 6" xfId="40036"/>
    <cellStyle name="Title [Helv] 2 6 2 6" xfId="40037"/>
    <cellStyle name="Title [Palat] 2 7 2 6" xfId="40038"/>
    <cellStyle name="Date [mm-d-yyyy] 3 6 2 6" xfId="40039"/>
    <cellStyle name="Style 51 4 6 2 6" xfId="40040"/>
    <cellStyle name="Style 49 4 6 2 6" xfId="40041"/>
    <cellStyle name="Style 45 4 6 2 6" xfId="40042"/>
    <cellStyle name="Style 44 4 6 2 6" xfId="40043"/>
    <cellStyle name="P-Green Rule 3 6 2 6" xfId="40044"/>
    <cellStyle name="PB Table Standard Row 3 6 2 6" xfId="40045"/>
    <cellStyle name="dp*ThinLineBelow 3 6 2 6" xfId="40046"/>
    <cellStyle name="dp*SubTitle 3 6 2 6" xfId="40047"/>
    <cellStyle name="Border Thin 3 6 2 6" xfId="40048"/>
    <cellStyle name="Afjusted 4 6 2 6" xfId="40049"/>
    <cellStyle name="ac 2 2 5 2 6" xfId="40050"/>
    <cellStyle name="Afjusted 2 2 6 2 6" xfId="40051"/>
    <cellStyle name="Bold/Border 2 2 5 2 6" xfId="40052"/>
    <cellStyle name="COL HEADINGS 2 2 5 2 6" xfId="40053"/>
    <cellStyle name="Date [mmm-yyyy] 2 2 5 2 6" xfId="40054"/>
    <cellStyle name="dp*NumberLine 2 2 5 2 6" xfId="40055"/>
    <cellStyle name="dp*NumberLineEPS 2 2 5 2 6" xfId="40056"/>
    <cellStyle name="dp*SheetSubTitle 2 2 5 2 6" xfId="40057"/>
    <cellStyle name="Heading [Helv] 2 2 5 2 6" xfId="40058"/>
    <cellStyle name="Heading [Palat] 2 2 5 2 6" xfId="40059"/>
    <cellStyle name="Magic 2 2 5 2 6" xfId="40060"/>
    <cellStyle name="Outputs 2 2 5 2 6" xfId="40061"/>
    <cellStyle name="Table Head Aligned 2 2 5 2 6" xfId="40062"/>
    <cellStyle name="Table Head Green 2 2 5 2 6" xfId="40063"/>
    <cellStyle name="Title [Helv] 2 2 5 2 6" xfId="40064"/>
    <cellStyle name="Title [Palat] 2 2 5 2 6" xfId="40065"/>
    <cellStyle name="dp*SubTitle 2 2 2 2 6" xfId="40066"/>
    <cellStyle name="Border Thin 2 2 2 2 6" xfId="40067"/>
    <cellStyle name="Bold/Border 2 2 3 4 2 2 6" xfId="40068"/>
    <cellStyle name="Magic 2 2 3 4 2 2 6" xfId="40069"/>
    <cellStyle name="Title [Helv] 2 2 3 4 2 2 6" xfId="40070"/>
    <cellStyle name="Style 51 2 2 2 2 6" xfId="40071"/>
    <cellStyle name="Style 45 2 2 2 2 6" xfId="40072"/>
    <cellStyle name="Style 49 2 2 2 2 6" xfId="40073"/>
    <cellStyle name="Style 44 2 2 2 2 6" xfId="40074"/>
    <cellStyle name="Style 51 3 2 2 2 6" xfId="40075"/>
    <cellStyle name="Style 49 3 2 2 2 6" xfId="40076"/>
    <cellStyle name="Style 45 3 2 2 2 6" xfId="40077"/>
    <cellStyle name="Style 44 3 2 2 2 6" xfId="40078"/>
    <cellStyle name="P-Green Rule 2 2 2 2 6" xfId="40079"/>
    <cellStyle name="PB Table Standard Row 2 2 2 2 6" xfId="40080"/>
    <cellStyle name="dp*ThinLineBelow 2 2 2 2 6" xfId="40081"/>
    <cellStyle name="dp*ThinLineBelow 2 3 2 2 6" xfId="40082"/>
    <cellStyle name="Style 44 3 3 2 2 6" xfId="40083"/>
    <cellStyle name="COL HEADINGS 2 2 3 4 2 2 6" xfId="40084"/>
    <cellStyle name="Style 49 4 3 4 2 2 6" xfId="40085"/>
    <cellStyle name="Afjusted 3 3 4 2 2 6" xfId="40086"/>
    <cellStyle name="Date [mm-d-yyyy] 3 3 4 2 2 6" xfId="40087"/>
    <cellStyle name="Afjusted 4 3 4 2 2 6" xfId="40088"/>
    <cellStyle name="ac 2 2 3 4 2 2 6" xfId="40089"/>
    <cellStyle name="Afjusted 2 2 3 4 2 2 6" xfId="40090"/>
    <cellStyle name="Date [mmm-yyyy] 2 2 3 4 2 2 6" xfId="40091"/>
    <cellStyle name="dp*NumberLine 2 2 3 4 2 2 6" xfId="40092"/>
    <cellStyle name="dp*NumberLineEPS 2 2 3 4 2 2 6" xfId="40093"/>
    <cellStyle name="dp*SheetSubTitle 2 2 3 4 2 2 6" xfId="40094"/>
    <cellStyle name="Heading [Helv] 2 2 3 4 2 2 6" xfId="40095"/>
    <cellStyle name="Outputs 2 2 3 4 2 2 6" xfId="40096"/>
    <cellStyle name="Table Head Aligned 2 2 3 4 2 2 6" xfId="40097"/>
    <cellStyle name="Title [Palat] 2 2 3 4 2 2 6" xfId="40098"/>
    <cellStyle name="Afjusted 3 5 2 2 6" xfId="40099"/>
    <cellStyle name="Style 45 3 3 2 2 6" xfId="40100"/>
    <cellStyle name="Style 51 3 3 2 2 6" xfId="40101"/>
    <cellStyle name="Style 44 2 3 2 2 6" xfId="40102"/>
    <cellStyle name="Style 45 2 3 2 2 6" xfId="40103"/>
    <cellStyle name="Style 49 2 3 2 2 6" xfId="40104"/>
    <cellStyle name="Border Thin 3 5 2 2 6" xfId="40105"/>
    <cellStyle name="ac 2 2 4 2 2 6" xfId="40106"/>
    <cellStyle name="Afjusted 2 2 5 2 2 6" xfId="40107"/>
    <cellStyle name="Bold/Border 2 2 4 2 2 6" xfId="40108"/>
    <cellStyle name="COL HEADINGS 2 2 4 2 2 6" xfId="40109"/>
    <cellStyle name="Date [mmm-yyyy] 2 2 4 2 2 6" xfId="40110"/>
    <cellStyle name="dp*NumberLine 2 2 4 2 2 6" xfId="40111"/>
    <cellStyle name="dp*NumberLineEPS 2 2 4 2 2 6" xfId="40112"/>
    <cellStyle name="dp*SheetSubTitle 2 2 4 2 2 6" xfId="40113"/>
    <cellStyle name="Heading [Palat] 2 2 4 2 2 6" xfId="40114"/>
    <cellStyle name="Outputs 2 2 4 2 2 6" xfId="40115"/>
    <cellStyle name="Magic 2 2 4 2 2 6" xfId="40116"/>
    <cellStyle name="Title [Helv] 2 2 4 2 2 6" xfId="40117"/>
    <cellStyle name="Title [Palat] 2 2 4 2 2 6" xfId="40118"/>
    <cellStyle name="Title [Palat] 2 2 3 3 2 2 6" xfId="40119"/>
    <cellStyle name="Title [Helv] 2 2 3 3 2 2 6" xfId="40120"/>
    <cellStyle name="Table Head Aligned 2 2 3 3 2 2 6" xfId="40121"/>
    <cellStyle name="Magic 2 2 3 3 2 2 6" xfId="40122"/>
    <cellStyle name="Heading [Helv] 2 2 3 3 2 2 6" xfId="40123"/>
    <cellStyle name="dp*NumberLineEPS 2 2 3 3 2 2 6" xfId="40124"/>
    <cellStyle name="COL HEADINGS 2 2 3 3 2 2 6" xfId="40125"/>
    <cellStyle name="ac 2 2 3 3 2 2 6" xfId="40126"/>
    <cellStyle name="Afjusted 4 3 3 2 2 6" xfId="40127"/>
    <cellStyle name="Border Thin 3 3 3 2 2 6" xfId="40128"/>
    <cellStyle name="PB Table Standard Row 3 3 3 2 2 6" xfId="40129"/>
    <cellStyle name="Style 44 4 3 3 2 2 6" xfId="40130"/>
    <cellStyle name="Style 51 4 3 3 2 2 6" xfId="40131"/>
    <cellStyle name="Afjusted 3 3 3 2 2 6" xfId="40132"/>
    <cellStyle name="Style 49 4 5 2 2 6" xfId="40133"/>
    <cellStyle name="Style 44 4 5 2 2 6" xfId="40134"/>
    <cellStyle name="P-Green Rule 3 5 2 2 6" xfId="40135"/>
    <cellStyle name="dp*SubTitle 3 5 2 2 6" xfId="40136"/>
    <cellStyle name="Afjusted 4 5 2 2 6" xfId="40137"/>
    <cellStyle name="ac 2 3 2 2 6" xfId="40138"/>
    <cellStyle name="Bold/Border 2 3 2 2 6" xfId="40139"/>
    <cellStyle name="COL HEADINGS 2 3 2 2 6" xfId="40140"/>
    <cellStyle name="Date [mmm-yyyy] 2 3 2 2 6" xfId="40141"/>
    <cellStyle name="dp*NumberLine 2 3 2 2 6" xfId="40142"/>
    <cellStyle name="dp*NumberLineEPS 2 3 2 2 6" xfId="40143"/>
    <cellStyle name="dp*SheetSubTitle 2 3 2 2 6" xfId="40144"/>
    <cellStyle name="Heading [Helv] 2 3 2 2 6" xfId="40145"/>
    <cellStyle name="Heading [Palat] 2 3 2 2 6" xfId="40146"/>
    <cellStyle name="Magic 2 3 2 2 6" xfId="40147"/>
    <cellStyle name="Outputs 2 3 2 2 6" xfId="40148"/>
    <cellStyle name="Date [mmm-yyyy] 2 2 3 3 2 2 6" xfId="40149"/>
    <cellStyle name="Afjusted 2 2 3 3 2 2 6" xfId="40150"/>
    <cellStyle name="dp*ThinLineBelow 3 3 3 2 2 6" xfId="40151"/>
    <cellStyle name="Style 49 4 3 3 2 2 6" xfId="40152"/>
    <cellStyle name="Outputs 2 2 3 3 2 2 6" xfId="40153"/>
    <cellStyle name="dp*NumberLine 2 2 3 3 2 2 6" xfId="40154"/>
    <cellStyle name="Bold/Border 2 2 3 3 2 2 6" xfId="40155"/>
    <cellStyle name="dp*SubTitle 3 3 3 2 2 6" xfId="40156"/>
    <cellStyle name="Style 45 4 3 3 2 2 6" xfId="40157"/>
    <cellStyle name="Table Head Aligned 2 3 2 2 6" xfId="40158"/>
    <cellStyle name="Table Head Green 2 3 2 2 6" xfId="40159"/>
    <cellStyle name="Title [Helv] 2 3 2 2 6" xfId="40160"/>
    <cellStyle name="Title [Palat] 2 3 2 2 6" xfId="40161"/>
    <cellStyle name="Style 45 4 3 4 2 2 6" xfId="40162"/>
    <cellStyle name="Style 51 4 3 4 2 2 6" xfId="40163"/>
    <cellStyle name="Afjusted 3 4 2 2 6" xfId="40164"/>
    <cellStyle name="P-Green Rule 3 3 4 2 2 6" xfId="40165"/>
    <cellStyle name="Border Thin 2 3 2 2 6" xfId="40166"/>
    <cellStyle name="Style 49 3 3 2 2 6" xfId="40167"/>
    <cellStyle name="Style 51 2 3 2 2 6" xfId="40168"/>
    <cellStyle name="Heading [Helv] 2 2 4 2 2 6" xfId="40169"/>
    <cellStyle name="Table Head Aligned 2 2 4 2 2 6" xfId="40170"/>
    <cellStyle name="Table Head Green 2 2 4 2 2 6" xfId="40171"/>
    <cellStyle name="Table Head Green 2 2 3 3 2 2 6" xfId="40172"/>
    <cellStyle name="Heading [Palat] 2 2 3 3 2 2 6" xfId="40173"/>
    <cellStyle name="dp*SheetSubTitle 2 2 3 3 2 2 6" xfId="40174"/>
    <cellStyle name="P-Green Rule 3 3 3 2 2 6" xfId="40175"/>
    <cellStyle name="Date [mm-d-yyyy] 3 3 3 2 2 6" xfId="40176"/>
    <cellStyle name="Date [mm-d-yyyy] 3 4 2 2 6" xfId="40177"/>
    <cellStyle name="Style 51 4 4 2 2 6" xfId="40178"/>
    <cellStyle name="Style 49 4 4 2 2 6" xfId="40179"/>
    <cellStyle name="Style 45 4 4 2 2 6" xfId="40180"/>
    <cellStyle name="Style 44 4 4 2 2 6" xfId="40181"/>
    <cellStyle name="dp*ThinLineBelow 3 3 4 2 2 6" xfId="40182"/>
    <cellStyle name="P-Green Rule 3 4 2 2 6" xfId="40183"/>
    <cellStyle name="dp*ThinLineBelow 3 4 2 2 6" xfId="40184"/>
    <cellStyle name="dp*SubTitle 3 4 2 2 6" xfId="40185"/>
    <cellStyle name="dp*SubTitle 3 3 4 2 2 6" xfId="40186"/>
    <cellStyle name="Border Thin 3 4 2 2 6" xfId="40187"/>
    <cellStyle name="Border Thin 3 3 4 2 2 6" xfId="40188"/>
    <cellStyle name="Afjusted 4 4 2 2 6" xfId="40189"/>
    <cellStyle name="Afjusted 2 2 4 2 2 6" xfId="40190"/>
    <cellStyle name="Style 44 4 3 4 2 2 6" xfId="40191"/>
    <cellStyle name="PB Table Standard Row 3 3 4 2 2 6" xfId="40192"/>
    <cellStyle name="Title [Palat] 2 2 3 5 2 6" xfId="40193"/>
    <cellStyle name="Title [Helv] 2 2 3 5 2 6" xfId="40194"/>
    <cellStyle name="Table Head Green 2 2 3 5 2 6" xfId="40195"/>
    <cellStyle name="Table Head Aligned 2 2 3 5 2 6" xfId="40196"/>
    <cellStyle name="Outputs 2 2 3 5 2 6" xfId="40197"/>
    <cellStyle name="Magic 2 2 3 5 2 6" xfId="40198"/>
    <cellStyle name="Heading [Palat] 2 2 3 5 2 6" xfId="40199"/>
    <cellStyle name="Heading [Helv] 2 2 3 5 2 6" xfId="40200"/>
    <cellStyle name="dp*SheetSubTitle 2 2 3 5 2 6" xfId="40201"/>
    <cellStyle name="dp*NumberLineEPS 2 2 3 5 2 6" xfId="40202"/>
    <cellStyle name="dp*NumberLine 2 2 3 5 2 6" xfId="40203"/>
    <cellStyle name="Date [mmm-yyyy] 2 2 3 5 2 6" xfId="40204"/>
    <cellStyle name="COL HEADINGS 2 2 3 5 2 6" xfId="40205"/>
    <cellStyle name="Bold/Border 2 2 3 5 2 6" xfId="40206"/>
    <cellStyle name="Afjusted 2 2 3 5 2 6" xfId="40207"/>
    <cellStyle name="ac 2 2 3 5 2 6" xfId="40208"/>
    <cellStyle name="Afjusted 4 3 5 2 6" xfId="40209"/>
    <cellStyle name="Border Thin 3 3 5 2 6" xfId="40210"/>
    <cellStyle name="dp*SubTitle 3 3 5 2 6" xfId="40211"/>
    <cellStyle name="dp*ThinLineBelow 3 3 5 2 6" xfId="40212"/>
    <cellStyle name="PB Table Standard Row 3 3 5 2 6" xfId="40213"/>
    <cellStyle name="P-Green Rule 3 3 5 2 6" xfId="40214"/>
    <cellStyle name="Style 44 4 3 5 2 6" xfId="40215"/>
    <cellStyle name="Style 45 4 3 5 2 6" xfId="40216"/>
    <cellStyle name="Style 49 4 3 5 2 6" xfId="40217"/>
    <cellStyle name="Style 51 4 3 5 2 6" xfId="40218"/>
    <cellStyle name="Date [mm-d-yyyy] 3 3 5 2 6" xfId="40219"/>
    <cellStyle name="Afjusted 3 3 5 2 6" xfId="40220"/>
    <cellStyle name="Date [mm-d-yyyy] 2 2 4 2 6" xfId="40221"/>
    <cellStyle name="Afjusted 3 2 5 2 6" xfId="40222"/>
    <cellStyle name="Date [mm-d-yyyy] 3 2 5 2 6" xfId="40223"/>
    <cellStyle name="Style 51 4 2 5 2 6" xfId="40224"/>
    <cellStyle name="Style 49 4 2 5 2 6" xfId="40225"/>
    <cellStyle name="Style 45 4 2 5 2 6" xfId="40226"/>
    <cellStyle name="Style 44 4 2 5 2 6" xfId="40227"/>
    <cellStyle name="P-Green Rule 3 2 5 2 6" xfId="40228"/>
    <cellStyle name="dp*ThinLineBelow 3 2 5 2 6" xfId="40229"/>
    <cellStyle name="dp*SubTitle 3 2 5 2 6" xfId="40230"/>
    <cellStyle name="Border Thin 3 2 5 2 6" xfId="40231"/>
    <cellStyle name="Afjusted 4 2 5 2 6" xfId="40232"/>
    <cellStyle name="ac 2 2 2 5 2 6" xfId="40233"/>
    <cellStyle name="Afjusted 2 2 2 5 2 6" xfId="40234"/>
    <cellStyle name="Bold/Border 2 2 2 5 2 6" xfId="40235"/>
    <cellStyle name="COL HEADINGS 2 2 2 5 2 6" xfId="40236"/>
    <cellStyle name="Date [mmm-yyyy] 2 2 2 5 2 6" xfId="40237"/>
    <cellStyle name="dp*NumberLine 2 2 2 5 2 6" xfId="40238"/>
    <cellStyle name="dp*NumberLineEPS 2 2 2 5 2 6" xfId="40239"/>
    <cellStyle name="dp*SheetSubTitle 2 2 2 5 2 6" xfId="40240"/>
    <cellStyle name="Heading [Helv] 2 2 2 5 2 6" xfId="40241"/>
    <cellStyle name="Heading [Palat] 2 2 2 5 2 6" xfId="40242"/>
    <cellStyle name="Magic 2 2 2 5 2 6" xfId="40243"/>
    <cellStyle name="Outputs 2 2 2 5 2 6" xfId="40244"/>
    <cellStyle name="Table Head Aligned 2 2 2 5 2 6" xfId="40245"/>
    <cellStyle name="Table Head Green 2 2 2 5 2 6" xfId="40246"/>
    <cellStyle name="Title [Helv] 2 2 2 5 2 6" xfId="40247"/>
    <cellStyle name="Title [Palat] 2 2 2 5 2 6" xfId="40248"/>
    <cellStyle name="Table Head Green 2 2 3 4 2 2 6" xfId="40249"/>
    <cellStyle name="Heading [Palat] 2 2 3 4 2 2 6" xfId="40250"/>
    <cellStyle name="PB Table Standard Row 2 3 2 2 6" xfId="40251"/>
    <cellStyle name="P-Green Rule 2 3 2 2 6" xfId="40252"/>
    <cellStyle name="Title [Palat] 2 2 3 2 2 2 6" xfId="40253"/>
    <cellStyle name="Title [Helv] 2 2 3 2 2 2 6" xfId="40254"/>
    <cellStyle name="Table Head Green 2 2 3 2 2 2 6" xfId="40255"/>
    <cellStyle name="Table Head Aligned 2 2 3 2 2 2 6" xfId="40256"/>
    <cellStyle name="Outputs 2 2 3 2 2 2 6" xfId="40257"/>
    <cellStyle name="Magic 2 2 3 2 2 2 6" xfId="40258"/>
    <cellStyle name="Heading [Palat] 2 2 3 2 2 2 6" xfId="40259"/>
    <cellStyle name="Heading [Helv] 2 2 3 2 2 2 6" xfId="40260"/>
    <cellStyle name="dp*SheetSubTitle 2 2 3 2 2 2 6" xfId="40261"/>
    <cellStyle name="dp*NumberLineEPS 2 2 3 2 2 2 6" xfId="40262"/>
    <cellStyle name="dp*NumberLine 2 2 3 2 2 2 6" xfId="40263"/>
    <cellStyle name="Date [mmm-yyyy] 2 2 3 2 2 2 6" xfId="40264"/>
    <cellStyle name="COL HEADINGS 2 2 3 2 2 2 6" xfId="40265"/>
    <cellStyle name="Bold/Border 2 2 3 2 2 2 6" xfId="40266"/>
    <cellStyle name="Afjusted 2 2 3 2 2 2 6" xfId="40267"/>
    <cellStyle name="ac 2 2 3 2 2 2 6" xfId="40268"/>
    <cellStyle name="Afjusted 4 3 2 2 2 6" xfId="40269"/>
    <cellStyle name="Border Thin 3 3 2 2 2 6" xfId="40270"/>
    <cellStyle name="dp*SubTitle 3 3 2 2 2 6" xfId="40271"/>
    <cellStyle name="dp*ThinLineBelow 3 3 2 2 2 6" xfId="40272"/>
    <cellStyle name="PB Table Standard Row 3 3 2 2 2 6" xfId="40273"/>
    <cellStyle name="P-Green Rule 3 3 2 2 2 6" xfId="40274"/>
    <cellStyle name="Style 44 4 3 2 2 2 6" xfId="40275"/>
    <cellStyle name="Style 45 4 3 2 2 2 6" xfId="40276"/>
    <cellStyle name="Style 49 4 3 2 2 2 6" xfId="40277"/>
    <cellStyle name="Style 51 4 3 2 2 2 6" xfId="40278"/>
    <cellStyle name="Date [mm-d-yyyy] 3 3 2 2 2 6" xfId="40279"/>
    <cellStyle name="Afjusted 3 3 2 2 2 6" xfId="40280"/>
    <cellStyle name="Date [mm-d-yyyy] 3 5 2 2 6" xfId="40281"/>
    <cellStyle name="dp*SubTitle 2 3 2 2 6" xfId="40282"/>
    <cellStyle name="Date [mm-d-yyyy] 2 2 2 2 2 6" xfId="40283"/>
    <cellStyle name="Afjusted 3 2 2 2 2 6" xfId="40284"/>
    <cellStyle name="PB Table Standard Row 3 5 2 2 6" xfId="40285"/>
    <cellStyle name="Date [mm-d-yyyy] 3 2 2 2 2 6" xfId="40286"/>
    <cellStyle name="Style 51 4 2 2 2 2 6" xfId="40287"/>
    <cellStyle name="Style 49 4 2 2 2 2 6" xfId="40288"/>
    <cellStyle name="Style 45 4 2 2 2 2 6" xfId="40289"/>
    <cellStyle name="Style 44 4 2 2 2 2 6" xfId="40290"/>
    <cellStyle name="Style 45 4 5 2 2 6" xfId="40291"/>
    <cellStyle name="P-Green Rule 3 2 2 2 2 6" xfId="40292"/>
    <cellStyle name="PB Table Standard Row 3 2 2 2 2 6" xfId="40293"/>
    <cellStyle name="dp*ThinLineBelow 3 2 2 2 2 6" xfId="40294"/>
    <cellStyle name="dp*SubTitle 3 2 2 2 2 6" xfId="40295"/>
    <cellStyle name="Style 51 4 5 2 2 6" xfId="40296"/>
    <cellStyle name="Border Thin 3 2 2 2 2 6" xfId="40297"/>
    <cellStyle name="Afjusted 4 2 2 2 2 6" xfId="40298"/>
    <cellStyle name="ac 2 2 2 2 2 2 6" xfId="40299"/>
    <cellStyle name="Afjusted 2 2 2 2 2 2 6" xfId="40300"/>
    <cellStyle name="Bold/Border 2 2 2 2 2 2 6" xfId="40301"/>
    <cellStyle name="COL HEADINGS 2 2 2 2 2 2 6" xfId="40302"/>
    <cellStyle name="Date [mmm-yyyy] 2 2 2 2 2 2 6" xfId="40303"/>
    <cellStyle name="dp*NumberLine 2 2 2 2 2 2 6" xfId="40304"/>
    <cellStyle name="dp*NumberLineEPS 2 2 2 2 2 2 6" xfId="40305"/>
    <cellStyle name="dp*SheetSubTitle 2 2 2 2 2 2 6" xfId="40306"/>
    <cellStyle name="Heading [Helv] 2 2 2 2 2 2 6" xfId="40307"/>
    <cellStyle name="Heading [Palat] 2 2 2 2 2 2 6" xfId="40308"/>
    <cellStyle name="Magic 2 2 2 2 2 2 6" xfId="40309"/>
    <cellStyle name="Outputs 2 2 2 2 2 2 6" xfId="40310"/>
    <cellStyle name="Table Head Aligned 2 2 2 2 2 2 6" xfId="40311"/>
    <cellStyle name="Table Head Green 2 2 2 2 2 2 6" xfId="40312"/>
    <cellStyle name="Title [Helv] 2 2 2 2 2 2 6" xfId="40313"/>
    <cellStyle name="Title [Palat] 2 2 2 2 2 2 6" xfId="40314"/>
    <cellStyle name="dp*ThinLineBelow 3 5 2 2 6" xfId="40315"/>
    <cellStyle name="Date [mm-d-yyyy] 2 2 3 2 2 6" xfId="40316"/>
    <cellStyle name="Afjusted 3 2 3 2 2 6" xfId="40317"/>
    <cellStyle name="Date [mm-d-yyyy] 3 2 3 2 2 6" xfId="40318"/>
    <cellStyle name="Style 51 4 2 3 2 2 6" xfId="40319"/>
    <cellStyle name="Style 49 4 2 3 2 2 6" xfId="40320"/>
    <cellStyle name="Style 45 4 2 3 2 2 6" xfId="40321"/>
    <cellStyle name="Style 44 4 2 3 2 2 6" xfId="40322"/>
    <cellStyle name="P-Green Rule 3 2 3 2 2 6" xfId="40323"/>
    <cellStyle name="PB Table Standard Row 3 2 3 2 2 6" xfId="40324"/>
    <cellStyle name="dp*ThinLineBelow 3 2 3 2 2 6" xfId="40325"/>
    <cellStyle name="dp*SubTitle 3 2 3 2 2 6" xfId="40326"/>
    <cellStyle name="Border Thin 3 2 3 2 2 6" xfId="40327"/>
    <cellStyle name="Afjusted 4 2 3 2 2 6" xfId="40328"/>
    <cellStyle name="ac 2 2 2 3 2 2 6" xfId="40329"/>
    <cellStyle name="Afjusted 2 2 2 3 2 2 6" xfId="40330"/>
    <cellStyle name="Bold/Border 2 2 2 3 2 2 6" xfId="40331"/>
    <cellStyle name="COL HEADINGS 2 2 2 3 2 2 6" xfId="40332"/>
    <cellStyle name="Date [mmm-yyyy] 2 2 2 3 2 2 6" xfId="40333"/>
    <cellStyle name="dp*NumberLine 2 2 2 3 2 2 6" xfId="40334"/>
    <cellStyle name="dp*NumberLineEPS 2 2 2 3 2 2 6" xfId="40335"/>
    <cellStyle name="dp*SheetSubTitle 2 2 2 3 2 2 6" xfId="40336"/>
    <cellStyle name="Heading [Helv] 2 2 2 3 2 2 6" xfId="40337"/>
    <cellStyle name="Heading [Palat] 2 2 2 3 2 2 6" xfId="40338"/>
    <cellStyle name="Magic 2 2 2 3 2 2 6" xfId="40339"/>
    <cellStyle name="Outputs 2 2 2 3 2 2 6" xfId="40340"/>
    <cellStyle name="Table Head Aligned 2 2 2 3 2 2 6" xfId="40341"/>
    <cellStyle name="Table Head Green 2 2 2 3 2 2 6" xfId="40342"/>
    <cellStyle name="Title [Helv] 2 2 2 3 2 2 6" xfId="40343"/>
    <cellStyle name="Title [Palat] 2 2 2 3 2 2 6" xfId="40344"/>
    <cellStyle name="Afjusted 3 2 4 2 2 6" xfId="40345"/>
    <cellStyle name="Date [mm-d-yyyy] 3 2 4 2 2 6" xfId="40346"/>
    <cellStyle name="Style 51 4 2 4 2 2 6" xfId="40347"/>
    <cellStyle name="Style 49 4 2 4 2 2 6" xfId="40348"/>
    <cellStyle name="Style 45 4 2 4 2 2 6" xfId="40349"/>
    <cellStyle name="Style 44 4 2 4 2 2 6" xfId="40350"/>
    <cellStyle name="P-Green Rule 3 2 4 2 2 6" xfId="40351"/>
    <cellStyle name="PB Table Standard Row 3 2 4 2 2 6" xfId="40352"/>
    <cellStyle name="dp*ThinLineBelow 3 2 4 2 2 6" xfId="40353"/>
    <cellStyle name="dp*SubTitle 3 2 4 2 2 6" xfId="40354"/>
    <cellStyle name="Border Thin 3 2 4 2 2 6" xfId="40355"/>
    <cellStyle name="Afjusted 4 2 4 2 2 6" xfId="40356"/>
    <cellStyle name="ac 2 2 2 4 2 2 6" xfId="40357"/>
    <cellStyle name="Afjusted 2 2 2 4 2 2 6" xfId="40358"/>
    <cellStyle name="Bold/Border 2 2 2 4 2 2 6" xfId="40359"/>
    <cellStyle name="COL HEADINGS 2 2 2 4 2 2 6" xfId="40360"/>
    <cellStyle name="Date [mmm-yyyy] 2 2 2 4 2 2 6" xfId="40361"/>
    <cellStyle name="dp*NumberLine 2 2 2 4 2 2 6" xfId="40362"/>
    <cellStyle name="dp*NumberLineEPS 2 2 2 4 2 2 6" xfId="40363"/>
    <cellStyle name="dp*SheetSubTitle 2 2 2 4 2 2 6" xfId="40364"/>
    <cellStyle name="Heading [Helv] 2 2 2 4 2 2 6" xfId="40365"/>
    <cellStyle name="Heading [Palat] 2 2 2 4 2 2 6" xfId="40366"/>
    <cellStyle name="Magic 2 2 2 4 2 2 6" xfId="40367"/>
    <cellStyle name="Outputs 2 2 2 4 2 2 6" xfId="40368"/>
    <cellStyle name="Table Head Aligned 2 2 2 4 2 2 6" xfId="40369"/>
    <cellStyle name="Table Head Green 2 2 2 4 2 2 6" xfId="40370"/>
    <cellStyle name="Title [Helv] 2 2 2 4 2 2 6" xfId="40371"/>
    <cellStyle name="Title [Palat] 2 2 2 4 2 2 6" xfId="40372"/>
    <cellStyle name="Border Thin 4 2 2 6" xfId="40373"/>
    <cellStyle name="Date [mm-d-yyyy] 4 2 2 6" xfId="40374"/>
    <cellStyle name="dp*SubTitle 4 2 2 6" xfId="40375"/>
    <cellStyle name="dp*ThinLineBelow 4 2 2 6" xfId="40376"/>
    <cellStyle name="PB Table Standard Row 4 2 2 6" xfId="40377"/>
    <cellStyle name="P-Green Rule 4 2 2 6" xfId="40378"/>
    <cellStyle name="Style 44 5 2 2 6" xfId="40379"/>
    <cellStyle name="Style 45 5 2 2 6" xfId="40380"/>
    <cellStyle name="Style 49 5 2 2 6" xfId="40381"/>
    <cellStyle name="Style 51 5 2 2 6" xfId="40382"/>
    <cellStyle name="Title [Palat] 3 2 2 6" xfId="40383"/>
    <cellStyle name="Title [Helv] 3 2 2 6" xfId="40384"/>
    <cellStyle name="Table Head Green 3 2 2 6" xfId="40385"/>
    <cellStyle name="Table Head Aligned 3 2 2 6" xfId="40386"/>
    <cellStyle name="Outputs 3 2 2 6" xfId="40387"/>
    <cellStyle name="Magic 3 2 2 6" xfId="40388"/>
    <cellStyle name="Heading [Palat] 3 2 2 6" xfId="40389"/>
    <cellStyle name="Heading [Helv] 3 2 2 6" xfId="40390"/>
    <cellStyle name="dp*SheetSubTitle 3 2 2 6" xfId="40391"/>
    <cellStyle name="dp*NumberLineEPS 3 2 2 6" xfId="40392"/>
    <cellStyle name="dp*NumberLine 3 2 2 6" xfId="40393"/>
    <cellStyle name="COL HEADINGS 3 2 2 6" xfId="40394"/>
    <cellStyle name="Bold/Border 3 2 2 6" xfId="40395"/>
    <cellStyle name="Afjusted 5 2 2 6" xfId="40396"/>
    <cellStyle name="ac 3 2 2 6" xfId="40397"/>
    <cellStyle name="Date [mmm-yyyy] 3 2 2 6" xfId="40398"/>
    <cellStyle name="ac 2 4 2 2 6" xfId="40399"/>
    <cellStyle name="Afjusted 2 3 2 2 6" xfId="40400"/>
    <cellStyle name="Bold/Border 2 4 2 2 6" xfId="40401"/>
    <cellStyle name="Border Thin 2 4 2 2 6" xfId="40402"/>
    <cellStyle name="COL HEADINGS 2 4 2 2 6" xfId="40403"/>
    <cellStyle name="Date [mmm-yyyy] 2 4 2 2 6" xfId="40404"/>
    <cellStyle name="dp*NumberLine 2 4 2 2 6" xfId="40405"/>
    <cellStyle name="dp*NumberLineEPS 2 4 2 2 6" xfId="40406"/>
    <cellStyle name="dp*SheetSubTitle 2 4 2 2 6" xfId="40407"/>
    <cellStyle name="dp*SubTitle 2 4 2 2 6" xfId="40408"/>
    <cellStyle name="dp*ThinLineBelow 2 4 2 2 6" xfId="40409"/>
    <cellStyle name="Heading [Helv] 2 4 2 2 6" xfId="40410"/>
    <cellStyle name="Heading [Palat] 2 4 2 2 6" xfId="40411"/>
    <cellStyle name="Magic 2 4 2 2 6" xfId="40412"/>
    <cellStyle name="Outputs 2 4 2 2 6" xfId="40413"/>
    <cellStyle name="PB Table Standard Row 2 4 2 2 6" xfId="40414"/>
    <cellStyle name="P-Green Rule 2 4 2 2 6" xfId="40415"/>
    <cellStyle name="Style 44 3 4 2 2 6" xfId="40416"/>
    <cellStyle name="Style 45 3 4 2 2 6" xfId="40417"/>
    <cellStyle name="Style 49 3 4 2 2 6" xfId="40418"/>
    <cellStyle name="Style 51 3 4 2 2 6" xfId="40419"/>
    <cellStyle name="Style 44 2 4 2 2 6" xfId="40420"/>
    <cellStyle name="Style 45 2 4 2 2 6" xfId="40421"/>
    <cellStyle name="Style 49 2 4 2 2 6" xfId="40422"/>
    <cellStyle name="Style 51 2 4 2 2 6" xfId="40423"/>
    <cellStyle name="Table Head Aligned 2 4 2 2 6" xfId="40424"/>
    <cellStyle name="Table Head Green 2 4 2 2 6" xfId="40425"/>
    <cellStyle name="Title [Helv] 2 4 2 2 6" xfId="40426"/>
    <cellStyle name="Title [Palat] 2 4 2 2 6" xfId="40427"/>
    <cellStyle name="ac 4 2 2 6" xfId="40428"/>
    <cellStyle name="Bold/Border 4 2 2 6" xfId="40429"/>
    <cellStyle name="Border Thin 5 2 2 6" xfId="40430"/>
    <cellStyle name="COL HEADINGS 4 2 2 6" xfId="40431"/>
    <cellStyle name="Date [mm-d-yyyy] 5 2 2 6" xfId="40432"/>
    <cellStyle name="Heading [Helv] 4 2 2 6" xfId="40433"/>
    <cellStyle name="Heading [Palat] 4 2 2 6" xfId="40434"/>
    <cellStyle name="Outputs 4 2 2 6" xfId="40435"/>
    <cellStyle name="PB Table Standard Row 5 2 2 6" xfId="40436"/>
    <cellStyle name="P-Green Rule 5 2 2 6" xfId="40437"/>
    <cellStyle name="Style 44 6 2 2 6" xfId="40438"/>
    <cellStyle name="Style 45 6 2 2 6" xfId="40439"/>
    <cellStyle name="Style 49 6 2 2 6" xfId="40440"/>
    <cellStyle name="Style 51 6 2 2 6" xfId="40441"/>
    <cellStyle name="Table Head Green 4 2 2 6" xfId="40442"/>
    <cellStyle name="Afjusted 6 2 2 6" xfId="40443"/>
    <cellStyle name="ac 2 5 2 2 6" xfId="40444"/>
    <cellStyle name="Afjusted 2 4 2 2 6" xfId="40445"/>
    <cellStyle name="Bold/Border 2 5 2 2 6" xfId="40446"/>
    <cellStyle name="Border Thin 2 5 2 2 6" xfId="40447"/>
    <cellStyle name="COL HEADINGS 2 5 2 2 6" xfId="40448"/>
    <cellStyle name="Date [mmm-yyyy] 2 5 2 2 6" xfId="40449"/>
    <cellStyle name="dp*NumberLine 2 5 2 2 6" xfId="40450"/>
    <cellStyle name="dp*NumberLineEPS 2 5 2 2 6" xfId="40451"/>
    <cellStyle name="dp*SheetSubTitle 2 5 2 2 6" xfId="40452"/>
    <cellStyle name="dp*SubTitle 2 5 2 2 6" xfId="40453"/>
    <cellStyle name="dp*ThinLineBelow 2 5 2 2 6" xfId="40454"/>
    <cellStyle name="Heading [Helv] 2 5 2 2 6" xfId="40455"/>
    <cellStyle name="Heading [Palat] 2 5 2 2 6" xfId="40456"/>
    <cellStyle name="Magic 2 5 2 2 6" xfId="40457"/>
    <cellStyle name="Outputs 2 5 2 2 6" xfId="40458"/>
    <cellStyle name="PB Table Standard Row 2 5 2 2 6" xfId="40459"/>
    <cellStyle name="P-Green Rule 2 5 2 2 6" xfId="40460"/>
    <cellStyle name="Style 44 3 5 2 2 6" xfId="40461"/>
    <cellStyle name="Style 45 3 5 2 2 6" xfId="40462"/>
    <cellStyle name="Style 49 3 5 2 2 6" xfId="40463"/>
    <cellStyle name="Style 51 3 5 2 2 6" xfId="40464"/>
    <cellStyle name="Style 44 2 5 2 2 6" xfId="40465"/>
    <cellStyle name="Style 45 2 5 2 2 6" xfId="40466"/>
    <cellStyle name="Style 49 2 5 2 2 6" xfId="40467"/>
    <cellStyle name="Style 51 2 5 2 2 6" xfId="40468"/>
    <cellStyle name="Table Head Aligned 2 5 2 2 6" xfId="40469"/>
    <cellStyle name="Table Head Green 2 5 2 2 6" xfId="40470"/>
    <cellStyle name="Title [Helv] 2 5 2 2 6" xfId="40471"/>
    <cellStyle name="Title [Palat] 2 5 2 2 6" xfId="40472"/>
    <cellStyle name="ac 5 2 2 6" xfId="40473"/>
    <cellStyle name="Bold/Border 5 2 2 6" xfId="40474"/>
    <cellStyle name="Border Thin 6 2 2 6" xfId="40475"/>
    <cellStyle name="COL HEADINGS 5 2 2 6" xfId="40476"/>
    <cellStyle name="Heading [Helv] 5 2 2 6" xfId="40477"/>
    <cellStyle name="Heading [Palat] 5 2 2 6" xfId="40478"/>
    <cellStyle name="Outputs 5 2 2 6" xfId="40479"/>
    <cellStyle name="PB Table Standard Row 6 2 2 6" xfId="40480"/>
    <cellStyle name="P-Green Rule 6 2 2 6" xfId="40481"/>
    <cellStyle name="Style 44 7 2 2 6" xfId="40482"/>
    <cellStyle name="Style 45 7 2 2 6" xfId="40483"/>
    <cellStyle name="Style 49 7 2 2 6" xfId="40484"/>
    <cellStyle name="Style 51 7 2 2 6" xfId="40485"/>
    <cellStyle name="Table Head Green 5 2 2 6" xfId="40486"/>
    <cellStyle name="Title [Palat] 4 2 2 6" xfId="40487"/>
    <cellStyle name="ac 2 6 2 2 6" xfId="40488"/>
    <cellStyle name="Bold/Border 2 6 2 2 6" xfId="40489"/>
    <cellStyle name="Border Thin 2 6 2 2 6" xfId="40490"/>
    <cellStyle name="COL HEADINGS 2 6 2 2 6" xfId="40491"/>
    <cellStyle name="Heading [Helv] 2 6 2 2 6" xfId="40492"/>
    <cellStyle name="Heading [Palat] 2 6 2 2 6" xfId="40493"/>
    <cellStyle name="Outputs 2 6 2 2 6" xfId="40494"/>
    <cellStyle name="PB Table Standard Row 2 6 2 2 6" xfId="40495"/>
    <cellStyle name="P-Green Rule 2 6 2 2 6" xfId="40496"/>
    <cellStyle name="Style 44 3 6 2 2 6" xfId="40497"/>
    <cellStyle name="Style 45 3 6 2 2 6" xfId="40498"/>
    <cellStyle name="Style 49 3 6 2 2 6" xfId="40499"/>
    <cellStyle name="Style 51 3 6 2 2 6" xfId="40500"/>
    <cellStyle name="Style 44 2 6 2 2 6" xfId="40501"/>
    <cellStyle name="Style 45 2 6 2 2 6" xfId="40502"/>
    <cellStyle name="Style 49 2 6 2 2 6" xfId="40503"/>
    <cellStyle name="Style 51 2 6 2 2 6" xfId="40504"/>
    <cellStyle name="Table Head Green 2 6 2 2 6" xfId="40505"/>
    <cellStyle name="Title [Palat] 2 6 2 2 6" xfId="40506"/>
    <cellStyle name="Title [Palat] 5 2 2 6" xfId="40507"/>
    <cellStyle name="Title [Helv] 4 2 2 6" xfId="40508"/>
    <cellStyle name="Table Head Green 6 2 2 6" xfId="40509"/>
    <cellStyle name="Table Head Aligned 4 2 2 6" xfId="40510"/>
    <cellStyle name="Style 51 9 2 2 6" xfId="40511"/>
    <cellStyle name="Style 49 9 2 2 6" xfId="40512"/>
    <cellStyle name="Style 45 9 2 2 6" xfId="40513"/>
    <cellStyle name="Style 44 9 2 2 6" xfId="40514"/>
    <cellStyle name="P-Green Rule 7 2 2 6" xfId="40515"/>
    <cellStyle name="PB Table Standard Row 7 2 2 6" xfId="40516"/>
    <cellStyle name="Outputs 6 2 2 6" xfId="40517"/>
    <cellStyle name="Magic 4 2 2 6" xfId="40518"/>
    <cellStyle name="Heading [Palat] 6 2 2 6" xfId="40519"/>
    <cellStyle name="Heading [Helv] 6 2 2 6" xfId="40520"/>
    <cellStyle name="dp*ThinLineBelow 5 2 2 6" xfId="40521"/>
    <cellStyle name="dp*SubTitle 5 2 2 6" xfId="40522"/>
    <cellStyle name="dp*SheetSubTitle 4 2 2 6" xfId="40523"/>
    <cellStyle name="dp*NumberLineEPS 4 2 2 6" xfId="40524"/>
    <cellStyle name="dp*NumberLine 4 2 2 6" xfId="40525"/>
    <cellStyle name="Date [mmm-yyyy] 4 2 2 6" xfId="40526"/>
    <cellStyle name="Date [mm-d-yyyy] 7 2 2 6" xfId="40527"/>
    <cellStyle name="COL HEADINGS 6 2 2 6" xfId="40528"/>
    <cellStyle name="Border Thin 7 2 2 6" xfId="40529"/>
    <cellStyle name="Bold/Border 6 2 2 6" xfId="40530"/>
    <cellStyle name="Afjusted 7 2 2 6" xfId="40531"/>
    <cellStyle name="ac 6 2 2 6" xfId="40532"/>
    <cellStyle name="Style 44 8 2 2 6" xfId="40533"/>
    <cellStyle name="Style 45 8 2 2 6" xfId="40534"/>
    <cellStyle name="Style 49 8 2 2 6" xfId="40535"/>
    <cellStyle name="Style 51 8 2 2 6" xfId="40536"/>
    <cellStyle name="Title [Palat] 6 2 2 6" xfId="40537"/>
    <cellStyle name="Title [Helv] 5 2 2 6" xfId="40538"/>
    <cellStyle name="Table Head Green 7 2 2 6" xfId="40539"/>
    <cellStyle name="Table Head Aligned 5 2 2 6" xfId="40540"/>
    <cellStyle name="Outputs 7 2 2 6" xfId="40541"/>
    <cellStyle name="Magic 5 2 2 6" xfId="40542"/>
    <cellStyle name="Heading [Palat] 7 2 2 6" xfId="40543"/>
    <cellStyle name="Heading [Helv] 7 2 2 6" xfId="40544"/>
    <cellStyle name="dp*SheetSubTitle 5 2 2 6" xfId="40545"/>
    <cellStyle name="dp*NumberLineEPS 5 2 2 6" xfId="40546"/>
    <cellStyle name="dp*NumberLine 5 2 2 6" xfId="40547"/>
    <cellStyle name="Date [mmm-yyyy] 5 2 2 6" xfId="40548"/>
    <cellStyle name="COL HEADINGS 7 2 2 6" xfId="40549"/>
    <cellStyle name="Bold/Border 7 2 2 6" xfId="40550"/>
    <cellStyle name="Afjusted 8 2 2 6" xfId="40551"/>
    <cellStyle name="ac 7 2 2 6" xfId="40552"/>
    <cellStyle name="Title [Palat] 7 2 2 6" xfId="40553"/>
    <cellStyle name="Title [Helv] 6 2 2 6" xfId="40554"/>
    <cellStyle name="Table Head Green 8 2 2 6" xfId="40555"/>
    <cellStyle name="Table Head Aligned 6 2 2 6" xfId="40556"/>
    <cellStyle name="Outputs 8 2 2 6" xfId="40557"/>
    <cellStyle name="Magic 6 2 2 6" xfId="40558"/>
    <cellStyle name="Heading [Palat] 8 2 2 6" xfId="40559"/>
    <cellStyle name="Heading [Helv] 8 2 2 6" xfId="40560"/>
    <cellStyle name="dp*SheetSubTitle 6 2 2 6" xfId="40561"/>
    <cellStyle name="dp*NumberLineEPS 6 2 2 6" xfId="40562"/>
    <cellStyle name="dp*NumberLine 6 2 2 6" xfId="40563"/>
    <cellStyle name="COL HEADINGS 8 2 2 6" xfId="40564"/>
    <cellStyle name="Bold/Border 8 2 2 6" xfId="40565"/>
    <cellStyle name="Afjusted 9 2 2 6" xfId="40566"/>
    <cellStyle name="ac 8 2 2 6" xfId="40567"/>
    <cellStyle name="Date [mmm-yyyy] 6 2 2 6" xfId="40568"/>
    <cellStyle name="Title [Palat] 8 2 2 6" xfId="40569"/>
    <cellStyle name="Title [Helv] 7 2 2 6" xfId="40570"/>
    <cellStyle name="Table Head Green 9 2 2 6" xfId="40571"/>
    <cellStyle name="Table Head Aligned 7 2 2 6" xfId="40572"/>
    <cellStyle name="Outputs 9 2 2 6" xfId="40573"/>
    <cellStyle name="Magic 7 2 2 6" xfId="40574"/>
    <cellStyle name="Heading [Palat] 9 2 2 6" xfId="40575"/>
    <cellStyle name="Heading [Helv] 9 2 2 6" xfId="40576"/>
    <cellStyle name="dp*SheetSubTitle 7 2 2 6" xfId="40577"/>
    <cellStyle name="dp*NumberLineEPS 7 2 2 6" xfId="40578"/>
    <cellStyle name="dp*NumberLine 7 2 2 6" xfId="40579"/>
    <cellStyle name="Date [mmm-yyyy] 7 2 2 6" xfId="40580"/>
    <cellStyle name="COL HEADINGS 9 2 2 6" xfId="40581"/>
    <cellStyle name="Bold/Border 9 2 2 6" xfId="40582"/>
    <cellStyle name="Afjusted 10 2 2 6" xfId="40583"/>
    <cellStyle name="ac 9 2 2 6" xfId="40584"/>
    <cellStyle name="Style 44 6 4 6" xfId="40585"/>
    <cellStyle name="Style 45 6 4 6" xfId="40586"/>
    <cellStyle name="Style 49 6 4 6" xfId="40587"/>
    <cellStyle name="Style 51 6 4 6" xfId="40588"/>
    <cellStyle name="Table Head Green 4 4 6" xfId="40589"/>
    <cellStyle name="Afjusted 6 4 6" xfId="40590"/>
    <cellStyle name="ac 2 5 4 6" xfId="40591"/>
    <cellStyle name="Afjusted 2 4 4 6" xfId="40592"/>
    <cellStyle name="Bold/Border 2 5 4 6" xfId="40593"/>
    <cellStyle name="Border Thin 2 5 4 6" xfId="40594"/>
    <cellStyle name="COL HEADINGS 2 5 4 6" xfId="40595"/>
    <cellStyle name="Date [mmm-yyyy] 2 5 4 6" xfId="40596"/>
    <cellStyle name="dp*NumberLine 2 5 4 6" xfId="40597"/>
    <cellStyle name="dp*NumberLineEPS 2 5 4 6" xfId="40598"/>
    <cellStyle name="dp*SheetSubTitle 2 5 4 6" xfId="40599"/>
    <cellStyle name="dp*SubTitle 2 5 4 6" xfId="40600"/>
    <cellStyle name="dp*ThinLineBelow 2 5 4 6" xfId="40601"/>
    <cellStyle name="Heading [Helv] 2 5 4 6" xfId="40602"/>
    <cellStyle name="Heading [Palat] 2 5 4 6" xfId="40603"/>
    <cellStyle name="Magic 2 5 4 6" xfId="40604"/>
    <cellStyle name="Outputs 2 5 4 6" xfId="40605"/>
    <cellStyle name="PB Table Standard Row 2 5 4 6" xfId="40606"/>
    <cellStyle name="P-Green Rule 2 5 4 6" xfId="40607"/>
    <cellStyle name="Style 44 3 5 4 6" xfId="40608"/>
    <cellStyle name="Style 45 3 5 4 6" xfId="40609"/>
    <cellStyle name="Style 49 3 5 4 6" xfId="40610"/>
    <cellStyle name="Style 51 3 5 4 6" xfId="40611"/>
    <cellStyle name="Style 44 2 5 4 6" xfId="40612"/>
    <cellStyle name="Style 45 2 5 4 6" xfId="40613"/>
    <cellStyle name="Style 49 2 5 4 6" xfId="40614"/>
    <cellStyle name="Style 51 2 5 4 6" xfId="40615"/>
    <cellStyle name="Table Head Aligned 2 5 4 6" xfId="40616"/>
    <cellStyle name="Table Head Green 2 5 4 6" xfId="40617"/>
    <cellStyle name="Title [Helv] 2 5 4 6" xfId="40618"/>
    <cellStyle name="Title [Palat] 2 5 4 6" xfId="40619"/>
    <cellStyle name="ac 5 4 6" xfId="40620"/>
    <cellStyle name="Bold/Border 5 4 6" xfId="40621"/>
    <cellStyle name="Border Thin 6 4 6" xfId="40622"/>
    <cellStyle name="COL HEADINGS 5 4 6" xfId="40623"/>
    <cellStyle name="Date [mm-d-yyyy] 6 3 6" xfId="40624"/>
    <cellStyle name="Heading [Helv] 5 4 6" xfId="40625"/>
    <cellStyle name="Heading [Palat] 5 4 6" xfId="40626"/>
    <cellStyle name="Outputs 5 4 6" xfId="40627"/>
    <cellStyle name="PB Table Standard Row 6 4 6" xfId="40628"/>
    <cellStyle name="P-Green Rule 6 4 6" xfId="40629"/>
    <cellStyle name="Style 44 7 4 6" xfId="40630"/>
    <cellStyle name="Style 45 7 4 6" xfId="40631"/>
    <cellStyle name="Style 49 7 4 6" xfId="40632"/>
    <cellStyle name="Style 51 7 4 6" xfId="40633"/>
    <cellStyle name="Table Head Green 5 4 6" xfId="40634"/>
    <cellStyle name="Title [Palat] 4 4 6" xfId="40635"/>
    <cellStyle name="ac 2 6 4 6" xfId="40636"/>
    <cellStyle name="Bold/Border 2 6 4 6" xfId="40637"/>
    <cellStyle name="Border Thin 2 6 4 6" xfId="40638"/>
    <cellStyle name="COL HEADINGS 2 6 4 6" xfId="40639"/>
    <cellStyle name="Date [mm-d-yyyy] 2 3 3 6" xfId="40640"/>
    <cellStyle name="Heading [Helv] 2 6 4 6" xfId="40641"/>
    <cellStyle name="Heading [Palat] 2 6 4 6" xfId="40642"/>
    <cellStyle name="Outputs 2 6 4 6" xfId="40643"/>
    <cellStyle name="PB Table Standard Row 2 6 4 6" xfId="40644"/>
    <cellStyle name="P-Green Rule 2 6 4 6" xfId="40645"/>
    <cellStyle name="Style 44 3 6 4 6" xfId="40646"/>
    <cellStyle name="Style 45 3 6 4 6" xfId="40647"/>
    <cellStyle name="Style 49 3 6 4 6" xfId="40648"/>
    <cellStyle name="Style 51 3 6 4 6" xfId="40649"/>
    <cellStyle name="Style 44 2 6 4 6" xfId="40650"/>
    <cellStyle name="Style 45 2 6 4 6" xfId="40651"/>
    <cellStyle name="Style 49 2 6 4 6" xfId="40652"/>
    <cellStyle name="Style 51 2 6 4 6" xfId="40653"/>
    <cellStyle name="Table Head Green 2 6 4 6" xfId="40654"/>
    <cellStyle name="Title [Palat] 2 6 4 6" xfId="40655"/>
    <cellStyle name="Title [Palat] 5 4 6" xfId="40656"/>
    <cellStyle name="Title [Helv] 4 4 6" xfId="40657"/>
    <cellStyle name="Table Head Green 6 4 6" xfId="40658"/>
    <cellStyle name="Table Head Aligned 4 4 6" xfId="40659"/>
    <cellStyle name="Style 51 9 3 6" xfId="40660"/>
    <cellStyle name="Style 49 9 3 6" xfId="40661"/>
    <cellStyle name="Style 45 9 3 6" xfId="40662"/>
    <cellStyle name="Style 44 9 3 6" xfId="40663"/>
    <cellStyle name="P-Green Rule 7 3 6" xfId="40664"/>
    <cellStyle name="PB Table Standard Row 7 3 6" xfId="40665"/>
    <cellStyle name="Outputs 6 4 6" xfId="40666"/>
    <cellStyle name="Magic 4 4 6" xfId="40667"/>
    <cellStyle name="Heading [Palat] 6 4 6" xfId="40668"/>
    <cellStyle name="Heading [Helv] 6 4 6" xfId="40669"/>
    <cellStyle name="dp*ThinLineBelow 5 4 6" xfId="40670"/>
    <cellStyle name="dp*SubTitle 5 4 6" xfId="40671"/>
    <cellStyle name="dp*SheetSubTitle 4 4 6" xfId="40672"/>
    <cellStyle name="dp*NumberLineEPS 4 4 6" xfId="40673"/>
    <cellStyle name="dp*NumberLine 4 4 6" xfId="40674"/>
    <cellStyle name="Date [mmm-yyyy] 4 4 6" xfId="40675"/>
    <cellStyle name="Date [mm-d-yyyy] 7 4 6" xfId="40676"/>
    <cellStyle name="COL HEADINGS 6 4 6" xfId="40677"/>
    <cellStyle name="Border Thin 7 4 6" xfId="40678"/>
    <cellStyle name="Bold/Border 6 4 6" xfId="40679"/>
    <cellStyle name="Afjusted 7 4 6" xfId="40680"/>
    <cellStyle name="ac 6 4 6" xfId="40681"/>
    <cellStyle name="Style 44 8 4 6" xfId="40682"/>
    <cellStyle name="Style 45 8 4 6" xfId="40683"/>
    <cellStyle name="Style 49 8 4 6" xfId="40684"/>
    <cellStyle name="Style 51 8 4 6" xfId="40685"/>
    <cellStyle name="Title [Palat] 6 4 6" xfId="40686"/>
    <cellStyle name="Title [Helv] 5 4 6" xfId="40687"/>
    <cellStyle name="Table Head Green 7 4 6" xfId="40688"/>
    <cellStyle name="Table Head Aligned 5 4 6" xfId="40689"/>
    <cellStyle name="Outputs 7 4 6" xfId="40690"/>
    <cellStyle name="Magic 5 4 6" xfId="40691"/>
    <cellStyle name="Heading [Palat] 7 4 6" xfId="40692"/>
    <cellStyle name="Heading [Helv] 7 4 6" xfId="40693"/>
    <cellStyle name="dp*SheetSubTitle 5 4 6" xfId="40694"/>
    <cellStyle name="dp*NumberLineEPS 5 4 6" xfId="40695"/>
    <cellStyle name="dp*NumberLine 5 4 6" xfId="40696"/>
    <cellStyle name="Date [mmm-yyyy] 5 4 6" xfId="40697"/>
    <cellStyle name="COL HEADINGS 7 4 6" xfId="40698"/>
    <cellStyle name="Bold/Border 7 4 6" xfId="40699"/>
    <cellStyle name="Afjusted 8 4 6" xfId="40700"/>
    <cellStyle name="ac 7 4 6" xfId="40701"/>
    <cellStyle name="Title [Palat] 7 4 6" xfId="40702"/>
    <cellStyle name="Title [Helv] 6 4 6" xfId="40703"/>
    <cellStyle name="Table Head Green 8 4 6" xfId="40704"/>
    <cellStyle name="Table Head Aligned 6 4 6" xfId="40705"/>
    <cellStyle name="Outputs 8 4 6" xfId="40706"/>
    <cellStyle name="Magic 6 4 6" xfId="40707"/>
    <cellStyle name="Heading [Palat] 8 4 6" xfId="40708"/>
    <cellStyle name="Heading [Helv] 8 4 6" xfId="40709"/>
    <cellStyle name="dp*SheetSubTitle 6 4 6" xfId="40710"/>
    <cellStyle name="dp*NumberLineEPS 6 4 6" xfId="40711"/>
    <cellStyle name="dp*NumberLine 6 4 6" xfId="40712"/>
    <cellStyle name="COL HEADINGS 8 4 6" xfId="40713"/>
    <cellStyle name="Bold/Border 8 4 6" xfId="40714"/>
    <cellStyle name="Afjusted 9 4 6" xfId="40715"/>
    <cellStyle name="ac 8 4 6" xfId="40716"/>
    <cellStyle name="Date [mmm-yyyy] 6 4 6" xfId="40717"/>
    <cellStyle name="Title [Palat] 8 4 6" xfId="40718"/>
    <cellStyle name="Title [Helv] 7 4 6" xfId="40719"/>
    <cellStyle name="Table Head Green 9 4 6" xfId="40720"/>
    <cellStyle name="Table Head Aligned 7 4 6" xfId="40721"/>
    <cellStyle name="Outputs 9 4 6" xfId="40722"/>
    <cellStyle name="Magic 7 4 6" xfId="40723"/>
    <cellStyle name="Heading [Palat] 9 4 6" xfId="40724"/>
    <cellStyle name="Heading [Helv] 9 4 6" xfId="40725"/>
    <cellStyle name="dp*SheetSubTitle 7 4 6" xfId="40726"/>
    <cellStyle name="dp*NumberLineEPS 7 4 6" xfId="40727"/>
    <cellStyle name="dp*NumberLine 7 4 6" xfId="40728"/>
    <cellStyle name="Date [mmm-yyyy] 7 4 6" xfId="40729"/>
    <cellStyle name="COL HEADINGS 9 4 6" xfId="40730"/>
    <cellStyle name="Bold/Border 9 4 6" xfId="40731"/>
    <cellStyle name="Afjusted 10 4 6" xfId="40732"/>
    <cellStyle name="ac 9 4 6" xfId="40733"/>
    <cellStyle name="Afjusted 3 6 3 6" xfId="40734"/>
    <cellStyle name="ac 2 7 3 6" xfId="40735"/>
    <cellStyle name="Afjusted 2 5 3 6" xfId="40736"/>
    <cellStyle name="Bold/Border 2 7 3 6" xfId="40737"/>
    <cellStyle name="COL HEADINGS 2 7 3 6" xfId="40738"/>
    <cellStyle name="Date [mmm-yyyy] 2 6 3 6" xfId="40739"/>
    <cellStyle name="dp*NumberLine 2 6 3 6" xfId="40740"/>
    <cellStyle name="dp*NumberLineEPS 2 6 3 6" xfId="40741"/>
    <cellStyle name="dp*SheetSubTitle 2 6 3 6" xfId="40742"/>
    <cellStyle name="Heading [Helv] 2 7 3 6" xfId="40743"/>
    <cellStyle name="Heading [Palat] 2 7 3 6" xfId="40744"/>
    <cellStyle name="Magic 2 6 3 6" xfId="40745"/>
    <cellStyle name="Outputs 2 7 3 6" xfId="40746"/>
    <cellStyle name="Table Head Aligned 2 6 3 6" xfId="40747"/>
    <cellStyle name="Table Head Green 2 7 3 6" xfId="40748"/>
    <cellStyle name="Title [Helv] 2 6 3 6" xfId="40749"/>
    <cellStyle name="Title [Palat] 2 7 3 6" xfId="40750"/>
    <cellStyle name="Date [mm-d-yyyy] 3 6 3 6" xfId="40751"/>
    <cellStyle name="Style 51 4 6 3 6" xfId="40752"/>
    <cellStyle name="Style 49 4 6 3 6" xfId="40753"/>
    <cellStyle name="Style 45 4 6 3 6" xfId="40754"/>
    <cellStyle name="Style 44 4 6 3 6" xfId="40755"/>
    <cellStyle name="P-Green Rule 3 6 3 6" xfId="40756"/>
    <cellStyle name="PB Table Standard Row 3 6 3 6" xfId="40757"/>
    <cellStyle name="dp*ThinLineBelow 3 6 3 6" xfId="40758"/>
    <cellStyle name="dp*SubTitle 3 6 3 6" xfId="40759"/>
    <cellStyle name="Border Thin 3 6 3 6" xfId="40760"/>
    <cellStyle name="Afjusted 4 6 3 6" xfId="40761"/>
    <cellStyle name="ac 2 2 5 3 6" xfId="40762"/>
    <cellStyle name="Afjusted 2 2 6 3 6" xfId="40763"/>
    <cellStyle name="Bold/Border 2 2 5 3 6" xfId="40764"/>
    <cellStyle name="COL HEADINGS 2 2 5 3 6" xfId="40765"/>
    <cellStyle name="Date [mmm-yyyy] 2 2 5 3 6" xfId="40766"/>
    <cellStyle name="dp*NumberLine 2 2 5 3 6" xfId="40767"/>
    <cellStyle name="dp*NumberLineEPS 2 2 5 3 6" xfId="40768"/>
    <cellStyle name="dp*SheetSubTitle 2 2 5 3 6" xfId="40769"/>
    <cellStyle name="Heading [Helv] 2 2 5 3 6" xfId="40770"/>
    <cellStyle name="Heading [Palat] 2 2 5 3 6" xfId="40771"/>
    <cellStyle name="Magic 2 2 5 3 6" xfId="40772"/>
    <cellStyle name="Outputs 2 2 5 3 6" xfId="40773"/>
    <cellStyle name="Table Head Aligned 2 2 5 3 6" xfId="40774"/>
    <cellStyle name="Table Head Green 2 2 5 3 6" xfId="40775"/>
    <cellStyle name="Title [Helv] 2 2 5 3 6" xfId="40776"/>
    <cellStyle name="Title [Palat] 2 2 5 3 6" xfId="40777"/>
    <cellStyle name="dp*SubTitle 2 2 2 3 6" xfId="40778"/>
    <cellStyle name="Border Thin 2 2 2 3 6" xfId="40779"/>
    <cellStyle name="Bold/Border 2 2 3 4 2 3 6" xfId="40780"/>
    <cellStyle name="Magic 2 2 3 4 2 3 6" xfId="40781"/>
    <cellStyle name="Title [Helv] 2 2 3 4 2 3 6" xfId="40782"/>
    <cellStyle name="Style 51 2 2 2 3 6" xfId="40783"/>
    <cellStyle name="Style 45 2 2 2 3 6" xfId="40784"/>
    <cellStyle name="Style 49 2 2 2 3 6" xfId="40785"/>
    <cellStyle name="Style 44 2 2 2 3 6" xfId="40786"/>
    <cellStyle name="Style 51 3 2 2 3 6" xfId="40787"/>
    <cellStyle name="Style 49 3 2 2 3 6" xfId="40788"/>
    <cellStyle name="Style 45 3 2 2 3 6" xfId="40789"/>
    <cellStyle name="Style 44 3 2 2 3 6" xfId="40790"/>
    <cellStyle name="P-Green Rule 2 2 2 3 6" xfId="40791"/>
    <cellStyle name="PB Table Standard Row 2 2 2 3 6" xfId="40792"/>
    <cellStyle name="dp*ThinLineBelow 2 2 2 3 6" xfId="40793"/>
    <cellStyle name="dp*ThinLineBelow 2 3 2 3 6" xfId="40794"/>
    <cellStyle name="Style 44 3 3 2 3 6" xfId="40795"/>
    <cellStyle name="COL HEADINGS 2 2 3 4 2 3 6" xfId="40796"/>
    <cellStyle name="Style 49 4 3 4 2 3 6" xfId="40797"/>
    <cellStyle name="Afjusted 3 3 4 2 3 6" xfId="40798"/>
    <cellStyle name="Date [mm-d-yyyy] 3 3 4 2 3 6" xfId="40799"/>
    <cellStyle name="Afjusted 4 3 4 2 3 6" xfId="40800"/>
    <cellStyle name="ac 2 2 3 4 2 3 6" xfId="40801"/>
    <cellStyle name="Afjusted 2 2 3 4 2 3 6" xfId="40802"/>
    <cellStyle name="Date [mmm-yyyy] 2 2 3 4 2 3 6" xfId="40803"/>
    <cellStyle name="dp*NumberLine 2 2 3 4 2 3 6" xfId="40804"/>
    <cellStyle name="dp*NumberLineEPS 2 2 3 4 2 3 6" xfId="40805"/>
    <cellStyle name="dp*SheetSubTitle 2 2 3 4 2 3 6" xfId="40806"/>
    <cellStyle name="Heading [Helv] 2 2 3 4 2 3 6" xfId="40807"/>
    <cellStyle name="Outputs 2 2 3 4 2 3 6" xfId="40808"/>
    <cellStyle name="Table Head Aligned 2 2 3 4 2 3 6" xfId="40809"/>
    <cellStyle name="Title [Palat] 2 2 3 4 2 3 6" xfId="40810"/>
    <cellStyle name="Afjusted 3 5 2 3 6" xfId="40811"/>
    <cellStyle name="Style 45 3 3 2 3 6" xfId="40812"/>
    <cellStyle name="Style 51 3 3 2 3 6" xfId="40813"/>
    <cellStyle name="Style 44 2 3 2 3 6" xfId="40814"/>
    <cellStyle name="Style 45 2 3 2 3 6" xfId="40815"/>
    <cellStyle name="Style 49 2 3 2 3 6" xfId="40816"/>
    <cellStyle name="Border Thin 3 5 2 3 6" xfId="40817"/>
    <cellStyle name="ac 2 2 4 2 3 6" xfId="40818"/>
    <cellStyle name="Afjusted 2 2 5 2 3 6" xfId="40819"/>
    <cellStyle name="Bold/Border 2 2 4 2 3 6" xfId="40820"/>
    <cellStyle name="COL HEADINGS 2 2 4 2 3 6" xfId="40821"/>
    <cellStyle name="Date [mmm-yyyy] 2 2 4 2 3 6" xfId="40822"/>
    <cellStyle name="dp*NumberLine 2 2 4 2 3 6" xfId="40823"/>
    <cellStyle name="dp*NumberLineEPS 2 2 4 2 3 6" xfId="40824"/>
    <cellStyle name="dp*SheetSubTitle 2 2 4 2 3 6" xfId="40825"/>
    <cellStyle name="Heading [Palat] 2 2 4 2 3 6" xfId="40826"/>
    <cellStyle name="Outputs 2 2 4 2 3 6" xfId="40827"/>
    <cellStyle name="Magic 2 2 4 2 3 6" xfId="40828"/>
    <cellStyle name="Title [Helv] 2 2 4 2 3 6" xfId="40829"/>
    <cellStyle name="Title [Palat] 2 2 4 2 3 6" xfId="40830"/>
    <cellStyle name="Title [Palat] 2 2 3 3 2 3 6" xfId="40831"/>
    <cellStyle name="Title [Helv] 2 2 3 3 2 3 6" xfId="40832"/>
    <cellStyle name="Table Head Aligned 2 2 3 3 2 3 6" xfId="40833"/>
    <cellStyle name="Magic 2 2 3 3 2 3 6" xfId="40834"/>
    <cellStyle name="Heading [Helv] 2 2 3 3 2 3 6" xfId="40835"/>
    <cellStyle name="dp*NumberLineEPS 2 2 3 3 2 3 6" xfId="40836"/>
    <cellStyle name="COL HEADINGS 2 2 3 3 2 3 6" xfId="40837"/>
    <cellStyle name="ac 2 2 3 3 2 3 6" xfId="40838"/>
    <cellStyle name="Afjusted 4 3 3 2 3 6" xfId="40839"/>
    <cellStyle name="Border Thin 3 3 3 2 3 6" xfId="40840"/>
    <cellStyle name="PB Table Standard Row 3 3 3 2 3 6" xfId="40841"/>
    <cellStyle name="Style 44 4 3 3 2 3 6" xfId="40842"/>
    <cellStyle name="Style 51 4 3 3 2 3 6" xfId="40843"/>
    <cellStyle name="Afjusted 3 3 3 2 3 6" xfId="40844"/>
    <cellStyle name="Style 49 4 5 2 3 6" xfId="40845"/>
    <cellStyle name="Style 44 4 5 2 3 6" xfId="40846"/>
    <cellStyle name="P-Green Rule 3 5 2 3 6" xfId="40847"/>
    <cellStyle name="dp*SubTitle 3 5 2 3 6" xfId="40848"/>
    <cellStyle name="Afjusted 4 5 2 3 6" xfId="40849"/>
    <cellStyle name="ac 2 3 2 3 6" xfId="40850"/>
    <cellStyle name="Bold/Border 2 3 2 3 6" xfId="40851"/>
    <cellStyle name="COL HEADINGS 2 3 2 3 6" xfId="40852"/>
    <cellStyle name="Date [mmm-yyyy] 2 3 2 3 6" xfId="40853"/>
    <cellStyle name="dp*NumberLine 2 3 2 3 6" xfId="40854"/>
    <cellStyle name="dp*NumberLineEPS 2 3 2 3 6" xfId="40855"/>
    <cellStyle name="dp*SheetSubTitle 2 3 2 3 6" xfId="40856"/>
    <cellStyle name="Heading [Helv] 2 3 2 3 6" xfId="40857"/>
    <cellStyle name="Heading [Palat] 2 3 2 3 6" xfId="40858"/>
    <cellStyle name="Magic 2 3 2 3 6" xfId="40859"/>
    <cellStyle name="Outputs 2 3 2 3 6" xfId="40860"/>
    <cellStyle name="Date [mmm-yyyy] 2 2 3 3 2 3 6" xfId="40861"/>
    <cellStyle name="Afjusted 2 2 3 3 2 3 6" xfId="40862"/>
    <cellStyle name="dp*ThinLineBelow 3 3 3 2 3 6" xfId="40863"/>
    <cellStyle name="Style 49 4 3 3 2 3 6" xfId="40864"/>
    <cellStyle name="Outputs 2 2 3 3 2 3 6" xfId="40865"/>
    <cellStyle name="dp*NumberLine 2 2 3 3 2 3 6" xfId="40866"/>
    <cellStyle name="Bold/Border 2 2 3 3 2 3 6" xfId="40867"/>
    <cellStyle name="dp*SubTitle 3 3 3 2 3 6" xfId="40868"/>
    <cellStyle name="Style 45 4 3 3 2 3 6" xfId="40869"/>
    <cellStyle name="Table Head Aligned 2 3 2 3 6" xfId="40870"/>
    <cellStyle name="Table Head Green 2 3 2 3 6" xfId="40871"/>
    <cellStyle name="Title [Helv] 2 3 2 3 6" xfId="40872"/>
    <cellStyle name="Title [Palat] 2 3 2 3 6" xfId="40873"/>
    <cellStyle name="Style 45 4 3 4 2 3 6" xfId="40874"/>
    <cellStyle name="Style 51 4 3 4 2 3 6" xfId="40875"/>
    <cellStyle name="Afjusted 3 4 2 3 6" xfId="40876"/>
    <cellStyle name="P-Green Rule 3 3 4 2 3 6" xfId="40877"/>
    <cellStyle name="Border Thin 2 3 2 3 6" xfId="40878"/>
    <cellStyle name="Style 49 3 3 2 3 6" xfId="40879"/>
    <cellStyle name="Style 51 2 3 2 3 6" xfId="40880"/>
    <cellStyle name="Heading [Helv] 2 2 4 2 3 6" xfId="40881"/>
    <cellStyle name="Table Head Aligned 2 2 4 2 3 6" xfId="40882"/>
    <cellStyle name="Table Head Green 2 2 4 2 3 6" xfId="40883"/>
    <cellStyle name="Table Head Green 2 2 3 3 2 3 6" xfId="40884"/>
    <cellStyle name="Heading [Palat] 2 2 3 3 2 3 6" xfId="40885"/>
    <cellStyle name="dp*SheetSubTitle 2 2 3 3 2 3 6" xfId="40886"/>
    <cellStyle name="P-Green Rule 3 3 3 2 3 6" xfId="40887"/>
    <cellStyle name="Date [mm-d-yyyy] 3 3 3 2 3 6" xfId="40888"/>
    <cellStyle name="Date [mm-d-yyyy] 3 4 2 3 6" xfId="40889"/>
    <cellStyle name="Style 51 4 4 2 3 6" xfId="40890"/>
    <cellStyle name="Style 49 4 4 2 3 6" xfId="40891"/>
    <cellStyle name="Style 45 4 4 2 3 6" xfId="40892"/>
    <cellStyle name="Style 44 4 4 2 3 6" xfId="40893"/>
    <cellStyle name="dp*ThinLineBelow 3 3 4 2 3 6" xfId="40894"/>
    <cellStyle name="P-Green Rule 3 4 2 3 6" xfId="40895"/>
    <cellStyle name="PB Table Standard Row 3 4 2 2 6" xfId="40896"/>
    <cellStyle name="dp*ThinLineBelow 3 4 2 3 6" xfId="40897"/>
    <cellStyle name="dp*SubTitle 3 4 2 3 6" xfId="40898"/>
    <cellStyle name="dp*SubTitle 3 3 4 2 3 6" xfId="40899"/>
    <cellStyle name="Border Thin 3 4 2 3 6" xfId="40900"/>
    <cellStyle name="Border Thin 3 3 4 2 3 6" xfId="40901"/>
    <cellStyle name="Afjusted 4 4 2 3 6" xfId="40902"/>
    <cellStyle name="Afjusted 2 2 4 2 3 6" xfId="40903"/>
    <cellStyle name="Style 44 4 3 4 2 3 6" xfId="40904"/>
    <cellStyle name="PB Table Standard Row 3 3 4 2 3 6" xfId="40905"/>
    <cellStyle name="Title [Palat] 2 2 3 5 3 6" xfId="40906"/>
    <cellStyle name="Title [Helv] 2 2 3 5 3 6" xfId="40907"/>
    <cellStyle name="Table Head Green 2 2 3 5 3 6" xfId="40908"/>
    <cellStyle name="Table Head Aligned 2 2 3 5 3 6" xfId="40909"/>
    <cellStyle name="Outputs 2 2 3 5 3 6" xfId="40910"/>
    <cellStyle name="Magic 2 2 3 5 3 6" xfId="40911"/>
    <cellStyle name="Heading [Palat] 2 2 3 5 3 6" xfId="40912"/>
    <cellStyle name="Heading [Helv] 2 2 3 5 3 6" xfId="40913"/>
    <cellStyle name="dp*SheetSubTitle 2 2 3 5 3 6" xfId="40914"/>
    <cellStyle name="dp*NumberLineEPS 2 2 3 5 3 6" xfId="40915"/>
    <cellStyle name="dp*NumberLine 2 2 3 5 3 6" xfId="40916"/>
    <cellStyle name="Date [mmm-yyyy] 2 2 3 5 3 6" xfId="40917"/>
    <cellStyle name="COL HEADINGS 2 2 3 5 3 6" xfId="40918"/>
    <cellStyle name="Bold/Border 2 2 3 5 3 6" xfId="40919"/>
    <cellStyle name="Afjusted 2 2 3 5 3 6" xfId="40920"/>
    <cellStyle name="ac 2 2 3 5 3 6" xfId="40921"/>
    <cellStyle name="Afjusted 4 3 5 3 6" xfId="40922"/>
    <cellStyle name="Border Thin 3 3 5 3 6" xfId="40923"/>
    <cellStyle name="dp*SubTitle 3 3 5 3 6" xfId="40924"/>
    <cellStyle name="dp*ThinLineBelow 3 3 5 3 6" xfId="40925"/>
    <cellStyle name="PB Table Standard Row 3 3 5 3 6" xfId="40926"/>
    <cellStyle name="P-Green Rule 3 3 5 3 6" xfId="40927"/>
    <cellStyle name="Style 44 4 3 5 3 6" xfId="40928"/>
    <cellStyle name="Style 45 4 3 5 3 6" xfId="40929"/>
    <cellStyle name="Style 49 4 3 5 3 6" xfId="40930"/>
    <cellStyle name="Style 51 4 3 5 3 6" xfId="40931"/>
    <cellStyle name="Date [mm-d-yyyy] 3 3 5 3 6" xfId="40932"/>
    <cellStyle name="Afjusted 3 3 5 3 6" xfId="40933"/>
    <cellStyle name="Date [mm-d-yyyy] 2 2 4 3 6" xfId="40934"/>
    <cellStyle name="Afjusted 3 2 5 3 6" xfId="40935"/>
    <cellStyle name="Date [mm-d-yyyy] 3 2 5 3 6" xfId="40936"/>
    <cellStyle name="Style 51 4 2 5 3 6" xfId="40937"/>
    <cellStyle name="Style 49 4 2 5 3 6" xfId="40938"/>
    <cellStyle name="Style 45 4 2 5 3 6" xfId="40939"/>
    <cellStyle name="Style 44 4 2 5 3 6" xfId="40940"/>
    <cellStyle name="P-Green Rule 3 2 5 3 6" xfId="40941"/>
    <cellStyle name="PB Table Standard Row 3 2 5 2 6" xfId="40942"/>
    <cellStyle name="dp*ThinLineBelow 3 2 5 3 6" xfId="40943"/>
    <cellStyle name="dp*SubTitle 3 2 5 3 6" xfId="40944"/>
    <cellStyle name="Border Thin 3 2 5 3 6" xfId="40945"/>
    <cellStyle name="Afjusted 4 2 5 3 6" xfId="40946"/>
    <cellStyle name="ac 2 2 2 5 3 6" xfId="40947"/>
    <cellStyle name="Afjusted 2 2 2 5 3 6" xfId="40948"/>
    <cellStyle name="Bold/Border 2 2 2 5 3 6" xfId="40949"/>
    <cellStyle name="COL HEADINGS 2 2 2 5 3 6" xfId="40950"/>
    <cellStyle name="Date [mmm-yyyy] 2 2 2 5 3 6" xfId="40951"/>
    <cellStyle name="dp*NumberLine 2 2 2 5 3 6" xfId="40952"/>
    <cellStyle name="dp*NumberLineEPS 2 2 2 5 3 6" xfId="40953"/>
    <cellStyle name="dp*SheetSubTitle 2 2 2 5 3 6" xfId="40954"/>
    <cellStyle name="Heading [Helv] 2 2 2 5 3 6" xfId="40955"/>
    <cellStyle name="Heading [Palat] 2 2 2 5 3 6" xfId="40956"/>
    <cellStyle name="Magic 2 2 2 5 3 6" xfId="40957"/>
    <cellStyle name="Outputs 2 2 2 5 3 6" xfId="40958"/>
    <cellStyle name="Table Head Aligned 2 2 2 5 3 6" xfId="40959"/>
    <cellStyle name="Table Head Green 2 2 2 5 3 6" xfId="40960"/>
    <cellStyle name="Title [Helv] 2 2 2 5 3 6" xfId="40961"/>
    <cellStyle name="Title [Palat] 2 2 2 5 3 6" xfId="40962"/>
    <cellStyle name="Table Head Green 2 2 3 4 2 3 6" xfId="40963"/>
    <cellStyle name="Heading [Palat] 2 2 3 4 2 3 6" xfId="40964"/>
    <cellStyle name="PB Table Standard Row 2 3 2 3 6" xfId="40965"/>
    <cellStyle name="P-Green Rule 2 3 2 3 6" xfId="40966"/>
    <cellStyle name="Title [Palat] 2 2 3 2 2 3 6" xfId="40967"/>
    <cellStyle name="Title [Helv] 2 2 3 2 2 3 6" xfId="40968"/>
    <cellStyle name="Table Head Green 2 2 3 2 2 3 6" xfId="40969"/>
    <cellStyle name="Table Head Aligned 2 2 3 2 2 3 6" xfId="40970"/>
    <cellStyle name="Outputs 2 2 3 2 2 3 6" xfId="40971"/>
    <cellStyle name="Magic 2 2 3 2 2 3 6" xfId="40972"/>
    <cellStyle name="Heading [Palat] 2 2 3 2 2 3 6" xfId="40973"/>
    <cellStyle name="Heading [Helv] 2 2 3 2 2 3 6" xfId="40974"/>
    <cellStyle name="dp*SheetSubTitle 2 2 3 2 2 3 6" xfId="40975"/>
    <cellStyle name="dp*NumberLineEPS 2 2 3 2 2 3 6" xfId="40976"/>
    <cellStyle name="dp*NumberLine 2 2 3 2 2 3 6" xfId="40977"/>
    <cellStyle name="Date [mmm-yyyy] 2 2 3 2 2 3 6" xfId="40978"/>
    <cellStyle name="COL HEADINGS 2 2 3 2 2 3 6" xfId="40979"/>
    <cellStyle name="Bold/Border 2 2 3 2 2 3 6" xfId="40980"/>
    <cellStyle name="Afjusted 2 2 3 2 2 3 6" xfId="40981"/>
    <cellStyle name="ac 2 2 3 2 2 3 6" xfId="40982"/>
    <cellStyle name="Afjusted 4 3 2 2 3 6" xfId="40983"/>
    <cellStyle name="Border Thin 3 3 2 2 3 6" xfId="40984"/>
    <cellStyle name="dp*SubTitle 3 3 2 2 3 6" xfId="40985"/>
    <cellStyle name="dp*ThinLineBelow 3 3 2 2 3 6" xfId="40986"/>
    <cellStyle name="PB Table Standard Row 3 3 2 2 3 6" xfId="40987"/>
    <cellStyle name="P-Green Rule 3 3 2 2 3 6" xfId="40988"/>
    <cellStyle name="Style 44 4 3 2 2 3 6" xfId="40989"/>
    <cellStyle name="Style 45 4 3 2 2 3 6" xfId="40990"/>
    <cellStyle name="Style 49 4 3 2 2 3 6" xfId="40991"/>
    <cellStyle name="Style 51 4 3 2 2 3 6" xfId="40992"/>
    <cellStyle name="Date [mm-d-yyyy] 3 3 2 2 3 6" xfId="40993"/>
    <cellStyle name="Afjusted 3 3 2 2 3 6" xfId="40994"/>
    <cellStyle name="Date [mm-d-yyyy] 3 5 2 3 6" xfId="40995"/>
    <cellStyle name="dp*SubTitle 2 3 2 3 6" xfId="40996"/>
    <cellStyle name="Date [mm-d-yyyy] 2 2 2 2 3 6" xfId="40997"/>
    <cellStyle name="Afjusted 3 2 2 2 3 6" xfId="40998"/>
    <cellStyle name="PB Table Standard Row 3 5 2 3 6" xfId="40999"/>
    <cellStyle name="Date [mm-d-yyyy] 3 2 2 2 3 6" xfId="41000"/>
    <cellStyle name="Style 51 4 2 2 2 3 6" xfId="41001"/>
    <cellStyle name="Style 49 4 2 2 2 3 6" xfId="41002"/>
    <cellStyle name="Style 45 4 2 2 2 3 6" xfId="41003"/>
    <cellStyle name="Style 44 4 2 2 2 3 6" xfId="41004"/>
    <cellStyle name="Style 45 4 5 2 3 6" xfId="41005"/>
    <cellStyle name="P-Green Rule 3 2 2 2 3 6" xfId="41006"/>
    <cellStyle name="PB Table Standard Row 3 2 2 2 3 6" xfId="41007"/>
    <cellStyle name="dp*ThinLineBelow 3 2 2 2 3 6" xfId="41008"/>
    <cellStyle name="dp*SubTitle 3 2 2 2 3 6" xfId="41009"/>
    <cellStyle name="Style 51 4 5 2 3 6" xfId="41010"/>
    <cellStyle name="Border Thin 3 2 2 2 3 6" xfId="41011"/>
    <cellStyle name="Afjusted 4 2 2 2 3 6" xfId="41012"/>
    <cellStyle name="ac 2 2 2 2 2 3 6" xfId="41013"/>
    <cellStyle name="Afjusted 2 2 2 2 2 3 6" xfId="41014"/>
    <cellStyle name="Bold/Border 2 2 2 2 2 3 6" xfId="41015"/>
    <cellStyle name="COL HEADINGS 2 2 2 2 2 3 6" xfId="41016"/>
    <cellStyle name="Date [mmm-yyyy] 2 2 2 2 2 3 6" xfId="41017"/>
    <cellStyle name="dp*NumberLine 2 2 2 2 2 3 6" xfId="41018"/>
    <cellStyle name="dp*NumberLineEPS 2 2 2 2 2 3 6" xfId="41019"/>
    <cellStyle name="dp*SheetSubTitle 2 2 2 2 2 3 6" xfId="41020"/>
    <cellStyle name="Heading [Helv] 2 2 2 2 2 3 6" xfId="41021"/>
    <cellStyle name="Heading [Palat] 2 2 2 2 2 3 6" xfId="41022"/>
    <cellStyle name="Magic 2 2 2 2 2 3 6" xfId="41023"/>
    <cellStyle name="Outputs 2 2 2 2 2 3 6" xfId="41024"/>
    <cellStyle name="Table Head Aligned 2 2 2 2 2 3 6" xfId="41025"/>
    <cellStyle name="Table Head Green 2 2 2 2 2 3 6" xfId="41026"/>
    <cellStyle name="Title [Helv] 2 2 2 2 2 3 6" xfId="41027"/>
    <cellStyle name="Title [Palat] 2 2 2 2 2 3 6" xfId="41028"/>
    <cellStyle name="dp*ThinLineBelow 3 5 2 3 6" xfId="41029"/>
    <cellStyle name="Date [mm-d-yyyy] 2 2 3 2 3 6" xfId="41030"/>
    <cellStyle name="Afjusted 3 2 3 2 3 6" xfId="41031"/>
    <cellStyle name="Date [mm-d-yyyy] 3 2 3 2 3 6" xfId="41032"/>
    <cellStyle name="Style 51 4 2 3 2 3 6" xfId="41033"/>
    <cellStyle name="Style 49 4 2 3 2 3 6" xfId="41034"/>
    <cellStyle name="Style 45 4 2 3 2 3 6" xfId="41035"/>
    <cellStyle name="Style 44 4 2 3 2 3 6" xfId="41036"/>
    <cellStyle name="P-Green Rule 3 2 3 2 3 6" xfId="41037"/>
    <cellStyle name="PB Table Standard Row 3 2 3 2 3 6" xfId="41038"/>
    <cellStyle name="dp*ThinLineBelow 3 2 3 2 3 6" xfId="41039"/>
    <cellStyle name="dp*SubTitle 3 2 3 2 3 6" xfId="41040"/>
    <cellStyle name="Border Thin 3 2 3 2 3 6" xfId="41041"/>
    <cellStyle name="Afjusted 4 2 3 2 3 6" xfId="41042"/>
    <cellStyle name="ac 2 2 2 3 2 3 6" xfId="41043"/>
    <cellStyle name="Afjusted 2 2 2 3 2 3 6" xfId="41044"/>
    <cellStyle name="Bold/Border 2 2 2 3 2 3 6" xfId="41045"/>
    <cellStyle name="COL HEADINGS 2 2 2 3 2 3 6" xfId="41046"/>
    <cellStyle name="Date [mmm-yyyy] 2 2 2 3 2 3 6" xfId="41047"/>
    <cellStyle name="dp*NumberLine 2 2 2 3 2 3 6" xfId="41048"/>
    <cellStyle name="dp*NumberLineEPS 2 2 2 3 2 3 6" xfId="41049"/>
    <cellStyle name="dp*SheetSubTitle 2 2 2 3 2 3 6" xfId="41050"/>
    <cellStyle name="Heading [Helv] 2 2 2 3 2 3 6" xfId="41051"/>
    <cellStyle name="Heading [Palat] 2 2 2 3 2 3 6" xfId="41052"/>
    <cellStyle name="Magic 2 2 2 3 2 3 6" xfId="41053"/>
    <cellStyle name="Outputs 2 2 2 3 2 3 6" xfId="41054"/>
    <cellStyle name="Table Head Aligned 2 2 2 3 2 3 6" xfId="41055"/>
    <cellStyle name="Table Head Green 2 2 2 3 2 3 6" xfId="41056"/>
    <cellStyle name="Title [Helv] 2 2 2 3 2 3 6" xfId="41057"/>
    <cellStyle name="Title [Palat] 2 2 2 3 2 3 6" xfId="41058"/>
    <cellStyle name="Afjusted 3 2 4 2 3 6" xfId="41059"/>
    <cellStyle name="Date [mm-d-yyyy] 3 2 4 2 3 6" xfId="41060"/>
    <cellStyle name="Style 51 4 2 4 2 3 6" xfId="41061"/>
    <cellStyle name="Style 49 4 2 4 2 3 6" xfId="41062"/>
    <cellStyle name="Style 45 4 2 4 2 3 6" xfId="41063"/>
    <cellStyle name="Style 44 4 2 4 2 3 6" xfId="41064"/>
    <cellStyle name="P-Green Rule 3 2 4 2 3 6" xfId="41065"/>
    <cellStyle name="PB Table Standard Row 3 2 4 2 3 6" xfId="41066"/>
    <cellStyle name="dp*ThinLineBelow 3 2 4 2 3 6" xfId="41067"/>
    <cellStyle name="dp*SubTitle 3 2 4 2 3 6" xfId="41068"/>
    <cellStyle name="Border Thin 3 2 4 2 3 6" xfId="41069"/>
    <cellStyle name="Afjusted 4 2 4 2 3 6" xfId="41070"/>
    <cellStyle name="ac 2 2 2 4 2 3 6" xfId="41071"/>
    <cellStyle name="Afjusted 2 2 2 4 2 3 6" xfId="41072"/>
    <cellStyle name="Bold/Border 2 2 2 4 2 3 6" xfId="41073"/>
    <cellStyle name="COL HEADINGS 2 2 2 4 2 3 6" xfId="41074"/>
    <cellStyle name="Date [mmm-yyyy] 2 2 2 4 2 3 6" xfId="41075"/>
    <cellStyle name="dp*NumberLine 2 2 2 4 2 3 6" xfId="41076"/>
    <cellStyle name="dp*NumberLineEPS 2 2 2 4 2 3 6" xfId="41077"/>
    <cellStyle name="dp*SheetSubTitle 2 2 2 4 2 3 6" xfId="41078"/>
    <cellStyle name="Heading [Helv] 2 2 2 4 2 3 6" xfId="41079"/>
    <cellStyle name="Heading [Palat] 2 2 2 4 2 3 6" xfId="41080"/>
    <cellStyle name="Magic 2 2 2 4 2 3 6" xfId="41081"/>
    <cellStyle name="Outputs 2 2 2 4 2 3 6" xfId="41082"/>
    <cellStyle name="Table Head Aligned 2 2 2 4 2 3 6" xfId="41083"/>
    <cellStyle name="Table Head Green 2 2 2 4 2 3 6" xfId="41084"/>
    <cellStyle name="Title [Helv] 2 2 2 4 2 3 6" xfId="41085"/>
    <cellStyle name="Title [Palat] 2 2 2 4 2 3 6" xfId="41086"/>
    <cellStyle name="Border Thin 4 2 3 6" xfId="41087"/>
    <cellStyle name="Date [mm-d-yyyy] 4 2 3 6" xfId="41088"/>
    <cellStyle name="dp*SubTitle 4 2 3 6" xfId="41089"/>
    <cellStyle name="dp*ThinLineBelow 4 2 3 6" xfId="41090"/>
    <cellStyle name="PB Table Standard Row 4 2 3 6" xfId="41091"/>
    <cellStyle name="P-Green Rule 4 2 3 6" xfId="41092"/>
    <cellStyle name="Style 44 5 2 3 6" xfId="41093"/>
    <cellStyle name="Style 45 5 2 3 6" xfId="41094"/>
    <cellStyle name="Style 49 5 2 3 6" xfId="41095"/>
    <cellStyle name="Style 51 5 2 3 6" xfId="41096"/>
    <cellStyle name="Title [Palat] 3 2 3 6" xfId="41097"/>
    <cellStyle name="Title [Helv] 3 2 3 6" xfId="41098"/>
    <cellStyle name="Table Head Green 3 2 3 6" xfId="41099"/>
    <cellStyle name="Table Head Aligned 3 2 3 6" xfId="41100"/>
    <cellStyle name="Outputs 3 2 3 6" xfId="41101"/>
    <cellStyle name="Magic 3 2 3 6" xfId="41102"/>
    <cellStyle name="Heading [Palat] 3 2 3 6" xfId="41103"/>
    <cellStyle name="Heading [Helv] 3 2 3 6" xfId="41104"/>
    <cellStyle name="dp*SheetSubTitle 3 2 3 6" xfId="41105"/>
    <cellStyle name="dp*NumberLineEPS 3 2 3 6" xfId="41106"/>
    <cellStyle name="dp*NumberLine 3 2 3 6" xfId="41107"/>
    <cellStyle name="COL HEADINGS 3 2 3 6" xfId="41108"/>
    <cellStyle name="Bold/Border 3 2 3 6" xfId="41109"/>
    <cellStyle name="Afjusted 5 2 3 6" xfId="41110"/>
    <cellStyle name="ac 3 2 3 6" xfId="41111"/>
    <cellStyle name="Date [mmm-yyyy] 3 2 3 6" xfId="41112"/>
    <cellStyle name="ac 2 4 2 3 6" xfId="41113"/>
    <cellStyle name="Afjusted 2 3 2 3 6" xfId="41114"/>
    <cellStyle name="Bold/Border 2 4 2 3 6" xfId="41115"/>
    <cellStyle name="Border Thin 2 4 2 3 6" xfId="41116"/>
    <cellStyle name="COL HEADINGS 2 4 2 3 6" xfId="41117"/>
    <cellStyle name="Date [mmm-yyyy] 2 4 2 3 6" xfId="41118"/>
    <cellStyle name="dp*NumberLine 2 4 2 3 6" xfId="41119"/>
    <cellStyle name="dp*NumberLineEPS 2 4 2 3 6" xfId="41120"/>
    <cellStyle name="dp*SheetSubTitle 2 4 2 3 6" xfId="41121"/>
    <cellStyle name="dp*SubTitle 2 4 2 3 6" xfId="41122"/>
    <cellStyle name="dp*ThinLineBelow 2 4 2 3 6" xfId="41123"/>
    <cellStyle name="Heading [Helv] 2 4 2 3 6" xfId="41124"/>
    <cellStyle name="Heading [Palat] 2 4 2 3 6" xfId="41125"/>
    <cellStyle name="Magic 2 4 2 3 6" xfId="41126"/>
    <cellStyle name="Outputs 2 4 2 3 6" xfId="41127"/>
    <cellStyle name="PB Table Standard Row 2 4 2 3 6" xfId="41128"/>
    <cellStyle name="P-Green Rule 2 4 2 3 6" xfId="41129"/>
    <cellStyle name="Style 44 3 4 2 3 6" xfId="41130"/>
    <cellStyle name="Style 45 3 4 2 3 6" xfId="41131"/>
    <cellStyle name="Style 49 3 4 2 3 6" xfId="41132"/>
    <cellStyle name="Style 51 3 4 2 3 6" xfId="41133"/>
    <cellStyle name="Style 44 2 4 2 3 6" xfId="41134"/>
    <cellStyle name="Style 45 2 4 2 3 6" xfId="41135"/>
    <cellStyle name="Style 49 2 4 2 3 6" xfId="41136"/>
    <cellStyle name="Style 51 2 4 2 3 6" xfId="41137"/>
    <cellStyle name="Table Head Aligned 2 4 2 3 6" xfId="41138"/>
    <cellStyle name="Table Head Green 2 4 2 3 6" xfId="41139"/>
    <cellStyle name="Title [Helv] 2 4 2 3 6" xfId="41140"/>
    <cellStyle name="Title [Palat] 2 4 2 3 6" xfId="41141"/>
    <cellStyle name="ac 4 2 3 6" xfId="41142"/>
    <cellStyle name="Bold/Border 4 2 3 6" xfId="41143"/>
    <cellStyle name="Border Thin 5 2 3 6" xfId="41144"/>
    <cellStyle name="COL HEADINGS 4 2 3 6" xfId="41145"/>
    <cellStyle name="Date [mm-d-yyyy] 5 2 3 6" xfId="41146"/>
    <cellStyle name="Heading [Helv] 4 2 3 6" xfId="41147"/>
    <cellStyle name="Heading [Palat] 4 2 3 6" xfId="41148"/>
    <cellStyle name="Outputs 4 2 3 6" xfId="41149"/>
    <cellStyle name="PB Table Standard Row 5 2 3 6" xfId="41150"/>
    <cellStyle name="P-Green Rule 5 2 3 6" xfId="41151"/>
    <cellStyle name="Style 44 6 2 3 6" xfId="41152"/>
    <cellStyle name="Style 45 6 2 3 6" xfId="41153"/>
    <cellStyle name="Style 49 6 2 3 6" xfId="41154"/>
    <cellStyle name="Style 51 6 2 3 6" xfId="41155"/>
    <cellStyle name="Table Head Green 4 2 3 6" xfId="41156"/>
    <cellStyle name="Afjusted 6 2 3 6" xfId="41157"/>
    <cellStyle name="ac 2 5 2 3 6" xfId="41158"/>
    <cellStyle name="Afjusted 2 4 2 3 6" xfId="41159"/>
    <cellStyle name="Bold/Border 2 5 2 3 6" xfId="41160"/>
    <cellStyle name="Border Thin 2 5 2 3 6" xfId="41161"/>
    <cellStyle name="COL HEADINGS 2 5 2 3 6" xfId="41162"/>
    <cellStyle name="Date [mmm-yyyy] 2 5 2 3 6" xfId="41163"/>
    <cellStyle name="dp*NumberLine 2 5 2 3 6" xfId="41164"/>
    <cellStyle name="dp*NumberLineEPS 2 5 2 3 6" xfId="41165"/>
    <cellStyle name="dp*SheetSubTitle 2 5 2 3 6" xfId="41166"/>
    <cellStyle name="dp*SubTitle 2 5 2 3 6" xfId="41167"/>
    <cellStyle name="dp*ThinLineBelow 2 5 2 3 6" xfId="41168"/>
    <cellStyle name="Heading [Helv] 2 5 2 3 6" xfId="41169"/>
    <cellStyle name="Heading [Palat] 2 5 2 3 6" xfId="41170"/>
    <cellStyle name="Magic 2 5 2 3 6" xfId="41171"/>
    <cellStyle name="Outputs 2 5 2 3 6" xfId="41172"/>
    <cellStyle name="PB Table Standard Row 2 5 2 3 6" xfId="41173"/>
    <cellStyle name="P-Green Rule 2 5 2 3 6" xfId="41174"/>
    <cellStyle name="Style 44 3 5 2 3 6" xfId="41175"/>
    <cellStyle name="Style 45 3 5 2 3 6" xfId="41176"/>
    <cellStyle name="Style 49 3 5 2 3 6" xfId="41177"/>
    <cellStyle name="Style 51 3 5 2 3 6" xfId="41178"/>
    <cellStyle name="Style 44 2 5 2 3 6" xfId="41179"/>
    <cellStyle name="Style 45 2 5 2 3 6" xfId="41180"/>
    <cellStyle name="Style 49 2 5 2 3 6" xfId="41181"/>
    <cellStyle name="Style 51 2 5 2 3 6" xfId="41182"/>
    <cellStyle name="Table Head Aligned 2 5 2 3 6" xfId="41183"/>
    <cellStyle name="Table Head Green 2 5 2 3 6" xfId="41184"/>
    <cellStyle name="Title [Helv] 2 5 2 3 6" xfId="41185"/>
    <cellStyle name="Title [Palat] 2 5 2 3 6" xfId="41186"/>
    <cellStyle name="ac 5 2 3 6" xfId="41187"/>
    <cellStyle name="Bold/Border 5 2 3 6" xfId="41188"/>
    <cellStyle name="Border Thin 6 2 3 6" xfId="41189"/>
    <cellStyle name="COL HEADINGS 5 2 3 6" xfId="41190"/>
    <cellStyle name="Heading [Helv] 5 2 3 6" xfId="41191"/>
    <cellStyle name="Heading [Palat] 5 2 3 6" xfId="41192"/>
    <cellStyle name="Outputs 5 2 3 6" xfId="41193"/>
    <cellStyle name="PB Table Standard Row 6 2 3 6" xfId="41194"/>
    <cellStyle name="P-Green Rule 6 2 3 6" xfId="41195"/>
    <cellStyle name="Style 44 7 2 3 6" xfId="41196"/>
    <cellStyle name="Style 45 7 2 3 6" xfId="41197"/>
    <cellStyle name="Style 49 7 2 3 6" xfId="41198"/>
    <cellStyle name="Style 51 7 2 3 6" xfId="41199"/>
    <cellStyle name="Table Head Green 5 2 3 6" xfId="41200"/>
    <cellStyle name="Title [Palat] 4 2 3 6" xfId="41201"/>
    <cellStyle name="ac 2 6 2 3 6" xfId="41202"/>
    <cellStyle name="Bold/Border 2 6 2 3 6" xfId="41203"/>
    <cellStyle name="Border Thin 2 6 2 3 6" xfId="41204"/>
    <cellStyle name="COL HEADINGS 2 6 2 3 6" xfId="41205"/>
    <cellStyle name="Heading [Helv] 2 6 2 3 6" xfId="41206"/>
    <cellStyle name="Heading [Palat] 2 6 2 3 6" xfId="41207"/>
    <cellStyle name="Outputs 2 6 2 3 6" xfId="41208"/>
    <cellStyle name="PB Table Standard Row 2 6 2 3 6" xfId="41209"/>
    <cellStyle name="P-Green Rule 2 6 2 3 6" xfId="41210"/>
    <cellStyle name="Style 44 3 6 2 3 6" xfId="41211"/>
    <cellStyle name="Style 45 3 6 2 3 6" xfId="41212"/>
    <cellStyle name="Style 49 3 6 2 3 6" xfId="41213"/>
    <cellStyle name="Style 51 3 6 2 3 6" xfId="41214"/>
    <cellStyle name="Style 44 2 6 2 3 6" xfId="41215"/>
    <cellStyle name="Style 45 2 6 2 3 6" xfId="41216"/>
    <cellStyle name="Style 49 2 6 2 3 6" xfId="41217"/>
    <cellStyle name="Style 51 2 6 2 3 6" xfId="41218"/>
    <cellStyle name="Table Head Green 2 6 2 3 6" xfId="41219"/>
    <cellStyle name="Title [Palat] 2 6 2 3 6" xfId="41220"/>
    <cellStyle name="Title [Palat] 5 2 3 6" xfId="41221"/>
    <cellStyle name="Title [Helv] 4 2 3 6" xfId="41222"/>
    <cellStyle name="Table Head Green 6 2 3 6" xfId="41223"/>
    <cellStyle name="Table Head Aligned 4 2 3 6" xfId="41224"/>
    <cellStyle name="Style 51 9 2 3 6" xfId="41225"/>
    <cellStyle name="Style 49 9 2 3 6" xfId="41226"/>
    <cellStyle name="Style 45 9 2 3 6" xfId="41227"/>
    <cellStyle name="Style 44 9 2 3 6" xfId="41228"/>
    <cellStyle name="P-Green Rule 7 2 3 6" xfId="41229"/>
    <cellStyle name="PB Table Standard Row 7 2 3 6" xfId="41230"/>
    <cellStyle name="Outputs 6 2 3 6" xfId="41231"/>
    <cellStyle name="Magic 4 2 3 6" xfId="41232"/>
    <cellStyle name="Heading [Palat] 6 2 3 6" xfId="41233"/>
    <cellStyle name="Heading [Helv] 6 2 3 6" xfId="41234"/>
    <cellStyle name="dp*ThinLineBelow 5 2 3 6" xfId="41235"/>
    <cellStyle name="dp*SubTitle 5 2 3 6" xfId="41236"/>
    <cellStyle name="dp*SheetSubTitle 4 2 3 6" xfId="41237"/>
    <cellStyle name="dp*NumberLineEPS 4 2 3 6" xfId="41238"/>
    <cellStyle name="dp*NumberLine 4 2 3 6" xfId="41239"/>
    <cellStyle name="Date [mmm-yyyy] 4 2 3 6" xfId="41240"/>
    <cellStyle name="Date [mm-d-yyyy] 7 2 3 6" xfId="41241"/>
    <cellStyle name="COL HEADINGS 6 2 3 6" xfId="41242"/>
    <cellStyle name="Border Thin 7 2 3 6" xfId="41243"/>
    <cellStyle name="Bold/Border 6 2 3 6" xfId="41244"/>
    <cellStyle name="Afjusted 7 2 3 6" xfId="41245"/>
    <cellStyle name="ac 6 2 3 6" xfId="41246"/>
    <cellStyle name="Style 44 8 2 3 6" xfId="41247"/>
    <cellStyle name="Style 45 8 2 3 6" xfId="41248"/>
    <cellStyle name="Style 49 8 2 3 6" xfId="41249"/>
    <cellStyle name="Style 51 8 2 3 6" xfId="41250"/>
    <cellStyle name="Title [Palat] 6 2 3 6" xfId="41251"/>
    <cellStyle name="Title [Helv] 5 2 3 6" xfId="41252"/>
    <cellStyle name="Table Head Green 7 2 3 6" xfId="41253"/>
    <cellStyle name="Table Head Aligned 5 2 3 6" xfId="41254"/>
    <cellStyle name="Outputs 7 2 3 6" xfId="41255"/>
    <cellStyle name="Magic 5 2 3 6" xfId="41256"/>
    <cellStyle name="Heading [Palat] 7 2 3 6" xfId="41257"/>
    <cellStyle name="Heading [Helv] 7 2 3 6" xfId="41258"/>
    <cellStyle name="dp*SheetSubTitle 5 2 3 6" xfId="41259"/>
    <cellStyle name="dp*NumberLineEPS 5 2 3 6" xfId="41260"/>
    <cellStyle name="dp*NumberLine 5 2 3 6" xfId="41261"/>
    <cellStyle name="Date [mmm-yyyy] 5 2 3 6" xfId="41262"/>
    <cellStyle name="COL HEADINGS 7 2 3 6" xfId="41263"/>
    <cellStyle name="Bold/Border 7 2 3 6" xfId="41264"/>
    <cellStyle name="Afjusted 8 2 3 6" xfId="41265"/>
    <cellStyle name="ac 7 2 3 6" xfId="41266"/>
    <cellStyle name="Title [Palat] 7 2 3 6" xfId="41267"/>
    <cellStyle name="Title [Helv] 6 2 3 6" xfId="41268"/>
    <cellStyle name="Table Head Green 8 2 3 6" xfId="41269"/>
    <cellStyle name="Table Head Aligned 6 2 3 6" xfId="41270"/>
    <cellStyle name="Outputs 8 2 3 6" xfId="41271"/>
    <cellStyle name="Magic 6 2 3 6" xfId="41272"/>
    <cellStyle name="Heading [Palat] 8 2 3 6" xfId="41273"/>
    <cellStyle name="Heading [Helv] 8 2 3 6" xfId="41274"/>
    <cellStyle name="dp*SheetSubTitle 6 2 3 6" xfId="41275"/>
    <cellStyle name="dp*NumberLineEPS 6 2 3 6" xfId="41276"/>
    <cellStyle name="dp*NumberLine 6 2 3 6" xfId="41277"/>
    <cellStyle name="COL HEADINGS 8 2 3 6" xfId="41278"/>
    <cellStyle name="Bold/Border 8 2 3 6" xfId="41279"/>
    <cellStyle name="Afjusted 9 2 3 6" xfId="41280"/>
    <cellStyle name="ac 8 2 3 6" xfId="41281"/>
    <cellStyle name="Date [mmm-yyyy] 6 2 3 6" xfId="41282"/>
    <cellStyle name="Title [Palat] 8 2 3 6" xfId="41283"/>
    <cellStyle name="Title [Helv] 7 2 3 6" xfId="41284"/>
    <cellStyle name="Table Head Green 9 2 3 6" xfId="41285"/>
    <cellStyle name="Table Head Aligned 7 2 3 6" xfId="41286"/>
    <cellStyle name="Outputs 9 2 3 6" xfId="41287"/>
    <cellStyle name="Magic 7 2 3 6" xfId="41288"/>
    <cellStyle name="Heading [Palat] 9 2 3 6" xfId="41289"/>
    <cellStyle name="Heading [Helv] 9 2 3 6" xfId="41290"/>
    <cellStyle name="dp*SheetSubTitle 7 2 3 6" xfId="41291"/>
    <cellStyle name="dp*NumberLineEPS 7 2 3 6" xfId="41292"/>
    <cellStyle name="dp*NumberLine 7 2 3 6" xfId="41293"/>
    <cellStyle name="Date [mmm-yyyy] 7 2 3 6" xfId="41294"/>
    <cellStyle name="COL HEADINGS 9 2 3 6" xfId="41295"/>
    <cellStyle name="Bold/Border 9 2 3 6" xfId="41296"/>
    <cellStyle name="Afjusted 10 2 3 6" xfId="41297"/>
    <cellStyle name="ac 9 2 3 6" xfId="41298"/>
    <cellStyle name="FieldName 4 3 2" xfId="41299"/>
    <cellStyle name="WingdingsWhite 6 3 2" xfId="41300"/>
    <cellStyle name="WingdingsRed 6 3 2" xfId="41301"/>
    <cellStyle name="WingdingsBlack 6 3 2" xfId="41302"/>
    <cellStyle name="UNLOCKED 28 3 2" xfId="41303"/>
    <cellStyle name="Title [Palat] 5 8 2" xfId="41304"/>
    <cellStyle name="Title [Helv] 4 8 2" xfId="41305"/>
    <cellStyle name="Table Head Green 6 8 2" xfId="41306"/>
    <cellStyle name="Table Head Aligned 4 8 2" xfId="41307"/>
    <cellStyle name="SymbolBlue 6 3 2" xfId="41308"/>
    <cellStyle name="Style 53 6 3 2" xfId="41309"/>
    <cellStyle name="Style 52 6 3 2" xfId="41310"/>
    <cellStyle name="Style 51 9 6 2" xfId="41311"/>
    <cellStyle name="Style 50 6 3 2" xfId="41312"/>
    <cellStyle name="Style 49 9 6 2" xfId="41313"/>
    <cellStyle name="Style 48 6 3 2" xfId="41314"/>
    <cellStyle name="Style 45 9 6 2" xfId="41315"/>
    <cellStyle name="Style 44 9 6 2" xfId="41316"/>
    <cellStyle name="Style 43 6 3 2" xfId="41317"/>
    <cellStyle name="Style 42 6 3 2" xfId="41318"/>
    <cellStyle name="Style 40 6 3 2" xfId="41319"/>
    <cellStyle name="Style 37 6 3 2" xfId="41320"/>
    <cellStyle name="Style 36 6 3 2" xfId="41321"/>
    <cellStyle name="Style 35 6 3 2" xfId="41322"/>
    <cellStyle name="Style 28 4 3 2" xfId="41323"/>
    <cellStyle name="Style 27 4 3 2" xfId="41324"/>
    <cellStyle name="Style 24 4 3 2" xfId="41325"/>
    <cellStyle name="Style 26 4 3 2" xfId="41326"/>
    <cellStyle name="Style 25 4 3 2" xfId="41327"/>
    <cellStyle name="Style 22 6 3 2" xfId="41328"/>
    <cellStyle name="Style 21 6 3 2" xfId="41329"/>
    <cellStyle name="SSFixed2 3 3 2" xfId="41330"/>
    <cellStyle name="SSDfltPct0 3 3 2" xfId="41331"/>
    <cellStyle name="SSDfltPct 3 3 2" xfId="41332"/>
    <cellStyle name="SSDecs3 3 3 2" xfId="41333"/>
    <cellStyle name="SSComma2 3 3 2" xfId="41334"/>
    <cellStyle name="SSComma0 3 3 2" xfId="41335"/>
    <cellStyle name="SAPBEXundefined 3 3 2" xfId="41336"/>
    <cellStyle name="SAPBEXtitle 3 3 2" xfId="41337"/>
    <cellStyle name="SAPBEXstdItemX 5 3 2" xfId="41338"/>
    <cellStyle name="SAPBEXstdItem 3 3 2" xfId="41339"/>
    <cellStyle name="SAPBEXstdDataEmph 3 3 2" xfId="41340"/>
    <cellStyle name="SAPBEXstdData 3 3 2" xfId="41341"/>
    <cellStyle name="SAPBEXresItemX 5 3 2" xfId="41342"/>
    <cellStyle name="SAPBEXresItem 3 3 2" xfId="41343"/>
    <cellStyle name="SAPBEXresDataEmph 3 3 2" xfId="41344"/>
    <cellStyle name="SAPBEXresData 3 3 2" xfId="41345"/>
    <cellStyle name="SAPBEXHLevel3X 5 3 2" xfId="41346"/>
    <cellStyle name="SAPBEXHLevel3 5 3 2" xfId="41347"/>
    <cellStyle name="SAPBEXHLevel2X 5 3 2" xfId="41348"/>
    <cellStyle name="SAPBEXHLevel2 5 3 2" xfId="41349"/>
    <cellStyle name="SAPBEXHLevel1X 5 3 2" xfId="41350"/>
    <cellStyle name="SAPBEXHLevel1 5 3 2" xfId="41351"/>
    <cellStyle name="SAPBEXHLevel0X 5 3 2" xfId="41352"/>
    <cellStyle name="SAPBEXHLevel0 5 3 2" xfId="41353"/>
    <cellStyle name="SAPBEXformats 3 3 2" xfId="41354"/>
    <cellStyle name="SAPBEXexcGood3 3 3 2" xfId="41355"/>
    <cellStyle name="SAPBEXexcGood2 3 3 2" xfId="41356"/>
    <cellStyle name="SAPBEXexcGood1 3 3 2" xfId="41357"/>
    <cellStyle name="SAPBEXexcCritical6 3 3 2" xfId="41358"/>
    <cellStyle name="SAPBEXexcCritical5 3 3 2" xfId="41359"/>
    <cellStyle name="SAPBEXexcCritical4 3 3 2" xfId="41360"/>
    <cellStyle name="SAPBEXexcBad9 3 3 2" xfId="41361"/>
    <cellStyle name="SAPBEXexcBad8 3 3 2" xfId="41362"/>
    <cellStyle name="SAPBEXexcBad7 3 3 2" xfId="41363"/>
    <cellStyle name="SAPBEXaggItemX 5 3 2" xfId="41364"/>
    <cellStyle name="SAPBEXaggItem 3 3 2" xfId="41365"/>
    <cellStyle name="SAPBEXaggDataEmph 3 3 2" xfId="41366"/>
    <cellStyle name="SAPBEXaggData 3 3 2" xfId="41367"/>
    <cellStyle name="Arial6Bold 7 3 2" xfId="41368"/>
    <cellStyle name="Arial8Bold 7 3 2" xfId="41369"/>
    <cellStyle name="Arial8Italic 7 3 2" xfId="41370"/>
    <cellStyle name="ArialNormal 7 3 2" xfId="41371"/>
    <cellStyle name="Border 5 3 2" xfId="41372"/>
    <cellStyle name="P-Green Rule 7 6 2" xfId="41373"/>
    <cellStyle name="PB Table Standard Row 7 5 2" xfId="41374"/>
    <cellStyle name="Outputs 6 8 2" xfId="41375"/>
    <cellStyle name="dp*Number%ItalicsLineAbove 5 3 2" xfId="41376"/>
    <cellStyle name="dp*ThinLineAbove 5 3 2" xfId="41377"/>
    <cellStyle name="Draw lines around data in range 7 3 2" xfId="41378"/>
    <cellStyle name="Draw shadow and lines within range 7 3 2" xfId="41379"/>
    <cellStyle name="Millions 9 3 2" xfId="41380"/>
    <cellStyle name="Main 5 3 2" xfId="41381"/>
    <cellStyle name="Magic 4 8 2" xfId="41382"/>
    <cellStyle name="ItemTypeClass 6 3 2" xfId="41383"/>
    <cellStyle name="Format a row of totals 7 3 2" xfId="41384"/>
    <cellStyle name="Format text as bold, black on yellow 7 3 2" xfId="41385"/>
    <cellStyle name="Heading [Palat] 6 8 2" xfId="41386"/>
    <cellStyle name="Heading [Helv] 6 8 2" xfId="41387"/>
    <cellStyle name="Format text as bold, black on yellow 6 3 2" xfId="41388"/>
    <cellStyle name="Format a row of totals 6 3 2" xfId="41389"/>
    <cellStyle name="ItemTypeClass 7 3 2" xfId="41390"/>
    <cellStyle name="Main 6 3 2" xfId="41391"/>
    <cellStyle name="Draw shadow and lines within range 6 3 2" xfId="41392"/>
    <cellStyle name="Draw lines around data in range 6 3 2" xfId="41393"/>
    <cellStyle name="dp*ThinLineBelow 5 7 2" xfId="41394"/>
    <cellStyle name="dp*ThinLineAbove 4 3 2" xfId="41395"/>
    <cellStyle name="dp*SubTitle 5 6 2" xfId="41396"/>
    <cellStyle name="dp*SheetSubTitle 4 8 2" xfId="41397"/>
    <cellStyle name="dp*NumberLineEPS 4 8 2" xfId="41398"/>
    <cellStyle name="dp*NumberLine 4 8 2" xfId="41399"/>
    <cellStyle name="dp*Number%ItalicsLineAbove 4 3 2" xfId="41400"/>
    <cellStyle name="Millions 10 3 2" xfId="41401"/>
    <cellStyle name="DateYearWholeEstimate 6 3 2" xfId="41402"/>
    <cellStyle name="DateYearEstimate 6 3 2" xfId="41403"/>
    <cellStyle name="Date [mmm-yyyy] 4 8 2" xfId="41404"/>
    <cellStyle name="Date [mm-d-yyyy] 7 7 2" xfId="41405"/>
    <cellStyle name="COL HEADINGS 6 8 2" xfId="41406"/>
    <cellStyle name="Border Thin 7 6 2" xfId="41407"/>
    <cellStyle name="Border 4 3 2" xfId="41408"/>
    <cellStyle name="Bold/Border 6 8 2" xfId="41409"/>
    <cellStyle name="ArialNormal 6 3 2" xfId="41410"/>
    <cellStyle name="Arial8Italic 6 3 2" xfId="41411"/>
    <cellStyle name="Arial8Bold 6 3 2" xfId="41412"/>
    <cellStyle name="Arial6Bold 6 3 2" xfId="41413"/>
    <cellStyle name="Afjusted 7 8 2" xfId="41414"/>
    <cellStyle name="ac 6 8 2" xfId="41415"/>
    <cellStyle name="SAPBEXaggData 4 3 2" xfId="41416"/>
    <cellStyle name="SAPBEXaggDataEmph 4 3 2" xfId="41417"/>
    <cellStyle name="SAPBEXaggItem 4 3 2" xfId="41418"/>
    <cellStyle name="SAPBEXaggItemX 6 3 2" xfId="41419"/>
    <cellStyle name="SAPBEXexcBad7 4 3 2" xfId="41420"/>
    <cellStyle name="SAPBEXexcBad8 4 3 2" xfId="41421"/>
    <cellStyle name="SAPBEXexcBad9 4 3 2" xfId="41422"/>
    <cellStyle name="SAPBEXexcCritical4 4 3 2" xfId="41423"/>
    <cellStyle name="SAPBEXexcCritical5 4 3 2" xfId="41424"/>
    <cellStyle name="SAPBEXexcCritical6 4 3 2" xfId="41425"/>
    <cellStyle name="SAPBEXexcGood2 4 3 2" xfId="41426"/>
    <cellStyle name="SAPBEXexcGood1 4 3 2" xfId="41427"/>
    <cellStyle name="SAPBEXexcGood3 4 3 2" xfId="41428"/>
    <cellStyle name="SAPBEXformats 4 3 2" xfId="41429"/>
    <cellStyle name="SAPBEXHLevel0 6 3 2" xfId="41430"/>
    <cellStyle name="SAPBEXHLevel0X 6 3 2" xfId="41431"/>
    <cellStyle name="SAPBEXHLevel1 6 3 2" xfId="41432"/>
    <cellStyle name="SAPBEXHLevel1X 6 3 2" xfId="41433"/>
    <cellStyle name="SAPBEXHLevel2 6 3 2" xfId="41434"/>
    <cellStyle name="SAPBEXHLevel2X 6 3 2" xfId="41435"/>
    <cellStyle name="SAPBEXHLevel3 6 3 2" xfId="41436"/>
    <cellStyle name="SAPBEXHLevel3X 6 3 2" xfId="41437"/>
    <cellStyle name="SAPBEXresData 4 3 2" xfId="41438"/>
    <cellStyle name="SAPBEXresDataEmph 4 3 2" xfId="41439"/>
    <cellStyle name="SAPBEXresItem 4 3 2" xfId="41440"/>
    <cellStyle name="SAPBEXresItemX 6 3 2" xfId="41441"/>
    <cellStyle name="SAPBEXstdData 4 3 2" xfId="41442"/>
    <cellStyle name="SAPBEXstdDataEmph 4 3 2" xfId="41443"/>
    <cellStyle name="SAPBEXstdItem 4 3 2" xfId="41444"/>
    <cellStyle name="SAPBEXstdItemX 6 3 2" xfId="41445"/>
    <cellStyle name="SAPBEXtitle 4 3 2" xfId="41446"/>
    <cellStyle name="SAPBEXundefined 4 3 2" xfId="41447"/>
    <cellStyle name="Style 44 8 8 2" xfId="41448"/>
    <cellStyle name="Style 45 8 8 2" xfId="41449"/>
    <cellStyle name="Style 49 8 8 2" xfId="41450"/>
    <cellStyle name="Style 51 8 8 2" xfId="41451"/>
    <cellStyle name="SSComma0 4 3 2" xfId="41452"/>
    <cellStyle name="SSComma2 4 3 2" xfId="41453"/>
    <cellStyle name="SSDecs3 4 3 2" xfId="41454"/>
    <cellStyle name="SSDfltPct 4 3 2" xfId="41455"/>
    <cellStyle name="SSDfltPct0 4 3 2" xfId="41456"/>
    <cellStyle name="SSFixed2 4 3 2" xfId="41457"/>
    <cellStyle name="Style 22 7 3 2" xfId="41458"/>
    <cellStyle name="Style 24 5 3 2" xfId="41459"/>
    <cellStyle name="Style 25 5 3 2" xfId="41460"/>
    <cellStyle name="Style 26 5 3 2" xfId="41461"/>
    <cellStyle name="Style 27 5 3 2" xfId="41462"/>
    <cellStyle name="Style 28 5 3 2" xfId="41463"/>
    <cellStyle name="Style 35 7 3 2" xfId="41464"/>
    <cellStyle name="Style 36 7 3 2" xfId="41465"/>
    <cellStyle name="Style 37 7 3 2" xfId="41466"/>
    <cellStyle name="Style 40 7 3 2" xfId="41467"/>
    <cellStyle name="Style 42 7 3 2" xfId="41468"/>
    <cellStyle name="Style 43 7 3 2" xfId="41469"/>
    <cellStyle name="Style 48 7 3 2" xfId="41470"/>
    <cellStyle name="Style 50 7 3 2" xfId="41471"/>
    <cellStyle name="Style 52 7 3 2" xfId="41472"/>
    <cellStyle name="Style 53 7 3 2" xfId="41473"/>
    <cellStyle name="UNLOCKED 27 3 2" xfId="41474"/>
    <cellStyle name="SymbolBlue 7 3 2" xfId="41475"/>
    <cellStyle name="Style 21 7 3 2" xfId="41476"/>
    <cellStyle name="DateYearWholeEstimate 7 3 2" xfId="41477"/>
    <cellStyle name="DateYearEstimate 7 3 2" xfId="41478"/>
    <cellStyle name="UNLOCKED 29 3 2" xfId="41479"/>
    <cellStyle name="WingdingsBlack 7 3 2" xfId="41480"/>
    <cellStyle name="WingdingsRed 7 3 2" xfId="41481"/>
    <cellStyle name="WingdingsWhite 7 3 2" xfId="41482"/>
    <cellStyle name="UNLOCKED 31 3 2" xfId="41483"/>
    <cellStyle name="Title [Palat] 6 7 2" xfId="41484"/>
    <cellStyle name="Title [Helv] 5 7 2" xfId="41485"/>
    <cellStyle name="Table Head Green 7 7 2" xfId="41486"/>
    <cellStyle name="Table Head Aligned 5 7 2" xfId="41487"/>
    <cellStyle name="Outputs 7 7 2" xfId="41488"/>
    <cellStyle name="Millions 11 3 2" xfId="41489"/>
    <cellStyle name="Magic 5 7 2" xfId="41490"/>
    <cellStyle name="Heading [Palat] 7 7 2" xfId="41491"/>
    <cellStyle name="Heading [Helv] 7 7 2" xfId="41492"/>
    <cellStyle name="dp*SheetSubTitle 5 7 2" xfId="41493"/>
    <cellStyle name="dp*NumberLineEPS 5 7 2" xfId="41494"/>
    <cellStyle name="dp*NumberLine 5 7 2" xfId="41495"/>
    <cellStyle name="Date [mmm-yyyy] 5 7 2" xfId="41496"/>
    <cellStyle name="COL HEADINGS 7 7 2" xfId="41497"/>
    <cellStyle name="Bold/Border 7 7 2" xfId="41498"/>
    <cellStyle name="Afjusted 8 7 2" xfId="41499"/>
    <cellStyle name="ac 7 7 2" xfId="41500"/>
    <cellStyle name="UNLOCKED 30 3 2" xfId="41501"/>
    <cellStyle name="FieldName 5 3 2" xfId="41502"/>
    <cellStyle name="WingdingsWhite 8 3 2" xfId="41503"/>
    <cellStyle name="WingdingsRed 8 3 2" xfId="41504"/>
    <cellStyle name="WingdingsBlack 8 3 2" xfId="41505"/>
    <cellStyle name="UNLOCKED 33 3 2" xfId="41506"/>
    <cellStyle name="Title [Palat] 7 7 2" xfId="41507"/>
    <cellStyle name="Title [Helv] 6 7 2" xfId="41508"/>
    <cellStyle name="Table Head Green 8 7 2" xfId="41509"/>
    <cellStyle name="Table Head Aligned 6 7 2" xfId="41510"/>
    <cellStyle name="SymbolBlue 8 3 2" xfId="41511"/>
    <cellStyle name="Style 53 8 3 2" xfId="41512"/>
    <cellStyle name="Style 52 8 3 2" xfId="41513"/>
    <cellStyle name="Style 50 8 3 2" xfId="41514"/>
    <cellStyle name="Style 48 8 3 2" xfId="41515"/>
    <cellStyle name="Style 43 8 3 2" xfId="41516"/>
    <cellStyle name="Style 42 8 3 2" xfId="41517"/>
    <cellStyle name="Style 40 8 3 2" xfId="41518"/>
    <cellStyle name="Style 37 8 3 2" xfId="41519"/>
    <cellStyle name="Style 36 8 3 2" xfId="41520"/>
    <cellStyle name="Style 35 8 3 2" xfId="41521"/>
    <cellStyle name="Style 28 6 3 2" xfId="41522"/>
    <cellStyle name="Style 26 6 3 2" xfId="41523"/>
    <cellStyle name="Style 27 6 3 2" xfId="41524"/>
    <cellStyle name="Style 25 6 3 2" xfId="41525"/>
    <cellStyle name="Style 24 6 3 2" xfId="41526"/>
    <cellStyle name="Style 22 8 3 2" xfId="41527"/>
    <cellStyle name="Style 21 8 3 2" xfId="41528"/>
    <cellStyle name="SSFixed2 5 3 2" xfId="41529"/>
    <cellStyle name="SSDfltPct0 5 3 2" xfId="41530"/>
    <cellStyle name="SSDfltPct 5 3 2" xfId="41531"/>
    <cellStyle name="SSDecs3 5 3 2" xfId="41532"/>
    <cellStyle name="SSComma2 5 3 2" xfId="41533"/>
    <cellStyle name="SSComma0 5 3 2" xfId="41534"/>
    <cellStyle name="SAPBEXundefined 5 3 2" xfId="41535"/>
    <cellStyle name="SAPBEXtitle 5 3 2" xfId="41536"/>
    <cellStyle name="SAPBEXstdItemX 7 3 2" xfId="41537"/>
    <cellStyle name="SAPBEXstdItem 5 3 2" xfId="41538"/>
    <cellStyle name="SAPBEXstdDataEmph 5 3 2" xfId="41539"/>
    <cellStyle name="SAPBEXstdData 5 3 2" xfId="41540"/>
    <cellStyle name="SAPBEXresItemX 7 3 2" xfId="41541"/>
    <cellStyle name="SAPBEXresItem 5 3 2" xfId="41542"/>
    <cellStyle name="SAPBEXresDataEmph 5 3 2" xfId="41543"/>
    <cellStyle name="SAPBEXresData 5 3 2" xfId="41544"/>
    <cellStyle name="SAPBEXHLevel3X 7 3 2" xfId="41545"/>
    <cellStyle name="SAPBEXHLevel3 7 3 2" xfId="41546"/>
    <cellStyle name="SAPBEXHLevel2X 7 3 2" xfId="41547"/>
    <cellStyle name="SAPBEXHLevel2 7 3 2" xfId="41548"/>
    <cellStyle name="SAPBEXHLevel1X 7 3 2" xfId="41549"/>
    <cellStyle name="SAPBEXHLevel1 7 3 2" xfId="41550"/>
    <cellStyle name="SAPBEXHLevel0X 7 3 2" xfId="41551"/>
    <cellStyle name="SAPBEXHLevel0 7 3 2" xfId="41552"/>
    <cellStyle name="SAPBEXformats 5 3 2" xfId="41553"/>
    <cellStyle name="SAPBEXexcGood3 5 3 2" xfId="41554"/>
    <cellStyle name="SAPBEXexcGood2 5 3 2" xfId="41555"/>
    <cellStyle name="SAPBEXexcGood1 5 3 2" xfId="41556"/>
    <cellStyle name="SAPBEXexcCritical6 5 3 2" xfId="41557"/>
    <cellStyle name="SAPBEXexcCritical5 5 3 2" xfId="41558"/>
    <cellStyle name="SAPBEXexcCritical4 5 3 2" xfId="41559"/>
    <cellStyle name="SAPBEXexcBad9 5 3 2" xfId="41560"/>
    <cellStyle name="SAPBEXexcBad8 5 3 2" xfId="41561"/>
    <cellStyle name="SAPBEXexcBad7 5 3 2" xfId="41562"/>
    <cellStyle name="SAPBEXaggItemX 7 3 2" xfId="41563"/>
    <cellStyle name="SAPBEXaggItem 5 3 2" xfId="41564"/>
    <cellStyle name="SAPBEXaggDataEmph 5 3 2" xfId="41565"/>
    <cellStyle name="SAPBEXaggData 5 3 2" xfId="41566"/>
    <cellStyle name="Outputs 8 7 2" xfId="41567"/>
    <cellStyle name="Millions 12 3 2" xfId="41568"/>
    <cellStyle name="Main 7 3 2" xfId="41569"/>
    <cellStyle name="Magic 6 7 2" xfId="41570"/>
    <cellStyle name="ItemTypeClass 8 3 2" xfId="41571"/>
    <cellStyle name="Heading [Palat] 8 7 2" xfId="41572"/>
    <cellStyle name="Heading [Helv] 8 7 2" xfId="41573"/>
    <cellStyle name="Format text as bold, black on yellow 8 3 2" xfId="41574"/>
    <cellStyle name="Format a row of totals 8 3 2" xfId="41575"/>
    <cellStyle name="Draw shadow and lines within range 8 3 2" xfId="41576"/>
    <cellStyle name="Draw lines around data in range 8 3 2" xfId="41577"/>
    <cellStyle name="dp*ThinLineAbove 6 3 2" xfId="41578"/>
    <cellStyle name="dp*SheetSubTitle 6 7 2" xfId="41579"/>
    <cellStyle name="dp*NumberLineEPS 6 7 2" xfId="41580"/>
    <cellStyle name="dp*NumberLine 6 7 2" xfId="41581"/>
    <cellStyle name="dp*Number%ItalicsLineAbove 6 3 2" xfId="41582"/>
    <cellStyle name="DateYearWholeEstimate 8 3 2" xfId="41583"/>
    <cellStyle name="DateYearEstimate 8 3 2" xfId="41584"/>
    <cellStyle name="COL HEADINGS 8 7 2" xfId="41585"/>
    <cellStyle name="Border 6 3 2" xfId="41586"/>
    <cellStyle name="Bold/Border 8 7 2" xfId="41587"/>
    <cellStyle name="ArialNormal 8 3 2" xfId="41588"/>
    <cellStyle name="Arial8Italic 8 3 2" xfId="41589"/>
    <cellStyle name="Arial8Bold 8 3 2" xfId="41590"/>
    <cellStyle name="Arial6Bold 8 3 2" xfId="41591"/>
    <cellStyle name="Afjusted 9 7 2" xfId="41592"/>
    <cellStyle name="ac 8 7 2" xfId="41593"/>
    <cellStyle name="UNLOCKED 32 3 2" xfId="41594"/>
    <cellStyle name="Date [mmm-yyyy] 6 7 2" xfId="41595"/>
    <cellStyle name="UNLOCKED 35 3 2" xfId="41596"/>
    <cellStyle name="Title [Palat] 8 7 2" xfId="41597"/>
    <cellStyle name="Title [Helv] 7 7 2" xfId="41598"/>
    <cellStyle name="Table Head Green 9 7 2" xfId="41599"/>
    <cellStyle name="Table Head Aligned 7 7 2" xfId="41600"/>
    <cellStyle name="Outputs 9 7 2" xfId="41601"/>
    <cellStyle name="Millions 13 3 2" xfId="41602"/>
    <cellStyle name="Magic 7 7 2" xfId="41603"/>
    <cellStyle name="Heading [Palat] 9 7 2" xfId="41604"/>
    <cellStyle name="Heading [Helv] 9 7 2" xfId="41605"/>
    <cellStyle name="dp*SheetSubTitle 7 7 2" xfId="41606"/>
    <cellStyle name="dp*NumberLineEPS 7 7 2" xfId="41607"/>
    <cellStyle name="dp*NumberLine 7 7 2" xfId="41608"/>
    <cellStyle name="Date [mmm-yyyy] 7 7 2" xfId="41609"/>
    <cellStyle name="COL HEADINGS 9 7 2" xfId="41610"/>
    <cellStyle name="Bold/Border 9 7 2" xfId="41611"/>
    <cellStyle name="Afjusted 10 7 2" xfId="41612"/>
    <cellStyle name="ac 9 7 2" xfId="41613"/>
    <cellStyle name="UNLOCKED 34 3 2" xfId="41614"/>
    <cellStyle name="Afjusted 3 6 7 2" xfId="41615"/>
    <cellStyle name="ac 2 7 7 2" xfId="41616"/>
    <cellStyle name="Afjusted 2 5 7 2" xfId="41617"/>
    <cellStyle name="Bold/Border 2 7 7 2" xfId="41618"/>
    <cellStyle name="COL HEADINGS 2 7 7 2" xfId="41619"/>
    <cellStyle name="Date [mmm-yyyy] 2 6 7 2" xfId="41620"/>
    <cellStyle name="dp*NumberLine 2 6 7 2" xfId="41621"/>
    <cellStyle name="dp*NumberLineEPS 2 6 7 2" xfId="41622"/>
    <cellStyle name="dp*SheetSubTitle 2 6 7 2" xfId="41623"/>
    <cellStyle name="Heading [Helv] 2 7 7 2" xfId="41624"/>
    <cellStyle name="Heading [Palat] 2 7 7 2" xfId="41625"/>
    <cellStyle name="Magic 2 6 7 2" xfId="41626"/>
    <cellStyle name="Outputs 2 7 7 2" xfId="41627"/>
    <cellStyle name="Table Head Aligned 2 6 7 2" xfId="41628"/>
    <cellStyle name="Table Head Green 2 7 7 2" xfId="41629"/>
    <cellStyle name="Title [Helv] 2 6 7 2" xfId="41630"/>
    <cellStyle name="Title [Palat] 2 7 7 2" xfId="41631"/>
    <cellStyle name="Date [mm-d-yyyy] 3 6 7 2" xfId="41632"/>
    <cellStyle name="Style 51 4 6 7 2" xfId="41633"/>
    <cellStyle name="Style 49 4 6 7 2" xfId="41634"/>
    <cellStyle name="Style 45 4 6 7 2" xfId="41635"/>
    <cellStyle name="Style 44 4 6 7 2" xfId="41636"/>
    <cellStyle name="P-Green Rule 3 6 7 2" xfId="41637"/>
    <cellStyle name="PB Table Standard Row 3 6 7 2" xfId="41638"/>
    <cellStyle name="dp*ThinLineBelow 3 6 7 2" xfId="41639"/>
    <cellStyle name="dp*SubTitle 3 6 7 2" xfId="41640"/>
    <cellStyle name="Border Thin 3 6 7 2" xfId="41641"/>
    <cellStyle name="Afjusted 4 6 7 2" xfId="41642"/>
    <cellStyle name="ac 2 2 5 7 2" xfId="41643"/>
    <cellStyle name="Afjusted 2 2 6 7 2" xfId="41644"/>
    <cellStyle name="Bold/Border 2 2 5 7 2" xfId="41645"/>
    <cellStyle name="COL HEADINGS 2 2 5 7 2" xfId="41646"/>
    <cellStyle name="Date [mmm-yyyy] 2 2 5 7 2" xfId="41647"/>
    <cellStyle name="dp*NumberLine 2 2 5 7 2" xfId="41648"/>
    <cellStyle name="dp*NumberLineEPS 2 2 5 7 2" xfId="41649"/>
    <cellStyle name="dp*SheetSubTitle 2 2 5 7 2" xfId="41650"/>
    <cellStyle name="Heading [Helv] 2 2 5 7 2" xfId="41651"/>
    <cellStyle name="Heading [Palat] 2 2 5 7 2" xfId="41652"/>
    <cellStyle name="Magic 2 2 5 7 2" xfId="41653"/>
    <cellStyle name="Outputs 2 2 5 7 2" xfId="41654"/>
    <cellStyle name="Table Head Aligned 2 2 5 7 2" xfId="41655"/>
    <cellStyle name="Table Head Green 2 2 5 7 2" xfId="41656"/>
    <cellStyle name="Title [Helv] 2 2 5 7 2" xfId="41657"/>
    <cellStyle name="Title [Palat] 2 2 5 7 2" xfId="41658"/>
    <cellStyle name="dp*SubTitle 2 2 2 7 2" xfId="41659"/>
    <cellStyle name="Border Thin 2 2 2 7 2" xfId="41660"/>
    <cellStyle name="Bold/Border 2 2 3 4 2 7 2" xfId="41661"/>
    <cellStyle name="Magic 2 2 3 4 2 7 2" xfId="41662"/>
    <cellStyle name="Title [Helv] 2 2 3 4 2 7 2" xfId="41663"/>
    <cellStyle name="Style 51 2 2 2 7 2" xfId="41664"/>
    <cellStyle name="Style 45 2 2 2 7 2" xfId="41665"/>
    <cellStyle name="Style 49 2 2 2 7 2" xfId="41666"/>
    <cellStyle name="Style 44 2 2 2 7 2" xfId="41667"/>
    <cellStyle name="Style 51 3 2 2 7 2" xfId="41668"/>
    <cellStyle name="Style 49 3 2 2 7 2" xfId="41669"/>
    <cellStyle name="Style 45 3 2 2 7 2" xfId="41670"/>
    <cellStyle name="Style 44 3 2 2 7 2" xfId="41671"/>
    <cellStyle name="P-Green Rule 2 2 2 7 2" xfId="41672"/>
    <cellStyle name="PB Table Standard Row 2 2 2 7 2" xfId="41673"/>
    <cellStyle name="dp*ThinLineBelow 2 2 2 7 2" xfId="41674"/>
    <cellStyle name="dp*ThinLineBelow 2 3 2 7 2" xfId="41675"/>
    <cellStyle name="Style 44 3 3 2 7 2" xfId="41676"/>
    <cellStyle name="COL HEADINGS 2 2 3 4 2 7 2" xfId="41677"/>
    <cellStyle name="Style 49 4 3 4 2 7 2" xfId="41678"/>
    <cellStyle name="Afjusted 3 3 4 2 7 2" xfId="41679"/>
    <cellStyle name="Date [mm-d-yyyy] 3 3 4 2 7 2" xfId="41680"/>
    <cellStyle name="Afjusted 4 3 4 2 7 2" xfId="41681"/>
    <cellStyle name="ac 2 2 3 4 2 7 2" xfId="41682"/>
    <cellStyle name="Afjusted 2 2 3 4 2 7 2" xfId="41683"/>
    <cellStyle name="Date [mmm-yyyy] 2 2 3 4 2 7 2" xfId="41684"/>
    <cellStyle name="dp*NumberLine 2 2 3 4 2 7 2" xfId="41685"/>
    <cellStyle name="dp*NumberLineEPS 2 2 3 4 2 7 2" xfId="41686"/>
    <cellStyle name="dp*SheetSubTitle 2 2 3 4 2 7 2" xfId="41687"/>
    <cellStyle name="Heading [Helv] 2 2 3 4 2 7 2" xfId="41688"/>
    <cellStyle name="Outputs 2 2 3 4 2 7 2" xfId="41689"/>
    <cellStyle name="Table Head Aligned 2 2 3 4 2 7 2" xfId="41690"/>
    <cellStyle name="Title [Palat] 2 2 3 4 2 7 2" xfId="41691"/>
    <cellStyle name="Afjusted 3 5 2 7 2" xfId="41692"/>
    <cellStyle name="Style 45 3 3 2 7 2" xfId="41693"/>
    <cellStyle name="Style 51 3 3 2 7 2" xfId="41694"/>
    <cellStyle name="Style 44 2 3 2 7 2" xfId="41695"/>
    <cellStyle name="Style 45 2 3 2 7 2" xfId="41696"/>
    <cellStyle name="Style 49 2 3 2 7 2" xfId="41697"/>
    <cellStyle name="Border Thin 3 5 2 7 2" xfId="41698"/>
    <cellStyle name="ac 2 2 4 2 7 2" xfId="41699"/>
    <cellStyle name="Afjusted 2 2 5 2 7 2" xfId="41700"/>
    <cellStyle name="Bold/Border 2 2 4 2 7 2" xfId="41701"/>
    <cellStyle name="COL HEADINGS 2 2 4 2 7 2" xfId="41702"/>
    <cellStyle name="Date [mmm-yyyy] 2 2 4 2 7 2" xfId="41703"/>
    <cellStyle name="dp*NumberLine 2 2 4 2 7 2" xfId="41704"/>
    <cellStyle name="dp*NumberLineEPS 2 2 4 2 7 2" xfId="41705"/>
    <cellStyle name="dp*SheetSubTitle 2 2 4 2 7 2" xfId="41706"/>
    <cellStyle name="Heading [Palat] 2 2 4 2 7 2" xfId="41707"/>
    <cellStyle name="Outputs 2 2 4 2 7 2" xfId="41708"/>
    <cellStyle name="Magic 2 2 4 2 7 2" xfId="41709"/>
    <cellStyle name="Title [Helv] 2 2 4 2 7 2" xfId="41710"/>
    <cellStyle name="Title [Palat] 2 2 4 2 7 2" xfId="41711"/>
    <cellStyle name="Title [Palat] 2 2 3 3 2 7 2" xfId="41712"/>
    <cellStyle name="Title [Helv] 2 2 3 3 2 7 2" xfId="41713"/>
    <cellStyle name="Table Head Aligned 2 2 3 3 2 7 2" xfId="41714"/>
    <cellStyle name="Magic 2 2 3 3 2 7 2" xfId="41715"/>
    <cellStyle name="Heading [Helv] 2 2 3 3 2 7 2" xfId="41716"/>
    <cellStyle name="dp*NumberLineEPS 2 2 3 3 2 7 2" xfId="41717"/>
    <cellStyle name="COL HEADINGS 2 2 3 3 2 7 2" xfId="41718"/>
    <cellStyle name="ac 2 2 3 3 2 7 2" xfId="41719"/>
    <cellStyle name="Afjusted 4 3 3 2 7 2" xfId="41720"/>
    <cellStyle name="Border Thin 3 3 3 2 7 2" xfId="41721"/>
    <cellStyle name="PB Table Standard Row 3 3 3 2 7 2" xfId="41722"/>
    <cellStyle name="Style 44 4 3 3 2 7 2" xfId="41723"/>
    <cellStyle name="Style 51 4 3 3 2 7 2" xfId="41724"/>
    <cellStyle name="Afjusted 3 3 3 2 7 2" xfId="41725"/>
    <cellStyle name="Style 49 4 5 2 7 2" xfId="41726"/>
    <cellStyle name="Style 44 4 5 2 7 2" xfId="41727"/>
    <cellStyle name="P-Green Rule 3 5 2 7 2" xfId="41728"/>
    <cellStyle name="dp*SubTitle 3 5 2 7 2" xfId="41729"/>
    <cellStyle name="Afjusted 4 5 2 7 2" xfId="41730"/>
    <cellStyle name="ac 2 3 2 7 2" xfId="41731"/>
    <cellStyle name="Bold/Border 2 3 2 7 2" xfId="41732"/>
    <cellStyle name="COL HEADINGS 2 3 2 7 2" xfId="41733"/>
    <cellStyle name="Date [mmm-yyyy] 2 3 2 7 2" xfId="41734"/>
    <cellStyle name="dp*NumberLine 2 3 2 7 2" xfId="41735"/>
    <cellStyle name="dp*NumberLineEPS 2 3 2 7 2" xfId="41736"/>
    <cellStyle name="dp*SheetSubTitle 2 3 2 7 2" xfId="41737"/>
    <cellStyle name="Heading [Helv] 2 3 2 7 2" xfId="41738"/>
    <cellStyle name="Heading [Palat] 2 3 2 7 2" xfId="41739"/>
    <cellStyle name="Magic 2 3 2 7 2" xfId="41740"/>
    <cellStyle name="Outputs 2 3 2 7 2" xfId="41741"/>
    <cellStyle name="Date [mmm-yyyy] 2 2 3 3 2 7 2" xfId="41742"/>
    <cellStyle name="Afjusted 2 2 3 3 2 7 2" xfId="41743"/>
    <cellStyle name="dp*ThinLineBelow 3 3 3 2 7 2" xfId="41744"/>
    <cellStyle name="Style 49 4 3 3 2 7 2" xfId="41745"/>
    <cellStyle name="Outputs 2 2 3 3 2 7 2" xfId="41746"/>
    <cellStyle name="dp*NumberLine 2 2 3 3 2 7 2" xfId="41747"/>
    <cellStyle name="Bold/Border 2 2 3 3 2 7 2" xfId="41748"/>
    <cellStyle name="dp*SubTitle 3 3 3 2 7 2" xfId="41749"/>
    <cellStyle name="Style 45 4 3 3 2 7 2" xfId="41750"/>
    <cellStyle name="Table Head Aligned 2 3 2 7 2" xfId="41751"/>
    <cellStyle name="Table Head Green 2 3 2 7 2" xfId="41752"/>
    <cellStyle name="Title [Helv] 2 3 2 7 2" xfId="41753"/>
    <cellStyle name="Title [Palat] 2 3 2 7 2" xfId="41754"/>
    <cellStyle name="Style 45 4 3 4 2 7 2" xfId="41755"/>
    <cellStyle name="Style 51 4 3 4 2 7 2" xfId="41756"/>
    <cellStyle name="Afjusted 3 4 2 7 2" xfId="41757"/>
    <cellStyle name="P-Green Rule 3 3 4 2 7 2" xfId="41758"/>
    <cellStyle name="Border Thin 2 3 2 7 2" xfId="41759"/>
    <cellStyle name="Style 49 3 3 2 7 2" xfId="41760"/>
    <cellStyle name="Style 51 2 3 2 7 2" xfId="41761"/>
    <cellStyle name="Heading [Helv] 2 2 4 2 7 2" xfId="41762"/>
    <cellStyle name="Table Head Aligned 2 2 4 2 7 2" xfId="41763"/>
    <cellStyle name="Table Head Green 2 2 4 2 7 2" xfId="41764"/>
    <cellStyle name="Table Head Green 2 2 3 3 2 7 2" xfId="41765"/>
    <cellStyle name="Heading [Palat] 2 2 3 3 2 7 2" xfId="41766"/>
    <cellStyle name="dp*SheetSubTitle 2 2 3 3 2 7 2" xfId="41767"/>
    <cellStyle name="P-Green Rule 3 3 3 2 7 2" xfId="41768"/>
    <cellStyle name="Date [mm-d-yyyy] 3 3 3 2 7 2" xfId="41769"/>
    <cellStyle name="Date [mm-d-yyyy] 3 4 2 7 2" xfId="41770"/>
    <cellStyle name="Style 51 4 4 2 7 2" xfId="41771"/>
    <cellStyle name="Style 49 4 4 2 7 2" xfId="41772"/>
    <cellStyle name="Style 45 4 4 2 7 2" xfId="41773"/>
    <cellStyle name="Style 44 4 4 2 7 2" xfId="41774"/>
    <cellStyle name="dp*ThinLineBelow 3 3 4 2 7 2" xfId="41775"/>
    <cellStyle name="P-Green Rule 3 4 2 7 2" xfId="41776"/>
    <cellStyle name="PB Table Standard Row 3 4 2 5 2" xfId="41777"/>
    <cellStyle name="dp*ThinLineBelow 3 4 2 7 2" xfId="41778"/>
    <cellStyle name="dp*SubTitle 3 4 2 6 2" xfId="41779"/>
    <cellStyle name="dp*SubTitle 3 3 4 2 7 2" xfId="41780"/>
    <cellStyle name="Border Thin 3 4 2 6 2" xfId="41781"/>
    <cellStyle name="Border Thin 3 3 4 2 7 2" xfId="41782"/>
    <cellStyle name="Afjusted 4 4 2 7 2" xfId="41783"/>
    <cellStyle name="Afjusted 2 2 4 2 7 2" xfId="41784"/>
    <cellStyle name="Style 44 4 3 4 2 7 2" xfId="41785"/>
    <cellStyle name="PB Table Standard Row 3 3 4 2 7 2" xfId="41786"/>
    <cellStyle name="Title [Palat] 2 2 3 5 7 2" xfId="41787"/>
    <cellStyle name="Title [Helv] 2 2 3 5 7 2" xfId="41788"/>
    <cellStyle name="Table Head Green 2 2 3 5 7 2" xfId="41789"/>
    <cellStyle name="Table Head Aligned 2 2 3 5 7 2" xfId="41790"/>
    <cellStyle name="Outputs 2 2 3 5 7 2" xfId="41791"/>
    <cellStyle name="Magic 2 2 3 5 7 2" xfId="41792"/>
    <cellStyle name="Heading [Palat] 2 2 3 5 7 2" xfId="41793"/>
    <cellStyle name="Heading [Helv] 2 2 3 5 7 2" xfId="41794"/>
    <cellStyle name="dp*SheetSubTitle 2 2 3 5 7 2" xfId="41795"/>
    <cellStyle name="dp*NumberLineEPS 2 2 3 5 7 2" xfId="41796"/>
    <cellStyle name="dp*NumberLine 2 2 3 5 7 2" xfId="41797"/>
    <cellStyle name="Date [mmm-yyyy] 2 2 3 5 7 2" xfId="41798"/>
    <cellStyle name="COL HEADINGS 2 2 3 5 7 2" xfId="41799"/>
    <cellStyle name="Bold/Border 2 2 3 5 7 2" xfId="41800"/>
    <cellStyle name="Afjusted 2 2 3 5 7 2" xfId="41801"/>
    <cellStyle name="ac 2 2 3 5 7 2" xfId="41802"/>
    <cellStyle name="Afjusted 4 3 5 7 2" xfId="41803"/>
    <cellStyle name="Border Thin 3 3 5 7 2" xfId="41804"/>
    <cellStyle name="dp*SubTitle 3 3 5 7 2" xfId="41805"/>
    <cellStyle name="dp*ThinLineBelow 3 3 5 7 2" xfId="41806"/>
    <cellStyle name="PB Table Standard Row 3 3 5 7 2" xfId="41807"/>
    <cellStyle name="P-Green Rule 3 3 5 7 2" xfId="41808"/>
    <cellStyle name="Style 44 4 3 5 7 2" xfId="41809"/>
    <cellStyle name="Style 45 4 3 5 7 2" xfId="41810"/>
    <cellStyle name="Style 49 4 3 5 7 2" xfId="41811"/>
    <cellStyle name="Style 51 4 3 5 7 2" xfId="41812"/>
    <cellStyle name="Date [mm-d-yyyy] 3 3 5 7 2" xfId="41813"/>
    <cellStyle name="Afjusted 3 3 5 7 2" xfId="41814"/>
    <cellStyle name="Date [mm-d-yyyy] 2 2 4 7 2" xfId="41815"/>
    <cellStyle name="Afjusted 3 2 5 7 2" xfId="41816"/>
    <cellStyle name="Date [mm-d-yyyy] 3 2 5 7 2" xfId="41817"/>
    <cellStyle name="Style 51 4 2 5 7 2" xfId="41818"/>
    <cellStyle name="Style 49 4 2 5 7 2" xfId="41819"/>
    <cellStyle name="Style 45 4 2 5 7 2" xfId="41820"/>
    <cellStyle name="Style 44 4 2 5 7 2" xfId="41821"/>
    <cellStyle name="P-Green Rule 3 2 5 7 2" xfId="41822"/>
    <cellStyle name="PB Table Standard Row 3 2 5 5 2" xfId="41823"/>
    <cellStyle name="dp*ThinLineBelow 3 2 5 7 2" xfId="41824"/>
    <cellStyle name="dp*SubTitle 3 2 5 7 2" xfId="41825"/>
    <cellStyle name="Border Thin 3 2 5 7 2" xfId="41826"/>
    <cellStyle name="Afjusted 4 2 5 7 2" xfId="41827"/>
    <cellStyle name="ac 2 2 2 5 7 2" xfId="41828"/>
    <cellStyle name="Afjusted 2 2 2 5 7 2" xfId="41829"/>
    <cellStyle name="Bold/Border 2 2 2 5 7 2" xfId="41830"/>
    <cellStyle name="COL HEADINGS 2 2 2 5 7 2" xfId="41831"/>
    <cellStyle name="Date [mmm-yyyy] 2 2 2 5 7 2" xfId="41832"/>
    <cellStyle name="dp*NumberLine 2 2 2 5 7 2" xfId="41833"/>
    <cellStyle name="dp*NumberLineEPS 2 2 2 5 7 2" xfId="41834"/>
    <cellStyle name="dp*SheetSubTitle 2 2 2 5 7 2" xfId="41835"/>
    <cellStyle name="Heading [Helv] 2 2 2 5 7 2" xfId="41836"/>
    <cellStyle name="Heading [Palat] 2 2 2 5 7 2" xfId="41837"/>
    <cellStyle name="Magic 2 2 2 5 7 2" xfId="41838"/>
    <cellStyle name="Outputs 2 2 2 5 7 2" xfId="41839"/>
    <cellStyle name="Table Head Aligned 2 2 2 5 7 2" xfId="41840"/>
    <cellStyle name="Table Head Green 2 2 2 5 7 2" xfId="41841"/>
    <cellStyle name="Title [Helv] 2 2 2 5 7 2" xfId="41842"/>
    <cellStyle name="Title [Palat] 2 2 2 5 7 2" xfId="41843"/>
    <cellStyle name="Table Head Green 2 2 3 4 2 7 2" xfId="41844"/>
    <cellStyle name="Heading [Palat] 2 2 3 4 2 7 2" xfId="41845"/>
    <cellStyle name="PB Table Standard Row 2 3 2 7 2" xfId="41846"/>
    <cellStyle name="P-Green Rule 2 3 2 7 2" xfId="41847"/>
    <cellStyle name="Title [Palat] 2 2 3 2 2 7 2" xfId="41848"/>
    <cellStyle name="Title [Helv] 2 2 3 2 2 7 2" xfId="41849"/>
    <cellStyle name="Table Head Green 2 2 3 2 2 7 2" xfId="41850"/>
    <cellStyle name="Table Head Aligned 2 2 3 2 2 7 2" xfId="41851"/>
    <cellStyle name="Outputs 2 2 3 2 2 7 2" xfId="41852"/>
    <cellStyle name="Magic 2 2 3 2 2 7 2" xfId="41853"/>
    <cellStyle name="Heading [Palat] 2 2 3 2 2 7 2" xfId="41854"/>
    <cellStyle name="Heading [Helv] 2 2 3 2 2 7 2" xfId="41855"/>
    <cellStyle name="dp*SheetSubTitle 2 2 3 2 2 7 2" xfId="41856"/>
    <cellStyle name="dp*NumberLineEPS 2 2 3 2 2 7 2" xfId="41857"/>
    <cellStyle name="dp*NumberLine 2 2 3 2 2 7 2" xfId="41858"/>
    <cellStyle name="Date [mmm-yyyy] 2 2 3 2 2 7 2" xfId="41859"/>
    <cellStyle name="COL HEADINGS 2 2 3 2 2 7 2" xfId="41860"/>
    <cellStyle name="Bold/Border 2 2 3 2 2 7 2" xfId="41861"/>
    <cellStyle name="Afjusted 2 2 3 2 2 7 2" xfId="41862"/>
    <cellStyle name="ac 2 2 3 2 2 7 2" xfId="41863"/>
    <cellStyle name="Afjusted 4 3 2 2 7 2" xfId="41864"/>
    <cellStyle name="Border Thin 3 3 2 2 7 2" xfId="41865"/>
    <cellStyle name="dp*SubTitle 3 3 2 2 7 2" xfId="41866"/>
    <cellStyle name="dp*ThinLineBelow 3 3 2 2 7 2" xfId="41867"/>
    <cellStyle name="PB Table Standard Row 3 3 2 2 7 2" xfId="41868"/>
    <cellStyle name="P-Green Rule 3 3 2 2 7 2" xfId="41869"/>
    <cellStyle name="Style 44 4 3 2 2 7 2" xfId="41870"/>
    <cellStyle name="Style 45 4 3 2 2 7 2" xfId="41871"/>
    <cellStyle name="Style 49 4 3 2 2 7 2" xfId="41872"/>
    <cellStyle name="Style 51 4 3 2 2 7 2" xfId="41873"/>
    <cellStyle name="Date [mm-d-yyyy] 3 3 2 2 7 2" xfId="41874"/>
    <cellStyle name="Afjusted 3 3 2 2 7 2" xfId="41875"/>
    <cellStyle name="Date [mm-d-yyyy] 3 5 2 7 2" xfId="41876"/>
    <cellStyle name="dp*SubTitle 2 3 2 7 2" xfId="41877"/>
    <cellStyle name="Date [mm-d-yyyy] 2 2 2 2 7 2" xfId="41878"/>
    <cellStyle name="Afjusted 3 2 2 2 7 2" xfId="41879"/>
    <cellStyle name="PB Table Standard Row 3 5 2 7 2" xfId="41880"/>
    <cellStyle name="Date [mm-d-yyyy] 3 2 2 2 7 2" xfId="41881"/>
    <cellStyle name="Style 51 4 2 2 2 7 2" xfId="41882"/>
    <cellStyle name="Style 49 4 2 2 2 7 2" xfId="41883"/>
    <cellStyle name="Style 45 4 2 2 2 7 2" xfId="41884"/>
    <cellStyle name="Style 44 4 2 2 2 7 2" xfId="41885"/>
    <cellStyle name="Style 45 4 5 2 7 2" xfId="41886"/>
    <cellStyle name="P-Green Rule 3 2 2 2 7 2" xfId="41887"/>
    <cellStyle name="PB Table Standard Row 3 2 2 2 7 2" xfId="41888"/>
    <cellStyle name="dp*ThinLineBelow 3 2 2 2 7 2" xfId="41889"/>
    <cellStyle name="dp*SubTitle 3 2 2 2 7 2" xfId="41890"/>
    <cellStyle name="Style 51 4 5 2 7 2" xfId="41891"/>
    <cellStyle name="Border Thin 3 2 2 2 7 2" xfId="41892"/>
    <cellStyle name="Afjusted 4 2 2 2 7 2" xfId="41893"/>
    <cellStyle name="ac 2 2 2 2 2 7 2" xfId="41894"/>
    <cellStyle name="Afjusted 2 2 2 2 2 7 2" xfId="41895"/>
    <cellStyle name="Bold/Border 2 2 2 2 2 7 2" xfId="41896"/>
    <cellStyle name="COL HEADINGS 2 2 2 2 2 7 2" xfId="41897"/>
    <cellStyle name="Date [mmm-yyyy] 2 2 2 2 2 7 2" xfId="41898"/>
    <cellStyle name="dp*NumberLine 2 2 2 2 2 7 2" xfId="41899"/>
    <cellStyle name="dp*NumberLineEPS 2 2 2 2 2 7 2" xfId="41900"/>
    <cellStyle name="dp*SheetSubTitle 2 2 2 2 2 7 2" xfId="41901"/>
    <cellStyle name="Heading [Helv] 2 2 2 2 2 7 2" xfId="41902"/>
    <cellStyle name="Heading [Palat] 2 2 2 2 2 7 2" xfId="41903"/>
    <cellStyle name="Magic 2 2 2 2 2 7 2" xfId="41904"/>
    <cellStyle name="Outputs 2 2 2 2 2 7 2" xfId="41905"/>
    <cellStyle name="Table Head Aligned 2 2 2 2 2 7 2" xfId="41906"/>
    <cellStyle name="Table Head Green 2 2 2 2 2 7 2" xfId="41907"/>
    <cellStyle name="Title [Helv] 2 2 2 2 2 7 2" xfId="41908"/>
    <cellStyle name="Title [Palat] 2 2 2 2 2 7 2" xfId="41909"/>
    <cellStyle name="dp*ThinLineBelow 3 5 2 7 2" xfId="41910"/>
    <cellStyle name="Date [mm-d-yyyy] 2 2 3 2 7 2" xfId="41911"/>
    <cellStyle name="Afjusted 3 2 3 2 7 2" xfId="41912"/>
    <cellStyle name="Date [mm-d-yyyy] 3 2 3 2 7 2" xfId="41913"/>
    <cellStyle name="Style 51 4 2 3 2 7 2" xfId="41914"/>
    <cellStyle name="Style 49 4 2 3 2 7 2" xfId="41915"/>
    <cellStyle name="Style 45 4 2 3 2 7 2" xfId="41916"/>
    <cellStyle name="Style 44 4 2 3 2 7 2" xfId="41917"/>
    <cellStyle name="P-Green Rule 3 2 3 2 7 2" xfId="41918"/>
    <cellStyle name="PB Table Standard Row 3 2 3 2 7 2" xfId="41919"/>
    <cellStyle name="dp*ThinLineBelow 3 2 3 2 7 2" xfId="41920"/>
    <cellStyle name="dp*SubTitle 3 2 3 2 7 2" xfId="41921"/>
    <cellStyle name="Border Thin 3 2 3 2 7 2" xfId="41922"/>
    <cellStyle name="Afjusted 4 2 3 2 7 2" xfId="41923"/>
    <cellStyle name="ac 2 2 2 3 2 7 2" xfId="41924"/>
    <cellStyle name="Afjusted 2 2 2 3 2 7 2" xfId="41925"/>
    <cellStyle name="Bold/Border 2 2 2 3 2 7 2" xfId="41926"/>
    <cellStyle name="COL HEADINGS 2 2 2 3 2 7 2" xfId="41927"/>
    <cellStyle name="Date [mmm-yyyy] 2 2 2 3 2 7 2" xfId="41928"/>
    <cellStyle name="dp*NumberLine 2 2 2 3 2 7 2" xfId="41929"/>
    <cellStyle name="dp*NumberLineEPS 2 2 2 3 2 7 2" xfId="41930"/>
    <cellStyle name="dp*SheetSubTitle 2 2 2 3 2 7 2" xfId="41931"/>
    <cellStyle name="Heading [Helv] 2 2 2 3 2 7 2" xfId="41932"/>
    <cellStyle name="Heading [Palat] 2 2 2 3 2 7 2" xfId="41933"/>
    <cellStyle name="Magic 2 2 2 3 2 7 2" xfId="41934"/>
    <cellStyle name="Outputs 2 2 2 3 2 7 2" xfId="41935"/>
    <cellStyle name="Table Head Aligned 2 2 2 3 2 7 2" xfId="41936"/>
    <cellStyle name="Table Head Green 2 2 2 3 2 7 2" xfId="41937"/>
    <cellStyle name="Title [Helv] 2 2 2 3 2 7 2" xfId="41938"/>
    <cellStyle name="Title [Palat] 2 2 2 3 2 7 2" xfId="41939"/>
    <cellStyle name="Afjusted 3 2 4 2 7 2" xfId="41940"/>
    <cellStyle name="Date [mm-d-yyyy] 3 2 4 2 7 2" xfId="41941"/>
    <cellStyle name="Style 51 4 2 4 2 7 2" xfId="41942"/>
    <cellStyle name="Style 49 4 2 4 2 7 2" xfId="41943"/>
    <cellStyle name="Style 45 4 2 4 2 7 2" xfId="41944"/>
    <cellStyle name="Style 44 4 2 4 2 7 2" xfId="41945"/>
    <cellStyle name="P-Green Rule 3 2 4 2 7 2" xfId="41946"/>
    <cellStyle name="PB Table Standard Row 3 2 4 2 7 2" xfId="41947"/>
    <cellStyle name="dp*ThinLineBelow 3 2 4 2 7 2" xfId="41948"/>
    <cellStyle name="dp*SubTitle 3 2 4 2 7 2" xfId="41949"/>
    <cellStyle name="Border Thin 3 2 4 2 7 2" xfId="41950"/>
    <cellStyle name="Afjusted 4 2 4 2 7 2" xfId="41951"/>
    <cellStyle name="ac 2 2 2 4 2 7 2" xfId="41952"/>
    <cellStyle name="Afjusted 2 2 2 4 2 7 2" xfId="41953"/>
    <cellStyle name="Bold/Border 2 2 2 4 2 7 2" xfId="41954"/>
    <cellStyle name="COL HEADINGS 2 2 2 4 2 7 2" xfId="41955"/>
    <cellStyle name="Date [mmm-yyyy] 2 2 2 4 2 7 2" xfId="41956"/>
    <cellStyle name="dp*NumberLine 2 2 2 4 2 7 2" xfId="41957"/>
    <cellStyle name="dp*NumberLineEPS 2 2 2 4 2 7 2" xfId="41958"/>
    <cellStyle name="dp*SheetSubTitle 2 2 2 4 2 7 2" xfId="41959"/>
    <cellStyle name="Heading [Helv] 2 2 2 4 2 7 2" xfId="41960"/>
    <cellStyle name="Heading [Palat] 2 2 2 4 2 7 2" xfId="41961"/>
    <cellStyle name="Magic 2 2 2 4 2 7 2" xfId="41962"/>
    <cellStyle name="Outputs 2 2 2 4 2 7 2" xfId="41963"/>
    <cellStyle name="Table Head Aligned 2 2 2 4 2 7 2" xfId="41964"/>
    <cellStyle name="Table Head Green 2 2 2 4 2 7 2" xfId="41965"/>
    <cellStyle name="Title [Helv] 2 2 2 4 2 7 2" xfId="41966"/>
    <cellStyle name="Title [Palat] 2 2 2 4 2 7 2" xfId="41967"/>
    <cellStyle name="Border Thin 4 2 7 2" xfId="41968"/>
    <cellStyle name="Date [mm-d-yyyy] 4 2 7 2" xfId="41969"/>
    <cellStyle name="dp*SubTitle 4 2 7 2" xfId="41970"/>
    <cellStyle name="dp*ThinLineBelow 4 2 7 2" xfId="41971"/>
    <cellStyle name="PB Table Standard Row 4 2 7 2" xfId="41972"/>
    <cellStyle name="P-Green Rule 4 2 7 2" xfId="41973"/>
    <cellStyle name="Style 44 5 2 7 2" xfId="41974"/>
    <cellStyle name="Style 45 5 2 7 2" xfId="41975"/>
    <cellStyle name="Style 49 5 2 7 2" xfId="41976"/>
    <cellStyle name="Style 51 5 2 7 2" xfId="41977"/>
    <cellStyle name="Title [Palat] 3 2 7 2" xfId="41978"/>
    <cellStyle name="Title [Helv] 3 2 7 2" xfId="41979"/>
    <cellStyle name="Table Head Green 3 2 7 2" xfId="41980"/>
    <cellStyle name="Table Head Aligned 3 2 7 2" xfId="41981"/>
    <cellStyle name="Outputs 3 2 7 2" xfId="41982"/>
    <cellStyle name="Magic 3 2 7 2" xfId="41983"/>
    <cellStyle name="Heading [Palat] 3 2 7 2" xfId="41984"/>
    <cellStyle name="Heading [Helv] 3 2 7 2" xfId="41985"/>
    <cellStyle name="dp*SheetSubTitle 3 2 7 2" xfId="41986"/>
    <cellStyle name="dp*NumberLineEPS 3 2 7 2" xfId="41987"/>
    <cellStyle name="dp*NumberLine 3 2 7 2" xfId="41988"/>
    <cellStyle name="COL HEADINGS 3 2 7 2" xfId="41989"/>
    <cellStyle name="Bold/Border 3 2 7 2" xfId="41990"/>
    <cellStyle name="Afjusted 5 2 7 2" xfId="41991"/>
    <cellStyle name="ac 3 2 7 2" xfId="41992"/>
    <cellStyle name="Date [mmm-yyyy] 3 2 7 2" xfId="41993"/>
    <cellStyle name="ac 2 4 2 7 2" xfId="41994"/>
    <cellStyle name="Afjusted 2 3 2 7 2" xfId="41995"/>
    <cellStyle name="Bold/Border 2 4 2 7 2" xfId="41996"/>
    <cellStyle name="Border Thin 2 4 2 7 2" xfId="41997"/>
    <cellStyle name="COL HEADINGS 2 4 2 7 2" xfId="41998"/>
    <cellStyle name="Date [mmm-yyyy] 2 4 2 7 2" xfId="41999"/>
    <cellStyle name="dp*NumberLine 2 4 2 7 2" xfId="42000"/>
    <cellStyle name="dp*NumberLineEPS 2 4 2 7 2" xfId="42001"/>
    <cellStyle name="dp*SheetSubTitle 2 4 2 7 2" xfId="42002"/>
    <cellStyle name="dp*SubTitle 2 4 2 7 2" xfId="42003"/>
    <cellStyle name="dp*ThinLineBelow 2 4 2 7 2" xfId="42004"/>
    <cellStyle name="Heading [Helv] 2 4 2 7 2" xfId="42005"/>
    <cellStyle name="Heading [Palat] 2 4 2 7 2" xfId="42006"/>
    <cellStyle name="Magic 2 4 2 7 2" xfId="42007"/>
    <cellStyle name="Outputs 2 4 2 7 2" xfId="42008"/>
    <cellStyle name="PB Table Standard Row 2 4 2 7 2" xfId="42009"/>
    <cellStyle name="P-Green Rule 2 4 2 7 2" xfId="42010"/>
    <cellStyle name="Style 44 3 4 2 7 2" xfId="42011"/>
    <cellStyle name="Style 45 3 4 2 7 2" xfId="42012"/>
    <cellStyle name="Style 49 3 4 2 7 2" xfId="42013"/>
    <cellStyle name="Style 51 3 4 2 7 2" xfId="42014"/>
    <cellStyle name="Style 44 2 4 2 7 2" xfId="42015"/>
    <cellStyle name="Style 45 2 4 2 7 2" xfId="42016"/>
    <cellStyle name="Style 49 2 4 2 7 2" xfId="42017"/>
    <cellStyle name="Style 51 2 4 2 7 2" xfId="42018"/>
    <cellStyle name="Table Head Aligned 2 4 2 7 2" xfId="42019"/>
    <cellStyle name="Table Head Green 2 4 2 7 2" xfId="42020"/>
    <cellStyle name="Title [Helv] 2 4 2 7 2" xfId="42021"/>
    <cellStyle name="Title [Palat] 2 4 2 7 2" xfId="42022"/>
    <cellStyle name="ac 4 2 7 2" xfId="42023"/>
    <cellStyle name="Bold/Border 4 2 7 2" xfId="42024"/>
    <cellStyle name="Border Thin 5 2 7 2" xfId="42025"/>
    <cellStyle name="COL HEADINGS 4 2 7 2" xfId="42026"/>
    <cellStyle name="Date [mm-d-yyyy] 5 2 7 2" xfId="42027"/>
    <cellStyle name="Heading [Helv] 4 2 7 2" xfId="42028"/>
    <cellStyle name="Heading [Palat] 4 2 7 2" xfId="42029"/>
    <cellStyle name="Outputs 4 2 7 2" xfId="42030"/>
    <cellStyle name="PB Table Standard Row 5 2 7 2" xfId="42031"/>
    <cellStyle name="P-Green Rule 5 2 7 2" xfId="42032"/>
    <cellStyle name="Style 44 6 2 7 2" xfId="42033"/>
    <cellStyle name="Style 45 6 2 7 2" xfId="42034"/>
    <cellStyle name="Style 49 6 2 7 2" xfId="42035"/>
    <cellStyle name="Style 51 6 2 7 2" xfId="42036"/>
    <cellStyle name="Table Head Green 4 2 7 2" xfId="42037"/>
    <cellStyle name="Afjusted 6 2 7 2" xfId="42038"/>
    <cellStyle name="ac 2 5 2 7 2" xfId="42039"/>
    <cellStyle name="Afjusted 2 4 2 7 2" xfId="42040"/>
    <cellStyle name="Bold/Border 2 5 2 7 2" xfId="42041"/>
    <cellStyle name="Border Thin 2 5 2 7 2" xfId="42042"/>
    <cellStyle name="COL HEADINGS 2 5 2 7 2" xfId="42043"/>
    <cellStyle name="Date [mmm-yyyy] 2 5 2 7 2" xfId="42044"/>
    <cellStyle name="dp*NumberLine 2 5 2 7 2" xfId="42045"/>
    <cellStyle name="dp*NumberLineEPS 2 5 2 7 2" xfId="42046"/>
    <cellStyle name="dp*SheetSubTitle 2 5 2 7 2" xfId="42047"/>
    <cellStyle name="dp*SubTitle 2 5 2 7 2" xfId="42048"/>
    <cellStyle name="dp*ThinLineBelow 2 5 2 7 2" xfId="42049"/>
    <cellStyle name="Heading [Helv] 2 5 2 7 2" xfId="42050"/>
    <cellStyle name="Heading [Palat] 2 5 2 7 2" xfId="42051"/>
    <cellStyle name="Magic 2 5 2 7 2" xfId="42052"/>
    <cellStyle name="Outputs 2 5 2 7 2" xfId="42053"/>
    <cellStyle name="PB Table Standard Row 2 5 2 7 2" xfId="42054"/>
    <cellStyle name="P-Green Rule 2 5 2 7 2" xfId="42055"/>
    <cellStyle name="Style 44 3 5 2 7 2" xfId="42056"/>
    <cellStyle name="Style 45 3 5 2 7 2" xfId="42057"/>
    <cellStyle name="Style 49 3 5 2 7 2" xfId="42058"/>
    <cellStyle name="Style 51 3 5 2 7 2" xfId="42059"/>
    <cellStyle name="Style 44 2 5 2 7 2" xfId="42060"/>
    <cellStyle name="Style 45 2 5 2 7 2" xfId="42061"/>
    <cellStyle name="Style 49 2 5 2 7 2" xfId="42062"/>
    <cellStyle name="Style 51 2 5 2 7 2" xfId="42063"/>
    <cellStyle name="Table Head Aligned 2 5 2 7 2" xfId="42064"/>
    <cellStyle name="Table Head Green 2 5 2 7 2" xfId="42065"/>
    <cellStyle name="Title [Helv] 2 5 2 7 2" xfId="42066"/>
    <cellStyle name="Title [Palat] 2 5 2 7 2" xfId="42067"/>
    <cellStyle name="ac 5 2 7 2" xfId="42068"/>
    <cellStyle name="Bold/Border 5 2 7 2" xfId="42069"/>
    <cellStyle name="Border Thin 6 2 7 2" xfId="42070"/>
    <cellStyle name="COL HEADINGS 5 2 7 2" xfId="42071"/>
    <cellStyle name="Heading [Helv] 5 2 7 2" xfId="42072"/>
    <cellStyle name="Heading [Palat] 5 2 7 2" xfId="42073"/>
    <cellStyle name="Outputs 5 2 7 2" xfId="42074"/>
    <cellStyle name="PB Table Standard Row 6 2 7 2" xfId="42075"/>
    <cellStyle name="P-Green Rule 6 2 7 2" xfId="42076"/>
    <cellStyle name="Style 44 7 2 7 2" xfId="42077"/>
    <cellStyle name="Style 45 7 2 7 2" xfId="42078"/>
    <cellStyle name="Style 49 7 2 7 2" xfId="42079"/>
    <cellStyle name="Style 51 7 2 7 2" xfId="42080"/>
    <cellStyle name="Table Head Green 5 2 7 2" xfId="42081"/>
    <cellStyle name="Title [Palat] 4 2 7 2" xfId="42082"/>
    <cellStyle name="ac 2 6 2 7 2" xfId="42083"/>
    <cellStyle name="Bold/Border 2 6 2 7 2" xfId="42084"/>
    <cellStyle name="Border Thin 2 6 2 7 2" xfId="42085"/>
    <cellStyle name="COL HEADINGS 2 6 2 7 2" xfId="42086"/>
    <cellStyle name="Heading [Helv] 2 6 2 7 2" xfId="42087"/>
    <cellStyle name="Heading [Palat] 2 6 2 7 2" xfId="42088"/>
    <cellStyle name="Outputs 2 6 2 7 2" xfId="42089"/>
    <cellStyle name="PB Table Standard Row 2 6 2 7 2" xfId="42090"/>
    <cellStyle name="P-Green Rule 2 6 2 7 2" xfId="42091"/>
    <cellStyle name="Style 44 3 6 2 7 2" xfId="42092"/>
    <cellStyle name="Style 45 3 6 2 7 2" xfId="42093"/>
    <cellStyle name="Style 49 3 6 2 7 2" xfId="42094"/>
    <cellStyle name="Style 51 3 6 2 7 2" xfId="42095"/>
    <cellStyle name="Style 44 2 6 2 7 2" xfId="42096"/>
    <cellStyle name="Style 45 2 6 2 7 2" xfId="42097"/>
    <cellStyle name="Style 49 2 6 2 7 2" xfId="42098"/>
    <cellStyle name="Style 51 2 6 2 7 2" xfId="42099"/>
    <cellStyle name="Table Head Green 2 6 2 7 2" xfId="42100"/>
    <cellStyle name="Title [Palat] 2 6 2 7 2" xfId="42101"/>
    <cellStyle name="Title [Palat] 5 2 7 2" xfId="42102"/>
    <cellStyle name="Title [Helv] 4 2 7 2" xfId="42103"/>
    <cellStyle name="Table Head Green 6 2 7 2" xfId="42104"/>
    <cellStyle name="Table Head Aligned 4 2 7 2" xfId="42105"/>
    <cellStyle name="Style 51 9 2 7 2" xfId="42106"/>
    <cellStyle name="Style 49 9 2 7 2" xfId="42107"/>
    <cellStyle name="Style 45 9 2 7 2" xfId="42108"/>
    <cellStyle name="Style 44 9 2 7 2" xfId="42109"/>
    <cellStyle name="P-Green Rule 7 2 7 2" xfId="42110"/>
    <cellStyle name="PB Table Standard Row 7 2 7 2" xfId="42111"/>
    <cellStyle name="Outputs 6 2 7 2" xfId="42112"/>
    <cellStyle name="Magic 4 2 7 2" xfId="42113"/>
    <cellStyle name="Heading [Palat] 6 2 7 2" xfId="42114"/>
    <cellStyle name="Heading [Helv] 6 2 7 2" xfId="42115"/>
    <cellStyle name="dp*ThinLineBelow 5 2 7 2" xfId="42116"/>
    <cellStyle name="dp*SubTitle 5 2 7 2" xfId="42117"/>
    <cellStyle name="dp*SheetSubTitle 4 2 7 2" xfId="42118"/>
    <cellStyle name="dp*NumberLineEPS 4 2 7 2" xfId="42119"/>
    <cellStyle name="dp*NumberLine 4 2 7 2" xfId="42120"/>
    <cellStyle name="Date [mmm-yyyy] 4 2 7 2" xfId="42121"/>
    <cellStyle name="Date [mm-d-yyyy] 7 2 7 2" xfId="42122"/>
    <cellStyle name="COL HEADINGS 6 2 7 2" xfId="42123"/>
    <cellStyle name="Border Thin 7 2 7 2" xfId="42124"/>
    <cellStyle name="Bold/Border 6 2 7 2" xfId="42125"/>
    <cellStyle name="Afjusted 7 2 7 2" xfId="42126"/>
    <cellStyle name="ac 6 2 7 2" xfId="42127"/>
    <cellStyle name="Style 44 8 2 7 2" xfId="42128"/>
    <cellStyle name="Style 45 8 2 7 2" xfId="42129"/>
    <cellStyle name="Style 49 8 2 7 2" xfId="42130"/>
    <cellStyle name="Style 51 8 2 7 2" xfId="42131"/>
    <cellStyle name="Title [Palat] 6 2 7 2" xfId="42132"/>
    <cellStyle name="Title [Helv] 5 2 7 2" xfId="42133"/>
    <cellStyle name="Table Head Green 7 2 7 2" xfId="42134"/>
    <cellStyle name="Table Head Aligned 5 2 7 2" xfId="42135"/>
    <cellStyle name="Outputs 7 2 7 2" xfId="42136"/>
    <cellStyle name="Magic 5 2 7 2" xfId="42137"/>
    <cellStyle name="Heading [Palat] 7 2 7 2" xfId="42138"/>
    <cellStyle name="Heading [Helv] 7 2 7 2" xfId="42139"/>
    <cellStyle name="dp*SheetSubTitle 5 2 7 2" xfId="42140"/>
    <cellStyle name="dp*NumberLineEPS 5 2 7 2" xfId="42141"/>
    <cellStyle name="dp*NumberLine 5 2 7 2" xfId="42142"/>
    <cellStyle name="Date [mmm-yyyy] 5 2 7 2" xfId="42143"/>
    <cellStyle name="COL HEADINGS 7 2 7 2" xfId="42144"/>
    <cellStyle name="Bold/Border 7 2 7 2" xfId="42145"/>
    <cellStyle name="Afjusted 8 2 7 2" xfId="42146"/>
    <cellStyle name="ac 7 2 7 2" xfId="42147"/>
    <cellStyle name="Title [Palat] 7 2 7 2" xfId="42148"/>
    <cellStyle name="Title [Helv] 6 2 7 2" xfId="42149"/>
    <cellStyle name="Table Head Green 8 2 7 2" xfId="42150"/>
    <cellStyle name="Table Head Aligned 6 2 7 2" xfId="42151"/>
    <cellStyle name="Outputs 8 2 7 2" xfId="42152"/>
    <cellStyle name="Magic 6 2 7 2" xfId="42153"/>
    <cellStyle name="Heading [Palat] 8 2 7 2" xfId="42154"/>
    <cellStyle name="Heading [Helv] 8 2 7 2" xfId="42155"/>
    <cellStyle name="dp*SheetSubTitle 6 2 7 2" xfId="42156"/>
    <cellStyle name="dp*NumberLineEPS 6 2 7 2" xfId="42157"/>
    <cellStyle name="dp*NumberLine 6 2 7 2" xfId="42158"/>
    <cellStyle name="COL HEADINGS 8 2 7 2" xfId="42159"/>
    <cellStyle name="Bold/Border 8 2 7 2" xfId="42160"/>
    <cellStyle name="Afjusted 9 2 7 2" xfId="42161"/>
    <cellStyle name="ac 8 2 7 2" xfId="42162"/>
    <cellStyle name="Date [mmm-yyyy] 6 2 7 2" xfId="42163"/>
    <cellStyle name="Title [Palat] 8 2 7 2" xfId="42164"/>
    <cellStyle name="Title [Helv] 7 2 7 2" xfId="42165"/>
    <cellStyle name="Table Head Green 9 2 7 2" xfId="42166"/>
    <cellStyle name="Table Head Aligned 7 2 7 2" xfId="42167"/>
    <cellStyle name="Outputs 9 2 7 2" xfId="42168"/>
    <cellStyle name="Magic 7 2 7 2" xfId="42169"/>
    <cellStyle name="Heading [Palat] 9 2 7 2" xfId="42170"/>
    <cellStyle name="Heading [Helv] 9 2 7 2" xfId="42171"/>
    <cellStyle name="dp*SheetSubTitle 7 2 7 2" xfId="42172"/>
    <cellStyle name="dp*NumberLineEPS 7 2 7 2" xfId="42173"/>
    <cellStyle name="dp*NumberLine 7 2 7 2" xfId="42174"/>
    <cellStyle name="Date [mmm-yyyy] 7 2 7 2" xfId="42175"/>
    <cellStyle name="COL HEADINGS 9 2 7 2" xfId="42176"/>
    <cellStyle name="Bold/Border 9 2 7 2" xfId="42177"/>
    <cellStyle name="Afjusted 10 2 7 2" xfId="42178"/>
    <cellStyle name="ac 9 2 7 2" xfId="42179"/>
    <cellStyle name="Afjusted 3 8 4 2" xfId="42180"/>
    <cellStyle name="Bold/Border 2 2 2 2 4 4 2" xfId="42181"/>
    <cellStyle name="Outputs 2 9 4 2" xfId="42182"/>
    <cellStyle name="Table Head Green 2 2 3 2 4 4 2" xfId="42183"/>
    <cellStyle name="Title [Palat] 2 2 3 8 2 3" xfId="42184"/>
    <cellStyle name="PB Table Standard Row 5 4 4 2" xfId="42185"/>
    <cellStyle name="Outputs 4 4 4 2" xfId="42186"/>
    <cellStyle name="Heading [Palat] 2 2 2 2 5 2 3" xfId="42187"/>
    <cellStyle name="Heading [Palat] 4 4 4 2" xfId="42188"/>
    <cellStyle name="Heading [Helv] 4 4 4 2" xfId="42189"/>
    <cellStyle name="COL HEADINGS 4 4 4 2" xfId="42190"/>
    <cellStyle name="Border Thin 5 4 4 2" xfId="42191"/>
    <cellStyle name="Title [Helv] 2 4 4 4 2" xfId="42192"/>
    <cellStyle name="Style 51 2 4 4 4 2" xfId="42193"/>
    <cellStyle name="ac 3 4 4 2" xfId="42194"/>
    <cellStyle name="Afjusted 5 4 4 2" xfId="42195"/>
    <cellStyle name="COL HEADINGS 3 4 4 2" xfId="42196"/>
    <cellStyle name="Arial6Bold 9 3 2" xfId="42197"/>
    <cellStyle name="Arial8Bold 9 3 2" xfId="42198"/>
    <cellStyle name="Arial8Italic 9 3 2" xfId="42199"/>
    <cellStyle name="ArialNormal 9 3 2" xfId="42200"/>
    <cellStyle name="Table Head Green 3 4 4 2" xfId="42201"/>
    <cellStyle name="Border 7 3 2" xfId="42202"/>
    <cellStyle name="Style 51 5 4 4 2" xfId="42203"/>
    <cellStyle name="Style 49 5 4 4 2" xfId="42204"/>
    <cellStyle name="Style 45 5 4 4 2" xfId="42205"/>
    <cellStyle name="Style 44 5 4 4 2" xfId="42206"/>
    <cellStyle name="dp*ThinLineBelow 4 4 4 2" xfId="42207"/>
    <cellStyle name="Title [Helv] 2 2 2 4 4 4 2" xfId="42208"/>
    <cellStyle name="Outputs 2 2 2 4 4 4 2" xfId="42209"/>
    <cellStyle name="Magic 2 2 2 4 4 4 2" xfId="42210"/>
    <cellStyle name="dp*NumberLine 2 2 2 4 4 4 2" xfId="42211"/>
    <cellStyle name="Bold/Border 2 2 2 4 4 4 2" xfId="42212"/>
    <cellStyle name="Afjusted 2 2 2 4 4 4 2" xfId="42213"/>
    <cellStyle name="Border Thin 3 2 4 4 4 2" xfId="42214"/>
    <cellStyle name="dp*SubTitle 3 2 4 4 4 2" xfId="42215"/>
    <cellStyle name="Style 45 4 2 4 4 4 2" xfId="42216"/>
    <cellStyle name="Style 49 4 2 4 4 4 2" xfId="42217"/>
    <cellStyle name="Style 51 4 2 4 4 4 2" xfId="42218"/>
    <cellStyle name="Title [Palat] 2 2 2 3 4 4 2" xfId="42219"/>
    <cellStyle name="Title [Helv] 2 2 2 3 4 4 2" xfId="42220"/>
    <cellStyle name="Table Head Green 2 2 2 3 4 4 2" xfId="42221"/>
    <cellStyle name="Outputs 2 2 2 3 4 4 2" xfId="42222"/>
    <cellStyle name="Heading [Helv] 2 2 2 3 4 4 2" xfId="42223"/>
    <cellStyle name="dp*NumberLine 2 2 2 3 4 4 2" xfId="42224"/>
    <cellStyle name="Bold/Border 2 2 2 3 4 4 2" xfId="42225"/>
    <cellStyle name="Afjusted 4 2 3 4 4 2" xfId="42226"/>
    <cellStyle name="dp*ThinLineBelow 3 2 3 4 4 2" xfId="42227"/>
    <cellStyle name="Style 44 4 2 3 4 4 2" xfId="42228"/>
    <cellStyle name="Style 51 4 2 3 4 4 2" xfId="42229"/>
    <cellStyle name="Date [mm-d-yyyy] 2 2 3 4 4 2" xfId="42230"/>
    <cellStyle name="dp*ThinLineBelow 3 5 4 4 2" xfId="42231"/>
    <cellStyle name="Table Head Green 2 2 2 2 4 4 2" xfId="42232"/>
    <cellStyle name="Table Head Aligned 2 2 2 2 4 4 2" xfId="42233"/>
    <cellStyle name="Outputs 2 2 2 2 4 4 2" xfId="42234"/>
    <cellStyle name="Magic 2 2 2 2 4 4 2" xfId="42235"/>
    <cellStyle name="dp*ThinLineBelow 3 2 2 4 4 2" xfId="42236"/>
    <cellStyle name="dp*SubTitle 3 3 2 4 4 2" xfId="42237"/>
    <cellStyle name="Afjusted 2 2 3 2 4 4 2" xfId="42238"/>
    <cellStyle name="dp*NumberLineEPS 2 2 2 7 4 2" xfId="42239"/>
    <cellStyle name="dp*NumberLine 2 2 2 7 4 2" xfId="42240"/>
    <cellStyle name="Date [mmm-yyyy] 2 2 2 7 4 2" xfId="42241"/>
    <cellStyle name="COL HEADINGS 2 2 2 7 4 2" xfId="42242"/>
    <cellStyle name="ac 2 2 2 7 4 2" xfId="42243"/>
    <cellStyle name="Afjusted 4 2 7 4 2" xfId="42244"/>
    <cellStyle name="Date [mm-d-yyyy] 3 2 7 4 2" xfId="42245"/>
    <cellStyle name="Afjusted 3 3 7 4 2" xfId="42246"/>
    <cellStyle name="Style 49 4 3 7 4 2" xfId="42247"/>
    <cellStyle name="P-Green Rule 3 3 7 4 2" xfId="42248"/>
    <cellStyle name="dp*SubTitle 3 3 7 4 2" xfId="42249"/>
    <cellStyle name="Border Thin 3 3 7 4 2" xfId="42250"/>
    <cellStyle name="Afjusted 2 2 3 7 4 2" xfId="42251"/>
    <cellStyle name="Date [mmm-yyyy] 2 2 3 7 4 2" xfId="42252"/>
    <cellStyle name="dp*NumberLine 2 2 3 7 4 2" xfId="42253"/>
    <cellStyle name="dp*NumberLineEPS 2 2 3 7 4 2" xfId="42254"/>
    <cellStyle name="dp*SheetSubTitle 2 2 3 7 4 2" xfId="42255"/>
    <cellStyle name="Heading [Helv] 2 2 3 7 4 2" xfId="42256"/>
    <cellStyle name="Heading [Palat] 2 2 3 7 4 2" xfId="42257"/>
    <cellStyle name="Magic 2 2 3 7 4 2" xfId="42258"/>
    <cellStyle name="Outputs 2 2 3 7 4 2" xfId="42259"/>
    <cellStyle name="Table Head Aligned 2 2 3 7 4 2" xfId="42260"/>
    <cellStyle name="Table Head Green 2 2 3 7 4 2" xfId="42261"/>
    <cellStyle name="PB Table Standard Row 3 3 4 4 4 2" xfId="42262"/>
    <cellStyle name="DateYearEstimate 9 3 2" xfId="42263"/>
    <cellStyle name="DateYearWholeEstimate 9 3 2" xfId="42264"/>
    <cellStyle name="Style 44 4 3 4 4 4 2" xfId="42265"/>
    <cellStyle name="Afjusted 4 4 4 4 2" xfId="42266"/>
    <cellStyle name="dp*SubTitle 3 3 4 4 4 2" xfId="42267"/>
    <cellStyle name="dp*ThinLineBelow 3 3 4 4 4 2" xfId="42268"/>
    <cellStyle name="Style 44 4 4 4 4 2" xfId="42269"/>
    <cellStyle name="Style 51 4 4 4 4 2" xfId="42270"/>
    <cellStyle name="Date [mm-d-yyyy] 3 4 4 4 2" xfId="42271"/>
    <cellStyle name="Date [mm-d-yyyy] 3 3 3 4 4 2" xfId="42272"/>
    <cellStyle name="P-Green Rule 3 3 3 4 4 2" xfId="42273"/>
    <cellStyle name="dp*SheetSubTitle 2 2 3 3 4 4 2" xfId="42274"/>
    <cellStyle name="Heading [Palat] 2 2 3 3 4 4 2" xfId="42275"/>
    <cellStyle name="Table Head Green 2 2 3 3 4 4 2" xfId="42276"/>
    <cellStyle name="Table Head Green 2 2 4 4 4 2" xfId="42277"/>
    <cellStyle name="Table Head Aligned 2 2 4 4 4 2" xfId="42278"/>
    <cellStyle name="Heading [Helv] 2 2 4 4 4 2" xfId="42279"/>
    <cellStyle name="Style 51 2 3 4 4 2" xfId="42280"/>
    <cellStyle name="Style 49 3 3 4 4 2" xfId="42281"/>
    <cellStyle name="Border Thin 2 3 4 4 2" xfId="42282"/>
    <cellStyle name="P-Green Rule 3 3 4 4 4 2" xfId="42283"/>
    <cellStyle name="Afjusted 3 4 4 4 2" xfId="42284"/>
    <cellStyle name="Style 51 4 3 4 4 4 2" xfId="42285"/>
    <cellStyle name="Table Head Aligned 2 3 4 4 2" xfId="42286"/>
    <cellStyle name="Outputs 2 3 4 4 2" xfId="42287"/>
    <cellStyle name="Magic 2 3 4 4 2" xfId="42288"/>
    <cellStyle name="Heading [Palat] 2 3 4 4 2" xfId="42289"/>
    <cellStyle name="Heading [Helv] 2 3 4 4 2" xfId="42290"/>
    <cellStyle name="dp*SheetSubTitle 2 3 4 4 2" xfId="42291"/>
    <cellStyle name="dp*Number%ItalicsLineAbove 7 3 2" xfId="42292"/>
    <cellStyle name="dp*NumberLineEPS 2 3 4 4 2" xfId="42293"/>
    <cellStyle name="dp*SubTitle 3 5 4 4 2" xfId="42294"/>
    <cellStyle name="P-Green Rule 3 5 4 4 2" xfId="42295"/>
    <cellStyle name="dp*ThinLineAbove 7 3 2" xfId="42296"/>
    <cellStyle name="Style 44 4 5 4 4 2" xfId="42297"/>
    <cellStyle name="Style 49 4 5 4 4 2" xfId="42298"/>
    <cellStyle name="Afjusted 3 3 3 4 4 2" xfId="42299"/>
    <cellStyle name="Draw lines around data in range 9 3 2" xfId="42300"/>
    <cellStyle name="Draw shadow and lines within range 9 3 2" xfId="42301"/>
    <cellStyle name="Style 51 4 3 3 4 4 2" xfId="42302"/>
    <cellStyle name="Style 44 4 3 3 4 4 2" xfId="42303"/>
    <cellStyle name="Afjusted 4 3 3 4 4 2" xfId="42304"/>
    <cellStyle name="dp*NumberLineEPS 2 2 3 3 4 4 2" xfId="42305"/>
    <cellStyle name="Table Head Aligned 2 2 3 3 4 4 2" xfId="42306"/>
    <cellStyle name="Title [Helv] 2 2 3 3 4 4 2" xfId="42307"/>
    <cellStyle name="Title [Palat] 2 2 3 3 4 4 2" xfId="42308"/>
    <cellStyle name="Magic 2 2 4 4 4 2" xfId="42309"/>
    <cellStyle name="dp*SheetSubTitle 2 2 4 4 4 2" xfId="42310"/>
    <cellStyle name="dp*NumberLineEPS 2 2 4 4 4 2" xfId="42311"/>
    <cellStyle name="dp*NumberLine 2 2 4 4 4 2" xfId="42312"/>
    <cellStyle name="Date [mmm-yyyy] 2 2 4 4 4 2" xfId="42313"/>
    <cellStyle name="COL HEADINGS 2 2 4 4 4 2" xfId="42314"/>
    <cellStyle name="Bold/Border 2 2 4 4 4 2" xfId="42315"/>
    <cellStyle name="Outputs 2 2 3 4 4 4 2" xfId="42316"/>
    <cellStyle name="Heading [Helv] 2 2 3 4 4 4 2" xfId="42317"/>
    <cellStyle name="dp*NumberLine 2 2 3 4 4 4 2" xfId="42318"/>
    <cellStyle name="Date [mmm-yyyy] 2 2 3 4 4 4 2" xfId="42319"/>
    <cellStyle name="Afjusted 2 2 3 4 4 4 2" xfId="42320"/>
    <cellStyle name="Date [mm-d-yyyy] 3 3 4 4 4 2" xfId="42321"/>
    <cellStyle name="Style 49 4 3 4 4 4 2" xfId="42322"/>
    <cellStyle name="dp*ThinLineBelow 2 3 4 4 2" xfId="42323"/>
    <cellStyle name="PB Table Standard Row 2 2 4 4 2" xfId="42324"/>
    <cellStyle name="Style 45 3 2 4 4 2" xfId="42325"/>
    <cellStyle name="Style 44 2 2 4 4 2" xfId="42326"/>
    <cellStyle name="Style 51 2 2 4 4 2" xfId="42327"/>
    <cellStyle name="Format a row of totals 9 3 2" xfId="42328"/>
    <cellStyle name="Format text as bold, black on yellow 9 3 2" xfId="42329"/>
    <cellStyle name="Border Thin 2 2 4 4 2" xfId="42330"/>
    <cellStyle name="dp*SubTitle 2 2 4 4 2" xfId="42331"/>
    <cellStyle name="Title [Palat] 2 2 7 4 2" xfId="42332"/>
    <cellStyle name="Outputs 2 2 7 4 2" xfId="42333"/>
    <cellStyle name="Magic 2 2 7 4 2" xfId="42334"/>
    <cellStyle name="dp*NumberLineEPS 2 2 7 4 2" xfId="42335"/>
    <cellStyle name="Date [mmm-yyyy] 2 2 7 4 2" xfId="42336"/>
    <cellStyle name="ItemTypeClass 9 3 2" xfId="42337"/>
    <cellStyle name="Main 8 3 2" xfId="42338"/>
    <cellStyle name="Title [Helv] 2 8 4 2" xfId="42339"/>
    <cellStyle name="Table Head Green 2 9 4 2" xfId="42340"/>
    <cellStyle name="Table Head Aligned 2 8 4 2" xfId="42341"/>
    <cellStyle name="COL HEADINGS 7 6 3" xfId="42342"/>
    <cellStyle name="SAPBEXaggData 6 3 2" xfId="42343"/>
    <cellStyle name="SAPBEXaggDataEmph 6 3 2" xfId="42344"/>
    <cellStyle name="SAPBEXaggItem 6 3 2" xfId="42345"/>
    <cellStyle name="SAPBEXaggItemX 8 3 2" xfId="42346"/>
    <cellStyle name="SAPBEXexcBad7 6 3 2" xfId="42347"/>
    <cellStyle name="SAPBEXexcBad8 6 3 2" xfId="42348"/>
    <cellStyle name="SAPBEXexcBad9 6 3 2" xfId="42349"/>
    <cellStyle name="SAPBEXexcCritical4 6 3 2" xfId="42350"/>
    <cellStyle name="SAPBEXexcCritical5 6 3 2" xfId="42351"/>
    <cellStyle name="SAPBEXexcCritical6 6 3 2" xfId="42352"/>
    <cellStyle name="SAPBEXexcGood1 6 3 2" xfId="42353"/>
    <cellStyle name="SAPBEXexcGood2 6 3 2" xfId="42354"/>
    <cellStyle name="SAPBEXexcGood3 6 3 2" xfId="42355"/>
    <cellStyle name="SAPBEXformats 6 3 2" xfId="42356"/>
    <cellStyle name="SAPBEXHLevel0 8 3 2" xfId="42357"/>
    <cellStyle name="SAPBEXHLevel0X 8 3 2" xfId="42358"/>
    <cellStyle name="SAPBEXHLevel1 8 3 2" xfId="42359"/>
    <cellStyle name="SAPBEXHLevel1X 8 3 2" xfId="42360"/>
    <cellStyle name="SAPBEXHLevel2 8 3 2" xfId="42361"/>
    <cellStyle name="SAPBEXHLevel2X 8 3 2" xfId="42362"/>
    <cellStyle name="SAPBEXHLevel3 8 3 2" xfId="42363"/>
    <cellStyle name="SAPBEXHLevel3X 8 3 2" xfId="42364"/>
    <cellStyle name="SAPBEXresData 6 3 2" xfId="42365"/>
    <cellStyle name="SAPBEXresDataEmph 6 3 2" xfId="42366"/>
    <cellStyle name="SAPBEXresItem 6 3 2" xfId="42367"/>
    <cellStyle name="SAPBEXresItemX 8 3 2" xfId="42368"/>
    <cellStyle name="SAPBEXstdData 6 3 2" xfId="42369"/>
    <cellStyle name="SAPBEXstdDataEmph 6 3 2" xfId="42370"/>
    <cellStyle name="SAPBEXstdItem 6 3 2" xfId="42371"/>
    <cellStyle name="SAPBEXstdItemX 8 3 2" xfId="42372"/>
    <cellStyle name="SAPBEXtitle 6 3 2" xfId="42373"/>
    <cellStyle name="SAPBEXundefined 6 3 2" xfId="42374"/>
    <cellStyle name="SSComma0 6 3 2" xfId="42375"/>
    <cellStyle name="SSComma2 6 3 2" xfId="42376"/>
    <cellStyle name="SSDecs3 6 3 2" xfId="42377"/>
    <cellStyle name="SSDfltPct 6 3 2" xfId="42378"/>
    <cellStyle name="SSDfltPct0 6 3 2" xfId="42379"/>
    <cellStyle name="SSFixed2 6 3 2" xfId="42380"/>
    <cellStyle name="Style 21 9 3 2" xfId="42381"/>
    <cellStyle name="Style 22 9 3 2" xfId="42382"/>
    <cellStyle name="Style 24 7 3 2" xfId="42383"/>
    <cellStyle name="Style 25 7 3 2" xfId="42384"/>
    <cellStyle name="Style 26 7 3 2" xfId="42385"/>
    <cellStyle name="Style 27 7 3 2" xfId="42386"/>
    <cellStyle name="Style 28 7 3 2" xfId="42387"/>
    <cellStyle name="Style 35 9 3 2" xfId="42388"/>
    <cellStyle name="Style 36 9 3 2" xfId="42389"/>
    <cellStyle name="Style 37 9 3 2" xfId="42390"/>
    <cellStyle name="Style 40 9 3 2" xfId="42391"/>
    <cellStyle name="Style 42 9 3 2" xfId="42392"/>
    <cellStyle name="Style 43 9 3 2" xfId="42393"/>
    <cellStyle name="Style 48 9 3 2" xfId="42394"/>
    <cellStyle name="Style 50 9 3 2" xfId="42395"/>
    <cellStyle name="Style 52 9 3 2" xfId="42396"/>
    <cellStyle name="Style 53 9 3 2" xfId="42397"/>
    <cellStyle name="SymbolBlue 9 3 2" xfId="42398"/>
    <cellStyle name="UNLOCKED 36 3 2" xfId="42399"/>
    <cellStyle name="WingdingsBlack 9 3 2" xfId="42400"/>
    <cellStyle name="WingdingsRed 9 3 2" xfId="42401"/>
    <cellStyle name="WingdingsWhite 9 3 2" xfId="42402"/>
    <cellStyle name="COL HEADINGS 2 9 4 2" xfId="42403"/>
    <cellStyle name="Table Head Aligned 2 2 3 2 4 4 2" xfId="42404"/>
    <cellStyle name="Magic 3 4 4 2" xfId="42405"/>
    <cellStyle name="Style 49 3 8 4 2" xfId="42406"/>
    <cellStyle name="Table Head Aligned 3 4 4 2" xfId="42407"/>
    <cellStyle name="Heading [Palat] 2 2 2 2 4 4 2" xfId="42408"/>
    <cellStyle name="dp*SubTitle 2 3 4 4 2" xfId="42409"/>
    <cellStyle name="Date [mm-d-yyyy] 2 2 6 4 2" xfId="42410"/>
    <cellStyle name="Title [Helv] 2 2 2 7 4 2" xfId="42411"/>
    <cellStyle name="Date [mm-d-yyyy] 2 4 4 2" xfId="42412"/>
    <cellStyle name="dp*NumberLineEPS 2 2 3 2 5 2 3" xfId="42413"/>
    <cellStyle name="dp*NumberLine 2 8 4 2" xfId="42414"/>
    <cellStyle name="Border Thin 3 2 3 5 2 3" xfId="42415"/>
    <cellStyle name="Afjusted 3 7 4 2" xfId="42416"/>
    <cellStyle name="Date [mm-d-yyyy] 3 3 3 5 2 3" xfId="42417"/>
    <cellStyle name="dp*SubTitle 3 4 4 2 3" xfId="42418"/>
    <cellStyle name="ac 2 8 4 2" xfId="42419"/>
    <cellStyle name="Afjusted 2 6 4 2" xfId="42420"/>
    <cellStyle name="Bold/Border 2 8 4 2" xfId="42421"/>
    <cellStyle name="COL HEADINGS 2 8 4 2" xfId="42422"/>
    <cellStyle name="Border Thin 3 3 2 4 4 2" xfId="42423"/>
    <cellStyle name="Date [mmm-yyyy] 2 7 4 2" xfId="42424"/>
    <cellStyle name="Style 45 4 3 3 4 4 2" xfId="42425"/>
    <cellStyle name="dp*NumberLine 2 3 4 4 2" xfId="42426"/>
    <cellStyle name="dp*NumberLine 2 7 4 2" xfId="42427"/>
    <cellStyle name="dp*NumberLineEPS 2 7 4 2" xfId="42428"/>
    <cellStyle name="dp*SheetSubTitle 2 7 4 2" xfId="42429"/>
    <cellStyle name="Afjusted 4 5 4 4 2" xfId="42430"/>
    <cellStyle name="dp*ThinLineBelow 2 6 4 2" xfId="42431"/>
    <cellStyle name="Millions 3 2 3 2" xfId="42432"/>
    <cellStyle name="Global 2 2 3 2" xfId="42433"/>
    <cellStyle name="Header2 2 3 3 2" xfId="42434"/>
    <cellStyle name="Heading [Helv] 2 8 4 2" xfId="42435"/>
    <cellStyle name="Heading [Palat] 2 8 4 2" xfId="42436"/>
    <cellStyle name="Millions 4 2 3 2" xfId="42437"/>
    <cellStyle name="Magic 2 7 4 2" xfId="42438"/>
    <cellStyle name="Millions 2 2 3 2" xfId="42439"/>
    <cellStyle name="COL HEADINGS 2 3 4 4 2" xfId="42440"/>
    <cellStyle name="dp*NumberLine 2 2 3 3 4 4 2" xfId="42441"/>
    <cellStyle name="Outputs 2 8 4 2" xfId="42442"/>
    <cellStyle name="P-Green Rule 2 7 4 2" xfId="42443"/>
    <cellStyle name="Style 44 3 7 4 2" xfId="42444"/>
    <cellStyle name="Style 45 3 7 4 2" xfId="42445"/>
    <cellStyle name="Style 49 3 7 4 2" xfId="42446"/>
    <cellStyle name="Style 51 3 7 4 2" xfId="42447"/>
    <cellStyle name="Style 44 2 7 4 2" xfId="42448"/>
    <cellStyle name="Style 45 2 7 4 2" xfId="42449"/>
    <cellStyle name="Style 49 2 7 4 2" xfId="42450"/>
    <cellStyle name="Style 51 2 7 4 2" xfId="42451"/>
    <cellStyle name="Table Head Aligned 2 7 4 2" xfId="42452"/>
    <cellStyle name="Table Head Green 2 8 4 2" xfId="42453"/>
    <cellStyle name="Time Strip 2 2 3 2" xfId="42454"/>
    <cellStyle name="Title [Helv] 2 7 4 2" xfId="42455"/>
    <cellStyle name="Title [Palat] 2 8 4 2" xfId="42456"/>
    <cellStyle name="Magic 2 8 4 2" xfId="42457"/>
    <cellStyle name="Date [mmm-yyyy] 2 8 4 2" xfId="42458"/>
    <cellStyle name="Millions 5 2 3 2" xfId="42459"/>
    <cellStyle name="Magic 2 2 2 7 4 2" xfId="42460"/>
    <cellStyle name="Title [Palat] 2 2 3 2 4 4 2" xfId="42461"/>
    <cellStyle name="ac 2 9 4 2" xfId="42462"/>
    <cellStyle name="Heading [Palat] 2 2 2 7 4 2" xfId="42463"/>
    <cellStyle name="Arial6Bold 2 2 3 2" xfId="42464"/>
    <cellStyle name="Arial8Bold 2 2 3 2" xfId="42465"/>
    <cellStyle name="Arial8Italic 2 2 3 2" xfId="42466"/>
    <cellStyle name="ArialNormal 2 2 3 2" xfId="42467"/>
    <cellStyle name="Border 2 2 3 2" xfId="42468"/>
    <cellStyle name="DateYearEstimate 2 2 3 2" xfId="42469"/>
    <cellStyle name="DateYearWholeEstimate 2 2 3 2" xfId="42470"/>
    <cellStyle name="dp*Number%ItalicsLineAbove 2 2 3 2" xfId="42471"/>
    <cellStyle name="dp*ThinLineAbove 2 2 3 2" xfId="42472"/>
    <cellStyle name="Draw lines around data in range 2 2 3 2" xfId="42473"/>
    <cellStyle name="Draw shadow and lines within range 2 2 3 2" xfId="42474"/>
    <cellStyle name="FieldName 2 2 3 2" xfId="42475"/>
    <cellStyle name="Format a row of totals 2 2 3 2" xfId="42476"/>
    <cellStyle name="Format text as bold, black on yellow 2 2 3 2" xfId="42477"/>
    <cellStyle name="ItemTypeClass 2 2 3 2" xfId="42478"/>
    <cellStyle name="Main 2 2 3 2" xfId="42479"/>
    <cellStyle name="Millions 6 2 3 2" xfId="42480"/>
    <cellStyle name="SAPBEXaggData 2 2 3 2" xfId="42481"/>
    <cellStyle name="SAPBEXaggDataEmph 2 2 3 2" xfId="42482"/>
    <cellStyle name="SAPBEXaggItem 2 2 3 2" xfId="42483"/>
    <cellStyle name="SAPBEXaggItemX 2 2 3 2" xfId="42484"/>
    <cellStyle name="SAPBEXexcBad7 2 2 3 2" xfId="42485"/>
    <cellStyle name="SAPBEXexcBad8 2 2 3 2" xfId="42486"/>
    <cellStyle name="SAPBEXexcBad9 2 2 3 2" xfId="42487"/>
    <cellStyle name="SAPBEXexcCritical4 2 2 3 2" xfId="42488"/>
    <cellStyle name="SAPBEXexcCritical5 2 2 3 2" xfId="42489"/>
    <cellStyle name="SAPBEXexcCritical6 2 2 3 2" xfId="42490"/>
    <cellStyle name="SAPBEXexcGood1 2 2 3 2" xfId="42491"/>
    <cellStyle name="SAPBEXexcGood2 2 2 3 2" xfId="42492"/>
    <cellStyle name="SAPBEXexcGood3 2 2 3 2" xfId="42493"/>
    <cellStyle name="SAPBEXformats 2 2 3 2" xfId="42494"/>
    <cellStyle name="SAPBEXHLevel0 2 2 3 2" xfId="42495"/>
    <cellStyle name="SAPBEXHLevel0X 2 2 3 2" xfId="42496"/>
    <cellStyle name="SAPBEXHLevel1 2 2 3 2" xfId="42497"/>
    <cellStyle name="SAPBEXHLevel1X 2 2 3 2" xfId="42498"/>
    <cellStyle name="SAPBEXHLevel2 2 2 3 2" xfId="42499"/>
    <cellStyle name="SAPBEXHLevel2X 2 2 3 2" xfId="42500"/>
    <cellStyle name="SAPBEXHLevel3 2 2 3 2" xfId="42501"/>
    <cellStyle name="SAPBEXHLevel3X 2 2 3 2" xfId="42502"/>
    <cellStyle name="SAPBEXresData 2 2 3 2" xfId="42503"/>
    <cellStyle name="SAPBEXresDataEmph 2 2 3 2" xfId="42504"/>
    <cellStyle name="SAPBEXresItem 2 2 3 2" xfId="42505"/>
    <cellStyle name="SAPBEXresItemX 2 2 3 2" xfId="42506"/>
    <cellStyle name="SAPBEXstdData 2 2 3 2" xfId="42507"/>
    <cellStyle name="SAPBEXstdDataEmph 2 2 3 2" xfId="42508"/>
    <cellStyle name="SAPBEXstdItem 2 2 3 2" xfId="42509"/>
    <cellStyle name="SAPBEXstdItemX 2 2 3 2" xfId="42510"/>
    <cellStyle name="SAPBEXtitle 2 2 3 2" xfId="42511"/>
    <cellStyle name="SAPBEXundefined 2 2 3 2" xfId="42512"/>
    <cellStyle name="SSComma0 2 2 3 2" xfId="42513"/>
    <cellStyle name="SSComma2 2 2 3 2" xfId="42514"/>
    <cellStyle name="SSDecs3 2 2 3 2" xfId="42515"/>
    <cellStyle name="SSDfltPct 2 2 3 2" xfId="42516"/>
    <cellStyle name="SSDfltPct0 2 2 3 2" xfId="42517"/>
    <cellStyle name="SSFixed2 2 2 3 2" xfId="42518"/>
    <cellStyle name="Style 21 2 2 3 2" xfId="42519"/>
    <cellStyle name="Style 22 2 2 3 2" xfId="42520"/>
    <cellStyle name="Style 24 2 2 3 2" xfId="42521"/>
    <cellStyle name="Style 25 2 2 3 2" xfId="42522"/>
    <cellStyle name="Style 26 2 2 3 2" xfId="42523"/>
    <cellStyle name="Style 27 2 2 3 2" xfId="42524"/>
    <cellStyle name="Style 28 2 2 3 2" xfId="42525"/>
    <cellStyle name="Style 35 2 2 3 2" xfId="42526"/>
    <cellStyle name="Style 36 2 2 3 2" xfId="42527"/>
    <cellStyle name="Style 37 2 2 3 2" xfId="42528"/>
    <cellStyle name="Style 40 2 2 3 2" xfId="42529"/>
    <cellStyle name="Style 42 2 2 3 2" xfId="42530"/>
    <cellStyle name="Style 43 2 2 3 2" xfId="42531"/>
    <cellStyle name="Style 48 2 2 3 2" xfId="42532"/>
    <cellStyle name="Style 50 2 2 3 2" xfId="42533"/>
    <cellStyle name="Style 52 2 2 3 2" xfId="42534"/>
    <cellStyle name="Style 53 2 2 3 2" xfId="42535"/>
    <cellStyle name="SymbolBlue 2 2 3 2" xfId="42536"/>
    <cellStyle name="UNLOCKED 2 2 3 2" xfId="42537"/>
    <cellStyle name="WingdingsBlack 2 2 3 2" xfId="42538"/>
    <cellStyle name="WingdingsRed 2 2 3 2" xfId="42539"/>
    <cellStyle name="WingdingsWhite 2 2 3 2" xfId="42540"/>
    <cellStyle name="dp*SheetSubTitle 2 2 2 7 4 2" xfId="42541"/>
    <cellStyle name="ac 2 2 3 7 4 2" xfId="42542"/>
    <cellStyle name="UNLOCKED 4 2 3 2" xfId="42543"/>
    <cellStyle name="Millions 7 2 3 2" xfId="42544"/>
    <cellStyle name="dp*SubTitle 3 7 4 2" xfId="42545"/>
    <cellStyle name="Bold/Border 2 3 4 4 2" xfId="42546"/>
    <cellStyle name="Style 49 4 3 3 4 4 2" xfId="42547"/>
    <cellStyle name="Title [Palat] 2 3 4 4 2" xfId="42548"/>
    <cellStyle name="Border Thin 3 7 4 2" xfId="42549"/>
    <cellStyle name="UNLOCKED 3 2 3 2" xfId="42550"/>
    <cellStyle name="dp*SheetSubTitle 2 2 2 2 4 4 2" xfId="42551"/>
    <cellStyle name="dp*NumberLineEPS 2 2 2 2 4 4 2" xfId="42552"/>
    <cellStyle name="UNLOCKED 5 2 3 2" xfId="42553"/>
    <cellStyle name="Afjusted 4 7 4 2" xfId="42554"/>
    <cellStyle name="UNLOCKED 6 2 3 2" xfId="42555"/>
    <cellStyle name="Bold/Border 4 4 4 2" xfId="42556"/>
    <cellStyle name="ac 2 2 6 4 2" xfId="42557"/>
    <cellStyle name="Afjusted 2 2 7 4 2" xfId="42558"/>
    <cellStyle name="Bold/Border 2 2 6 4 2" xfId="42559"/>
    <cellStyle name="COL HEADINGS 2 2 6 4 2" xfId="42560"/>
    <cellStyle name="Date [mmm-yyyy] 2 2 6 4 2" xfId="42561"/>
    <cellStyle name="Style 45 4 3 4 4 4 2" xfId="42562"/>
    <cellStyle name="dp*SubTitle 3 3 3 4 4 2" xfId="42563"/>
    <cellStyle name="Date [mmm-yyyy] 2 3 4 4 2" xfId="42564"/>
    <cellStyle name="dp*NumberLine 2 2 6 4 2" xfId="42565"/>
    <cellStyle name="dp*NumberLineEPS 2 2 6 4 2" xfId="42566"/>
    <cellStyle name="dp*SheetSubTitle 2 2 6 4 2" xfId="42567"/>
    <cellStyle name="Heading [Helv] 2 2 6 4 2" xfId="42568"/>
    <cellStyle name="Heading [Palat] 2 2 6 4 2" xfId="42569"/>
    <cellStyle name="Magic 2 2 6 4 2" xfId="42570"/>
    <cellStyle name="Outputs 2 2 6 4 2" xfId="42571"/>
    <cellStyle name="Table Head Aligned 2 2 6 4 2" xfId="42572"/>
    <cellStyle name="Table Head Green 2 2 6 4 2" xfId="42573"/>
    <cellStyle name="Title [Helv] 2 2 6 4 2" xfId="42574"/>
    <cellStyle name="Title [Palat] 2 2 6 4 2" xfId="42575"/>
    <cellStyle name="Date [mmm-yyyy] 2 2 2 2 4 4 2" xfId="42576"/>
    <cellStyle name="COL HEADINGS 2 2 2 2 4 4 2" xfId="42577"/>
    <cellStyle name="dp*NumberLine 2 2 2 2 4 4 2" xfId="42578"/>
    <cellStyle name="Date [mm-d-yyyy] 2 5 4 2" xfId="42579"/>
    <cellStyle name="PB Table Standard Row 3 2 2 4 4 2" xfId="42580"/>
    <cellStyle name="Afjusted 2 2 2 2 4 4 2" xfId="42581"/>
    <cellStyle name="UNLOCKED 7 2 3 2" xfId="42582"/>
    <cellStyle name="ac 2 2 2 2 4 4 2" xfId="42583"/>
    <cellStyle name="UNLOCKED 8 2 3 2" xfId="42584"/>
    <cellStyle name="Afjusted 4 2 2 4 4 2" xfId="42585"/>
    <cellStyle name="Style 45 3 3 4 4 2" xfId="42586"/>
    <cellStyle name="Style 49 2 3 4 4 2" xfId="42587"/>
    <cellStyle name="Style 51 3 3 4 4 2" xfId="42588"/>
    <cellStyle name="Border Thin 3 5 4 4 2" xfId="42589"/>
    <cellStyle name="Bold/Border 2 2 2 2 5 2 3" xfId="42590"/>
    <cellStyle name="Afjusted 3 5 4 4 2" xfId="42591"/>
    <cellStyle name="EYCurrency 2 2 3 2" xfId="42592"/>
    <cellStyle name="Style 45 2 3 4 4 2" xfId="42593"/>
    <cellStyle name="EYColumnHeading 10 2 3 2" xfId="42594"/>
    <cellStyle name="Style 44 2 3 4 4 2" xfId="42595"/>
    <cellStyle name="Style 45 4 2 2 4 4 2" xfId="42596"/>
    <cellStyle name="dp*SubTitle 2 2 3 4 2" xfId="42597"/>
    <cellStyle name="Border Thin 2 2 3 4 2" xfId="42598"/>
    <cellStyle name="P-Green Rule 2 3 4 4 2" xfId="42599"/>
    <cellStyle name="Date [mm-d-yyyy] 2 2 2 4 4 2" xfId="42600"/>
    <cellStyle name="dp*ThinLineBelow 2 4 4 4 2" xfId="42601"/>
    <cellStyle name="dp*NumberLineEPS 2 4 4 4 2" xfId="42602"/>
    <cellStyle name="COL HEADINGS 2 4 4 4 2" xfId="42603"/>
    <cellStyle name="Afjusted 2 3 4 4 2" xfId="42604"/>
    <cellStyle name="dp*SubTitle 3 3 3 5 2 3" xfId="42605"/>
    <cellStyle name="Bold/Border 2 2 3 4 3 4 2" xfId="42606"/>
    <cellStyle name="Magic 2 2 3 4 3 4 2" xfId="42607"/>
    <cellStyle name="Title [Helv] 2 2 3 4 3 4 2" xfId="42608"/>
    <cellStyle name="Style 51 2 2 3 4 2" xfId="42609"/>
    <cellStyle name="Style 45 2 2 3 4 2" xfId="42610"/>
    <cellStyle name="Style 49 2 2 3 4 2" xfId="42611"/>
    <cellStyle name="Style 44 2 2 3 4 2" xfId="42612"/>
    <cellStyle name="Style 51 3 2 3 4 2" xfId="42613"/>
    <cellStyle name="Style 49 3 2 3 4 2" xfId="42614"/>
    <cellStyle name="Style 45 3 2 3 4 2" xfId="42615"/>
    <cellStyle name="Style 44 3 2 3 4 2" xfId="42616"/>
    <cellStyle name="P-Green Rule 2 2 3 4 2" xfId="42617"/>
    <cellStyle name="PB Table Standard Row 2 2 3 4 2" xfId="42618"/>
    <cellStyle name="dp*ThinLineBelow 2 2 3 4 2" xfId="42619"/>
    <cellStyle name="dp*ThinLineBelow 2 3 3 4 2" xfId="42620"/>
    <cellStyle name="Style 44 3 3 3 4 2" xfId="42621"/>
    <cellStyle name="COL HEADINGS 2 2 3 4 3 4 2" xfId="42622"/>
    <cellStyle name="Style 49 4 3 4 3 4 2" xfId="42623"/>
    <cellStyle name="Date [mm-d-yyyy] 3 2 2 4 4 2" xfId="42624"/>
    <cellStyle name="Afjusted 3 3 4 3 4 2" xfId="42625"/>
    <cellStyle name="Date [mm-d-yyyy] 3 3 4 3 4 2" xfId="42626"/>
    <cellStyle name="Afjusted 4 3 4 3 4 2" xfId="42627"/>
    <cellStyle name="ac 2 2 3 4 3 4 2" xfId="42628"/>
    <cellStyle name="Afjusted 2 2 3 4 3 4 2" xfId="42629"/>
    <cellStyle name="Date [mmm-yyyy] 2 2 3 4 3 4 2" xfId="42630"/>
    <cellStyle name="dp*NumberLine 2 2 3 4 3 4 2" xfId="42631"/>
    <cellStyle name="dp*NumberLineEPS 2 2 3 4 3 4 2" xfId="42632"/>
    <cellStyle name="dp*SheetSubTitle 2 2 3 4 3 4 2" xfId="42633"/>
    <cellStyle name="Heading [Helv] 2 2 3 4 3 4 2" xfId="42634"/>
    <cellStyle name="Outputs 2 2 3 4 3 4 2" xfId="42635"/>
    <cellStyle name="Table Head Aligned 2 2 3 4 3 4 2" xfId="42636"/>
    <cellStyle name="Title [Palat] 2 2 3 4 3 4 2" xfId="42637"/>
    <cellStyle name="UNLOCKED 12 2 3 2" xfId="42638"/>
    <cellStyle name="Afjusted 3 5 3 4 2" xfId="42639"/>
    <cellStyle name="Style 45 3 3 3 4 2" xfId="42640"/>
    <cellStyle name="Style 51 3 3 3 4 2" xfId="42641"/>
    <cellStyle name="Style 44 2 3 3 4 2" xfId="42642"/>
    <cellStyle name="Style 45 2 3 3 4 2" xfId="42643"/>
    <cellStyle name="Style 49 2 3 3 4 2" xfId="42644"/>
    <cellStyle name="Border Thin 3 5 3 4 2" xfId="42645"/>
    <cellStyle name="ac 2 2 4 3 4 2" xfId="42646"/>
    <cellStyle name="Afjusted 2 2 5 3 4 2" xfId="42647"/>
    <cellStyle name="Bold/Border 2 2 4 3 4 2" xfId="42648"/>
    <cellStyle name="COL HEADINGS 2 2 4 3 4 2" xfId="42649"/>
    <cellStyle name="Date [mmm-yyyy] 2 2 4 3 4 2" xfId="42650"/>
    <cellStyle name="dp*NumberLine 2 2 4 3 4 2" xfId="42651"/>
    <cellStyle name="dp*NumberLineEPS 2 2 4 3 4 2" xfId="42652"/>
    <cellStyle name="dp*SheetSubTitle 2 2 4 3 4 2" xfId="42653"/>
    <cellStyle name="Heading [Palat] 2 2 4 3 4 2" xfId="42654"/>
    <cellStyle name="Outputs 2 2 4 3 4 2" xfId="42655"/>
    <cellStyle name="Magic 2 2 4 3 4 2" xfId="42656"/>
    <cellStyle name="Title [Helv] 2 2 4 3 4 2" xfId="42657"/>
    <cellStyle name="Title [Palat] 2 2 4 3 4 2" xfId="42658"/>
    <cellStyle name="Title [Palat] 2 2 3 3 3 4 2" xfId="42659"/>
    <cellStyle name="Title [Helv] 2 2 3 3 3 4 2" xfId="42660"/>
    <cellStyle name="Table Head Aligned 2 2 3 3 3 4 2" xfId="42661"/>
    <cellStyle name="Magic 2 2 3 3 3 4 2" xfId="42662"/>
    <cellStyle name="Heading [Helv] 2 2 3 3 3 4 2" xfId="42663"/>
    <cellStyle name="dp*NumberLineEPS 2 2 3 3 3 4 2" xfId="42664"/>
    <cellStyle name="COL HEADINGS 2 2 3 3 3 4 2" xfId="42665"/>
    <cellStyle name="ac 2 2 3 3 3 4 2" xfId="42666"/>
    <cellStyle name="Afjusted 4 3 3 3 4 2" xfId="42667"/>
    <cellStyle name="Border Thin 3 3 3 3 4 2" xfId="42668"/>
    <cellStyle name="PB Table Standard Row 3 3 3 3 4 2" xfId="42669"/>
    <cellStyle name="Style 44 4 3 3 3 4 2" xfId="42670"/>
    <cellStyle name="Style 51 4 3 3 3 4 2" xfId="42671"/>
    <cellStyle name="Afjusted 3 3 3 3 4 2" xfId="42672"/>
    <cellStyle name="Style 49 4 5 3 4 2" xfId="42673"/>
    <cellStyle name="UNLOCKED 9 2 3 2" xfId="42674"/>
    <cellStyle name="Style 44 4 5 3 4 2" xfId="42675"/>
    <cellStyle name="P-Green Rule 3 5 3 4 2" xfId="42676"/>
    <cellStyle name="dp*SubTitle 3 5 3 4 2" xfId="42677"/>
    <cellStyle name="Afjusted 4 5 3 4 2" xfId="42678"/>
    <cellStyle name="dp*SheetSubTitle 2 8 4 2" xfId="42679"/>
    <cellStyle name="UNLOCKED 11 2 3 2" xfId="42680"/>
    <cellStyle name="ac 2 3 3 4 2" xfId="42681"/>
    <cellStyle name="Bold/Border 2 3 3 4 2" xfId="42682"/>
    <cellStyle name="COL HEADINGS 2 3 3 4 2" xfId="42683"/>
    <cellStyle name="Date [mmm-yyyy] 2 3 3 4 2" xfId="42684"/>
    <cellStyle name="dp*NumberLine 2 3 3 4 2" xfId="42685"/>
    <cellStyle name="dp*NumberLineEPS 2 3 3 4 2" xfId="42686"/>
    <cellStyle name="dp*SheetSubTitle 2 3 3 4 2" xfId="42687"/>
    <cellStyle name="Heading [Helv] 2 3 3 4 2" xfId="42688"/>
    <cellStyle name="Heading [Palat] 2 3 3 4 2" xfId="42689"/>
    <cellStyle name="Magic 2 3 3 4 2" xfId="42690"/>
    <cellStyle name="Outputs 2 3 3 4 2" xfId="42691"/>
    <cellStyle name="Date [mmm-yyyy] 2 2 3 3 3 4 2" xfId="42692"/>
    <cellStyle name="Afjusted 2 2 3 3 3 4 2" xfId="42693"/>
    <cellStyle name="dp*ThinLineBelow 3 3 3 3 4 2" xfId="42694"/>
    <cellStyle name="Style 49 4 3 3 3 4 2" xfId="42695"/>
    <cellStyle name="Outputs 2 2 3 3 3 4 2" xfId="42696"/>
    <cellStyle name="dp*NumberLine 2 2 3 3 3 4 2" xfId="42697"/>
    <cellStyle name="Bold/Border 2 2 3 3 3 4 2" xfId="42698"/>
    <cellStyle name="dp*SubTitle 3 3 3 3 4 2" xfId="42699"/>
    <cellStyle name="Style 45 4 3 3 3 4 2" xfId="42700"/>
    <cellStyle name="Table Head Aligned 2 3 3 4 2" xfId="42701"/>
    <cellStyle name="Table Head Green 2 3 3 4 2" xfId="42702"/>
    <cellStyle name="Title [Helv] 2 3 3 4 2" xfId="42703"/>
    <cellStyle name="Title [Palat] 2 3 3 4 2" xfId="42704"/>
    <cellStyle name="Style 45 4 3 4 3 4 2" xfId="42705"/>
    <cellStyle name="UNLOCKED 10 2 3 2" xfId="42706"/>
    <cellStyle name="Style 51 4 3 4 3 4 2" xfId="42707"/>
    <cellStyle name="Afjusted 3 4 3 4 2" xfId="42708"/>
    <cellStyle name="P-Green Rule 3 3 4 3 4 2" xfId="42709"/>
    <cellStyle name="Border Thin 2 3 3 4 2" xfId="42710"/>
    <cellStyle name="Style 49 3 3 3 4 2" xfId="42711"/>
    <cellStyle name="Style 51 2 3 3 4 2" xfId="42712"/>
    <cellStyle name="Heading [Helv] 2 2 4 3 4 2" xfId="42713"/>
    <cellStyle name="Table Head Aligned 2 2 4 3 4 2" xfId="42714"/>
    <cellStyle name="Table Head Green 2 2 4 3 4 2" xfId="42715"/>
    <cellStyle name="Table Head Green 2 2 3 3 3 4 2" xfId="42716"/>
    <cellStyle name="Heading [Palat] 2 2 3 3 3 4 2" xfId="42717"/>
    <cellStyle name="dp*SheetSubTitle 2 2 3 3 3 4 2" xfId="42718"/>
    <cellStyle name="P-Green Rule 3 3 3 3 4 2" xfId="42719"/>
    <cellStyle name="Date [mm-d-yyyy] 3 3 3 3 4 2" xfId="42720"/>
    <cellStyle name="Date [mm-d-yyyy] 3 4 3 4 2" xfId="42721"/>
    <cellStyle name="Style 51 4 4 3 4 2" xfId="42722"/>
    <cellStyle name="Style 49 4 4 3 4 2" xfId="42723"/>
    <cellStyle name="Style 45 4 4 3 4 2" xfId="42724"/>
    <cellStyle name="Style 44 4 4 3 4 2" xfId="42725"/>
    <cellStyle name="dp*ThinLineBelow 3 3 4 3 4 2" xfId="42726"/>
    <cellStyle name="P-Green Rule 3 4 3 4 2" xfId="42727"/>
    <cellStyle name="dp*ThinLineBelow 3 4 3 4 2" xfId="42728"/>
    <cellStyle name="dp*SubTitle 3 4 3 4 2" xfId="42729"/>
    <cellStyle name="dp*SubTitle 3 3 4 3 4 2" xfId="42730"/>
    <cellStyle name="Border Thin 3 4 3 4 2" xfId="42731"/>
    <cellStyle name="Border Thin 3 3 4 3 4 2" xfId="42732"/>
    <cellStyle name="Afjusted 4 4 3 4 2" xfId="42733"/>
    <cellStyle name="Afjusted 2 2 4 3 4 2" xfId="42734"/>
    <cellStyle name="Style 44 4 3 4 3 4 2" xfId="42735"/>
    <cellStyle name="PB Table Standard Row 3 3 4 3 4 2" xfId="42736"/>
    <cellStyle name="Title [Palat] 2 2 3 6 4 2" xfId="42737"/>
    <cellStyle name="Title [Helv] 2 2 3 6 4 2" xfId="42738"/>
    <cellStyle name="Table Head Green 2 2 3 6 4 2" xfId="42739"/>
    <cellStyle name="Table Head Aligned 2 2 3 6 4 2" xfId="42740"/>
    <cellStyle name="Outputs 2 2 3 6 4 2" xfId="42741"/>
    <cellStyle name="Magic 2 2 3 6 4 2" xfId="42742"/>
    <cellStyle name="Heading [Palat] 2 2 3 6 4 2" xfId="42743"/>
    <cellStyle name="Heading [Helv] 2 2 3 6 4 2" xfId="42744"/>
    <cellStyle name="dp*SheetSubTitle 2 2 3 6 4 2" xfId="42745"/>
    <cellStyle name="dp*NumberLineEPS 2 2 3 6 4 2" xfId="42746"/>
    <cellStyle name="dp*NumberLine 2 2 3 6 4 2" xfId="42747"/>
    <cellStyle name="Date [mmm-yyyy] 2 2 3 6 4 2" xfId="42748"/>
    <cellStyle name="COL HEADINGS 2 2 3 6 4 2" xfId="42749"/>
    <cellStyle name="Bold/Border 2 2 3 6 4 2" xfId="42750"/>
    <cellStyle name="Afjusted 2 2 3 6 4 2" xfId="42751"/>
    <cellStyle name="ac 2 2 3 6 4 2" xfId="42752"/>
    <cellStyle name="Afjusted 4 3 6 4 2" xfId="42753"/>
    <cellStyle name="Border Thin 3 3 6 4 2" xfId="42754"/>
    <cellStyle name="dp*SubTitle 3 3 6 4 2" xfId="42755"/>
    <cellStyle name="dp*ThinLineBelow 3 3 6 4 2" xfId="42756"/>
    <cellStyle name="PB Table Standard Row 3 3 6 4 2" xfId="42757"/>
    <cellStyle name="P-Green Rule 3 3 6 4 2" xfId="42758"/>
    <cellStyle name="Style 44 4 3 6 4 2" xfId="42759"/>
    <cellStyle name="Style 45 4 3 6 4 2" xfId="42760"/>
    <cellStyle name="Style 49 4 3 6 4 2" xfId="42761"/>
    <cellStyle name="Style 51 4 3 6 4 2" xfId="42762"/>
    <cellStyle name="Date [mm-d-yyyy] 3 3 6 4 2" xfId="42763"/>
    <cellStyle name="Title [Palat] 2 4 4 4 2" xfId="42764"/>
    <cellStyle name="Style 51 3 4 4 4 2" xfId="42765"/>
    <cellStyle name="Afjusted 3 3 6 4 2" xfId="42766"/>
    <cellStyle name="Border Thin 2 4 4 4 2" xfId="42767"/>
    <cellStyle name="Calculation 2 3 3 2" xfId="42768"/>
    <cellStyle name="Afjusted 4 2 4 4 4 2" xfId="42769"/>
    <cellStyle name="ac 2 2 4 4 4 2" xfId="42770"/>
    <cellStyle name="Input 2 3 3 2" xfId="42771"/>
    <cellStyle name="Note 2 3 4 2" xfId="42772"/>
    <cellStyle name="Date [mm-d-yyyy] 3 5 4 4 2" xfId="42773"/>
    <cellStyle name="Output 2 2 2 3 2" xfId="42774"/>
    <cellStyle name="Input 2 2 2 3 2" xfId="42775"/>
    <cellStyle name="Afjusted 3 3 2 4 4 2" xfId="42776"/>
    <cellStyle name="Total 2 2 2 3 2" xfId="42777"/>
    <cellStyle name="Calculation 2 2 2 3 2" xfId="42778"/>
    <cellStyle name="PB Table Standard Row 3 3 2 3 4 2" xfId="42779"/>
    <cellStyle name="P-Green Rule 3 3 2 4 4 2" xfId="42780"/>
    <cellStyle name="Date [mm-d-yyyy] 3 3 2 4 4 2" xfId="42781"/>
    <cellStyle name="ac 2 4 4 4 2" xfId="42782"/>
    <cellStyle name="Date [mm-d-yyyy] 2 2 5 4 2" xfId="42783"/>
    <cellStyle name="Afjusted 3 2 6 4 2" xfId="42784"/>
    <cellStyle name="dp*SubTitle 3 2 2 4 4 2" xfId="42785"/>
    <cellStyle name="Style 45 2 4 4 4 2" xfId="42786"/>
    <cellStyle name="P-Green Rule 2 4 4 4 2" xfId="42787"/>
    <cellStyle name="Style 51 4 5 4 4 2" xfId="42788"/>
    <cellStyle name="Date [mm-d-yyyy] 3 2 6 4 2" xfId="42789"/>
    <cellStyle name="Style 51 4 2 6 4 2" xfId="42790"/>
    <cellStyle name="Style 49 4 2 6 4 2" xfId="42791"/>
    <cellStyle name="Style 45 4 2 6 4 2" xfId="42792"/>
    <cellStyle name="Style 44 4 2 6 4 2" xfId="42793"/>
    <cellStyle name="Heading [Palat] 2 4 4 4 2" xfId="42794"/>
    <cellStyle name="P-Green Rule 3 2 6 4 2" xfId="42795"/>
    <cellStyle name="dp*ThinLineBelow 3 2 6 4 2" xfId="42796"/>
    <cellStyle name="dp*SubTitle 3 2 6 4 2" xfId="42797"/>
    <cellStyle name="dp*SubTitle 2 4 4 4 2" xfId="42798"/>
    <cellStyle name="Border Thin 3 2 6 4 2" xfId="42799"/>
    <cellStyle name="dp*NumberLine 2 4 4 4 2" xfId="42800"/>
    <cellStyle name="Afjusted 4 2 6 4 2" xfId="42801"/>
    <cellStyle name="ac 2 2 2 6 4 2" xfId="42802"/>
    <cellStyle name="Afjusted 2 2 2 6 4 2" xfId="42803"/>
    <cellStyle name="Bold/Border 2 2 2 6 4 2" xfId="42804"/>
    <cellStyle name="COL HEADINGS 2 2 2 6 4 2" xfId="42805"/>
    <cellStyle name="Date [mmm-yyyy] 2 2 2 6 4 2" xfId="42806"/>
    <cellStyle name="dp*NumberLine 2 2 2 6 4 2" xfId="42807"/>
    <cellStyle name="dp*NumberLineEPS 2 2 2 6 4 2" xfId="42808"/>
    <cellStyle name="dp*SheetSubTitle 2 2 2 6 4 2" xfId="42809"/>
    <cellStyle name="Heading [Helv] 2 2 2 6 4 2" xfId="42810"/>
    <cellStyle name="Heading [Palat] 2 2 2 6 4 2" xfId="42811"/>
    <cellStyle name="Magic 2 2 2 6 4 2" xfId="42812"/>
    <cellStyle name="Outputs 2 2 2 6 4 2" xfId="42813"/>
    <cellStyle name="Table Head Aligned 2 2 2 6 4 2" xfId="42814"/>
    <cellStyle name="Table Head Green 2 2 2 6 4 2" xfId="42815"/>
    <cellStyle name="Title [Helv] 2 2 2 6 4 2" xfId="42816"/>
    <cellStyle name="Title [Palat] 2 2 2 6 4 2" xfId="42817"/>
    <cellStyle name="Style 45 3 4 4 4 2" xfId="42818"/>
    <cellStyle name="Output 2 3 3 2" xfId="42819"/>
    <cellStyle name="Border Thin 3 2 2 4 4 2" xfId="42820"/>
    <cellStyle name="Outputs 2 4 4 4 2" xfId="42821"/>
    <cellStyle name="Total 2 3 3 2" xfId="42822"/>
    <cellStyle name="Style 51 4 3 2 4 4 2" xfId="42823"/>
    <cellStyle name="Style 45 4 3 2 4 4 2" xfId="42824"/>
    <cellStyle name="Style 49 4 3 2 4 4 2" xfId="42825"/>
    <cellStyle name="Style 44 4 3 2 4 4 2" xfId="42826"/>
    <cellStyle name="dp*ThinLineBelow 3 3 2 4 4 2" xfId="42827"/>
    <cellStyle name="Table Head Green 2 2 3 4 3 4 2" xfId="42828"/>
    <cellStyle name="Heading [Palat] 2 2 3 4 3 4 2" xfId="42829"/>
    <cellStyle name="P-Green Rule 2 3 3 4 2" xfId="42830"/>
    <cellStyle name="Title [Palat] 2 2 3 2 3 4 2" xfId="42831"/>
    <cellStyle name="Title [Helv] 2 2 3 2 3 4 2" xfId="42832"/>
    <cellStyle name="Table Head Green 2 2 3 2 3 4 2" xfId="42833"/>
    <cellStyle name="Table Head Aligned 2 2 3 2 3 4 2" xfId="42834"/>
    <cellStyle name="Outputs 2 2 3 2 3 4 2" xfId="42835"/>
    <cellStyle name="Magic 2 2 3 2 3 4 2" xfId="42836"/>
    <cellStyle name="Heading [Palat] 2 2 3 2 3 4 2" xfId="42837"/>
    <cellStyle name="Heading [Helv] 2 2 3 2 3 4 2" xfId="42838"/>
    <cellStyle name="dp*SheetSubTitle 2 2 3 2 3 4 2" xfId="42839"/>
    <cellStyle name="dp*NumberLineEPS 2 2 3 2 3 4 2" xfId="42840"/>
    <cellStyle name="dp*NumberLine 2 2 3 2 3 4 2" xfId="42841"/>
    <cellStyle name="Date [mmm-yyyy] 2 2 3 2 3 4 2" xfId="42842"/>
    <cellStyle name="COL HEADINGS 2 2 3 2 3 4 2" xfId="42843"/>
    <cellStyle name="Bold/Border 2 2 3 2 3 4 2" xfId="42844"/>
    <cellStyle name="Afjusted 2 2 3 2 3 4 2" xfId="42845"/>
    <cellStyle name="ac 2 2 3 2 3 4 2" xfId="42846"/>
    <cellStyle name="Afjusted 4 3 2 3 4 2" xfId="42847"/>
    <cellStyle name="Border Thin 3 3 2 3 4 2" xfId="42848"/>
    <cellStyle name="dp*SubTitle 3 3 2 3 4 2" xfId="42849"/>
    <cellStyle name="dp*ThinLineBelow 3 3 2 3 4 2" xfId="42850"/>
    <cellStyle name="P-Green Rule 3 3 2 3 4 2" xfId="42851"/>
    <cellStyle name="Style 44 4 3 2 3 4 2" xfId="42852"/>
    <cellStyle name="Style 45 4 3 2 3 4 2" xfId="42853"/>
    <cellStyle name="Style 49 4 3 2 3 4 2" xfId="42854"/>
    <cellStyle name="Style 51 4 3 2 3 4 2" xfId="42855"/>
    <cellStyle name="Date [mm-d-yyyy] 3 3 2 3 4 2" xfId="42856"/>
    <cellStyle name="Afjusted 3 3 2 3 4 2" xfId="42857"/>
    <cellStyle name="Date [mm-d-yyyy] 3 5 3 4 2" xfId="42858"/>
    <cellStyle name="dp*SubTitle 2 3 3 4 2" xfId="42859"/>
    <cellStyle name="Date [mm-d-yyyy] 2 2 2 3 4 2" xfId="42860"/>
    <cellStyle name="Afjusted 3 2 2 3 4 2" xfId="42861"/>
    <cellStyle name="PB Table Standard Row 3 5 3 4 2" xfId="42862"/>
    <cellStyle name="Date [mm-d-yyyy] 3 2 2 3 4 2" xfId="42863"/>
    <cellStyle name="Style 51 4 2 2 3 4 2" xfId="42864"/>
    <cellStyle name="Style 49 4 2 2 3 4 2" xfId="42865"/>
    <cellStyle name="Style 45 4 2 2 3 4 2" xfId="42866"/>
    <cellStyle name="Style 44 4 2 2 3 4 2" xfId="42867"/>
    <cellStyle name="Style 45 4 5 3 4 2" xfId="42868"/>
    <cellStyle name="P-Green Rule 3 2 2 3 4 2" xfId="42869"/>
    <cellStyle name="PB Table Standard Row 3 2 2 3 4 2" xfId="42870"/>
    <cellStyle name="dp*ThinLineBelow 3 2 2 3 4 2" xfId="42871"/>
    <cellStyle name="dp*SubTitle 3 2 2 3 4 2" xfId="42872"/>
    <cellStyle name="Style 51 4 5 3 4 2" xfId="42873"/>
    <cellStyle name="Border Thin 3 2 2 3 4 2" xfId="42874"/>
    <cellStyle name="Afjusted 4 2 2 3 4 2" xfId="42875"/>
    <cellStyle name="ac 2 2 2 2 3 4 2" xfId="42876"/>
    <cellStyle name="Afjusted 2 2 2 2 3 4 2" xfId="42877"/>
    <cellStyle name="Bold/Border 2 2 2 2 3 4 2" xfId="42878"/>
    <cellStyle name="COL HEADINGS 2 2 2 2 3 4 2" xfId="42879"/>
    <cellStyle name="Date [mmm-yyyy] 2 2 2 2 3 4 2" xfId="42880"/>
    <cellStyle name="dp*NumberLine 2 2 2 2 3 4 2" xfId="42881"/>
    <cellStyle name="dp*NumberLineEPS 2 2 2 2 3 4 2" xfId="42882"/>
    <cellStyle name="dp*SheetSubTitle 2 2 2 2 3 4 2" xfId="42883"/>
    <cellStyle name="Heading [Helv] 2 2 2 2 3 4 2" xfId="42884"/>
    <cellStyle name="Heading [Palat] 2 2 2 2 3 4 2" xfId="42885"/>
    <cellStyle name="Magic 2 2 2 2 3 4 2" xfId="42886"/>
    <cellStyle name="Outputs 2 2 2 2 3 4 2" xfId="42887"/>
    <cellStyle name="Table Head Aligned 2 2 2 2 3 4 2" xfId="42888"/>
    <cellStyle name="Table Head Green 2 2 2 2 3 4 2" xfId="42889"/>
    <cellStyle name="Title [Helv] 2 2 2 2 3 4 2" xfId="42890"/>
    <cellStyle name="Title [Palat] 2 2 2 2 3 4 2" xfId="42891"/>
    <cellStyle name="dp*ThinLineBelow 3 5 3 4 2" xfId="42892"/>
    <cellStyle name="Date [mm-d-yyyy] 2 2 3 3 4 2" xfId="42893"/>
    <cellStyle name="Afjusted 3 2 3 3 4 2" xfId="42894"/>
    <cellStyle name="Date [mm-d-yyyy] 3 2 3 3 4 2" xfId="42895"/>
    <cellStyle name="Style 51 4 2 3 3 4 2" xfId="42896"/>
    <cellStyle name="Style 49 4 2 3 3 4 2" xfId="42897"/>
    <cellStyle name="Style 45 4 2 3 3 4 2" xfId="42898"/>
    <cellStyle name="Style 44 4 2 3 3 4 2" xfId="42899"/>
    <cellStyle name="P-Green Rule 3 2 3 3 4 2" xfId="42900"/>
    <cellStyle name="PB Table Standard Row 3 2 3 3 4 2" xfId="42901"/>
    <cellStyle name="dp*ThinLineBelow 3 2 3 3 4 2" xfId="42902"/>
    <cellStyle name="dp*SubTitle 3 2 3 3 4 2" xfId="42903"/>
    <cellStyle name="Border Thin 3 2 3 3 4 2" xfId="42904"/>
    <cellStyle name="Afjusted 4 2 3 3 4 2" xfId="42905"/>
    <cellStyle name="ac 2 2 2 3 3 4 2" xfId="42906"/>
    <cellStyle name="Afjusted 2 2 2 3 3 4 2" xfId="42907"/>
    <cellStyle name="Bold/Border 2 2 2 3 3 4 2" xfId="42908"/>
    <cellStyle name="COL HEADINGS 2 2 2 3 3 4 2" xfId="42909"/>
    <cellStyle name="Date [mmm-yyyy] 2 2 2 3 3 4 2" xfId="42910"/>
    <cellStyle name="dp*NumberLine 2 2 2 3 3 4 2" xfId="42911"/>
    <cellStyle name="dp*NumberLineEPS 2 2 2 3 3 4 2" xfId="42912"/>
    <cellStyle name="dp*SheetSubTitle 2 2 2 3 3 4 2" xfId="42913"/>
    <cellStyle name="Heading [Helv] 2 2 2 3 3 4 2" xfId="42914"/>
    <cellStyle name="Heading [Palat] 2 2 2 3 3 4 2" xfId="42915"/>
    <cellStyle name="Magic 2 2 2 3 3 4 2" xfId="42916"/>
    <cellStyle name="Outputs 2 2 2 3 3 4 2" xfId="42917"/>
    <cellStyle name="Table Head Aligned 2 2 2 3 3 4 2" xfId="42918"/>
    <cellStyle name="Table Head Green 2 2 2 3 3 4 2" xfId="42919"/>
    <cellStyle name="Title [Helv] 2 2 2 3 3 4 2" xfId="42920"/>
    <cellStyle name="Title [Palat] 2 2 2 3 3 4 2" xfId="42921"/>
    <cellStyle name="Afjusted 3 2 4 3 4 2" xfId="42922"/>
    <cellStyle name="Date [mm-d-yyyy] 3 2 4 3 4 2" xfId="42923"/>
    <cellStyle name="Style 51 4 2 4 3 4 2" xfId="42924"/>
    <cellStyle name="Style 49 4 2 4 3 4 2" xfId="42925"/>
    <cellStyle name="Style 45 4 2 4 3 4 2" xfId="42926"/>
    <cellStyle name="Style 44 4 2 4 3 4 2" xfId="42927"/>
    <cellStyle name="P-Green Rule 3 2 4 3 4 2" xfId="42928"/>
    <cellStyle name="PB Table Standard Row 3 2 4 3 4 2" xfId="42929"/>
    <cellStyle name="dp*ThinLineBelow 3 2 4 3 4 2" xfId="42930"/>
    <cellStyle name="dp*SubTitle 3 2 4 3 4 2" xfId="42931"/>
    <cellStyle name="Border Thin 3 2 4 3 4 2" xfId="42932"/>
    <cellStyle name="Afjusted 4 2 4 3 4 2" xfId="42933"/>
    <cellStyle name="ac 2 2 2 4 3 4 2" xfId="42934"/>
    <cellStyle name="Afjusted 2 2 2 4 3 4 2" xfId="42935"/>
    <cellStyle name="Bold/Border 2 2 2 4 3 4 2" xfId="42936"/>
    <cellStyle name="COL HEADINGS 2 2 2 4 3 4 2" xfId="42937"/>
    <cellStyle name="Date [mmm-yyyy] 2 2 2 4 3 4 2" xfId="42938"/>
    <cellStyle name="dp*NumberLine 2 2 2 4 3 4 2" xfId="42939"/>
    <cellStyle name="dp*NumberLineEPS 2 2 2 4 3 4 2" xfId="42940"/>
    <cellStyle name="dp*SheetSubTitle 2 2 2 4 3 4 2" xfId="42941"/>
    <cellStyle name="Heading [Helv] 2 2 2 4 3 4 2" xfId="42942"/>
    <cellStyle name="Heading [Palat] 2 2 2 4 3 4 2" xfId="42943"/>
    <cellStyle name="Magic 2 2 2 4 3 4 2" xfId="42944"/>
    <cellStyle name="Outputs 2 2 2 4 3 4 2" xfId="42945"/>
    <cellStyle name="Table Head Aligned 2 2 2 4 3 4 2" xfId="42946"/>
    <cellStyle name="Table Head Green 2 2 2 4 3 4 2" xfId="42947"/>
    <cellStyle name="Title [Helv] 2 2 2 4 3 4 2" xfId="42948"/>
    <cellStyle name="Title [Palat] 2 2 2 4 3 4 2" xfId="42949"/>
    <cellStyle name="Bold/Border 2 2 3 2 4 4 2" xfId="42950"/>
    <cellStyle name="Border Thin 4 3 4 2" xfId="42951"/>
    <cellStyle name="Date [mm-d-yyyy] 4 3 4 2" xfId="42952"/>
    <cellStyle name="dp*SubTitle 4 3 4 2" xfId="42953"/>
    <cellStyle name="dp*ThinLineBelow 4 3 4 2" xfId="42954"/>
    <cellStyle name="PB Table Standard Row 4 3 4 2" xfId="42955"/>
    <cellStyle name="P-Green Rule 4 3 4 2" xfId="42956"/>
    <cellStyle name="Style 44 5 3 4 2" xfId="42957"/>
    <cellStyle name="Style 45 5 3 4 2" xfId="42958"/>
    <cellStyle name="Style 49 5 3 4 2" xfId="42959"/>
    <cellStyle name="Style 51 5 3 4 2" xfId="42960"/>
    <cellStyle name="UNLOCKED 13 2 3 2" xfId="42961"/>
    <cellStyle name="COL HEADINGS 2 2 3 2 4 4 2" xfId="42962"/>
    <cellStyle name="UNLOCKED 14 2 3 2" xfId="42963"/>
    <cellStyle name="ac 2 2 3 2 4 4 2" xfId="42964"/>
    <cellStyle name="Date [mmm-yyyy] 2 2 3 2 4 4 2" xfId="42965"/>
    <cellStyle name="FieldName 3 2 3 2" xfId="42966"/>
    <cellStyle name="WingdingsWhite 3 2 3 2" xfId="42967"/>
    <cellStyle name="WingdingsRed 3 2 3 2" xfId="42968"/>
    <cellStyle name="WingdingsBlack 3 2 3 2" xfId="42969"/>
    <cellStyle name="UNLOCKED 16 2 3 2" xfId="42970"/>
    <cellStyle name="Title [Palat] 3 3 4 2" xfId="42971"/>
    <cellStyle name="Title [Helv] 3 3 4 2" xfId="42972"/>
    <cellStyle name="Table Head Green 3 3 4 2" xfId="42973"/>
    <cellStyle name="Table Head Aligned 3 3 4 2" xfId="42974"/>
    <cellStyle name="SymbolBlue 3 2 3 2" xfId="42975"/>
    <cellStyle name="Style 53 3 2 3 2" xfId="42976"/>
    <cellStyle name="Style 52 3 2 3 2" xfId="42977"/>
    <cellStyle name="Style 50 3 2 3 2" xfId="42978"/>
    <cellStyle name="Style 48 3 2 3 2" xfId="42979"/>
    <cellStyle name="Style 43 3 2 3 2" xfId="42980"/>
    <cellStyle name="Style 42 3 2 3 2" xfId="42981"/>
    <cellStyle name="Style 40 3 2 3 2" xfId="42982"/>
    <cellStyle name="Style 37 3 2 3 2" xfId="42983"/>
    <cellStyle name="Style 36 3 2 3 2" xfId="42984"/>
    <cellStyle name="Style 35 3 2 3 2" xfId="42985"/>
    <cellStyle name="Style 28 3 2 3 2" xfId="42986"/>
    <cellStyle name="Style 25 3 2 3 2" xfId="42987"/>
    <cellStyle name="Style 27 3 2 3 2" xfId="42988"/>
    <cellStyle name="Style 26 3 2 3 2" xfId="42989"/>
    <cellStyle name="Style 24 3 2 3 2" xfId="42990"/>
    <cellStyle name="Style 22 3 2 3 2" xfId="42991"/>
    <cellStyle name="Style 21 3 2 3 2" xfId="42992"/>
    <cellStyle name="Outputs 3 3 4 2" xfId="42993"/>
    <cellStyle name="Millions 8 2 3 2" xfId="42994"/>
    <cellStyle name="Magic 3 3 4 2" xfId="42995"/>
    <cellStyle name="ItemTypeClass 3 2 3 2" xfId="42996"/>
    <cellStyle name="Heading [Palat] 3 3 4 2" xfId="42997"/>
    <cellStyle name="Heading [Helv] 3 3 4 2" xfId="42998"/>
    <cellStyle name="Format text as bold, black on yellow 3 2 3 2" xfId="42999"/>
    <cellStyle name="Format a row of totals 3 2 3 2" xfId="43000"/>
    <cellStyle name="Draw shadow and lines within range 3 2 3 2" xfId="43001"/>
    <cellStyle name="Draw lines around data in range 3 2 3 2" xfId="43002"/>
    <cellStyle name="dp*ThinLineAbove 3 2 3 2" xfId="43003"/>
    <cellStyle name="dp*SheetSubTitle 3 3 4 2" xfId="43004"/>
    <cellStyle name="dp*NumberLineEPS 3 3 4 2" xfId="43005"/>
    <cellStyle name="dp*NumberLine 3 3 4 2" xfId="43006"/>
    <cellStyle name="dp*Number%ItalicsLineAbove 3 2 3 2" xfId="43007"/>
    <cellStyle name="DateYearWholeEstimate 3 2 3 2" xfId="43008"/>
    <cellStyle name="DateYearEstimate 3 2 3 2" xfId="43009"/>
    <cellStyle name="COL HEADINGS 3 3 4 2" xfId="43010"/>
    <cellStyle name="Border 3 2 3 2" xfId="43011"/>
    <cellStyle name="Bold/Border 3 3 4 2" xfId="43012"/>
    <cellStyle name="ArialNormal 3 2 3 2" xfId="43013"/>
    <cellStyle name="Arial8Italic 3 2 3 2" xfId="43014"/>
    <cellStyle name="Arial8Bold 3 2 3 2" xfId="43015"/>
    <cellStyle name="Arial6Bold 3 2 3 2" xfId="43016"/>
    <cellStyle name="Afjusted 5 3 4 2" xfId="43017"/>
    <cellStyle name="ac 3 3 4 2" xfId="43018"/>
    <cellStyle name="UNLOCKED 15 2 3 2" xfId="43019"/>
    <cellStyle name="dp*NumberLine 2 2 3 2 4 4 2" xfId="43020"/>
    <cellStyle name="Date [mmm-yyyy] 3 3 4 2" xfId="43021"/>
    <cellStyle name="dp*NumberLineEPS 2 2 3 2 4 4 2" xfId="43022"/>
    <cellStyle name="UNLOCKED 17 2 3 2" xfId="43023"/>
    <cellStyle name="Heading [Palat] 2 9 4 2" xfId="43024"/>
    <cellStyle name="dp*SheetSubTitle 2 2 3 2 4 4 2" xfId="43025"/>
    <cellStyle name="UNLOCKED 18 2 3 2" xfId="43026"/>
    <cellStyle name="Table Head Aligned 2 2 7 4 2" xfId="43027"/>
    <cellStyle name="UNLOCKED 19 2 3 2" xfId="43028"/>
    <cellStyle name="ac 2 4 3 4 2" xfId="43029"/>
    <cellStyle name="Afjusted 2 3 3 4 2" xfId="43030"/>
    <cellStyle name="Bold/Border 2 4 3 4 2" xfId="43031"/>
    <cellStyle name="Border Thin 2 4 3 4 2" xfId="43032"/>
    <cellStyle name="COL HEADINGS 2 4 3 4 2" xfId="43033"/>
    <cellStyle name="Date [mmm-yyyy] 2 4 3 4 2" xfId="43034"/>
    <cellStyle name="dp*NumberLine 2 4 3 4 2" xfId="43035"/>
    <cellStyle name="dp*NumberLineEPS 2 4 3 4 2" xfId="43036"/>
    <cellStyle name="dp*SheetSubTitle 2 4 3 4 2" xfId="43037"/>
    <cellStyle name="dp*SubTitle 2 4 3 4 2" xfId="43038"/>
    <cellStyle name="dp*ThinLineBelow 2 4 3 4 2" xfId="43039"/>
    <cellStyle name="Heading [Helv] 2 4 3 4 2" xfId="43040"/>
    <cellStyle name="Heading [Palat] 2 4 3 4 2" xfId="43041"/>
    <cellStyle name="Magic 2 4 3 4 2" xfId="43042"/>
    <cellStyle name="Outputs 2 4 3 4 2" xfId="43043"/>
    <cellStyle name="PB Table Standard Row 2 4 3 4 2" xfId="43044"/>
    <cellStyle name="P-Green Rule 2 4 3 4 2" xfId="43045"/>
    <cellStyle name="Style 44 3 4 3 4 2" xfId="43046"/>
    <cellStyle name="Style 45 3 4 3 4 2" xfId="43047"/>
    <cellStyle name="Style 49 3 4 3 4 2" xfId="43048"/>
    <cellStyle name="Style 51 3 4 3 4 2" xfId="43049"/>
    <cellStyle name="Style 44 2 4 3 4 2" xfId="43050"/>
    <cellStyle name="Style 45 2 4 3 4 2" xfId="43051"/>
    <cellStyle name="Style 49 2 4 3 4 2" xfId="43052"/>
    <cellStyle name="Style 51 2 4 3 4 2" xfId="43053"/>
    <cellStyle name="Table Head Aligned 2 4 3 4 2" xfId="43054"/>
    <cellStyle name="Table Head Green 2 4 3 4 2" xfId="43055"/>
    <cellStyle name="Title [Helv] 2 4 3 4 2" xfId="43056"/>
    <cellStyle name="Title [Palat] 2 4 3 4 2" xfId="43057"/>
    <cellStyle name="Heading [Helv] 2 2 3 2 4 4 2" xfId="43058"/>
    <cellStyle name="UNLOCKED 20 2 3 2" xfId="43059"/>
    <cellStyle name="Heading [Palat] 2 2 3 2 4 4 2" xfId="43060"/>
    <cellStyle name="Table Head Green 2 4 4 4 2" xfId="43061"/>
    <cellStyle name="ac 4 3 4 2" xfId="43062"/>
    <cellStyle name="dp*SheetSubTitle 3 4 4 2" xfId="43063"/>
    <cellStyle name="dp*NumberLine 3 4 4 2" xfId="43064"/>
    <cellStyle name="Arial6Bold 4 2 3 2" xfId="43065"/>
    <cellStyle name="Arial8Bold 4 2 3 2" xfId="43066"/>
    <cellStyle name="Arial8Italic 4 2 3 2" xfId="43067"/>
    <cellStyle name="ArialNormal 4 2 3 2" xfId="43068"/>
    <cellStyle name="Outputs 3 4 4 2" xfId="43069"/>
    <cellStyle name="Title [Helv] 3 4 4 2" xfId="43070"/>
    <cellStyle name="Bold/Border 4 3 4 2" xfId="43071"/>
    <cellStyle name="Border Thin 5 3 4 2" xfId="43072"/>
    <cellStyle name="P-Green Rule 4 4 4 2" xfId="43073"/>
    <cellStyle name="dp*SubTitle 4 4 4 2" xfId="43074"/>
    <cellStyle name="Table Head Green 2 2 2 4 4 4 2" xfId="43075"/>
    <cellStyle name="Heading [Palat] 2 2 2 4 4 4 2" xfId="43076"/>
    <cellStyle name="Date [mmm-yyyy] 2 2 2 4 4 4 2" xfId="43077"/>
    <cellStyle name="P-Green Rule 3 2 4 4 4 2" xfId="43078"/>
    <cellStyle name="dp*ThinLineBelow 3 2 4 4 4 2" xfId="43079"/>
    <cellStyle name="COL HEADINGS 4 3 4 2" xfId="43080"/>
    <cellStyle name="Date [mm-d-yyyy] 3 2 4 4 4 2" xfId="43081"/>
    <cellStyle name="Magic 2 2 2 3 4 4 2" xfId="43082"/>
    <cellStyle name="dp*SheetSubTitle 2 2 2 3 4 4 2" xfId="43083"/>
    <cellStyle name="Date [mmm-yyyy] 2 2 2 3 4 4 2" xfId="43084"/>
    <cellStyle name="Afjusted 2 2 2 3 4 4 2" xfId="43085"/>
    <cellStyle name="Border Thin 3 2 3 4 4 2" xfId="43086"/>
    <cellStyle name="PB Table Standard Row 3 2 3 4 4 2" xfId="43087"/>
    <cellStyle name="Style 45 4 2 3 4 4 2" xfId="43088"/>
    <cellStyle name="Date [mm-d-yyyy] 3 2 3 4 4 2" xfId="43089"/>
    <cellStyle name="Title [Palat] 2 2 2 2 4 4 2" xfId="43090"/>
    <cellStyle name="Bold/Border 2 2 2 7 4 2" xfId="43091"/>
    <cellStyle name="Style 45 4 3 7 4 2" xfId="43092"/>
    <cellStyle name="PB Table Standard Row 3 3 7 4 2" xfId="43093"/>
    <cellStyle name="Date [mm-d-yyyy] 5 3 4 2" xfId="43094"/>
    <cellStyle name="Bold/Border 2 2 3 7 4 2" xfId="43095"/>
    <cellStyle name="Title [Helv] 2 2 3 7 4 2" xfId="43096"/>
    <cellStyle name="DateYearEstimate 4 2 3 2" xfId="43097"/>
    <cellStyle name="DateYearWholeEstimate 4 2 3 2" xfId="43098"/>
    <cellStyle name="Style 45 4 4 4 4 2" xfId="43099"/>
    <cellStyle name="dp*ThinLineBelow 3 3 3 4 4 2" xfId="43100"/>
    <cellStyle name="Draw lines around data in range 4 2 3 2" xfId="43101"/>
    <cellStyle name="Draw shadow and lines within range 4 2 3 2" xfId="43102"/>
    <cellStyle name="PB Table Standard Row 3 3 3 4 4 2" xfId="43103"/>
    <cellStyle name="ac 2 2 3 3 4 4 2" xfId="43104"/>
    <cellStyle name="Heading [Helv] 2 2 3 3 4 4 2" xfId="43105"/>
    <cellStyle name="Title [Palat] 2 2 4 4 4 2" xfId="43106"/>
    <cellStyle name="Outputs 2 2 4 4 4 2" xfId="43107"/>
    <cellStyle name="Title [Palat] 2 2 3 4 4 4 2" xfId="43108"/>
    <cellStyle name="dp*SheetSubTitle 2 2 3 4 4 4 2" xfId="43109"/>
    <cellStyle name="ac 2 2 3 4 4 4 2" xfId="43110"/>
    <cellStyle name="Afjusted 3 3 4 4 4 2" xfId="43111"/>
    <cellStyle name="COL HEADINGS 2 2 3 4 4 4 2" xfId="43112"/>
    <cellStyle name="P-Green Rule 2 2 4 4 2" xfId="43113"/>
    <cellStyle name="Style 49 3 2 4 4 2" xfId="43114"/>
    <cellStyle name="Style 49 2 2 4 4 2" xfId="43115"/>
    <cellStyle name="Title [Helv] 2 2 3 4 4 4 2" xfId="43116"/>
    <cellStyle name="Bold/Border 2 2 3 4 4 4 2" xfId="43117"/>
    <cellStyle name="Format a row of totals 4 2 3 2" xfId="43118"/>
    <cellStyle name="Format text as bold, black on yellow 4 2 3 2" xfId="43119"/>
    <cellStyle name="Heading [Helv] 4 3 4 2" xfId="43120"/>
    <cellStyle name="Heading [Palat] 4 3 4 2" xfId="43121"/>
    <cellStyle name="Title [Helv] 2 2 7 4 2" xfId="43122"/>
    <cellStyle name="Heading [Palat] 2 2 7 4 2" xfId="43123"/>
    <cellStyle name="COL HEADINGS 2 2 7 4 2" xfId="43124"/>
    <cellStyle name="ac 2 2 7 4 2" xfId="43125"/>
    <cellStyle name="ItemTypeClass 4 2 3 2" xfId="43126"/>
    <cellStyle name="Style 45 4 3 4 5 2 3" xfId="43127"/>
    <cellStyle name="Main 3 2 3 2" xfId="43128"/>
    <cellStyle name="Magic 5 6 3" xfId="43129"/>
    <cellStyle name="Outputs 4 3 4 2" xfId="43130"/>
    <cellStyle name="PB Table Standard Row 5 3 4 2" xfId="43131"/>
    <cellStyle name="P-Green Rule 5 3 4 2" xfId="43132"/>
    <cellStyle name="SAPBEXaggItemX 3 2 3 2" xfId="43133"/>
    <cellStyle name="SAPBEXHLevel0 3 2 3 2" xfId="43134"/>
    <cellStyle name="SAPBEXHLevel0X 3 2 3 2" xfId="43135"/>
    <cellStyle name="SAPBEXHLevel1 3 2 3 2" xfId="43136"/>
    <cellStyle name="SAPBEXHLevel1X 3 2 3 2" xfId="43137"/>
    <cellStyle name="SAPBEXHLevel2 3 2 3 2" xfId="43138"/>
    <cellStyle name="SAPBEXHLevel2X 3 2 3 2" xfId="43139"/>
    <cellStyle name="SAPBEXHLevel3 3 2 3 2" xfId="43140"/>
    <cellStyle name="SAPBEXHLevel3X 3 2 3 2" xfId="43141"/>
    <cellStyle name="SAPBEXresItemX 3 2 3 2" xfId="43142"/>
    <cellStyle name="SAPBEXstdItemX 3 2 3 2" xfId="43143"/>
    <cellStyle name="Style 21 4 2 3 2" xfId="43144"/>
    <cellStyle name="Style 22 4 2 3 2" xfId="43145"/>
    <cellStyle name="Style 35 4 2 3 2" xfId="43146"/>
    <cellStyle name="Style 36 4 2 3 2" xfId="43147"/>
    <cellStyle name="Style 37 4 2 3 2" xfId="43148"/>
    <cellStyle name="Style 40 4 2 3 2" xfId="43149"/>
    <cellStyle name="Style 42 4 2 3 2" xfId="43150"/>
    <cellStyle name="Style 43 4 2 3 2" xfId="43151"/>
    <cellStyle name="Style 44 6 3 4 2" xfId="43152"/>
    <cellStyle name="Style 45 6 3 4 2" xfId="43153"/>
    <cellStyle name="Style 48 4 2 3 2" xfId="43154"/>
    <cellStyle name="Style 49 6 3 4 2" xfId="43155"/>
    <cellStyle name="Style 50 4 2 3 2" xfId="43156"/>
    <cellStyle name="Style 51 6 3 4 2" xfId="43157"/>
    <cellStyle name="Style 52 4 2 3 2" xfId="43158"/>
    <cellStyle name="Style 53 4 2 3 2" xfId="43159"/>
    <cellStyle name="SymbolBlue 4 2 3 2" xfId="43160"/>
    <cellStyle name="Table Head Green 4 3 4 2" xfId="43161"/>
    <cellStyle name="UNLOCKED 21 2 3 2" xfId="43162"/>
    <cellStyle name="WingdingsBlack 4 2 3 2" xfId="43163"/>
    <cellStyle name="WingdingsRed 4 2 3 2" xfId="43164"/>
    <cellStyle name="WingdingsWhite 4 2 3 2" xfId="43165"/>
    <cellStyle name="Magic 2 2 3 2 5 2 3" xfId="43166"/>
    <cellStyle name="Heading [Helv] 2 9 4 2" xfId="43167"/>
    <cellStyle name="Style 49 4 2 2 5 2 3" xfId="43168"/>
    <cellStyle name="Afjusted 6 3 4 2" xfId="43169"/>
    <cellStyle name="UNLOCKED 22 2 3 2" xfId="43170"/>
    <cellStyle name="ac 2 5 3 4 2" xfId="43171"/>
    <cellStyle name="Afjusted 2 4 3 4 2" xfId="43172"/>
    <cellStyle name="Bold/Border 2 5 3 4 2" xfId="43173"/>
    <cellStyle name="Border Thin 2 5 3 4 2" xfId="43174"/>
    <cellStyle name="COL HEADINGS 2 5 3 4 2" xfId="43175"/>
    <cellStyle name="Date [mmm-yyyy] 2 5 3 4 2" xfId="43176"/>
    <cellStyle name="dp*NumberLine 2 5 3 4 2" xfId="43177"/>
    <cellStyle name="dp*NumberLineEPS 2 5 3 4 2" xfId="43178"/>
    <cellStyle name="dp*SheetSubTitle 2 5 3 4 2" xfId="43179"/>
    <cellStyle name="dp*SubTitle 2 5 3 4 2" xfId="43180"/>
    <cellStyle name="dp*ThinLineBelow 2 5 3 4 2" xfId="43181"/>
    <cellStyle name="Heading [Helv] 2 5 3 4 2" xfId="43182"/>
    <cellStyle name="Heading [Palat] 2 5 3 4 2" xfId="43183"/>
    <cellStyle name="Magic 2 5 3 4 2" xfId="43184"/>
    <cellStyle name="Outputs 2 5 3 4 2" xfId="43185"/>
    <cellStyle name="PB Table Standard Row 2 5 3 4 2" xfId="43186"/>
    <cellStyle name="P-Green Rule 2 5 3 4 2" xfId="43187"/>
    <cellStyle name="Style 44 3 5 3 4 2" xfId="43188"/>
    <cellStyle name="Style 45 3 5 3 4 2" xfId="43189"/>
    <cellStyle name="Style 49 3 5 3 4 2" xfId="43190"/>
    <cellStyle name="Style 51 3 5 3 4 2" xfId="43191"/>
    <cellStyle name="Style 44 2 5 3 4 2" xfId="43192"/>
    <cellStyle name="Style 45 2 5 3 4 2" xfId="43193"/>
    <cellStyle name="Style 49 2 5 3 4 2" xfId="43194"/>
    <cellStyle name="Style 51 2 5 3 4 2" xfId="43195"/>
    <cellStyle name="Table Head Aligned 2 5 3 4 2" xfId="43196"/>
    <cellStyle name="Table Head Green 2 5 3 4 2" xfId="43197"/>
    <cellStyle name="Title [Helv] 2 5 3 4 2" xfId="43198"/>
    <cellStyle name="Title [Palat] 2 5 3 4 2" xfId="43199"/>
    <cellStyle name="Magic 2 2 3 2 4 4 2" xfId="43200"/>
    <cellStyle name="Table Head Green 2 3 4 4 2" xfId="43201"/>
    <cellStyle name="Outputs 2 2 3 2 4 4 2" xfId="43202"/>
    <cellStyle name="UNLOCKED 23 2 3 2" xfId="43203"/>
    <cellStyle name="Heading [Palat] 2 2 3 4 4 4 2" xfId="43204"/>
    <cellStyle name="UNLOCKED 24 2 3 2" xfId="43205"/>
    <cellStyle name="P-Green Rule 5 4 4 2" xfId="43206"/>
    <cellStyle name="dp*NumberLineEPS 2 2 2 2 5 2 3" xfId="43207"/>
    <cellStyle name="Date [mm-d-yyyy] 5 4 4 2" xfId="43208"/>
    <cellStyle name="ac 4 4 4 2" xfId="43209"/>
    <cellStyle name="Table Head Aligned 2 4 4 4 2" xfId="43210"/>
    <cellStyle name="ac 5 3 4 2" xfId="43211"/>
    <cellStyle name="Bold/Border 3 4 4 2" xfId="43212"/>
    <cellStyle name="dp*NumberLineEPS 3 4 4 2" xfId="43213"/>
    <cellStyle name="Arial6Bold 5 2 3 2" xfId="43214"/>
    <cellStyle name="Arial8Bold 5 2 3 2" xfId="43215"/>
    <cellStyle name="Arial8Italic 5 2 3 2" xfId="43216"/>
    <cellStyle name="ArialNormal 5 2 3 2" xfId="43217"/>
    <cellStyle name="Heading [Helv] 3 4 4 2" xfId="43218"/>
    <cellStyle name="Title [Palat] 3 4 4 2" xfId="43219"/>
    <cellStyle name="Bold/Border 5 3 4 2" xfId="43220"/>
    <cellStyle name="Border Thin 6 3 4 2" xfId="43221"/>
    <cellStyle name="PB Table Standard Row 4 4 4 2" xfId="43222"/>
    <cellStyle name="Date [mm-d-yyyy] 4 4 4 2" xfId="43223"/>
    <cellStyle name="Title [Palat] 2 2 2 4 4 4 2" xfId="43224"/>
    <cellStyle name="Table Head Aligned 2 2 2 4 4 4 2" xfId="43225"/>
    <cellStyle name="Heading [Helv] 2 2 2 4 4 4 2" xfId="43226"/>
    <cellStyle name="COL HEADINGS 2 2 2 4 4 4 2" xfId="43227"/>
    <cellStyle name="Style 44 4 2 4 4 4 2" xfId="43228"/>
    <cellStyle name="PB Table Standard Row 3 2 4 4 4 2" xfId="43229"/>
    <cellStyle name="COL HEADINGS 5 3 4 2" xfId="43230"/>
    <cellStyle name="Afjusted 3 2 4 4 4 2" xfId="43231"/>
    <cellStyle name="Heading [Palat] 2 2 2 3 4 4 2" xfId="43232"/>
    <cellStyle name="dp*NumberLineEPS 2 2 2 3 4 4 2" xfId="43233"/>
    <cellStyle name="COL HEADINGS 2 2 2 3 4 4 2" xfId="43234"/>
    <cellStyle name="ac 2 2 2 3 4 4 2" xfId="43235"/>
    <cellStyle name="dp*SubTitle 3 2 3 4 4 2" xfId="43236"/>
    <cellStyle name="P-Green Rule 3 2 3 4 4 2" xfId="43237"/>
    <cellStyle name="Style 49 4 2 3 4 4 2" xfId="43238"/>
    <cellStyle name="Afjusted 3 2 3 4 4 2" xfId="43239"/>
    <cellStyle name="Title [Helv] 2 2 2 2 4 4 2" xfId="43240"/>
    <cellStyle name="Afjusted 2 2 2 7 4 2" xfId="43241"/>
    <cellStyle name="Date [mm-d-yyyy] 3 3 7 4 2" xfId="43242"/>
    <cellStyle name="Style 51 4 3 7 4 2" xfId="43243"/>
    <cellStyle name="Style 44 4 3 7 4 2" xfId="43244"/>
    <cellStyle name="dp*ThinLineBelow 3 3 7 4 2" xfId="43245"/>
    <cellStyle name="Afjusted 4 3 7 4 2" xfId="43246"/>
    <cellStyle name="Date [mm-d-yyyy] 6 2 4 2" xfId="43247"/>
    <cellStyle name="COL HEADINGS 2 2 3 7 4 2" xfId="43248"/>
    <cellStyle name="Title [Palat] 2 2 3 7 4 2" xfId="43249"/>
    <cellStyle name="DateYearEstimate 5 2 3 2" xfId="43250"/>
    <cellStyle name="DateYearWholeEstimate 5 2 3 2" xfId="43251"/>
    <cellStyle name="Afjusted 2 2 4 4 4 2" xfId="43252"/>
    <cellStyle name="Border Thin 3 3 4 4 4 2" xfId="43253"/>
    <cellStyle name="Style 49 4 4 4 4 2" xfId="43254"/>
    <cellStyle name="Afjusted 2 2 3 3 4 4 2" xfId="43255"/>
    <cellStyle name="Draw lines around data in range 5 2 3 2" xfId="43256"/>
    <cellStyle name="Draw shadow and lines within range 5 2 3 2" xfId="43257"/>
    <cellStyle name="Border Thin 3 3 3 4 4 2" xfId="43258"/>
    <cellStyle name="COL HEADINGS 2 2 3 3 4 4 2" xfId="43259"/>
    <cellStyle name="Magic 2 2 3 3 4 4 2" xfId="43260"/>
    <cellStyle name="Title [Helv] 2 2 4 4 4 2" xfId="43261"/>
    <cellStyle name="Heading [Palat] 2 2 4 4 4 2" xfId="43262"/>
    <cellStyle name="Table Head Aligned 2 2 3 4 4 4 2" xfId="43263"/>
    <cellStyle name="dp*NumberLineEPS 2 2 3 4 4 4 2" xfId="43264"/>
    <cellStyle name="Afjusted 4 3 4 4 4 2" xfId="43265"/>
    <cellStyle name="Style 44 3 3 4 4 2" xfId="43266"/>
    <cellStyle name="dp*ThinLineBelow 2 2 4 4 2" xfId="43267"/>
    <cellStyle name="Style 44 3 2 4 4 2" xfId="43268"/>
    <cellStyle name="Style 51 3 2 4 4 2" xfId="43269"/>
    <cellStyle name="Style 45 2 2 4 4 2" xfId="43270"/>
    <cellStyle name="Magic 2 2 3 4 4 4 2" xfId="43271"/>
    <cellStyle name="Format a row of totals 5 2 3 2" xfId="43272"/>
    <cellStyle name="Format text as bold, black on yellow 5 2 3 2" xfId="43273"/>
    <cellStyle name="Heading [Helv] 5 3 4 2" xfId="43274"/>
    <cellStyle name="Heading [Palat] 5 3 4 2" xfId="43275"/>
    <cellStyle name="Table Head Green 2 2 7 4 2" xfId="43276"/>
    <cellStyle name="Heading [Helv] 2 2 7 4 2" xfId="43277"/>
    <cellStyle name="Bold/Border 2 2 7 4 2" xfId="43278"/>
    <cellStyle name="ItemTypeClass 5 2 3 2" xfId="43279"/>
    <cellStyle name="Main 4 2 3 2" xfId="43280"/>
    <cellStyle name="Style 49 2 8 4 2" xfId="43281"/>
    <cellStyle name="Outputs 5 3 4 2" xfId="43282"/>
    <cellStyle name="PB Table Standard Row 6 3 4 2" xfId="43283"/>
    <cellStyle name="P-Green Rule 6 3 4 2" xfId="43284"/>
    <cellStyle name="SAPBEXaggItemX 4 2 3 2" xfId="43285"/>
    <cellStyle name="SAPBEXHLevel0 4 2 3 2" xfId="43286"/>
    <cellStyle name="SAPBEXHLevel0X 4 2 3 2" xfId="43287"/>
    <cellStyle name="SAPBEXHLevel1 4 2 3 2" xfId="43288"/>
    <cellStyle name="SAPBEXHLevel1X 4 2 3 2" xfId="43289"/>
    <cellStyle name="SAPBEXHLevel2 4 2 3 2" xfId="43290"/>
    <cellStyle name="SAPBEXHLevel2X 4 2 3 2" xfId="43291"/>
    <cellStyle name="SAPBEXHLevel3 4 2 3 2" xfId="43292"/>
    <cellStyle name="SAPBEXHLevel3X 4 2 3 2" xfId="43293"/>
    <cellStyle name="SAPBEXresItemX 4 2 3 2" xfId="43294"/>
    <cellStyle name="SAPBEXstdItemX 4 2 3 2" xfId="43295"/>
    <cellStyle name="Style 49 4 2 4 5 2 3" xfId="43296"/>
    <cellStyle name="Style 21 5 2 3 2" xfId="43297"/>
    <cellStyle name="Style 22 5 2 3 2" xfId="43298"/>
    <cellStyle name="Style 35 5 2 3 2" xfId="43299"/>
    <cellStyle name="Style 36 5 2 3 2" xfId="43300"/>
    <cellStyle name="Style 37 5 2 3 2" xfId="43301"/>
    <cellStyle name="Style 40 5 2 3 2" xfId="43302"/>
    <cellStyle name="Style 42 5 2 3 2" xfId="43303"/>
    <cellStyle name="Style 43 5 2 3 2" xfId="43304"/>
    <cellStyle name="Style 44 7 3 4 2" xfId="43305"/>
    <cellStyle name="Style 45 7 3 4 2" xfId="43306"/>
    <cellStyle name="Style 48 5 2 3 2" xfId="43307"/>
    <cellStyle name="Style 49 7 3 4 2" xfId="43308"/>
    <cellStyle name="Style 50 5 2 3 2" xfId="43309"/>
    <cellStyle name="Style 51 7 3 4 2" xfId="43310"/>
    <cellStyle name="Style 52 5 2 3 2" xfId="43311"/>
    <cellStyle name="Style 53 5 2 3 2" xfId="43312"/>
    <cellStyle name="SymbolBlue 5 2 3 2" xfId="43313"/>
    <cellStyle name="Table Head Green 5 3 4 2" xfId="43314"/>
    <cellStyle name="Title [Palat] 4 3 4 2" xfId="43315"/>
    <cellStyle name="UNLOCKED 25 2 3 2" xfId="43316"/>
    <cellStyle name="WingdingsBlack 5 2 3 2" xfId="43317"/>
    <cellStyle name="WingdingsRed 5 2 3 2" xfId="43318"/>
    <cellStyle name="WingdingsWhite 5 2 3 2" xfId="43319"/>
    <cellStyle name="Afjusted 3 2 2 5 2 3" xfId="43320"/>
    <cellStyle name="Afjusted 2 2 3 4 7 3" xfId="43321"/>
    <cellStyle name="ac 2 6 3 4 2" xfId="43322"/>
    <cellStyle name="Bold/Border 2 6 3 4 2" xfId="43323"/>
    <cellStyle name="Border Thin 2 6 3 4 2" xfId="43324"/>
    <cellStyle name="COL HEADINGS 2 6 3 4 2" xfId="43325"/>
    <cellStyle name="Date [mm-d-yyyy] 2 3 2 4 2" xfId="43326"/>
    <cellStyle name="Bold/Border 2 2 3 3 4 4 2" xfId="43327"/>
    <cellStyle name="Header2 2 2 2 3 2" xfId="43328"/>
    <cellStyle name="Heading [Helv] 2 6 3 4 2" xfId="43329"/>
    <cellStyle name="Heading [Palat] 2 6 3 4 2" xfId="43330"/>
    <cellStyle name="Outputs 2 2 3 3 4 4 2" xfId="43331"/>
    <cellStyle name="Outputs 2 6 3 4 2" xfId="43332"/>
    <cellStyle name="PB Table Standard Row 2 6 3 4 2" xfId="43333"/>
    <cellStyle name="P-Green Rule 2 6 3 4 2" xfId="43334"/>
    <cellStyle name="Style 44 3 6 3 4 2" xfId="43335"/>
    <cellStyle name="Style 45 3 6 3 4 2" xfId="43336"/>
    <cellStyle name="Style 49 3 6 3 4 2" xfId="43337"/>
    <cellStyle name="Style 51 3 6 3 4 2" xfId="43338"/>
    <cellStyle name="Style 44 2 6 3 4 2" xfId="43339"/>
    <cellStyle name="Style 45 2 6 3 4 2" xfId="43340"/>
    <cellStyle name="Style 49 2 6 3 4 2" xfId="43341"/>
    <cellStyle name="Style 51 2 6 3 4 2" xfId="43342"/>
    <cellStyle name="Table Head Green 2 6 3 4 2" xfId="43343"/>
    <cellStyle name="Title [Palat] 2 6 3 4 2" xfId="43344"/>
    <cellStyle name="Table Head Green 2 2 3 4 4 4 2" xfId="43345"/>
    <cellStyle name="dp*SheetSubTitle 2 2 3 8 2 3" xfId="43346"/>
    <cellStyle name="UNLOCKED 26 2 3 2" xfId="43347"/>
    <cellStyle name="Table Head Green 2 2 2 7 4 2" xfId="43348"/>
    <cellStyle name="Outputs 2 2 2 7 4 2" xfId="43349"/>
    <cellStyle name="Title [Helv] 2 2 3 2 4 4 2" xfId="43350"/>
    <cellStyle name="dp*ThinLineBelow 3 2 2 5 2 3" xfId="43351"/>
    <cellStyle name="P-Green Rule 3 3 3 5 2 3" xfId="43352"/>
    <cellStyle name="Afjusted 2 2 2 2 5 2 3" xfId="43353"/>
    <cellStyle name="dp*SubTitle 3 3 2 5 2 3" xfId="43354"/>
    <cellStyle name="Style 49 4 3 2 5 2 3" xfId="43355"/>
    <cellStyle name="Outputs 2 2 3 2 5 2 3" xfId="43356"/>
    <cellStyle name="Date [mmm-yyyy] 2 2 2 2 5 2 3" xfId="43357"/>
    <cellStyle name="PB Table Standard Row 3 5 4 4 2" xfId="43358"/>
    <cellStyle name="P-Green Rule 3 2 2 4 4 2" xfId="43359"/>
    <cellStyle name="Style 49 4 2 2 4 4 2" xfId="43360"/>
    <cellStyle name="dp*NumberLineEPS 2 8 4 2" xfId="43361"/>
    <cellStyle name="Heading [Helv] 2 2 2 7 4 2" xfId="43362"/>
    <cellStyle name="FieldName 4 2 3 2" xfId="43363"/>
    <cellStyle name="WingdingsWhite 6 2 3 2" xfId="43364"/>
    <cellStyle name="WingdingsRed 6 2 3 2" xfId="43365"/>
    <cellStyle name="WingdingsBlack 6 2 3 2" xfId="43366"/>
    <cellStyle name="UNLOCKED 28 2 3 2" xfId="43367"/>
    <cellStyle name="Title [Palat] 5 3 4 2" xfId="43368"/>
    <cellStyle name="Title [Helv] 4 3 4 2" xfId="43369"/>
    <cellStyle name="Table Head Green 6 3 4 2" xfId="43370"/>
    <cellStyle name="Table Head Aligned 4 3 4 2" xfId="43371"/>
    <cellStyle name="SymbolBlue 6 2 3 2" xfId="43372"/>
    <cellStyle name="Style 53 6 2 3 2" xfId="43373"/>
    <cellStyle name="Style 52 6 2 3 2" xfId="43374"/>
    <cellStyle name="Style 50 6 2 3 2" xfId="43375"/>
    <cellStyle name="Style 48 6 2 3 2" xfId="43376"/>
    <cellStyle name="Style 43 6 2 3 2" xfId="43377"/>
    <cellStyle name="Style 42 6 2 3 2" xfId="43378"/>
    <cellStyle name="Style 40 6 2 3 2" xfId="43379"/>
    <cellStyle name="Style 37 6 2 3 2" xfId="43380"/>
    <cellStyle name="Style 36 6 2 3 2" xfId="43381"/>
    <cellStyle name="Style 35 6 2 3 2" xfId="43382"/>
    <cellStyle name="Style 28 4 2 3 2" xfId="43383"/>
    <cellStyle name="Style 27 4 2 3 2" xfId="43384"/>
    <cellStyle name="Style 24 4 2 3 2" xfId="43385"/>
    <cellStyle name="Style 26 4 2 3 2" xfId="43386"/>
    <cellStyle name="Style 25 4 2 3 2" xfId="43387"/>
    <cellStyle name="Style 22 6 2 3 2" xfId="43388"/>
    <cellStyle name="Style 21 6 2 3 2" xfId="43389"/>
    <cellStyle name="SSFixed2 3 2 3 2" xfId="43390"/>
    <cellStyle name="SSDfltPct0 3 2 3 2" xfId="43391"/>
    <cellStyle name="SSDfltPct 3 2 3 2" xfId="43392"/>
    <cellStyle name="SSDecs3 3 2 3 2" xfId="43393"/>
    <cellStyle name="SSComma2 3 2 3 2" xfId="43394"/>
    <cellStyle name="SSComma0 3 2 3 2" xfId="43395"/>
    <cellStyle name="SAPBEXundefined 3 2 3 2" xfId="43396"/>
    <cellStyle name="SAPBEXtitle 3 2 3 2" xfId="43397"/>
    <cellStyle name="SAPBEXstdItemX 5 2 3 2" xfId="43398"/>
    <cellStyle name="SAPBEXstdItem 3 2 3 2" xfId="43399"/>
    <cellStyle name="SAPBEXstdDataEmph 3 2 3 2" xfId="43400"/>
    <cellStyle name="SAPBEXstdData 3 2 3 2" xfId="43401"/>
    <cellStyle name="SAPBEXresItemX 5 2 3 2" xfId="43402"/>
    <cellStyle name="SAPBEXresItem 3 2 3 2" xfId="43403"/>
    <cellStyle name="SAPBEXresDataEmph 3 2 3 2" xfId="43404"/>
    <cellStyle name="SAPBEXresData 3 2 3 2" xfId="43405"/>
    <cellStyle name="SAPBEXHLevel3X 5 2 3 2" xfId="43406"/>
    <cellStyle name="SAPBEXHLevel3 5 2 3 2" xfId="43407"/>
    <cellStyle name="SAPBEXHLevel2X 5 2 3 2" xfId="43408"/>
    <cellStyle name="SAPBEXHLevel2 5 2 3 2" xfId="43409"/>
    <cellStyle name="SAPBEXHLevel1X 5 2 3 2" xfId="43410"/>
    <cellStyle name="SAPBEXHLevel1 5 2 3 2" xfId="43411"/>
    <cellStyle name="SAPBEXHLevel0X 5 2 3 2" xfId="43412"/>
    <cellStyle name="SAPBEXHLevel0 5 2 3 2" xfId="43413"/>
    <cellStyle name="SAPBEXformats 3 2 3 2" xfId="43414"/>
    <cellStyle name="SAPBEXexcGood3 3 2 3 2" xfId="43415"/>
    <cellStyle name="SAPBEXexcGood2 3 2 3 2" xfId="43416"/>
    <cellStyle name="SAPBEXexcGood1 3 2 3 2" xfId="43417"/>
    <cellStyle name="SAPBEXexcCritical6 3 2 3 2" xfId="43418"/>
    <cellStyle name="SAPBEXexcCritical5 3 2 3 2" xfId="43419"/>
    <cellStyle name="SAPBEXexcCritical4 3 2 3 2" xfId="43420"/>
    <cellStyle name="SAPBEXexcBad9 3 2 3 2" xfId="43421"/>
    <cellStyle name="SAPBEXexcBad8 3 2 3 2" xfId="43422"/>
    <cellStyle name="SAPBEXexcBad7 3 2 3 2" xfId="43423"/>
    <cellStyle name="SAPBEXaggItemX 5 2 3 2" xfId="43424"/>
    <cellStyle name="SAPBEXaggItem 3 2 3 2" xfId="43425"/>
    <cellStyle name="SAPBEXaggDataEmph 3 2 3 2" xfId="43426"/>
    <cellStyle name="SAPBEXaggData 3 2 3 2" xfId="43427"/>
    <cellStyle name="Arial6Bold 7 2 3 2" xfId="43428"/>
    <cellStyle name="Arial8Bold 7 2 3 2" xfId="43429"/>
    <cellStyle name="Arial8Italic 7 2 3 2" xfId="43430"/>
    <cellStyle name="ArialNormal 7 2 3 2" xfId="43431"/>
    <cellStyle name="Border 5 2 3 2" xfId="43432"/>
    <cellStyle name="Outputs 6 3 4 2" xfId="43433"/>
    <cellStyle name="dp*Number%ItalicsLineAbove 5 2 3 2" xfId="43434"/>
    <cellStyle name="dp*ThinLineAbove 5 2 3 2" xfId="43435"/>
    <cellStyle name="Draw lines around data in range 7 2 3 2" xfId="43436"/>
    <cellStyle name="Draw shadow and lines within range 7 2 3 2" xfId="43437"/>
    <cellStyle name="Millions 9 2 3 2" xfId="43438"/>
    <cellStyle name="Main 5 2 3 2" xfId="43439"/>
    <cellStyle name="Magic 4 3 4 2" xfId="43440"/>
    <cellStyle name="ItemTypeClass 6 2 3 2" xfId="43441"/>
    <cellStyle name="Format a row of totals 7 2 3 2" xfId="43442"/>
    <cellStyle name="Format text as bold, black on yellow 7 2 3 2" xfId="43443"/>
    <cellStyle name="dp*NumberLine 2 2 7 4 2" xfId="43444"/>
    <cellStyle name="Heading [Palat] 6 3 4 2" xfId="43445"/>
    <cellStyle name="Heading [Helv] 6 3 4 2" xfId="43446"/>
    <cellStyle name="Format text as bold, black on yellow 6 2 3 2" xfId="43447"/>
    <cellStyle name="Format a row of totals 6 2 3 2" xfId="43448"/>
    <cellStyle name="ItemTypeClass 7 2 3 2" xfId="43449"/>
    <cellStyle name="Main 6 2 3 2" xfId="43450"/>
    <cellStyle name="Draw shadow and lines within range 6 2 3 2" xfId="43451"/>
    <cellStyle name="Draw lines around data in range 6 2 3 2" xfId="43452"/>
    <cellStyle name="dp*ThinLineBelow 5 3 4 2" xfId="43453"/>
    <cellStyle name="dp*ThinLineAbove 4 2 3 2" xfId="43454"/>
    <cellStyle name="dp*SubTitle 5 3 4 2" xfId="43455"/>
    <cellStyle name="dp*SheetSubTitle 4 3 4 2" xfId="43456"/>
    <cellStyle name="dp*NumberLineEPS 4 3 4 2" xfId="43457"/>
    <cellStyle name="dp*NumberLine 4 3 4 2" xfId="43458"/>
    <cellStyle name="ac 2 3 4 4 2" xfId="43459"/>
    <cellStyle name="dp*Number%ItalicsLineAbove 4 2 3 2" xfId="43460"/>
    <cellStyle name="Millions 10 2 3 2" xfId="43461"/>
    <cellStyle name="Date [mmm-yyyy] 2 2 3 3 4 4 2" xfId="43462"/>
    <cellStyle name="Title [Helv] 2 3 4 4 2" xfId="43463"/>
    <cellStyle name="DateYearWholeEstimate 6 2 3 2" xfId="43464"/>
    <cellStyle name="DateYearEstimate 6 2 3 2" xfId="43465"/>
    <cellStyle name="Date [mmm-yyyy] 4 3 4 2" xfId="43466"/>
    <cellStyle name="Date [mm-d-yyyy] 7 3 4 2" xfId="43467"/>
    <cellStyle name="COL HEADINGS 6 3 4 2" xfId="43468"/>
    <cellStyle name="dp*SheetSubTitle 2 2 2 4 4 4 2" xfId="43469"/>
    <cellStyle name="Border Thin 7 3 4 2" xfId="43470"/>
    <cellStyle name="Border 4 2 3 2" xfId="43471"/>
    <cellStyle name="Bold/Border 6 3 4 2" xfId="43472"/>
    <cellStyle name="ArialNormal 6 2 3 2" xfId="43473"/>
    <cellStyle name="Arial8Italic 6 2 3 2" xfId="43474"/>
    <cellStyle name="Arial8Bold 6 2 3 2" xfId="43475"/>
    <cellStyle name="Arial6Bold 6 2 3 2" xfId="43476"/>
    <cellStyle name="Afjusted 7 3 4 2" xfId="43477"/>
    <cellStyle name="ac 6 3 4 2" xfId="43478"/>
    <cellStyle name="SAPBEXaggData 4 2 3 2" xfId="43479"/>
    <cellStyle name="SAPBEXaggDataEmph 4 2 3 2" xfId="43480"/>
    <cellStyle name="SAPBEXaggItem 4 2 3 2" xfId="43481"/>
    <cellStyle name="SAPBEXaggItemX 6 2 3 2" xfId="43482"/>
    <cellStyle name="SAPBEXexcBad7 4 2 3 2" xfId="43483"/>
    <cellStyle name="SAPBEXexcBad8 4 2 3 2" xfId="43484"/>
    <cellStyle name="SAPBEXexcBad9 4 2 3 2" xfId="43485"/>
    <cellStyle name="SAPBEXexcCritical4 4 2 3 2" xfId="43486"/>
    <cellStyle name="SAPBEXexcCritical5 4 2 3 2" xfId="43487"/>
    <cellStyle name="SAPBEXexcCritical6 4 2 3 2" xfId="43488"/>
    <cellStyle name="SAPBEXexcGood2 4 2 3 2" xfId="43489"/>
    <cellStyle name="SAPBEXexcGood1 4 2 3 2" xfId="43490"/>
    <cellStyle name="SAPBEXexcGood3 4 2 3 2" xfId="43491"/>
    <cellStyle name="SAPBEXformats 4 2 3 2" xfId="43492"/>
    <cellStyle name="SAPBEXHLevel0 6 2 3 2" xfId="43493"/>
    <cellStyle name="SAPBEXHLevel0X 6 2 3 2" xfId="43494"/>
    <cellStyle name="SAPBEXHLevel1 6 2 3 2" xfId="43495"/>
    <cellStyle name="SAPBEXHLevel1X 6 2 3 2" xfId="43496"/>
    <cellStyle name="SAPBEXHLevel2 6 2 3 2" xfId="43497"/>
    <cellStyle name="SAPBEXHLevel2X 6 2 3 2" xfId="43498"/>
    <cellStyle name="SAPBEXHLevel3 6 2 3 2" xfId="43499"/>
    <cellStyle name="SAPBEXHLevel3X 6 2 3 2" xfId="43500"/>
    <cellStyle name="SAPBEXresData 4 2 3 2" xfId="43501"/>
    <cellStyle name="SAPBEXresDataEmph 4 2 3 2" xfId="43502"/>
    <cellStyle name="SAPBEXresItem 4 2 3 2" xfId="43503"/>
    <cellStyle name="SAPBEXresItemX 6 2 3 2" xfId="43504"/>
    <cellStyle name="SAPBEXstdData 4 2 3 2" xfId="43505"/>
    <cellStyle name="SAPBEXstdDataEmph 4 2 3 2" xfId="43506"/>
    <cellStyle name="SAPBEXstdItem 4 2 3 2" xfId="43507"/>
    <cellStyle name="SAPBEXstdItemX 6 2 3 2" xfId="43508"/>
    <cellStyle name="SAPBEXtitle 4 2 3 2" xfId="43509"/>
    <cellStyle name="SAPBEXundefined 4 2 3 2" xfId="43510"/>
    <cellStyle name="Style 44 8 3 4 2" xfId="43511"/>
    <cellStyle name="Style 45 8 3 4 2" xfId="43512"/>
    <cellStyle name="Style 49 8 3 4 2" xfId="43513"/>
    <cellStyle name="Style 51 8 3 4 2" xfId="43514"/>
    <cellStyle name="SSComma0 4 2 3 2" xfId="43515"/>
    <cellStyle name="SSComma2 4 2 3 2" xfId="43516"/>
    <cellStyle name="SSDecs3 4 2 3 2" xfId="43517"/>
    <cellStyle name="SSDfltPct 4 2 3 2" xfId="43518"/>
    <cellStyle name="SSDfltPct0 4 2 3 2" xfId="43519"/>
    <cellStyle name="SSFixed2 4 2 3 2" xfId="43520"/>
    <cellStyle name="Style 22 7 2 3 2" xfId="43521"/>
    <cellStyle name="Style 24 5 2 3 2" xfId="43522"/>
    <cellStyle name="Style 25 5 2 3 2" xfId="43523"/>
    <cellStyle name="Style 26 5 2 3 2" xfId="43524"/>
    <cellStyle name="Style 27 5 2 3 2" xfId="43525"/>
    <cellStyle name="Style 28 5 2 3 2" xfId="43526"/>
    <cellStyle name="Style 35 7 2 3 2" xfId="43527"/>
    <cellStyle name="Style 36 7 2 3 2" xfId="43528"/>
    <cellStyle name="Style 37 7 2 3 2" xfId="43529"/>
    <cellStyle name="Style 40 7 2 3 2" xfId="43530"/>
    <cellStyle name="Style 42 7 2 3 2" xfId="43531"/>
    <cellStyle name="Style 43 7 2 3 2" xfId="43532"/>
    <cellStyle name="Style 48 7 2 3 2" xfId="43533"/>
    <cellStyle name="Style 50 7 2 3 2" xfId="43534"/>
    <cellStyle name="Style 52 7 2 3 2" xfId="43535"/>
    <cellStyle name="Style 53 7 2 3 2" xfId="43536"/>
    <cellStyle name="UNLOCKED 27 2 3 2" xfId="43537"/>
    <cellStyle name="SymbolBlue 7 2 3 2" xfId="43538"/>
    <cellStyle name="Style 21 7 2 3 2" xfId="43539"/>
    <cellStyle name="Bold/Border 2 9 4 2" xfId="43540"/>
    <cellStyle name="Afjusted 3 2 2 4 4 2" xfId="43541"/>
    <cellStyle name="Style 44 4 2 2 4 4 2" xfId="43542"/>
    <cellStyle name="Heading [Helv] 2 2 2 2 4 4 2" xfId="43543"/>
    <cellStyle name="Style 45 4 5 4 4 2" xfId="43544"/>
    <cellStyle name="Afjusted 4 3 2 4 4 2" xfId="43545"/>
    <cellStyle name="PB Table Standard Row 2 3 3 4 2" xfId="43546"/>
    <cellStyle name="Style 51 4 2 2 4 4 2" xfId="43547"/>
    <cellStyle name="DateYearWholeEstimate 7 2 3 2" xfId="43548"/>
    <cellStyle name="DateYearEstimate 7 2 3 2" xfId="43549"/>
    <cellStyle name="UNLOCKED 29 2 3 2" xfId="43550"/>
    <cellStyle name="WingdingsBlack 7 2 3 2" xfId="43551"/>
    <cellStyle name="WingdingsRed 7 2 3 2" xfId="43552"/>
    <cellStyle name="WingdingsWhite 7 2 3 2" xfId="43553"/>
    <cellStyle name="UNLOCKED 31 2 3 2" xfId="43554"/>
    <cellStyle name="Title [Palat] 6 3 4 2" xfId="43555"/>
    <cellStyle name="Title [Helv] 5 3 4 2" xfId="43556"/>
    <cellStyle name="Table Head Green 7 3 4 2" xfId="43557"/>
    <cellStyle name="Table Head Aligned 5 3 4 2" xfId="43558"/>
    <cellStyle name="Outputs 7 3 4 2" xfId="43559"/>
    <cellStyle name="Millions 11 2 3 2" xfId="43560"/>
    <cellStyle name="Magic 5 3 4 2" xfId="43561"/>
    <cellStyle name="Heading [Palat] 7 3 4 2" xfId="43562"/>
    <cellStyle name="Heading [Helv] 7 3 4 2" xfId="43563"/>
    <cellStyle name="dp*SheetSubTitle 5 3 4 2" xfId="43564"/>
    <cellStyle name="dp*NumberLineEPS 5 3 4 2" xfId="43565"/>
    <cellStyle name="dp*NumberLine 5 3 4 2" xfId="43566"/>
    <cellStyle name="Date [mmm-yyyy] 5 3 4 2" xfId="43567"/>
    <cellStyle name="COL HEADINGS 7 3 4 2" xfId="43568"/>
    <cellStyle name="Bold/Border 7 3 4 2" xfId="43569"/>
    <cellStyle name="Afjusted 8 3 4 2" xfId="43570"/>
    <cellStyle name="ac 7 3 4 2" xfId="43571"/>
    <cellStyle name="UNLOCKED 30 2 3 2" xfId="43572"/>
    <cellStyle name="FieldName 5 2 3 2" xfId="43573"/>
    <cellStyle name="WingdingsWhite 8 2 3 2" xfId="43574"/>
    <cellStyle name="WingdingsRed 8 2 3 2" xfId="43575"/>
    <cellStyle name="WingdingsBlack 8 2 3 2" xfId="43576"/>
    <cellStyle name="UNLOCKED 33 2 3 2" xfId="43577"/>
    <cellStyle name="Title [Palat] 7 3 4 2" xfId="43578"/>
    <cellStyle name="Title [Helv] 6 3 4 2" xfId="43579"/>
    <cellStyle name="Table Head Green 8 3 4 2" xfId="43580"/>
    <cellStyle name="Table Head Aligned 6 3 4 2" xfId="43581"/>
    <cellStyle name="SymbolBlue 8 2 3 2" xfId="43582"/>
    <cellStyle name="Style 53 8 2 3 2" xfId="43583"/>
    <cellStyle name="Style 52 8 2 3 2" xfId="43584"/>
    <cellStyle name="Style 50 8 2 3 2" xfId="43585"/>
    <cellStyle name="Style 48 8 2 3 2" xfId="43586"/>
    <cellStyle name="Style 43 8 2 3 2" xfId="43587"/>
    <cellStyle name="Style 42 8 2 3 2" xfId="43588"/>
    <cellStyle name="Style 40 8 2 3 2" xfId="43589"/>
    <cellStyle name="Style 37 8 2 3 2" xfId="43590"/>
    <cellStyle name="Style 36 8 2 3 2" xfId="43591"/>
    <cellStyle name="Style 35 8 2 3 2" xfId="43592"/>
    <cellStyle name="Style 28 6 2 3 2" xfId="43593"/>
    <cellStyle name="Style 26 6 2 3 2" xfId="43594"/>
    <cellStyle name="Style 27 6 2 3 2" xfId="43595"/>
    <cellStyle name="Style 25 6 2 3 2" xfId="43596"/>
    <cellStyle name="Style 24 6 2 3 2" xfId="43597"/>
    <cellStyle name="Style 22 8 2 3 2" xfId="43598"/>
    <cellStyle name="Style 21 8 2 3 2" xfId="43599"/>
    <cellStyle name="SSFixed2 5 2 3 2" xfId="43600"/>
    <cellStyle name="SSDfltPct0 5 2 3 2" xfId="43601"/>
    <cellStyle name="SSDfltPct 5 2 3 2" xfId="43602"/>
    <cellStyle name="SSDecs3 5 2 3 2" xfId="43603"/>
    <cellStyle name="SSComma2 5 2 3 2" xfId="43604"/>
    <cellStyle name="SSComma0 5 2 3 2" xfId="43605"/>
    <cellStyle name="SAPBEXundefined 5 2 3 2" xfId="43606"/>
    <cellStyle name="SAPBEXtitle 5 2 3 2" xfId="43607"/>
    <cellStyle name="SAPBEXstdItemX 7 2 3 2" xfId="43608"/>
    <cellStyle name="SAPBEXstdItem 5 2 3 2" xfId="43609"/>
    <cellStyle name="SAPBEXstdDataEmph 5 2 3 2" xfId="43610"/>
    <cellStyle name="SAPBEXstdData 5 2 3 2" xfId="43611"/>
    <cellStyle name="SAPBEXresItemX 7 2 3 2" xfId="43612"/>
    <cellStyle name="SAPBEXresItem 5 2 3 2" xfId="43613"/>
    <cellStyle name="SAPBEXresDataEmph 5 2 3 2" xfId="43614"/>
    <cellStyle name="SAPBEXresData 5 2 3 2" xfId="43615"/>
    <cellStyle name="SAPBEXHLevel3X 7 2 3 2" xfId="43616"/>
    <cellStyle name="SAPBEXHLevel3 7 2 3 2" xfId="43617"/>
    <cellStyle name="SAPBEXHLevel2X 7 2 3 2" xfId="43618"/>
    <cellStyle name="SAPBEXHLevel2 7 2 3 2" xfId="43619"/>
    <cellStyle name="SAPBEXHLevel1X 7 2 3 2" xfId="43620"/>
    <cellStyle name="SAPBEXHLevel1 7 2 3 2" xfId="43621"/>
    <cellStyle name="SAPBEXHLevel0X 7 2 3 2" xfId="43622"/>
    <cellStyle name="SAPBEXHLevel0 7 2 3 2" xfId="43623"/>
    <cellStyle name="SAPBEXformats 5 2 3 2" xfId="43624"/>
    <cellStyle name="SAPBEXexcGood3 5 2 3 2" xfId="43625"/>
    <cellStyle name="SAPBEXexcGood2 5 2 3 2" xfId="43626"/>
    <cellStyle name="SAPBEXexcGood1 5 2 3 2" xfId="43627"/>
    <cellStyle name="SAPBEXexcCritical6 5 2 3 2" xfId="43628"/>
    <cellStyle name="SAPBEXexcCritical5 5 2 3 2" xfId="43629"/>
    <cellStyle name="SAPBEXexcCritical4 5 2 3 2" xfId="43630"/>
    <cellStyle name="SAPBEXexcBad9 5 2 3 2" xfId="43631"/>
    <cellStyle name="SAPBEXexcBad8 5 2 3 2" xfId="43632"/>
    <cellStyle name="SAPBEXexcBad7 5 2 3 2" xfId="43633"/>
    <cellStyle name="SAPBEXaggItemX 7 2 3 2" xfId="43634"/>
    <cellStyle name="SAPBEXaggItem 5 2 3 2" xfId="43635"/>
    <cellStyle name="SAPBEXaggDataEmph 5 2 3 2" xfId="43636"/>
    <cellStyle name="SAPBEXaggData 5 2 3 2" xfId="43637"/>
    <cellStyle name="Outputs 8 3 4 2" xfId="43638"/>
    <cellStyle name="Millions 12 2 3 2" xfId="43639"/>
    <cellStyle name="Main 7 2 3 2" xfId="43640"/>
    <cellStyle name="Magic 6 3 4 2" xfId="43641"/>
    <cellStyle name="ItemTypeClass 8 2 3 2" xfId="43642"/>
    <cellStyle name="Heading [Palat] 8 3 4 2" xfId="43643"/>
    <cellStyle name="Heading [Helv] 8 3 4 2" xfId="43644"/>
    <cellStyle name="Format text as bold, black on yellow 8 2 3 2" xfId="43645"/>
    <cellStyle name="Format a row of totals 8 2 3 2" xfId="43646"/>
    <cellStyle name="Draw shadow and lines within range 8 2 3 2" xfId="43647"/>
    <cellStyle name="Draw lines around data in range 8 2 3 2" xfId="43648"/>
    <cellStyle name="dp*ThinLineAbove 6 2 3 2" xfId="43649"/>
    <cellStyle name="dp*SheetSubTitle 6 3 4 2" xfId="43650"/>
    <cellStyle name="dp*NumberLineEPS 6 3 4 2" xfId="43651"/>
    <cellStyle name="dp*NumberLine 6 3 4 2" xfId="43652"/>
    <cellStyle name="dp*Number%ItalicsLineAbove 6 2 3 2" xfId="43653"/>
    <cellStyle name="DateYearWholeEstimate 8 2 3 2" xfId="43654"/>
    <cellStyle name="DateYearEstimate 8 2 3 2" xfId="43655"/>
    <cellStyle name="COL HEADINGS 8 3 4 2" xfId="43656"/>
    <cellStyle name="dp*NumberLineEPS 2 2 2 4 4 4 2" xfId="43657"/>
    <cellStyle name="Border 6 2 3 2" xfId="43658"/>
    <cellStyle name="Bold/Border 8 3 4 2" xfId="43659"/>
    <cellStyle name="ArialNormal 8 2 3 2" xfId="43660"/>
    <cellStyle name="Arial8Italic 8 2 3 2" xfId="43661"/>
    <cellStyle name="Arial8Bold 8 2 3 2" xfId="43662"/>
    <cellStyle name="Arial6Bold 8 2 3 2" xfId="43663"/>
    <cellStyle name="Afjusted 9 3 4 2" xfId="43664"/>
    <cellStyle name="ac 8 3 4 2" xfId="43665"/>
    <cellStyle name="UNLOCKED 32 2 3 2" xfId="43666"/>
    <cellStyle name="Date [mmm-yyyy] 6 3 4 2" xfId="43667"/>
    <cellStyle name="UNLOCKED 37 3 2" xfId="43668"/>
    <cellStyle name="UNLOCKED 35 2 3 2" xfId="43669"/>
    <cellStyle name="Title [Palat] 8 3 4 2" xfId="43670"/>
    <cellStyle name="Title [Helv] 7 3 4 2" xfId="43671"/>
    <cellStyle name="Table Head Green 9 3 4 2" xfId="43672"/>
    <cellStyle name="Table Head Aligned 7 3 4 2" xfId="43673"/>
    <cellStyle name="Outputs 9 3 4 2" xfId="43674"/>
    <cellStyle name="Millions 13 2 3 2" xfId="43675"/>
    <cellStyle name="Magic 7 3 4 2" xfId="43676"/>
    <cellStyle name="Heading [Palat] 9 3 4 2" xfId="43677"/>
    <cellStyle name="Heading [Helv] 9 3 4 2" xfId="43678"/>
    <cellStyle name="dp*SheetSubTitle 7 3 4 2" xfId="43679"/>
    <cellStyle name="dp*NumberLineEPS 7 3 4 2" xfId="43680"/>
    <cellStyle name="dp*NumberLine 7 3 4 2" xfId="43681"/>
    <cellStyle name="Date [mmm-yyyy] 7 3 4 2" xfId="43682"/>
    <cellStyle name="COL HEADINGS 9 3 4 2" xfId="43683"/>
    <cellStyle name="Bold/Border 9 3 4 2" xfId="43684"/>
    <cellStyle name="Afjusted 10 3 4 2" xfId="43685"/>
    <cellStyle name="ac 9 3 4 2" xfId="43686"/>
    <cellStyle name="UNLOCKED 34 2 3 2" xfId="43687"/>
    <cellStyle name="Title [Palat] 2 2 2 7 4 2" xfId="43688"/>
    <cellStyle name="Heading [Palat] 3 4 4 2" xfId="43689"/>
    <cellStyle name="Afjusted 3 2 7 4 2" xfId="43690"/>
    <cellStyle name="Afjusted 3 6 2 4 2" xfId="43691"/>
    <cellStyle name="ac 2 7 2 4 2" xfId="43692"/>
    <cellStyle name="Afjusted 2 5 2 4 2" xfId="43693"/>
    <cellStyle name="Bold/Border 2 7 2 4 2" xfId="43694"/>
    <cellStyle name="COL HEADINGS 2 7 2 4 2" xfId="43695"/>
    <cellStyle name="Date [mmm-yyyy] 2 6 2 4 2" xfId="43696"/>
    <cellStyle name="dp*NumberLine 2 6 2 4 2" xfId="43697"/>
    <cellStyle name="dp*NumberLineEPS 2 6 2 4 2" xfId="43698"/>
    <cellStyle name="dp*SheetSubTitle 2 6 2 4 2" xfId="43699"/>
    <cellStyle name="Heading [Helv] 2 7 2 4 2" xfId="43700"/>
    <cellStyle name="Heading [Palat] 2 7 2 4 2" xfId="43701"/>
    <cellStyle name="Magic 2 6 2 4 2" xfId="43702"/>
    <cellStyle name="Outputs 2 7 2 4 2" xfId="43703"/>
    <cellStyle name="Table Head Aligned 2 6 2 4 2" xfId="43704"/>
    <cellStyle name="Table Head Green 2 7 2 4 2" xfId="43705"/>
    <cellStyle name="Title [Helv] 2 6 2 4 2" xfId="43706"/>
    <cellStyle name="Title [Palat] 2 7 2 4 2" xfId="43707"/>
    <cellStyle name="Date [mm-d-yyyy] 3 6 2 4 2" xfId="43708"/>
    <cellStyle name="Style 51 4 6 2 4 2" xfId="43709"/>
    <cellStyle name="Style 49 4 6 2 4 2" xfId="43710"/>
    <cellStyle name="Style 45 4 6 2 4 2" xfId="43711"/>
    <cellStyle name="Style 44 4 6 2 4 2" xfId="43712"/>
    <cellStyle name="P-Green Rule 3 6 2 4 2" xfId="43713"/>
    <cellStyle name="PB Table Standard Row 3 6 2 4 2" xfId="43714"/>
    <cellStyle name="dp*ThinLineBelow 3 6 2 4 2" xfId="43715"/>
    <cellStyle name="dp*SubTitle 3 6 2 4 2" xfId="43716"/>
    <cellStyle name="Border Thin 3 6 2 4 2" xfId="43717"/>
    <cellStyle name="Afjusted 4 6 2 4 2" xfId="43718"/>
    <cellStyle name="ac 2 2 5 2 4 2" xfId="43719"/>
    <cellStyle name="Afjusted 2 2 6 2 4 2" xfId="43720"/>
    <cellStyle name="Bold/Border 2 2 5 2 4 2" xfId="43721"/>
    <cellStyle name="COL HEADINGS 2 2 5 2 4 2" xfId="43722"/>
    <cellStyle name="Date [mmm-yyyy] 2 2 5 2 4 2" xfId="43723"/>
    <cellStyle name="dp*NumberLine 2 2 5 2 4 2" xfId="43724"/>
    <cellStyle name="dp*NumberLineEPS 2 2 5 2 4 2" xfId="43725"/>
    <cellStyle name="dp*SheetSubTitle 2 2 5 2 4 2" xfId="43726"/>
    <cellStyle name="Heading [Helv] 2 2 5 2 4 2" xfId="43727"/>
    <cellStyle name="Heading [Palat] 2 2 5 2 4 2" xfId="43728"/>
    <cellStyle name="Magic 2 2 5 2 4 2" xfId="43729"/>
    <cellStyle name="Outputs 2 2 5 2 4 2" xfId="43730"/>
    <cellStyle name="Table Head Aligned 2 2 5 2 4 2" xfId="43731"/>
    <cellStyle name="Table Head Green 2 2 5 2 4 2" xfId="43732"/>
    <cellStyle name="Title [Helv] 2 2 5 2 4 2" xfId="43733"/>
    <cellStyle name="Title [Palat] 2 2 5 2 4 2" xfId="43734"/>
    <cellStyle name="dp*SubTitle 2 2 2 2 4 2" xfId="43735"/>
    <cellStyle name="Border Thin 2 2 2 2 4 2" xfId="43736"/>
    <cellStyle name="Bold/Border 2 2 3 4 2 2 4 2" xfId="43737"/>
    <cellStyle name="Magic 2 2 3 4 2 2 4 2" xfId="43738"/>
    <cellStyle name="Title [Helv] 2 2 3 4 2 2 4 2" xfId="43739"/>
    <cellStyle name="Style 51 2 2 2 2 4 2" xfId="43740"/>
    <cellStyle name="Style 45 2 2 2 2 4 2" xfId="43741"/>
    <cellStyle name="Style 49 2 2 2 2 4 2" xfId="43742"/>
    <cellStyle name="Style 44 2 2 2 2 4 2" xfId="43743"/>
    <cellStyle name="Style 51 3 2 2 2 4 2" xfId="43744"/>
    <cellStyle name="Style 49 3 2 2 2 4 2" xfId="43745"/>
    <cellStyle name="Style 45 3 2 2 2 4 2" xfId="43746"/>
    <cellStyle name="Style 44 3 2 2 2 4 2" xfId="43747"/>
    <cellStyle name="P-Green Rule 2 2 2 2 4 2" xfId="43748"/>
    <cellStyle name="PB Table Standard Row 2 2 2 2 4 2" xfId="43749"/>
    <cellStyle name="dp*ThinLineBelow 2 2 2 2 4 2" xfId="43750"/>
    <cellStyle name="dp*ThinLineBelow 2 3 2 2 4 2" xfId="43751"/>
    <cellStyle name="Style 44 3 3 2 2 4 2" xfId="43752"/>
    <cellStyle name="COL HEADINGS 2 2 3 4 2 2 4 2" xfId="43753"/>
    <cellStyle name="Style 49 4 3 4 2 2 4 2" xfId="43754"/>
    <cellStyle name="Afjusted 3 3 4 2 2 4 2" xfId="43755"/>
    <cellStyle name="Date [mm-d-yyyy] 3 3 4 2 2 4 2" xfId="43756"/>
    <cellStyle name="Afjusted 4 3 4 2 2 4 2" xfId="43757"/>
    <cellStyle name="ac 2 2 3 4 2 2 4 2" xfId="43758"/>
    <cellStyle name="Afjusted 2 2 3 4 2 2 4 2" xfId="43759"/>
    <cellStyle name="Date [mmm-yyyy] 2 2 3 4 2 2 4 2" xfId="43760"/>
    <cellStyle name="dp*NumberLine 2 2 3 4 2 2 4 2" xfId="43761"/>
    <cellStyle name="dp*NumberLineEPS 2 2 3 4 2 2 4 2" xfId="43762"/>
    <cellStyle name="dp*SheetSubTitle 2 2 3 4 2 2 4 2" xfId="43763"/>
    <cellStyle name="Heading [Helv] 2 2 3 4 2 2 4 2" xfId="43764"/>
    <cellStyle name="Outputs 2 2 3 4 2 2 4 2" xfId="43765"/>
    <cellStyle name="Table Head Aligned 2 2 3 4 2 2 4 2" xfId="43766"/>
    <cellStyle name="Title [Palat] 2 2 3 4 2 2 4 2" xfId="43767"/>
    <cellStyle name="Afjusted 3 5 2 2 4 2" xfId="43768"/>
    <cellStyle name="Style 45 3 3 2 2 4 2" xfId="43769"/>
    <cellStyle name="Style 51 3 3 2 2 4 2" xfId="43770"/>
    <cellStyle name="Style 44 2 3 2 2 4 2" xfId="43771"/>
    <cellStyle name="Style 45 2 3 2 2 4 2" xfId="43772"/>
    <cellStyle name="Style 49 2 3 2 2 4 2" xfId="43773"/>
    <cellStyle name="Border Thin 3 5 2 2 4 2" xfId="43774"/>
    <cellStyle name="ac 2 2 4 2 2 4 2" xfId="43775"/>
    <cellStyle name="Afjusted 2 2 5 2 2 4 2" xfId="43776"/>
    <cellStyle name="Bold/Border 2 2 4 2 2 4 2" xfId="43777"/>
    <cellStyle name="COL HEADINGS 2 2 4 2 2 4 2" xfId="43778"/>
    <cellStyle name="Date [mmm-yyyy] 2 2 4 2 2 4 2" xfId="43779"/>
    <cellStyle name="dp*NumberLine 2 2 4 2 2 4 2" xfId="43780"/>
    <cellStyle name="dp*NumberLineEPS 2 2 4 2 2 4 2" xfId="43781"/>
    <cellStyle name="dp*SheetSubTitle 2 2 4 2 2 4 2" xfId="43782"/>
    <cellStyle name="Heading [Palat] 2 2 4 2 2 4 2" xfId="43783"/>
    <cellStyle name="Outputs 2 2 4 2 2 4 2" xfId="43784"/>
    <cellStyle name="Magic 2 2 4 2 2 4 2" xfId="43785"/>
    <cellStyle name="Title [Helv] 2 2 4 2 2 4 2" xfId="43786"/>
    <cellStyle name="Title [Palat] 2 2 4 2 2 4 2" xfId="43787"/>
    <cellStyle name="Title [Palat] 2 2 3 3 2 2 4 2" xfId="43788"/>
    <cellStyle name="Title [Helv] 2 2 3 3 2 2 4 2" xfId="43789"/>
    <cellStyle name="Table Head Aligned 2 2 3 3 2 2 4 2" xfId="43790"/>
    <cellStyle name="Magic 2 2 3 3 2 2 4 2" xfId="43791"/>
    <cellStyle name="Heading [Helv] 2 2 3 3 2 2 4 2" xfId="43792"/>
    <cellStyle name="dp*NumberLineEPS 2 2 3 3 2 2 4 2" xfId="43793"/>
    <cellStyle name="COL HEADINGS 2 2 3 3 2 2 4 2" xfId="43794"/>
    <cellStyle name="ac 2 2 3 3 2 2 4 2" xfId="43795"/>
    <cellStyle name="Afjusted 4 3 3 2 2 4 2" xfId="43796"/>
    <cellStyle name="Border Thin 3 3 3 2 2 4 2" xfId="43797"/>
    <cellStyle name="PB Table Standard Row 3 3 3 2 2 4 2" xfId="43798"/>
    <cellStyle name="Style 44 4 3 3 2 2 4 2" xfId="43799"/>
    <cellStyle name="Style 51 4 3 3 2 2 4 2" xfId="43800"/>
    <cellStyle name="Afjusted 3 3 3 2 2 4 2" xfId="43801"/>
    <cellStyle name="Style 49 4 5 2 2 4 2" xfId="43802"/>
    <cellStyle name="Style 44 4 5 2 2 4 2" xfId="43803"/>
    <cellStyle name="P-Green Rule 3 5 2 2 4 2" xfId="43804"/>
    <cellStyle name="dp*SubTitle 3 5 2 2 4 2" xfId="43805"/>
    <cellStyle name="Afjusted 4 5 2 2 4 2" xfId="43806"/>
    <cellStyle name="ac 2 3 2 2 4 2" xfId="43807"/>
    <cellStyle name="Bold/Border 2 3 2 2 4 2" xfId="43808"/>
    <cellStyle name="COL HEADINGS 2 3 2 2 4 2" xfId="43809"/>
    <cellStyle name="Date [mmm-yyyy] 2 3 2 2 4 2" xfId="43810"/>
    <cellStyle name="dp*NumberLine 2 3 2 2 4 2" xfId="43811"/>
    <cellStyle name="dp*NumberLineEPS 2 3 2 2 4 2" xfId="43812"/>
    <cellStyle name="dp*SheetSubTitle 2 3 2 2 4 2" xfId="43813"/>
    <cellStyle name="Heading [Helv] 2 3 2 2 4 2" xfId="43814"/>
    <cellStyle name="Heading [Palat] 2 3 2 2 4 2" xfId="43815"/>
    <cellStyle name="Magic 2 3 2 2 4 2" xfId="43816"/>
    <cellStyle name="Outputs 2 3 2 2 4 2" xfId="43817"/>
    <cellStyle name="Date [mmm-yyyy] 2 2 3 3 2 2 4 2" xfId="43818"/>
    <cellStyle name="Afjusted 2 2 3 3 2 2 4 2" xfId="43819"/>
    <cellStyle name="dp*ThinLineBelow 3 3 3 2 2 4 2" xfId="43820"/>
    <cellStyle name="Style 49 4 3 3 2 2 4 2" xfId="43821"/>
    <cellStyle name="Outputs 2 2 3 3 2 2 4 2" xfId="43822"/>
    <cellStyle name="dp*NumberLine 2 2 3 3 2 2 4 2" xfId="43823"/>
    <cellStyle name="Bold/Border 2 2 3 3 2 2 4 2" xfId="43824"/>
    <cellStyle name="dp*SubTitle 3 3 3 2 2 4 2" xfId="43825"/>
    <cellStyle name="Style 45 4 3 3 2 2 4 2" xfId="43826"/>
    <cellStyle name="Table Head Aligned 2 3 2 2 4 2" xfId="43827"/>
    <cellStyle name="Table Head Green 2 3 2 2 4 2" xfId="43828"/>
    <cellStyle name="Title [Helv] 2 3 2 2 4 2" xfId="43829"/>
    <cellStyle name="Title [Palat] 2 3 2 2 4 2" xfId="43830"/>
    <cellStyle name="Style 45 4 3 4 2 2 4 2" xfId="43831"/>
    <cellStyle name="Style 51 4 3 4 2 2 4 2" xfId="43832"/>
    <cellStyle name="Afjusted 3 4 2 2 4 2" xfId="43833"/>
    <cellStyle name="P-Green Rule 3 3 4 2 2 4 2" xfId="43834"/>
    <cellStyle name="Border Thin 2 3 2 2 4 2" xfId="43835"/>
    <cellStyle name="Style 49 3 3 2 2 4 2" xfId="43836"/>
    <cellStyle name="Style 51 2 3 2 2 4 2" xfId="43837"/>
    <cellStyle name="Heading [Helv] 2 2 4 2 2 4 2" xfId="43838"/>
    <cellStyle name="Table Head Aligned 2 2 4 2 2 4 2" xfId="43839"/>
    <cellStyle name="Table Head Green 2 2 4 2 2 4 2" xfId="43840"/>
    <cellStyle name="Table Head Green 2 2 3 3 2 2 4 2" xfId="43841"/>
    <cellStyle name="Heading [Palat] 2 2 3 3 2 2 4 2" xfId="43842"/>
    <cellStyle name="dp*SheetSubTitle 2 2 3 3 2 2 4 2" xfId="43843"/>
    <cellStyle name="P-Green Rule 3 3 3 2 2 4 2" xfId="43844"/>
    <cellStyle name="Date [mm-d-yyyy] 3 3 3 2 2 4 2" xfId="43845"/>
    <cellStyle name="Date [mm-d-yyyy] 3 4 2 2 4 2" xfId="43846"/>
    <cellStyle name="Style 51 4 4 2 2 4 2" xfId="43847"/>
    <cellStyle name="Style 49 4 4 2 2 4 2" xfId="43848"/>
    <cellStyle name="Style 45 4 4 2 2 4 2" xfId="43849"/>
    <cellStyle name="Style 44 4 4 2 2 4 2" xfId="43850"/>
    <cellStyle name="dp*ThinLineBelow 3 3 4 2 2 4 2" xfId="43851"/>
    <cellStyle name="P-Green Rule 3 4 2 2 4 2" xfId="43852"/>
    <cellStyle name="dp*ThinLineBelow 3 4 2 2 4 2" xfId="43853"/>
    <cellStyle name="dp*SubTitle 3 4 2 2 4 2" xfId="43854"/>
    <cellStyle name="dp*SubTitle 3 3 4 2 2 4 2" xfId="43855"/>
    <cellStyle name="Border Thin 3 4 2 2 4 2" xfId="43856"/>
    <cellStyle name="Border Thin 3 3 4 2 2 4 2" xfId="43857"/>
    <cellStyle name="Afjusted 4 4 2 2 4 2" xfId="43858"/>
    <cellStyle name="Afjusted 2 2 4 2 2 4 2" xfId="43859"/>
    <cellStyle name="Style 44 4 3 4 2 2 4 2" xfId="43860"/>
    <cellStyle name="PB Table Standard Row 3 3 4 2 2 4 2" xfId="43861"/>
    <cellStyle name="Title [Palat] 2 2 3 5 2 4 2" xfId="43862"/>
    <cellStyle name="Title [Helv] 2 2 3 5 2 4 2" xfId="43863"/>
    <cellStyle name="Table Head Green 2 2 3 5 2 4 2" xfId="43864"/>
    <cellStyle name="Table Head Aligned 2 2 3 5 2 4 2" xfId="43865"/>
    <cellStyle name="Outputs 2 2 3 5 2 4 2" xfId="43866"/>
    <cellStyle name="Magic 2 2 3 5 2 4 2" xfId="43867"/>
    <cellStyle name="Heading [Palat] 2 2 3 5 2 4 2" xfId="43868"/>
    <cellStyle name="Heading [Helv] 2 2 3 5 2 4 2" xfId="43869"/>
    <cellStyle name="dp*SheetSubTitle 2 2 3 5 2 4 2" xfId="43870"/>
    <cellStyle name="dp*NumberLineEPS 2 2 3 5 2 4 2" xfId="43871"/>
    <cellStyle name="dp*NumberLine 2 2 3 5 2 4 2" xfId="43872"/>
    <cellStyle name="Date [mmm-yyyy] 2 2 3 5 2 4 2" xfId="43873"/>
    <cellStyle name="COL HEADINGS 2 2 3 5 2 4 2" xfId="43874"/>
    <cellStyle name="Bold/Border 2 2 3 5 2 4 2" xfId="43875"/>
    <cellStyle name="Afjusted 2 2 3 5 2 4 2" xfId="43876"/>
    <cellStyle name="ac 2 2 3 5 2 4 2" xfId="43877"/>
    <cellStyle name="Afjusted 4 3 5 2 4 2" xfId="43878"/>
    <cellStyle name="Border Thin 3 3 5 2 4 2" xfId="43879"/>
    <cellStyle name="dp*SubTitle 3 3 5 2 4 2" xfId="43880"/>
    <cellStyle name="dp*ThinLineBelow 3 3 5 2 4 2" xfId="43881"/>
    <cellStyle name="PB Table Standard Row 3 3 5 2 4 2" xfId="43882"/>
    <cellStyle name="P-Green Rule 3 3 5 2 4 2" xfId="43883"/>
    <cellStyle name="Style 44 4 3 5 2 4 2" xfId="43884"/>
    <cellStyle name="Style 45 4 3 5 2 4 2" xfId="43885"/>
    <cellStyle name="Style 49 4 3 5 2 4 2" xfId="43886"/>
    <cellStyle name="Style 51 4 3 5 2 4 2" xfId="43887"/>
    <cellStyle name="Date [mm-d-yyyy] 3 3 5 2 4 2" xfId="43888"/>
    <cellStyle name="Afjusted 3 3 5 2 4 2" xfId="43889"/>
    <cellStyle name="Date [mm-d-yyyy] 2 2 4 2 4 2" xfId="43890"/>
    <cellStyle name="Afjusted 3 2 5 2 4 2" xfId="43891"/>
    <cellStyle name="Date [mm-d-yyyy] 3 2 5 2 4 2" xfId="43892"/>
    <cellStyle name="Style 51 4 2 5 2 4 2" xfId="43893"/>
    <cellStyle name="Style 49 4 2 5 2 4 2" xfId="43894"/>
    <cellStyle name="Style 45 4 2 5 2 4 2" xfId="43895"/>
    <cellStyle name="Style 44 4 2 5 2 4 2" xfId="43896"/>
    <cellStyle name="P-Green Rule 3 2 5 2 4 2" xfId="43897"/>
    <cellStyle name="dp*ThinLineBelow 3 2 5 2 4 2" xfId="43898"/>
    <cellStyle name="dp*SubTitle 3 2 5 2 4 2" xfId="43899"/>
    <cellStyle name="Border Thin 3 2 5 2 4 2" xfId="43900"/>
    <cellStyle name="Afjusted 4 2 5 2 4 2" xfId="43901"/>
    <cellStyle name="ac 2 2 2 5 2 4 2" xfId="43902"/>
    <cellStyle name="Afjusted 2 2 2 5 2 4 2" xfId="43903"/>
    <cellStyle name="Bold/Border 2 2 2 5 2 4 2" xfId="43904"/>
    <cellStyle name="COL HEADINGS 2 2 2 5 2 4 2" xfId="43905"/>
    <cellStyle name="Date [mmm-yyyy] 2 2 2 5 2 4 2" xfId="43906"/>
    <cellStyle name="dp*NumberLine 2 2 2 5 2 4 2" xfId="43907"/>
    <cellStyle name="dp*NumberLineEPS 2 2 2 5 2 4 2" xfId="43908"/>
    <cellStyle name="dp*SheetSubTitle 2 2 2 5 2 4 2" xfId="43909"/>
    <cellStyle name="Heading [Helv] 2 2 2 5 2 4 2" xfId="43910"/>
    <cellStyle name="Heading [Palat] 2 2 2 5 2 4 2" xfId="43911"/>
    <cellStyle name="Magic 2 2 2 5 2 4 2" xfId="43912"/>
    <cellStyle name="Outputs 2 2 2 5 2 4 2" xfId="43913"/>
    <cellStyle name="Table Head Aligned 2 2 2 5 2 4 2" xfId="43914"/>
    <cellStyle name="Table Head Green 2 2 2 5 2 4 2" xfId="43915"/>
    <cellStyle name="Title [Helv] 2 2 2 5 2 4 2" xfId="43916"/>
    <cellStyle name="Title [Palat] 2 2 2 5 2 4 2" xfId="43917"/>
    <cellStyle name="Table Head Green 2 2 3 4 2 2 4 2" xfId="43918"/>
    <cellStyle name="Heading [Palat] 2 2 3 4 2 2 4 2" xfId="43919"/>
    <cellStyle name="PB Table Standard Row 2 3 2 2 4 2" xfId="43920"/>
    <cellStyle name="P-Green Rule 2 3 2 2 4 2" xfId="43921"/>
    <cellStyle name="Title [Palat] 2 2 3 2 2 2 4 2" xfId="43922"/>
    <cellStyle name="Title [Helv] 2 2 3 2 2 2 4 2" xfId="43923"/>
    <cellStyle name="Table Head Green 2 2 3 2 2 2 4 2" xfId="43924"/>
    <cellStyle name="Table Head Aligned 2 2 3 2 2 2 4 2" xfId="43925"/>
    <cellStyle name="Outputs 2 2 3 2 2 2 4 2" xfId="43926"/>
    <cellStyle name="Magic 2 2 3 2 2 2 4 2" xfId="43927"/>
    <cellStyle name="Heading [Palat] 2 2 3 2 2 2 4 2" xfId="43928"/>
    <cellStyle name="Heading [Helv] 2 2 3 2 2 2 4 2" xfId="43929"/>
    <cellStyle name="dp*SheetSubTitle 2 2 3 2 2 2 4 2" xfId="43930"/>
    <cellStyle name="dp*NumberLineEPS 2 2 3 2 2 2 4 2" xfId="43931"/>
    <cellStyle name="dp*NumberLine 2 2 3 2 2 2 4 2" xfId="43932"/>
    <cellStyle name="Date [mmm-yyyy] 2 2 3 2 2 2 4 2" xfId="43933"/>
    <cellStyle name="COL HEADINGS 2 2 3 2 2 2 4 2" xfId="43934"/>
    <cellStyle name="Bold/Border 2 2 3 2 2 2 4 2" xfId="43935"/>
    <cellStyle name="Afjusted 2 2 3 2 2 2 4 2" xfId="43936"/>
    <cellStyle name="ac 2 2 3 2 2 2 4 2" xfId="43937"/>
    <cellStyle name="Afjusted 4 3 2 2 2 4 2" xfId="43938"/>
    <cellStyle name="Border Thin 3 3 2 2 2 4 2" xfId="43939"/>
    <cellStyle name="dp*SubTitle 3 3 2 2 2 4 2" xfId="43940"/>
    <cellStyle name="dp*ThinLineBelow 3 3 2 2 2 4 2" xfId="43941"/>
    <cellStyle name="PB Table Standard Row 3 3 2 2 2 4 2" xfId="43942"/>
    <cellStyle name="P-Green Rule 3 3 2 2 2 4 2" xfId="43943"/>
    <cellStyle name="Style 44 4 3 2 2 2 4 2" xfId="43944"/>
    <cellStyle name="Style 45 4 3 2 2 2 4 2" xfId="43945"/>
    <cellStyle name="Style 49 4 3 2 2 2 4 2" xfId="43946"/>
    <cellStyle name="Style 51 4 3 2 2 2 4 2" xfId="43947"/>
    <cellStyle name="Date [mm-d-yyyy] 3 3 2 2 2 4 2" xfId="43948"/>
    <cellStyle name="Afjusted 3 3 2 2 2 4 2" xfId="43949"/>
    <cellStyle name="Date [mm-d-yyyy] 3 5 2 2 4 2" xfId="43950"/>
    <cellStyle name="dp*SubTitle 2 3 2 2 4 2" xfId="43951"/>
    <cellStyle name="Date [mm-d-yyyy] 2 2 2 2 2 4 2" xfId="43952"/>
    <cellStyle name="Afjusted 3 2 2 2 2 4 2" xfId="43953"/>
    <cellStyle name="PB Table Standard Row 3 5 2 2 4 2" xfId="43954"/>
    <cellStyle name="Date [mm-d-yyyy] 3 2 2 2 2 4 2" xfId="43955"/>
    <cellStyle name="Style 51 4 2 2 2 2 4 2" xfId="43956"/>
    <cellStyle name="Style 49 4 2 2 2 2 4 2" xfId="43957"/>
    <cellStyle name="Style 45 4 2 2 2 2 4 2" xfId="43958"/>
    <cellStyle name="Style 44 4 2 2 2 2 4 2" xfId="43959"/>
    <cellStyle name="Style 45 4 5 2 2 4 2" xfId="43960"/>
    <cellStyle name="P-Green Rule 3 2 2 2 2 4 2" xfId="43961"/>
    <cellStyle name="PB Table Standard Row 3 2 2 2 2 4 2" xfId="43962"/>
    <cellStyle name="dp*ThinLineBelow 3 2 2 2 2 4 2" xfId="43963"/>
    <cellStyle name="dp*SubTitle 3 2 2 2 2 4 2" xfId="43964"/>
    <cellStyle name="Style 51 4 5 2 2 4 2" xfId="43965"/>
    <cellStyle name="Border Thin 3 2 2 2 2 4 2" xfId="43966"/>
    <cellStyle name="Afjusted 4 2 2 2 2 4 2" xfId="43967"/>
    <cellStyle name="ac 2 2 2 2 2 2 4 2" xfId="43968"/>
    <cellStyle name="Afjusted 2 2 2 2 2 2 4 2" xfId="43969"/>
    <cellStyle name="Bold/Border 2 2 2 2 2 2 4 2" xfId="43970"/>
    <cellStyle name="COL HEADINGS 2 2 2 2 2 2 4 2" xfId="43971"/>
    <cellStyle name="Date [mmm-yyyy] 2 2 2 2 2 2 4 2" xfId="43972"/>
    <cellStyle name="dp*NumberLine 2 2 2 2 2 2 4 2" xfId="43973"/>
    <cellStyle name="dp*NumberLineEPS 2 2 2 2 2 2 4 2" xfId="43974"/>
    <cellStyle name="dp*SheetSubTitle 2 2 2 2 2 2 4 2" xfId="43975"/>
    <cellStyle name="Heading [Helv] 2 2 2 2 2 2 4 2" xfId="43976"/>
    <cellStyle name="Heading [Palat] 2 2 2 2 2 2 4 2" xfId="43977"/>
    <cellStyle name="Magic 2 2 2 2 2 2 4 2" xfId="43978"/>
    <cellStyle name="Outputs 2 2 2 2 2 2 4 2" xfId="43979"/>
    <cellStyle name="Table Head Aligned 2 2 2 2 2 2 4 2" xfId="43980"/>
    <cellStyle name="Table Head Green 2 2 2 2 2 2 4 2" xfId="43981"/>
    <cellStyle name="Title [Helv] 2 2 2 2 2 2 4 2" xfId="43982"/>
    <cellStyle name="Title [Palat] 2 2 2 2 2 2 4 2" xfId="43983"/>
    <cellStyle name="dp*ThinLineBelow 3 5 2 2 4 2" xfId="43984"/>
    <cellStyle name="Date [mm-d-yyyy] 2 2 3 2 2 4 2" xfId="43985"/>
    <cellStyle name="Afjusted 3 2 3 2 2 4 2" xfId="43986"/>
    <cellStyle name="Date [mm-d-yyyy] 3 2 3 2 2 4 2" xfId="43987"/>
    <cellStyle name="Style 51 4 2 3 2 2 4 2" xfId="43988"/>
    <cellStyle name="Style 49 4 2 3 2 2 4 2" xfId="43989"/>
    <cellStyle name="Style 45 4 2 3 2 2 4 2" xfId="43990"/>
    <cellStyle name="Style 44 4 2 3 2 2 4 2" xfId="43991"/>
    <cellStyle name="P-Green Rule 3 2 3 2 2 4 2" xfId="43992"/>
    <cellStyle name="PB Table Standard Row 3 2 3 2 2 4 2" xfId="43993"/>
    <cellStyle name="dp*ThinLineBelow 3 2 3 2 2 4 2" xfId="43994"/>
    <cellStyle name="dp*SubTitle 3 2 3 2 2 4 2" xfId="43995"/>
    <cellStyle name="Border Thin 3 2 3 2 2 4 2" xfId="43996"/>
    <cellStyle name="Afjusted 4 2 3 2 2 4 2" xfId="43997"/>
    <cellStyle name="ac 2 2 2 3 2 2 4 2" xfId="43998"/>
    <cellStyle name="Afjusted 2 2 2 3 2 2 4 2" xfId="43999"/>
    <cellStyle name="Bold/Border 2 2 2 3 2 2 4 2" xfId="44000"/>
    <cellStyle name="COL HEADINGS 2 2 2 3 2 2 4 2" xfId="44001"/>
    <cellStyle name="Date [mmm-yyyy] 2 2 2 3 2 2 4 2" xfId="44002"/>
    <cellStyle name="dp*NumberLine 2 2 2 3 2 2 4 2" xfId="44003"/>
    <cellStyle name="dp*NumberLineEPS 2 2 2 3 2 2 4 2" xfId="44004"/>
    <cellStyle name="dp*SheetSubTitle 2 2 2 3 2 2 4 2" xfId="44005"/>
    <cellStyle name="Heading [Helv] 2 2 2 3 2 2 4 2" xfId="44006"/>
    <cellStyle name="Heading [Palat] 2 2 2 3 2 2 4 2" xfId="44007"/>
    <cellStyle name="Magic 2 2 2 3 2 2 4 2" xfId="44008"/>
    <cellStyle name="Outputs 2 2 2 3 2 2 4 2" xfId="44009"/>
    <cellStyle name="Table Head Aligned 2 2 2 3 2 2 4 2" xfId="44010"/>
    <cellStyle name="Table Head Green 2 2 2 3 2 2 4 2" xfId="44011"/>
    <cellStyle name="Title [Helv] 2 2 2 3 2 2 4 2" xfId="44012"/>
    <cellStyle name="Title [Palat] 2 2 2 3 2 2 4 2" xfId="44013"/>
    <cellStyle name="Afjusted 3 2 4 2 2 4 2" xfId="44014"/>
    <cellStyle name="Date [mm-d-yyyy] 3 2 4 2 2 4 2" xfId="44015"/>
    <cellStyle name="Style 51 4 2 4 2 2 4 2" xfId="44016"/>
    <cellStyle name="Style 49 4 2 4 2 2 4 2" xfId="44017"/>
    <cellStyle name="Style 45 4 2 4 2 2 4 2" xfId="44018"/>
    <cellStyle name="Style 44 4 2 4 2 2 4 2" xfId="44019"/>
    <cellStyle name="P-Green Rule 3 2 4 2 2 4 2" xfId="44020"/>
    <cellStyle name="PB Table Standard Row 3 2 4 2 2 4 2" xfId="44021"/>
    <cellStyle name="dp*ThinLineBelow 3 2 4 2 2 4 2" xfId="44022"/>
    <cellStyle name="dp*SubTitle 3 2 4 2 2 4 2" xfId="44023"/>
    <cellStyle name="Border Thin 3 2 4 2 2 4 2" xfId="44024"/>
    <cellStyle name="Afjusted 4 2 4 2 2 4 2" xfId="44025"/>
    <cellStyle name="ac 2 2 2 4 2 2 4 2" xfId="44026"/>
    <cellStyle name="Afjusted 2 2 2 4 2 2 4 2" xfId="44027"/>
    <cellStyle name="Bold/Border 2 2 2 4 2 2 4 2" xfId="44028"/>
    <cellStyle name="COL HEADINGS 2 2 2 4 2 2 4 2" xfId="44029"/>
    <cellStyle name="Date [mmm-yyyy] 2 2 2 4 2 2 4 2" xfId="44030"/>
    <cellStyle name="dp*NumberLine 2 2 2 4 2 2 4 2" xfId="44031"/>
    <cellStyle name="dp*NumberLineEPS 2 2 2 4 2 2 4 2" xfId="44032"/>
    <cellStyle name="dp*SheetSubTitle 2 2 2 4 2 2 4 2" xfId="44033"/>
    <cellStyle name="Heading [Helv] 2 2 2 4 2 2 4 2" xfId="44034"/>
    <cellStyle name="Heading [Palat] 2 2 2 4 2 2 4 2" xfId="44035"/>
    <cellStyle name="Magic 2 2 2 4 2 2 4 2" xfId="44036"/>
    <cellStyle name="Outputs 2 2 2 4 2 2 4 2" xfId="44037"/>
    <cellStyle name="Table Head Aligned 2 2 2 4 2 2 4 2" xfId="44038"/>
    <cellStyle name="Table Head Green 2 2 2 4 2 2 4 2" xfId="44039"/>
    <cellStyle name="Title [Helv] 2 2 2 4 2 2 4 2" xfId="44040"/>
    <cellStyle name="Title [Palat] 2 2 2 4 2 2 4 2" xfId="44041"/>
    <cellStyle name="Border Thin 4 2 2 4 2" xfId="44042"/>
    <cellStyle name="Date [mm-d-yyyy] 4 2 2 4 2" xfId="44043"/>
    <cellStyle name="dp*SubTitle 4 2 2 4 2" xfId="44044"/>
    <cellStyle name="dp*ThinLineBelow 4 2 2 4 2" xfId="44045"/>
    <cellStyle name="PB Table Standard Row 4 2 2 4 2" xfId="44046"/>
    <cellStyle name="P-Green Rule 4 2 2 4 2" xfId="44047"/>
    <cellStyle name="Style 44 5 2 2 4 2" xfId="44048"/>
    <cellStyle name="Style 45 5 2 2 4 2" xfId="44049"/>
    <cellStyle name="Style 49 5 2 2 4 2" xfId="44050"/>
    <cellStyle name="Style 51 5 2 2 4 2" xfId="44051"/>
    <cellStyle name="Title [Palat] 3 2 2 4 2" xfId="44052"/>
    <cellStyle name="Title [Helv] 3 2 2 4 2" xfId="44053"/>
    <cellStyle name="Table Head Green 3 2 2 4 2" xfId="44054"/>
    <cellStyle name="Table Head Aligned 3 2 2 4 2" xfId="44055"/>
    <cellStyle name="Outputs 3 2 2 4 2" xfId="44056"/>
    <cellStyle name="Magic 3 2 2 4 2" xfId="44057"/>
    <cellStyle name="Heading [Palat] 3 2 2 4 2" xfId="44058"/>
    <cellStyle name="Heading [Helv] 3 2 2 4 2" xfId="44059"/>
    <cellStyle name="dp*SheetSubTitle 3 2 2 4 2" xfId="44060"/>
    <cellStyle name="dp*NumberLineEPS 3 2 2 4 2" xfId="44061"/>
    <cellStyle name="dp*NumberLine 3 2 2 4 2" xfId="44062"/>
    <cellStyle name="COL HEADINGS 3 2 2 4 2" xfId="44063"/>
    <cellStyle name="Bold/Border 3 2 2 4 2" xfId="44064"/>
    <cellStyle name="Afjusted 5 2 2 4 2" xfId="44065"/>
    <cellStyle name="ac 3 2 2 4 2" xfId="44066"/>
    <cellStyle name="Date [mmm-yyyy] 3 2 2 4 2" xfId="44067"/>
    <cellStyle name="ac 2 4 2 2 4 2" xfId="44068"/>
    <cellStyle name="Afjusted 2 3 2 2 4 2" xfId="44069"/>
    <cellStyle name="Bold/Border 2 4 2 2 4 2" xfId="44070"/>
    <cellStyle name="Border Thin 2 4 2 2 4 2" xfId="44071"/>
    <cellStyle name="COL HEADINGS 2 4 2 2 4 2" xfId="44072"/>
    <cellStyle name="Date [mmm-yyyy] 2 4 2 2 4 2" xfId="44073"/>
    <cellStyle name="dp*NumberLine 2 4 2 2 4 2" xfId="44074"/>
    <cellStyle name="dp*NumberLineEPS 2 4 2 2 4 2" xfId="44075"/>
    <cellStyle name="dp*SheetSubTitle 2 4 2 2 4 2" xfId="44076"/>
    <cellStyle name="dp*SubTitle 2 4 2 2 4 2" xfId="44077"/>
    <cellStyle name="dp*ThinLineBelow 2 4 2 2 4 2" xfId="44078"/>
    <cellStyle name="Heading [Helv] 2 4 2 2 4 2" xfId="44079"/>
    <cellStyle name="Heading [Palat] 2 4 2 2 4 2" xfId="44080"/>
    <cellStyle name="Magic 2 4 2 2 4 2" xfId="44081"/>
    <cellStyle name="Outputs 2 4 2 2 4 2" xfId="44082"/>
    <cellStyle name="PB Table Standard Row 2 4 2 2 4 2" xfId="44083"/>
    <cellStyle name="P-Green Rule 2 4 2 2 4 2" xfId="44084"/>
    <cellStyle name="Style 44 3 4 2 2 4 2" xfId="44085"/>
    <cellStyle name="Style 45 3 4 2 2 4 2" xfId="44086"/>
    <cellStyle name="Style 49 3 4 2 2 4 2" xfId="44087"/>
    <cellStyle name="Style 51 3 4 2 2 4 2" xfId="44088"/>
    <cellStyle name="Style 44 2 4 2 2 4 2" xfId="44089"/>
    <cellStyle name="Style 45 2 4 2 2 4 2" xfId="44090"/>
    <cellStyle name="Style 49 2 4 2 2 4 2" xfId="44091"/>
    <cellStyle name="Style 51 2 4 2 2 4 2" xfId="44092"/>
    <cellStyle name="Table Head Aligned 2 4 2 2 4 2" xfId="44093"/>
    <cellStyle name="Table Head Green 2 4 2 2 4 2" xfId="44094"/>
    <cellStyle name="Title [Helv] 2 4 2 2 4 2" xfId="44095"/>
    <cellStyle name="Title [Palat] 2 4 2 2 4 2" xfId="44096"/>
    <cellStyle name="ac 4 2 2 4 2" xfId="44097"/>
    <cellStyle name="Bold/Border 4 2 2 4 2" xfId="44098"/>
    <cellStyle name="Border Thin 5 2 2 4 2" xfId="44099"/>
    <cellStyle name="COL HEADINGS 4 2 2 4 2" xfId="44100"/>
    <cellStyle name="Date [mm-d-yyyy] 5 2 2 4 2" xfId="44101"/>
    <cellStyle name="Heading [Helv] 4 2 2 4 2" xfId="44102"/>
    <cellStyle name="Heading [Palat] 4 2 2 4 2" xfId="44103"/>
    <cellStyle name="Outputs 4 2 2 4 2" xfId="44104"/>
    <cellStyle name="PB Table Standard Row 5 2 2 4 2" xfId="44105"/>
    <cellStyle name="P-Green Rule 5 2 2 4 2" xfId="44106"/>
    <cellStyle name="Style 44 6 2 2 4 2" xfId="44107"/>
    <cellStyle name="Style 45 6 2 2 4 2" xfId="44108"/>
    <cellStyle name="Style 49 6 2 2 4 2" xfId="44109"/>
    <cellStyle name="Style 51 6 2 2 4 2" xfId="44110"/>
    <cellStyle name="Table Head Green 4 2 2 4 2" xfId="44111"/>
    <cellStyle name="Afjusted 6 2 2 4 2" xfId="44112"/>
    <cellStyle name="ac 2 5 2 2 4 2" xfId="44113"/>
    <cellStyle name="Afjusted 2 4 2 2 4 2" xfId="44114"/>
    <cellStyle name="Bold/Border 2 5 2 2 4 2" xfId="44115"/>
    <cellStyle name="Border Thin 2 5 2 2 4 2" xfId="44116"/>
    <cellStyle name="COL HEADINGS 2 5 2 2 4 2" xfId="44117"/>
    <cellStyle name="Date [mmm-yyyy] 2 5 2 2 4 2" xfId="44118"/>
    <cellStyle name="dp*NumberLine 2 5 2 2 4 2" xfId="44119"/>
    <cellStyle name="dp*NumberLineEPS 2 5 2 2 4 2" xfId="44120"/>
    <cellStyle name="dp*SheetSubTitle 2 5 2 2 4 2" xfId="44121"/>
    <cellStyle name="dp*SubTitle 2 5 2 2 4 2" xfId="44122"/>
    <cellStyle name="dp*ThinLineBelow 2 5 2 2 4 2" xfId="44123"/>
    <cellStyle name="Heading [Helv] 2 5 2 2 4 2" xfId="44124"/>
    <cellStyle name="Heading [Palat] 2 5 2 2 4 2" xfId="44125"/>
    <cellStyle name="Magic 2 5 2 2 4 2" xfId="44126"/>
    <cellStyle name="Outputs 2 5 2 2 4 2" xfId="44127"/>
    <cellStyle name="PB Table Standard Row 2 5 2 2 4 2" xfId="44128"/>
    <cellStyle name="P-Green Rule 2 5 2 2 4 2" xfId="44129"/>
    <cellStyle name="Style 44 3 5 2 2 4 2" xfId="44130"/>
    <cellStyle name="Style 45 3 5 2 2 4 2" xfId="44131"/>
    <cellStyle name="Style 49 3 5 2 2 4 2" xfId="44132"/>
    <cellStyle name="Style 51 3 5 2 2 4 2" xfId="44133"/>
    <cellStyle name="Style 44 2 5 2 2 4 2" xfId="44134"/>
    <cellStyle name="Style 45 2 5 2 2 4 2" xfId="44135"/>
    <cellStyle name="Style 49 2 5 2 2 4 2" xfId="44136"/>
    <cellStyle name="Style 51 2 5 2 2 4 2" xfId="44137"/>
    <cellStyle name="Table Head Aligned 2 5 2 2 4 2" xfId="44138"/>
    <cellStyle name="Table Head Green 2 5 2 2 4 2" xfId="44139"/>
    <cellStyle name="Title [Helv] 2 5 2 2 4 2" xfId="44140"/>
    <cellStyle name="Title [Palat] 2 5 2 2 4 2" xfId="44141"/>
    <cellStyle name="ac 5 2 2 4 2" xfId="44142"/>
    <cellStyle name="Bold/Border 5 2 2 4 2" xfId="44143"/>
    <cellStyle name="Border Thin 6 2 2 4 2" xfId="44144"/>
    <cellStyle name="COL HEADINGS 5 2 2 4 2" xfId="44145"/>
    <cellStyle name="Heading [Helv] 5 2 2 4 2" xfId="44146"/>
    <cellStyle name="Heading [Palat] 5 2 2 4 2" xfId="44147"/>
    <cellStyle name="Outputs 5 2 2 4 2" xfId="44148"/>
    <cellStyle name="PB Table Standard Row 6 2 2 4 2" xfId="44149"/>
    <cellStyle name="P-Green Rule 6 2 2 4 2" xfId="44150"/>
    <cellStyle name="Style 44 7 2 2 4 2" xfId="44151"/>
    <cellStyle name="Style 45 7 2 2 4 2" xfId="44152"/>
    <cellStyle name="Style 49 7 2 2 4 2" xfId="44153"/>
    <cellStyle name="Style 51 7 2 2 4 2" xfId="44154"/>
    <cellStyle name="Table Head Green 5 2 2 4 2" xfId="44155"/>
    <cellStyle name="Title [Palat] 4 2 2 4 2" xfId="44156"/>
    <cellStyle name="ac 2 6 2 2 4 2" xfId="44157"/>
    <cellStyle name="Bold/Border 2 6 2 2 4 2" xfId="44158"/>
    <cellStyle name="Border Thin 2 6 2 2 4 2" xfId="44159"/>
    <cellStyle name="COL HEADINGS 2 6 2 2 4 2" xfId="44160"/>
    <cellStyle name="Heading [Helv] 2 6 2 2 4 2" xfId="44161"/>
    <cellStyle name="Heading [Palat] 2 6 2 2 4 2" xfId="44162"/>
    <cellStyle name="Outputs 2 6 2 2 4 2" xfId="44163"/>
    <cellStyle name="PB Table Standard Row 2 6 2 2 4 2" xfId="44164"/>
    <cellStyle name="P-Green Rule 2 6 2 2 4 2" xfId="44165"/>
    <cellStyle name="Style 44 3 6 2 2 4 2" xfId="44166"/>
    <cellStyle name="Style 45 3 6 2 2 4 2" xfId="44167"/>
    <cellStyle name="Style 49 3 6 2 2 4 2" xfId="44168"/>
    <cellStyle name="Style 51 3 6 2 2 4 2" xfId="44169"/>
    <cellStyle name="Style 44 2 6 2 2 4 2" xfId="44170"/>
    <cellStyle name="Style 45 2 6 2 2 4 2" xfId="44171"/>
    <cellStyle name="Style 49 2 6 2 2 4 2" xfId="44172"/>
    <cellStyle name="Style 51 2 6 2 2 4 2" xfId="44173"/>
    <cellStyle name="Table Head Green 2 6 2 2 4 2" xfId="44174"/>
    <cellStyle name="Title [Palat] 2 6 2 2 4 2" xfId="44175"/>
    <cellStyle name="Title [Palat] 5 2 2 4 2" xfId="44176"/>
    <cellStyle name="Title [Helv] 4 2 2 4 2" xfId="44177"/>
    <cellStyle name="Table Head Green 6 2 2 4 2" xfId="44178"/>
    <cellStyle name="Table Head Aligned 4 2 2 4 2" xfId="44179"/>
    <cellStyle name="Style 51 9 2 2 4 2" xfId="44180"/>
    <cellStyle name="Style 49 9 2 2 4 2" xfId="44181"/>
    <cellStyle name="Style 45 9 2 2 4 2" xfId="44182"/>
    <cellStyle name="Style 44 9 2 2 4 2" xfId="44183"/>
    <cellStyle name="P-Green Rule 7 2 2 4 2" xfId="44184"/>
    <cellStyle name="PB Table Standard Row 7 2 2 4 2" xfId="44185"/>
    <cellStyle name="Outputs 6 2 2 4 2" xfId="44186"/>
    <cellStyle name="Magic 4 2 2 4 2" xfId="44187"/>
    <cellStyle name="Heading [Palat] 6 2 2 4 2" xfId="44188"/>
    <cellStyle name="Heading [Helv] 6 2 2 4 2" xfId="44189"/>
    <cellStyle name="dp*ThinLineBelow 5 2 2 4 2" xfId="44190"/>
    <cellStyle name="dp*SubTitle 5 2 2 4 2" xfId="44191"/>
    <cellStyle name="dp*SheetSubTitle 4 2 2 4 2" xfId="44192"/>
    <cellStyle name="dp*NumberLineEPS 4 2 2 4 2" xfId="44193"/>
    <cellStyle name="dp*NumberLine 4 2 2 4 2" xfId="44194"/>
    <cellStyle name="Date [mmm-yyyy] 4 2 2 4 2" xfId="44195"/>
    <cellStyle name="Date [mm-d-yyyy] 7 2 2 4 2" xfId="44196"/>
    <cellStyle name="COL HEADINGS 6 2 2 4 2" xfId="44197"/>
    <cellStyle name="Border Thin 7 2 2 4 2" xfId="44198"/>
    <cellStyle name="Bold/Border 6 2 2 4 2" xfId="44199"/>
    <cellStyle name="Afjusted 7 2 2 4 2" xfId="44200"/>
    <cellStyle name="ac 6 2 2 4 2" xfId="44201"/>
    <cellStyle name="Style 44 8 2 2 4 2" xfId="44202"/>
    <cellStyle name="Style 45 8 2 2 4 2" xfId="44203"/>
    <cellStyle name="Style 49 8 2 2 4 2" xfId="44204"/>
    <cellStyle name="Style 51 8 2 2 4 2" xfId="44205"/>
    <cellStyle name="Title [Palat] 6 2 2 4 2" xfId="44206"/>
    <cellStyle name="Title [Helv] 5 2 2 4 2" xfId="44207"/>
    <cellStyle name="Table Head Green 7 2 2 4 2" xfId="44208"/>
    <cellStyle name="Table Head Aligned 5 2 2 4 2" xfId="44209"/>
    <cellStyle name="Outputs 7 2 2 4 2" xfId="44210"/>
    <cellStyle name="Magic 5 2 2 4 2" xfId="44211"/>
    <cellStyle name="Heading [Palat] 7 2 2 4 2" xfId="44212"/>
    <cellStyle name="Heading [Helv] 7 2 2 4 2" xfId="44213"/>
    <cellStyle name="dp*SheetSubTitle 5 2 2 4 2" xfId="44214"/>
    <cellStyle name="dp*NumberLineEPS 5 2 2 4 2" xfId="44215"/>
    <cellStyle name="dp*NumberLine 5 2 2 4 2" xfId="44216"/>
    <cellStyle name="Date [mmm-yyyy] 5 2 2 4 2" xfId="44217"/>
    <cellStyle name="COL HEADINGS 7 2 2 4 2" xfId="44218"/>
    <cellStyle name="Bold/Border 7 2 2 4 2" xfId="44219"/>
    <cellStyle name="Afjusted 8 2 2 4 2" xfId="44220"/>
    <cellStyle name="ac 7 2 2 4 2" xfId="44221"/>
    <cellStyle name="Title [Palat] 7 2 2 4 2" xfId="44222"/>
    <cellStyle name="Title [Helv] 6 2 2 4 2" xfId="44223"/>
    <cellStyle name="Table Head Green 8 2 2 4 2" xfId="44224"/>
    <cellStyle name="Table Head Aligned 6 2 2 4 2" xfId="44225"/>
    <cellStyle name="Outputs 8 2 2 4 2" xfId="44226"/>
    <cellStyle name="Magic 6 2 2 4 2" xfId="44227"/>
    <cellStyle name="Heading [Palat] 8 2 2 4 2" xfId="44228"/>
    <cellStyle name="Heading [Helv] 8 2 2 4 2" xfId="44229"/>
    <cellStyle name="dp*SheetSubTitle 6 2 2 4 2" xfId="44230"/>
    <cellStyle name="dp*NumberLineEPS 6 2 2 4 2" xfId="44231"/>
    <cellStyle name="dp*NumberLine 6 2 2 4 2" xfId="44232"/>
    <cellStyle name="COL HEADINGS 8 2 2 4 2" xfId="44233"/>
    <cellStyle name="Bold/Border 8 2 2 4 2" xfId="44234"/>
    <cellStyle name="Afjusted 9 2 2 4 2" xfId="44235"/>
    <cellStyle name="ac 8 2 2 4 2" xfId="44236"/>
    <cellStyle name="Date [mmm-yyyy] 6 2 2 4 2" xfId="44237"/>
    <cellStyle name="Title [Palat] 8 2 2 4 2" xfId="44238"/>
    <cellStyle name="Title [Helv] 7 2 2 4 2" xfId="44239"/>
    <cellStyle name="Table Head Green 9 2 2 4 2" xfId="44240"/>
    <cellStyle name="Table Head Aligned 7 2 2 4 2" xfId="44241"/>
    <cellStyle name="Outputs 9 2 2 4 2" xfId="44242"/>
    <cellStyle name="Magic 7 2 2 4 2" xfId="44243"/>
    <cellStyle name="Heading [Palat] 9 2 2 4 2" xfId="44244"/>
    <cellStyle name="Heading [Helv] 9 2 2 4 2" xfId="44245"/>
    <cellStyle name="dp*SheetSubTitle 7 2 2 4 2" xfId="44246"/>
    <cellStyle name="dp*NumberLineEPS 7 2 2 4 2" xfId="44247"/>
    <cellStyle name="dp*NumberLine 7 2 2 4 2" xfId="44248"/>
    <cellStyle name="Date [mmm-yyyy] 7 2 2 4 2" xfId="44249"/>
    <cellStyle name="COL HEADINGS 9 2 2 4 2" xfId="44250"/>
    <cellStyle name="Bold/Border 9 2 2 4 2" xfId="44251"/>
    <cellStyle name="Afjusted 10 2 2 4 2" xfId="44252"/>
    <cellStyle name="ac 9 2 2 4 2" xfId="44253"/>
    <cellStyle name="Bold/Border 2 2 3 8 2 3" xfId="44254"/>
    <cellStyle name="ac 2 2 3 2 5 2 3" xfId="44255"/>
    <cellStyle name="P-Green Rule 3 3 2 5 2 3" xfId="44256"/>
    <cellStyle name="Afjusted 3 3 2 5 2 3" xfId="44257"/>
    <cellStyle name="Style 44 4 2 2 5 2 3" xfId="44258"/>
    <cellStyle name="dp*SubTitle 3 2 2 5 2 3" xfId="44259"/>
    <cellStyle name="COL HEADINGS 2 2 2 2 5 2 3" xfId="44260"/>
    <cellStyle name="Style 44 6 4 4 2" xfId="44261"/>
    <cellStyle name="Style 45 6 4 4 2" xfId="44262"/>
    <cellStyle name="Style 49 6 4 4 2" xfId="44263"/>
    <cellStyle name="Style 51 6 4 4 2" xfId="44264"/>
    <cellStyle name="Table Head Green 4 4 4 2" xfId="44265"/>
    <cellStyle name="Afjusted 6 4 4 2" xfId="44266"/>
    <cellStyle name="ac 2 5 4 4 2" xfId="44267"/>
    <cellStyle name="Afjusted 2 4 4 4 2" xfId="44268"/>
    <cellStyle name="Bold/Border 2 5 4 4 2" xfId="44269"/>
    <cellStyle name="Border Thin 2 5 4 4 2" xfId="44270"/>
    <cellStyle name="COL HEADINGS 2 5 4 4 2" xfId="44271"/>
    <cellStyle name="Date [mmm-yyyy] 2 5 4 4 2" xfId="44272"/>
    <cellStyle name="dp*NumberLine 2 5 4 4 2" xfId="44273"/>
    <cellStyle name="dp*NumberLineEPS 2 5 4 4 2" xfId="44274"/>
    <cellStyle name="dp*SheetSubTitle 2 5 4 4 2" xfId="44275"/>
    <cellStyle name="dp*SubTitle 2 5 4 4 2" xfId="44276"/>
    <cellStyle name="dp*ThinLineBelow 2 5 4 4 2" xfId="44277"/>
    <cellStyle name="Heading [Helv] 2 5 4 4 2" xfId="44278"/>
    <cellStyle name="Heading [Palat] 2 5 4 4 2" xfId="44279"/>
    <cellStyle name="Magic 2 5 4 4 2" xfId="44280"/>
    <cellStyle name="Outputs 2 5 4 4 2" xfId="44281"/>
    <cellStyle name="PB Table Standard Row 2 5 4 4 2" xfId="44282"/>
    <cellStyle name="P-Green Rule 2 5 4 4 2" xfId="44283"/>
    <cellStyle name="Style 44 3 5 4 4 2" xfId="44284"/>
    <cellStyle name="Style 45 3 5 4 4 2" xfId="44285"/>
    <cellStyle name="Style 49 3 5 4 4 2" xfId="44286"/>
    <cellStyle name="Style 51 3 5 4 4 2" xfId="44287"/>
    <cellStyle name="Style 44 2 5 4 4 2" xfId="44288"/>
    <cellStyle name="Style 45 2 5 4 4 2" xfId="44289"/>
    <cellStyle name="Style 49 2 5 4 4 2" xfId="44290"/>
    <cellStyle name="Style 51 2 5 4 4 2" xfId="44291"/>
    <cellStyle name="Table Head Aligned 2 5 4 4 2" xfId="44292"/>
    <cellStyle name="Table Head Green 2 5 4 4 2" xfId="44293"/>
    <cellStyle name="Title [Helv] 2 5 4 4 2" xfId="44294"/>
    <cellStyle name="Title [Palat] 2 5 4 4 2" xfId="44295"/>
    <cellStyle name="ac 5 4 4 2" xfId="44296"/>
    <cellStyle name="Bold/Border 5 4 4 2" xfId="44297"/>
    <cellStyle name="Border Thin 6 4 4 2" xfId="44298"/>
    <cellStyle name="COL HEADINGS 5 4 4 2" xfId="44299"/>
    <cellStyle name="Date [mm-d-yyyy] 6 3 4 2" xfId="44300"/>
    <cellStyle name="Heading [Helv] 5 4 4 2" xfId="44301"/>
    <cellStyle name="Heading [Palat] 5 4 4 2" xfId="44302"/>
    <cellStyle name="Afjusted 2 2 2 3 5 2 3" xfId="44303"/>
    <cellStyle name="dp*NumberLine 2 2 2 2 5 2 3" xfId="44304"/>
    <cellStyle name="Outputs 5 4 4 2" xfId="44305"/>
    <cellStyle name="PB Table Standard Row 6 4 4 2" xfId="44306"/>
    <cellStyle name="P-Green Rule 6 4 4 2" xfId="44307"/>
    <cellStyle name="dp*NumberLineEPS 5 6 3" xfId="44308"/>
    <cellStyle name="Bold/Border 2 2 2 9 3" xfId="44309"/>
    <cellStyle name="dp*SheetSubTitle 2 2 3 3 5 2 3" xfId="44310"/>
    <cellStyle name="Style 44 4 4 5 2 3" xfId="44311"/>
    <cellStyle name="Table Head Aligned 2 2 3 8 2 3" xfId="44312"/>
    <cellStyle name="P-Green Rule 3 2 7 2 3" xfId="44313"/>
    <cellStyle name="Style 44 4 3 2 5 2 3" xfId="44314"/>
    <cellStyle name="Date [mm-d-yyyy] 2 2 2 5 2 3" xfId="44315"/>
    <cellStyle name="Style 51 4 2 2 5 2 3" xfId="44316"/>
    <cellStyle name="PB Table Standard Row 3 2 2 5 2 3" xfId="44317"/>
    <cellStyle name="Style 51 4 5 5 2 3" xfId="44318"/>
    <cellStyle name="Style 44 7 4 4 2" xfId="44319"/>
    <cellStyle name="Style 45 7 4 4 2" xfId="44320"/>
    <cellStyle name="Style 49 7 4 4 2" xfId="44321"/>
    <cellStyle name="Style 51 7 4 4 2" xfId="44322"/>
    <cellStyle name="Table Head Green 5 4 4 2" xfId="44323"/>
    <cellStyle name="Title [Palat] 4 4 4 2" xfId="44324"/>
    <cellStyle name="ac 2 6 4 4 2" xfId="44325"/>
    <cellStyle name="Bold/Border 2 6 4 4 2" xfId="44326"/>
    <cellStyle name="Border Thin 2 6 4 4 2" xfId="44327"/>
    <cellStyle name="COL HEADINGS 2 6 4 4 2" xfId="44328"/>
    <cellStyle name="Date [mm-d-yyyy] 2 3 3 4 2" xfId="44329"/>
    <cellStyle name="Heading [Helv] 2 6 4 4 2" xfId="44330"/>
    <cellStyle name="Heading [Palat] 2 6 4 4 2" xfId="44331"/>
    <cellStyle name="Outputs 2 6 4 4 2" xfId="44332"/>
    <cellStyle name="PB Table Standard Row 2 6 4 4 2" xfId="44333"/>
    <cellStyle name="P-Green Rule 2 6 4 4 2" xfId="44334"/>
    <cellStyle name="Style 44 3 6 4 4 2" xfId="44335"/>
    <cellStyle name="Style 45 3 6 4 4 2" xfId="44336"/>
    <cellStyle name="Style 49 3 6 4 4 2" xfId="44337"/>
    <cellStyle name="Style 51 3 6 4 4 2" xfId="44338"/>
    <cellStyle name="Style 44 2 6 4 4 2" xfId="44339"/>
    <cellStyle name="Style 45 2 6 4 4 2" xfId="44340"/>
    <cellStyle name="Style 49 2 6 4 4 2" xfId="44341"/>
    <cellStyle name="Style 51 2 6 4 4 2" xfId="44342"/>
    <cellStyle name="Table Head Green 2 6 4 4 2" xfId="44343"/>
    <cellStyle name="Title [Palat] 2 6 4 4 2" xfId="44344"/>
    <cellStyle name="Magic 2 2 2 3 5 2 3" xfId="44345"/>
    <cellStyle name="ac 2 2 2 4 5 2 3" xfId="44346"/>
    <cellStyle name="Title [Palat] 5 4 4 2" xfId="44347"/>
    <cellStyle name="Title [Helv] 4 4 4 2" xfId="44348"/>
    <cellStyle name="Table Head Green 6 4 4 2" xfId="44349"/>
    <cellStyle name="Table Head Aligned 4 4 4 2" xfId="44350"/>
    <cellStyle name="Style 51 9 3 4 2" xfId="44351"/>
    <cellStyle name="Style 49 9 3 4 2" xfId="44352"/>
    <cellStyle name="Style 45 9 3 4 2" xfId="44353"/>
    <cellStyle name="Style 44 9 3 4 2" xfId="44354"/>
    <cellStyle name="Heading [Palat] 2 2 3 2 5 2 3" xfId="44355"/>
    <cellStyle name="PB Table Standard Row 3 4 3 2 3" xfId="44356"/>
    <cellStyle name="Afjusted 3 4 5 2 3" xfId="44357"/>
    <cellStyle name="Style 49 5 7 3" xfId="44358"/>
    <cellStyle name="Bold/Border 2 2 4 7 3" xfId="44359"/>
    <cellStyle name="P-Green Rule 7 3 4 2" xfId="44360"/>
    <cellStyle name="PB Table Standard Row 7 3 4 2" xfId="44361"/>
    <cellStyle name="Outputs 6 4 4 2" xfId="44362"/>
    <cellStyle name="dp*SheetSubTitle 2 2 2 3 5 2 3" xfId="44363"/>
    <cellStyle name="Magic 4 4 4 2" xfId="44364"/>
    <cellStyle name="Heading [Palat] 6 4 4 2" xfId="44365"/>
    <cellStyle name="Heading [Helv] 6 4 4 2" xfId="44366"/>
    <cellStyle name="dp*ThinLineBelow 5 4 4 2" xfId="44367"/>
    <cellStyle name="dp*SubTitle 5 4 4 2" xfId="44368"/>
    <cellStyle name="dp*SheetSubTitle 4 4 4 2" xfId="44369"/>
    <cellStyle name="dp*NumberLineEPS 4 4 4 2" xfId="44370"/>
    <cellStyle name="dp*NumberLine 4 4 4 2" xfId="44371"/>
    <cellStyle name="Date [mmm-yyyy] 4 4 4 2" xfId="44372"/>
    <cellStyle name="Date [mm-d-yyyy] 7 4 4 2" xfId="44373"/>
    <cellStyle name="COL HEADINGS 6 4 4 2" xfId="44374"/>
    <cellStyle name="Border Thin 7 4 4 2" xfId="44375"/>
    <cellStyle name="Bold/Border 6 4 4 2" xfId="44376"/>
    <cellStyle name="Afjusted 7 4 4 2" xfId="44377"/>
    <cellStyle name="ac 6 4 4 2" xfId="44378"/>
    <cellStyle name="Heading [Palat] 2 2 2 9 3" xfId="44379"/>
    <cellStyle name="Style 44 4 2 9 3" xfId="44380"/>
    <cellStyle name="Border Thin 3 2 2 7 3" xfId="44381"/>
    <cellStyle name="Table Head Aligned 2 2 4 5 2 3" xfId="44382"/>
    <cellStyle name="Style 44 8 4 4 2" xfId="44383"/>
    <cellStyle name="Style 45 8 4 4 2" xfId="44384"/>
    <cellStyle name="Style 49 8 4 4 2" xfId="44385"/>
    <cellStyle name="Style 51 8 4 4 2" xfId="44386"/>
    <cellStyle name="Title [Palat] 6 4 4 2" xfId="44387"/>
    <cellStyle name="Title [Helv] 5 4 4 2" xfId="44388"/>
    <cellStyle name="Table Head Green 7 4 4 2" xfId="44389"/>
    <cellStyle name="Table Head Aligned 5 4 4 2" xfId="44390"/>
    <cellStyle name="Date [mmm-yyyy] 2 2 2 3 5 2 3" xfId="44391"/>
    <cellStyle name="Outputs 7 4 4 2" xfId="44392"/>
    <cellStyle name="Magic 5 4 4 2" xfId="44393"/>
    <cellStyle name="Heading [Palat] 7 4 4 2" xfId="44394"/>
    <cellStyle name="Heading [Helv] 7 4 4 2" xfId="44395"/>
    <cellStyle name="dp*SheetSubTitle 5 4 4 2" xfId="44396"/>
    <cellStyle name="dp*NumberLineEPS 5 4 4 2" xfId="44397"/>
    <cellStyle name="dp*NumberLine 5 4 4 2" xfId="44398"/>
    <cellStyle name="Date [mmm-yyyy] 5 4 4 2" xfId="44399"/>
    <cellStyle name="COL HEADINGS 7 4 4 2" xfId="44400"/>
    <cellStyle name="Bold/Border 7 4 4 2" xfId="44401"/>
    <cellStyle name="Afjusted 8 4 4 2" xfId="44402"/>
    <cellStyle name="ac 7 4 4 2" xfId="44403"/>
    <cellStyle name="Title [Palat] 7 4 4 2" xfId="44404"/>
    <cellStyle name="Title [Helv] 6 4 4 2" xfId="44405"/>
    <cellStyle name="Table Head Green 8 4 4 2" xfId="44406"/>
    <cellStyle name="Table Head Aligned 6 4 4 2" xfId="44407"/>
    <cellStyle name="dp*ThinLineBelow 3 4 4 2 3" xfId="44408"/>
    <cellStyle name="Heading [Palat] 2 2 3 3 5 2 3" xfId="44409"/>
    <cellStyle name="Style 51 4 3 3 7 3" xfId="44410"/>
    <cellStyle name="COL HEADINGS 2 2 4 7 3" xfId="44411"/>
    <cellStyle name="Table Head Aligned 5 6 3" xfId="44412"/>
    <cellStyle name="Outputs 8 4 4 2" xfId="44413"/>
    <cellStyle name="Magic 6 4 4 2" xfId="44414"/>
    <cellStyle name="Heading [Palat] 8 4 4 2" xfId="44415"/>
    <cellStyle name="Heading [Helv] 8 4 4 2" xfId="44416"/>
    <cellStyle name="dp*SheetSubTitle 6 4 4 2" xfId="44417"/>
    <cellStyle name="dp*NumberLineEPS 6 4 4 2" xfId="44418"/>
    <cellStyle name="dp*NumberLine 6 4 4 2" xfId="44419"/>
    <cellStyle name="COL HEADINGS 8 4 4 2" xfId="44420"/>
    <cellStyle name="Bold/Border 8 4 4 2" xfId="44421"/>
    <cellStyle name="Afjusted 9 4 4 2" xfId="44422"/>
    <cellStyle name="ac 8 4 4 2" xfId="44423"/>
    <cellStyle name="Date [mmm-yyyy] 6 4 4 2" xfId="44424"/>
    <cellStyle name="Title [Palat] 8 4 4 2" xfId="44425"/>
    <cellStyle name="Title [Helv] 7 4 4 2" xfId="44426"/>
    <cellStyle name="Table Head Green 9 4 4 2" xfId="44427"/>
    <cellStyle name="Table Head Aligned 7 4 4 2" xfId="44428"/>
    <cellStyle name="Outputs 9 4 4 2" xfId="44429"/>
    <cellStyle name="Magic 7 4 4 2" xfId="44430"/>
    <cellStyle name="Heading [Palat] 9 4 4 2" xfId="44431"/>
    <cellStyle name="Heading [Helv] 9 4 4 2" xfId="44432"/>
    <cellStyle name="dp*SheetSubTitle 7 4 4 2" xfId="44433"/>
    <cellStyle name="dp*NumberLineEPS 7 4 4 2" xfId="44434"/>
    <cellStyle name="dp*NumberLine 7 4 4 2" xfId="44435"/>
    <cellStyle name="Date [mmm-yyyy] 7 4 4 2" xfId="44436"/>
    <cellStyle name="COL HEADINGS 9 4 4 2" xfId="44437"/>
    <cellStyle name="Bold/Border 9 4 4 2" xfId="44438"/>
    <cellStyle name="Afjusted 10 4 4 2" xfId="44439"/>
    <cellStyle name="ac 9 4 4 2" xfId="44440"/>
    <cellStyle name="Afjusted 3 6 3 4 2" xfId="44441"/>
    <cellStyle name="ac 2 7 3 4 2" xfId="44442"/>
    <cellStyle name="Afjusted 2 5 3 4 2" xfId="44443"/>
    <cellStyle name="Bold/Border 2 7 3 4 2" xfId="44444"/>
    <cellStyle name="COL HEADINGS 2 7 3 4 2" xfId="44445"/>
    <cellStyle name="Date [mmm-yyyy] 2 6 3 4 2" xfId="44446"/>
    <cellStyle name="dp*NumberLine 2 6 3 4 2" xfId="44447"/>
    <cellStyle name="dp*NumberLineEPS 2 6 3 4 2" xfId="44448"/>
    <cellStyle name="dp*SheetSubTitle 2 6 3 4 2" xfId="44449"/>
    <cellStyle name="Heading [Helv] 2 7 3 4 2" xfId="44450"/>
    <cellStyle name="Heading [Palat] 2 7 3 4 2" xfId="44451"/>
    <cellStyle name="Magic 2 6 3 4 2" xfId="44452"/>
    <cellStyle name="Outputs 2 7 3 4 2" xfId="44453"/>
    <cellStyle name="Table Head Aligned 2 6 3 4 2" xfId="44454"/>
    <cellStyle name="Table Head Green 2 7 3 4 2" xfId="44455"/>
    <cellStyle name="Title [Helv] 2 6 3 4 2" xfId="44456"/>
    <cellStyle name="Title [Palat] 2 7 3 4 2" xfId="44457"/>
    <cellStyle name="Date [mm-d-yyyy] 3 6 3 4 2" xfId="44458"/>
    <cellStyle name="Style 51 4 6 3 4 2" xfId="44459"/>
    <cellStyle name="Style 49 4 6 3 4 2" xfId="44460"/>
    <cellStyle name="Style 45 4 6 3 4 2" xfId="44461"/>
    <cellStyle name="Style 44 4 6 3 4 2" xfId="44462"/>
    <cellStyle name="P-Green Rule 3 6 3 4 2" xfId="44463"/>
    <cellStyle name="PB Table Standard Row 3 6 3 4 2" xfId="44464"/>
    <cellStyle name="dp*ThinLineBelow 3 6 3 4 2" xfId="44465"/>
    <cellStyle name="dp*SubTitle 3 6 3 4 2" xfId="44466"/>
    <cellStyle name="Border Thin 3 6 3 4 2" xfId="44467"/>
    <cellStyle name="Afjusted 4 6 3 4 2" xfId="44468"/>
    <cellStyle name="ac 2 2 5 3 4 2" xfId="44469"/>
    <cellStyle name="Afjusted 2 2 6 3 4 2" xfId="44470"/>
    <cellStyle name="Bold/Border 2 2 5 3 4 2" xfId="44471"/>
    <cellStyle name="COL HEADINGS 2 2 5 3 4 2" xfId="44472"/>
    <cellStyle name="Date [mmm-yyyy] 2 2 5 3 4 2" xfId="44473"/>
    <cellStyle name="dp*NumberLine 2 2 5 3 4 2" xfId="44474"/>
    <cellStyle name="dp*NumberLineEPS 2 2 5 3 4 2" xfId="44475"/>
    <cellStyle name="dp*SheetSubTitle 2 2 5 3 4 2" xfId="44476"/>
    <cellStyle name="Heading [Helv] 2 2 5 3 4 2" xfId="44477"/>
    <cellStyle name="Heading [Palat] 2 2 5 3 4 2" xfId="44478"/>
    <cellStyle name="Magic 2 2 5 3 4 2" xfId="44479"/>
    <cellStyle name="Outputs 2 2 5 3 4 2" xfId="44480"/>
    <cellStyle name="Table Head Aligned 2 2 5 3 4 2" xfId="44481"/>
    <cellStyle name="Table Head Green 2 2 5 3 4 2" xfId="44482"/>
    <cellStyle name="Title [Helv] 2 2 5 3 4 2" xfId="44483"/>
    <cellStyle name="Title [Palat] 2 2 5 3 4 2" xfId="44484"/>
    <cellStyle name="dp*SubTitle 2 2 2 3 4 2" xfId="44485"/>
    <cellStyle name="Border Thin 2 2 2 3 4 2" xfId="44486"/>
    <cellStyle name="Bold/Border 2 2 3 4 2 3 4 2" xfId="44487"/>
    <cellStyle name="Magic 2 2 3 4 2 3 4 2" xfId="44488"/>
    <cellStyle name="Title [Helv] 2 2 3 4 2 3 4 2" xfId="44489"/>
    <cellStyle name="Style 51 2 2 2 3 4 2" xfId="44490"/>
    <cellStyle name="Style 45 2 2 2 3 4 2" xfId="44491"/>
    <cellStyle name="Style 49 2 2 2 3 4 2" xfId="44492"/>
    <cellStyle name="Style 44 2 2 2 3 4 2" xfId="44493"/>
    <cellStyle name="Style 51 3 2 2 3 4 2" xfId="44494"/>
    <cellStyle name="Style 49 3 2 2 3 4 2" xfId="44495"/>
    <cellStyle name="Style 45 3 2 2 3 4 2" xfId="44496"/>
    <cellStyle name="Style 44 3 2 2 3 4 2" xfId="44497"/>
    <cellStyle name="P-Green Rule 2 2 2 3 4 2" xfId="44498"/>
    <cellStyle name="PB Table Standard Row 2 2 2 3 4 2" xfId="44499"/>
    <cellStyle name="dp*ThinLineBelow 2 2 2 3 4 2" xfId="44500"/>
    <cellStyle name="dp*ThinLineBelow 2 3 2 3 4 2" xfId="44501"/>
    <cellStyle name="Style 44 3 3 2 3 4 2" xfId="44502"/>
    <cellStyle name="COL HEADINGS 2 2 3 4 2 3 4 2" xfId="44503"/>
    <cellStyle name="Style 49 4 3 4 2 3 4 2" xfId="44504"/>
    <cellStyle name="Afjusted 3 3 4 2 3 4 2" xfId="44505"/>
    <cellStyle name="Date [mm-d-yyyy] 3 3 4 2 3 4 2" xfId="44506"/>
    <cellStyle name="Afjusted 4 3 4 2 3 4 2" xfId="44507"/>
    <cellStyle name="ac 2 2 3 4 2 3 4 2" xfId="44508"/>
    <cellStyle name="Afjusted 2 2 3 4 2 3 4 2" xfId="44509"/>
    <cellStyle name="Date [mmm-yyyy] 2 2 3 4 2 3 4 2" xfId="44510"/>
    <cellStyle name="dp*NumberLine 2 2 3 4 2 3 4 2" xfId="44511"/>
    <cellStyle name="dp*NumberLineEPS 2 2 3 4 2 3 4 2" xfId="44512"/>
    <cellStyle name="dp*SheetSubTitle 2 2 3 4 2 3 4 2" xfId="44513"/>
    <cellStyle name="Heading [Helv] 2 2 3 4 2 3 4 2" xfId="44514"/>
    <cellStyle name="Outputs 2 2 3 4 2 3 4 2" xfId="44515"/>
    <cellStyle name="Table Head Aligned 2 2 3 4 2 3 4 2" xfId="44516"/>
    <cellStyle name="Title [Palat] 2 2 3 4 2 3 4 2" xfId="44517"/>
    <cellStyle name="Afjusted 3 5 2 3 4 2" xfId="44518"/>
    <cellStyle name="Style 45 3 3 2 3 4 2" xfId="44519"/>
    <cellStyle name="Style 51 3 3 2 3 4 2" xfId="44520"/>
    <cellStyle name="Style 44 2 3 2 3 4 2" xfId="44521"/>
    <cellStyle name="Style 45 2 3 2 3 4 2" xfId="44522"/>
    <cellStyle name="Style 49 2 3 2 3 4 2" xfId="44523"/>
    <cellStyle name="Border Thin 3 5 2 3 4 2" xfId="44524"/>
    <cellStyle name="ac 2 2 4 2 3 4 2" xfId="44525"/>
    <cellStyle name="Afjusted 2 2 5 2 3 4 2" xfId="44526"/>
    <cellStyle name="Bold/Border 2 2 4 2 3 4 2" xfId="44527"/>
    <cellStyle name="COL HEADINGS 2 2 4 2 3 4 2" xfId="44528"/>
    <cellStyle name="Date [mmm-yyyy] 2 2 4 2 3 4 2" xfId="44529"/>
    <cellStyle name="dp*NumberLine 2 2 4 2 3 4 2" xfId="44530"/>
    <cellStyle name="dp*NumberLineEPS 2 2 4 2 3 4 2" xfId="44531"/>
    <cellStyle name="dp*SheetSubTitle 2 2 4 2 3 4 2" xfId="44532"/>
    <cellStyle name="Heading [Palat] 2 2 4 2 3 4 2" xfId="44533"/>
    <cellStyle name="Outputs 2 2 4 2 3 4 2" xfId="44534"/>
    <cellStyle name="Magic 2 2 4 2 3 4 2" xfId="44535"/>
    <cellStyle name="Title [Helv] 2 2 4 2 3 4 2" xfId="44536"/>
    <cellStyle name="Title [Palat] 2 2 4 2 3 4 2" xfId="44537"/>
    <cellStyle name="Title [Palat] 2 2 3 3 2 3 4 2" xfId="44538"/>
    <cellStyle name="Title [Helv] 2 2 3 3 2 3 4 2" xfId="44539"/>
    <cellStyle name="Table Head Aligned 2 2 3 3 2 3 4 2" xfId="44540"/>
    <cellStyle name="Magic 2 2 3 3 2 3 4 2" xfId="44541"/>
    <cellStyle name="Heading [Helv] 2 2 3 3 2 3 4 2" xfId="44542"/>
    <cellStyle name="dp*NumberLineEPS 2 2 3 3 2 3 4 2" xfId="44543"/>
    <cellStyle name="COL HEADINGS 2 2 3 3 2 3 4 2" xfId="44544"/>
    <cellStyle name="ac 2 2 3 3 2 3 4 2" xfId="44545"/>
    <cellStyle name="Afjusted 4 3 3 2 3 4 2" xfId="44546"/>
    <cellStyle name="Border Thin 3 3 3 2 3 4 2" xfId="44547"/>
    <cellStyle name="PB Table Standard Row 3 3 3 2 3 4 2" xfId="44548"/>
    <cellStyle name="Style 44 4 3 3 2 3 4 2" xfId="44549"/>
    <cellStyle name="Style 51 4 3 3 2 3 4 2" xfId="44550"/>
    <cellStyle name="Afjusted 3 3 3 2 3 4 2" xfId="44551"/>
    <cellStyle name="Style 49 4 5 2 3 4 2" xfId="44552"/>
    <cellStyle name="Style 44 4 5 2 3 4 2" xfId="44553"/>
    <cellStyle name="P-Green Rule 3 5 2 3 4 2" xfId="44554"/>
    <cellStyle name="dp*SubTitle 3 5 2 3 4 2" xfId="44555"/>
    <cellStyle name="Afjusted 4 5 2 3 4 2" xfId="44556"/>
    <cellStyle name="ac 2 3 2 3 4 2" xfId="44557"/>
    <cellStyle name="Bold/Border 2 3 2 3 4 2" xfId="44558"/>
    <cellStyle name="COL HEADINGS 2 3 2 3 4 2" xfId="44559"/>
    <cellStyle name="Date [mmm-yyyy] 2 3 2 3 4 2" xfId="44560"/>
    <cellStyle name="dp*NumberLine 2 3 2 3 4 2" xfId="44561"/>
    <cellStyle name="dp*NumberLineEPS 2 3 2 3 4 2" xfId="44562"/>
    <cellStyle name="dp*SheetSubTitle 2 3 2 3 4 2" xfId="44563"/>
    <cellStyle name="Heading [Helv] 2 3 2 3 4 2" xfId="44564"/>
    <cellStyle name="Heading [Palat] 2 3 2 3 4 2" xfId="44565"/>
    <cellStyle name="Magic 2 3 2 3 4 2" xfId="44566"/>
    <cellStyle name="Outputs 2 3 2 3 4 2" xfId="44567"/>
    <cellStyle name="Date [mmm-yyyy] 2 2 3 3 2 3 4 2" xfId="44568"/>
    <cellStyle name="Afjusted 2 2 3 3 2 3 4 2" xfId="44569"/>
    <cellStyle name="dp*ThinLineBelow 3 3 3 2 3 4 2" xfId="44570"/>
    <cellStyle name="Style 49 4 3 3 2 3 4 2" xfId="44571"/>
    <cellStyle name="Outputs 2 2 3 3 2 3 4 2" xfId="44572"/>
    <cellStyle name="dp*NumberLine 2 2 3 3 2 3 4 2" xfId="44573"/>
    <cellStyle name="Bold/Border 2 2 3 3 2 3 4 2" xfId="44574"/>
    <cellStyle name="dp*SubTitle 3 3 3 2 3 4 2" xfId="44575"/>
    <cellStyle name="Style 45 4 3 3 2 3 4 2" xfId="44576"/>
    <cellStyle name="Table Head Aligned 2 3 2 3 4 2" xfId="44577"/>
    <cellStyle name="Table Head Green 2 3 2 3 4 2" xfId="44578"/>
    <cellStyle name="Title [Helv] 2 3 2 3 4 2" xfId="44579"/>
    <cellStyle name="Title [Palat] 2 3 2 3 4 2" xfId="44580"/>
    <cellStyle name="Style 45 4 3 4 2 3 4 2" xfId="44581"/>
    <cellStyle name="Style 51 4 3 4 2 3 4 2" xfId="44582"/>
    <cellStyle name="Afjusted 3 4 2 3 4 2" xfId="44583"/>
    <cellStyle name="P-Green Rule 3 3 4 2 3 4 2" xfId="44584"/>
    <cellStyle name="Border Thin 2 3 2 3 4 2" xfId="44585"/>
    <cellStyle name="Style 49 3 3 2 3 4 2" xfId="44586"/>
    <cellStyle name="Style 51 2 3 2 3 4 2" xfId="44587"/>
    <cellStyle name="Heading [Helv] 2 2 4 2 3 4 2" xfId="44588"/>
    <cellStyle name="Table Head Aligned 2 2 4 2 3 4 2" xfId="44589"/>
    <cellStyle name="Table Head Green 2 2 4 2 3 4 2" xfId="44590"/>
    <cellStyle name="Table Head Green 2 2 3 3 2 3 4 2" xfId="44591"/>
    <cellStyle name="Heading [Palat] 2 2 3 3 2 3 4 2" xfId="44592"/>
    <cellStyle name="dp*SheetSubTitle 2 2 3 3 2 3 4 2" xfId="44593"/>
    <cellStyle name="P-Green Rule 3 3 3 2 3 4 2" xfId="44594"/>
    <cellStyle name="Date [mm-d-yyyy] 3 3 3 2 3 4 2" xfId="44595"/>
    <cellStyle name="Date [mm-d-yyyy] 3 4 2 3 4 2" xfId="44596"/>
    <cellStyle name="Style 51 4 4 2 3 4 2" xfId="44597"/>
    <cellStyle name="Style 49 4 4 2 3 4 2" xfId="44598"/>
    <cellStyle name="Style 45 4 4 2 3 4 2" xfId="44599"/>
    <cellStyle name="Style 44 4 4 2 3 4 2" xfId="44600"/>
    <cellStyle name="dp*ThinLineBelow 3 3 4 2 3 4 2" xfId="44601"/>
    <cellStyle name="P-Green Rule 3 4 2 3 4 2" xfId="44602"/>
    <cellStyle name="PB Table Standard Row 3 4 2 2 4 2" xfId="44603"/>
    <cellStyle name="dp*ThinLineBelow 3 4 2 3 4 2" xfId="44604"/>
    <cellStyle name="dp*SubTitle 3 4 2 3 4 2" xfId="44605"/>
    <cellStyle name="dp*SubTitle 3 3 4 2 3 4 2" xfId="44606"/>
    <cellStyle name="Border Thin 3 4 2 3 4 2" xfId="44607"/>
    <cellStyle name="Border Thin 3 3 4 2 3 4 2" xfId="44608"/>
    <cellStyle name="Afjusted 4 4 2 3 4 2" xfId="44609"/>
    <cellStyle name="Afjusted 2 2 4 2 3 4 2" xfId="44610"/>
    <cellStyle name="Style 44 4 3 4 2 3 4 2" xfId="44611"/>
    <cellStyle name="PB Table Standard Row 3 3 4 2 3 4 2" xfId="44612"/>
    <cellStyle name="Title [Palat] 2 2 3 5 3 4 2" xfId="44613"/>
    <cellStyle name="Title [Helv] 2 2 3 5 3 4 2" xfId="44614"/>
    <cellStyle name="Table Head Green 2 2 3 5 3 4 2" xfId="44615"/>
    <cellStyle name="Table Head Aligned 2 2 3 5 3 4 2" xfId="44616"/>
    <cellStyle name="Outputs 2 2 3 5 3 4 2" xfId="44617"/>
    <cellStyle name="Magic 2 2 3 5 3 4 2" xfId="44618"/>
    <cellStyle name="Heading [Palat] 2 2 3 5 3 4 2" xfId="44619"/>
    <cellStyle name="Heading [Helv] 2 2 3 5 3 4 2" xfId="44620"/>
    <cellStyle name="dp*SheetSubTitle 2 2 3 5 3 4 2" xfId="44621"/>
    <cellStyle name="dp*NumberLineEPS 2 2 3 5 3 4 2" xfId="44622"/>
    <cellStyle name="dp*NumberLine 2 2 3 5 3 4 2" xfId="44623"/>
    <cellStyle name="Date [mmm-yyyy] 2 2 3 5 3 4 2" xfId="44624"/>
    <cellStyle name="COL HEADINGS 2 2 3 5 3 4 2" xfId="44625"/>
    <cellStyle name="Bold/Border 2 2 3 5 3 4 2" xfId="44626"/>
    <cellStyle name="Afjusted 2 2 3 5 3 4 2" xfId="44627"/>
    <cellStyle name="ac 2 2 3 5 3 4 2" xfId="44628"/>
    <cellStyle name="Afjusted 4 3 5 3 4 2" xfId="44629"/>
    <cellStyle name="Border Thin 3 3 5 3 4 2" xfId="44630"/>
    <cellStyle name="dp*SubTitle 3 3 5 3 4 2" xfId="44631"/>
    <cellStyle name="dp*ThinLineBelow 3 3 5 3 4 2" xfId="44632"/>
    <cellStyle name="PB Table Standard Row 3 3 5 3 4 2" xfId="44633"/>
    <cellStyle name="P-Green Rule 3 3 5 3 4 2" xfId="44634"/>
    <cellStyle name="Style 44 4 3 5 3 4 2" xfId="44635"/>
    <cellStyle name="Style 45 4 3 5 3 4 2" xfId="44636"/>
    <cellStyle name="Style 49 4 3 5 3 4 2" xfId="44637"/>
    <cellStyle name="Style 51 4 3 5 3 4 2" xfId="44638"/>
    <cellStyle name="Date [mm-d-yyyy] 3 3 5 3 4 2" xfId="44639"/>
    <cellStyle name="Afjusted 3 3 5 3 4 2" xfId="44640"/>
    <cellStyle name="Date [mm-d-yyyy] 2 2 4 3 4 2" xfId="44641"/>
    <cellStyle name="Afjusted 3 2 5 3 4 2" xfId="44642"/>
    <cellStyle name="Date [mm-d-yyyy] 3 2 5 3 4 2" xfId="44643"/>
    <cellStyle name="Style 51 4 2 5 3 4 2" xfId="44644"/>
    <cellStyle name="Style 49 4 2 5 3 4 2" xfId="44645"/>
    <cellStyle name="Style 45 4 2 5 3 4 2" xfId="44646"/>
    <cellStyle name="Style 44 4 2 5 3 4 2" xfId="44647"/>
    <cellStyle name="P-Green Rule 3 2 5 3 4 2" xfId="44648"/>
    <cellStyle name="PB Table Standard Row 3 2 5 2 4 2" xfId="44649"/>
    <cellStyle name="dp*ThinLineBelow 3 2 5 3 4 2" xfId="44650"/>
    <cellStyle name="dp*SubTitle 3 2 5 3 4 2" xfId="44651"/>
    <cellStyle name="Border Thin 3 2 5 3 4 2" xfId="44652"/>
    <cellStyle name="Afjusted 4 2 5 3 4 2" xfId="44653"/>
    <cellStyle name="ac 2 2 2 5 3 4 2" xfId="44654"/>
    <cellStyle name="Afjusted 2 2 2 5 3 4 2" xfId="44655"/>
    <cellStyle name="Bold/Border 2 2 2 5 3 4 2" xfId="44656"/>
    <cellStyle name="COL HEADINGS 2 2 2 5 3 4 2" xfId="44657"/>
    <cellStyle name="Date [mmm-yyyy] 2 2 2 5 3 4 2" xfId="44658"/>
    <cellStyle name="dp*NumberLine 2 2 2 5 3 4 2" xfId="44659"/>
    <cellStyle name="dp*NumberLineEPS 2 2 2 5 3 4 2" xfId="44660"/>
    <cellStyle name="dp*SheetSubTitle 2 2 2 5 3 4 2" xfId="44661"/>
    <cellStyle name="Heading [Helv] 2 2 2 5 3 4 2" xfId="44662"/>
    <cellStyle name="Heading [Palat] 2 2 2 5 3 4 2" xfId="44663"/>
    <cellStyle name="Magic 2 2 2 5 3 4 2" xfId="44664"/>
    <cellStyle name="Outputs 2 2 2 5 3 4 2" xfId="44665"/>
    <cellStyle name="Table Head Aligned 2 2 2 5 3 4 2" xfId="44666"/>
    <cellStyle name="Table Head Green 2 2 2 5 3 4 2" xfId="44667"/>
    <cellStyle name="Title [Helv] 2 2 2 5 3 4 2" xfId="44668"/>
    <cellStyle name="Title [Palat] 2 2 2 5 3 4 2" xfId="44669"/>
    <cellStyle name="Table Head Green 2 2 3 4 2 3 4 2" xfId="44670"/>
    <cellStyle name="Heading [Palat] 2 2 3 4 2 3 4 2" xfId="44671"/>
    <cellStyle name="PB Table Standard Row 2 3 2 3 4 2" xfId="44672"/>
    <cellStyle name="P-Green Rule 2 3 2 3 4 2" xfId="44673"/>
    <cellStyle name="Title [Palat] 2 2 3 2 2 3 4 2" xfId="44674"/>
    <cellStyle name="Title [Helv] 2 2 3 2 2 3 4 2" xfId="44675"/>
    <cellStyle name="Table Head Green 2 2 3 2 2 3 4 2" xfId="44676"/>
    <cellStyle name="Table Head Aligned 2 2 3 2 2 3 4 2" xfId="44677"/>
    <cellStyle name="Outputs 2 2 3 2 2 3 4 2" xfId="44678"/>
    <cellStyle name="Magic 2 2 3 2 2 3 4 2" xfId="44679"/>
    <cellStyle name="Heading [Palat] 2 2 3 2 2 3 4 2" xfId="44680"/>
    <cellStyle name="Heading [Helv] 2 2 3 2 2 3 4 2" xfId="44681"/>
    <cellStyle name="dp*SheetSubTitle 2 2 3 2 2 3 4 2" xfId="44682"/>
    <cellStyle name="dp*NumberLineEPS 2 2 3 2 2 3 4 2" xfId="44683"/>
    <cellStyle name="dp*NumberLine 2 2 3 2 2 3 4 2" xfId="44684"/>
    <cellStyle name="Date [mmm-yyyy] 2 2 3 2 2 3 4 2" xfId="44685"/>
    <cellStyle name="COL HEADINGS 2 2 3 2 2 3 4 2" xfId="44686"/>
    <cellStyle name="Bold/Border 2 2 3 2 2 3 4 2" xfId="44687"/>
    <cellStyle name="Afjusted 2 2 3 2 2 3 4 2" xfId="44688"/>
    <cellStyle name="ac 2 2 3 2 2 3 4 2" xfId="44689"/>
    <cellStyle name="Afjusted 4 3 2 2 3 4 2" xfId="44690"/>
    <cellStyle name="Border Thin 3 3 2 2 3 4 2" xfId="44691"/>
    <cellStyle name="dp*SubTitle 3 3 2 2 3 4 2" xfId="44692"/>
    <cellStyle name="dp*ThinLineBelow 3 3 2 2 3 4 2" xfId="44693"/>
    <cellStyle name="PB Table Standard Row 3 3 2 2 3 4 2" xfId="44694"/>
    <cellStyle name="P-Green Rule 3 3 2 2 3 4 2" xfId="44695"/>
    <cellStyle name="Style 44 4 3 2 2 3 4 2" xfId="44696"/>
    <cellStyle name="Style 45 4 3 2 2 3 4 2" xfId="44697"/>
    <cellStyle name="Style 49 4 3 2 2 3 4 2" xfId="44698"/>
    <cellStyle name="Style 51 4 3 2 2 3 4 2" xfId="44699"/>
    <cellStyle name="Date [mm-d-yyyy] 3 3 2 2 3 4 2" xfId="44700"/>
    <cellStyle name="Afjusted 3 3 2 2 3 4 2" xfId="44701"/>
    <cellStyle name="Date [mm-d-yyyy] 3 5 2 3 4 2" xfId="44702"/>
    <cellStyle name="dp*SubTitle 2 3 2 3 4 2" xfId="44703"/>
    <cellStyle name="Date [mm-d-yyyy] 2 2 2 2 3 4 2" xfId="44704"/>
    <cellStyle name="Afjusted 3 2 2 2 3 4 2" xfId="44705"/>
    <cellStyle name="PB Table Standard Row 3 5 2 3 4 2" xfId="44706"/>
    <cellStyle name="Date [mm-d-yyyy] 3 2 2 2 3 4 2" xfId="44707"/>
    <cellStyle name="Style 51 4 2 2 2 3 4 2" xfId="44708"/>
    <cellStyle name="Style 49 4 2 2 2 3 4 2" xfId="44709"/>
    <cellStyle name="Style 45 4 2 2 2 3 4 2" xfId="44710"/>
    <cellStyle name="Style 44 4 2 2 2 3 4 2" xfId="44711"/>
    <cellStyle name="Style 45 4 5 2 3 4 2" xfId="44712"/>
    <cellStyle name="P-Green Rule 3 2 2 2 3 4 2" xfId="44713"/>
    <cellStyle name="PB Table Standard Row 3 2 2 2 3 4 2" xfId="44714"/>
    <cellStyle name="dp*ThinLineBelow 3 2 2 2 3 4 2" xfId="44715"/>
    <cellStyle name="dp*SubTitle 3 2 2 2 3 4 2" xfId="44716"/>
    <cellStyle name="Style 51 4 5 2 3 4 2" xfId="44717"/>
    <cellStyle name="Border Thin 3 2 2 2 3 4 2" xfId="44718"/>
    <cellStyle name="Afjusted 4 2 2 2 3 4 2" xfId="44719"/>
    <cellStyle name="ac 2 2 2 2 2 3 4 2" xfId="44720"/>
    <cellStyle name="Afjusted 2 2 2 2 2 3 4 2" xfId="44721"/>
    <cellStyle name="Bold/Border 2 2 2 2 2 3 4 2" xfId="44722"/>
    <cellStyle name="COL HEADINGS 2 2 2 2 2 3 4 2" xfId="44723"/>
    <cellStyle name="Date [mmm-yyyy] 2 2 2 2 2 3 4 2" xfId="44724"/>
    <cellStyle name="dp*NumberLine 2 2 2 2 2 3 4 2" xfId="44725"/>
    <cellStyle name="dp*NumberLineEPS 2 2 2 2 2 3 4 2" xfId="44726"/>
    <cellStyle name="dp*SheetSubTitle 2 2 2 2 2 3 4 2" xfId="44727"/>
    <cellStyle name="Heading [Helv] 2 2 2 2 2 3 4 2" xfId="44728"/>
    <cellStyle name="Heading [Palat] 2 2 2 2 2 3 4 2" xfId="44729"/>
    <cellStyle name="Magic 2 2 2 2 2 3 4 2" xfId="44730"/>
    <cellStyle name="Outputs 2 2 2 2 2 3 4 2" xfId="44731"/>
    <cellStyle name="Table Head Aligned 2 2 2 2 2 3 4 2" xfId="44732"/>
    <cellStyle name="Table Head Green 2 2 2 2 2 3 4 2" xfId="44733"/>
    <cellStyle name="Title [Helv] 2 2 2 2 2 3 4 2" xfId="44734"/>
    <cellStyle name="Title [Palat] 2 2 2 2 2 3 4 2" xfId="44735"/>
    <cellStyle name="dp*ThinLineBelow 3 5 2 3 4 2" xfId="44736"/>
    <cellStyle name="Date [mm-d-yyyy] 2 2 3 2 3 4 2" xfId="44737"/>
    <cellStyle name="Afjusted 3 2 3 2 3 4 2" xfId="44738"/>
    <cellStyle name="Date [mm-d-yyyy] 3 2 3 2 3 4 2" xfId="44739"/>
    <cellStyle name="Style 51 4 2 3 2 3 4 2" xfId="44740"/>
    <cellStyle name="Style 49 4 2 3 2 3 4 2" xfId="44741"/>
    <cellStyle name="Style 45 4 2 3 2 3 4 2" xfId="44742"/>
    <cellStyle name="Style 44 4 2 3 2 3 4 2" xfId="44743"/>
    <cellStyle name="P-Green Rule 3 2 3 2 3 4 2" xfId="44744"/>
    <cellStyle name="PB Table Standard Row 3 2 3 2 3 4 2" xfId="44745"/>
    <cellStyle name="dp*ThinLineBelow 3 2 3 2 3 4 2" xfId="44746"/>
    <cellStyle name="dp*SubTitle 3 2 3 2 3 4 2" xfId="44747"/>
    <cellStyle name="Border Thin 3 2 3 2 3 4 2" xfId="44748"/>
    <cellStyle name="Afjusted 4 2 3 2 3 4 2" xfId="44749"/>
    <cellStyle name="ac 2 2 2 3 2 3 4 2" xfId="44750"/>
    <cellStyle name="Afjusted 2 2 2 3 2 3 4 2" xfId="44751"/>
    <cellStyle name="Bold/Border 2 2 2 3 2 3 4 2" xfId="44752"/>
    <cellStyle name="COL HEADINGS 2 2 2 3 2 3 4 2" xfId="44753"/>
    <cellStyle name="Date [mmm-yyyy] 2 2 2 3 2 3 4 2" xfId="44754"/>
    <cellStyle name="dp*NumberLine 2 2 2 3 2 3 4 2" xfId="44755"/>
    <cellStyle name="dp*NumberLineEPS 2 2 2 3 2 3 4 2" xfId="44756"/>
    <cellStyle name="dp*SheetSubTitle 2 2 2 3 2 3 4 2" xfId="44757"/>
    <cellStyle name="Heading [Helv] 2 2 2 3 2 3 4 2" xfId="44758"/>
    <cellStyle name="Heading [Palat] 2 2 2 3 2 3 4 2" xfId="44759"/>
    <cellStyle name="Magic 2 2 2 3 2 3 4 2" xfId="44760"/>
    <cellStyle name="Outputs 2 2 2 3 2 3 4 2" xfId="44761"/>
    <cellStyle name="Table Head Aligned 2 2 2 3 2 3 4 2" xfId="44762"/>
    <cellStyle name="Table Head Green 2 2 2 3 2 3 4 2" xfId="44763"/>
    <cellStyle name="Title [Helv] 2 2 2 3 2 3 4 2" xfId="44764"/>
    <cellStyle name="Title [Palat] 2 2 2 3 2 3 4 2" xfId="44765"/>
    <cellStyle name="Afjusted 3 2 4 2 3 4 2" xfId="44766"/>
    <cellStyle name="Date [mm-d-yyyy] 3 2 4 2 3 4 2" xfId="44767"/>
    <cellStyle name="Style 51 4 2 4 2 3 4 2" xfId="44768"/>
    <cellStyle name="Style 49 4 2 4 2 3 4 2" xfId="44769"/>
    <cellStyle name="Style 45 4 2 4 2 3 4 2" xfId="44770"/>
    <cellStyle name="Style 44 4 2 4 2 3 4 2" xfId="44771"/>
    <cellStyle name="P-Green Rule 3 2 4 2 3 4 2" xfId="44772"/>
    <cellStyle name="PB Table Standard Row 3 2 4 2 3 4 2" xfId="44773"/>
    <cellStyle name="dp*ThinLineBelow 3 2 4 2 3 4 2" xfId="44774"/>
    <cellStyle name="dp*SubTitle 3 2 4 2 3 4 2" xfId="44775"/>
    <cellStyle name="Border Thin 3 2 4 2 3 4 2" xfId="44776"/>
    <cellStyle name="Afjusted 4 2 4 2 3 4 2" xfId="44777"/>
    <cellStyle name="ac 2 2 2 4 2 3 4 2" xfId="44778"/>
    <cellStyle name="Afjusted 2 2 2 4 2 3 4 2" xfId="44779"/>
    <cellStyle name="Bold/Border 2 2 2 4 2 3 4 2" xfId="44780"/>
    <cellStyle name="COL HEADINGS 2 2 2 4 2 3 4 2" xfId="44781"/>
    <cellStyle name="Date [mmm-yyyy] 2 2 2 4 2 3 4 2" xfId="44782"/>
    <cellStyle name="dp*NumberLine 2 2 2 4 2 3 4 2" xfId="44783"/>
    <cellStyle name="dp*NumberLineEPS 2 2 2 4 2 3 4 2" xfId="44784"/>
    <cellStyle name="dp*SheetSubTitle 2 2 2 4 2 3 4 2" xfId="44785"/>
    <cellStyle name="Heading [Helv] 2 2 2 4 2 3 4 2" xfId="44786"/>
    <cellStyle name="Heading [Palat] 2 2 2 4 2 3 4 2" xfId="44787"/>
    <cellStyle name="Magic 2 2 2 4 2 3 4 2" xfId="44788"/>
    <cellStyle name="Outputs 2 2 2 4 2 3 4 2" xfId="44789"/>
    <cellStyle name="Table Head Aligned 2 2 2 4 2 3 4 2" xfId="44790"/>
    <cellStyle name="Table Head Green 2 2 2 4 2 3 4 2" xfId="44791"/>
    <cellStyle name="Title [Helv] 2 2 2 4 2 3 4 2" xfId="44792"/>
    <cellStyle name="Title [Palat] 2 2 2 4 2 3 4 2" xfId="44793"/>
    <cellStyle name="Border Thin 4 2 3 4 2" xfId="44794"/>
    <cellStyle name="Date [mm-d-yyyy] 4 2 3 4 2" xfId="44795"/>
    <cellStyle name="dp*SubTitle 4 2 3 4 2" xfId="44796"/>
    <cellStyle name="dp*ThinLineBelow 4 2 3 4 2" xfId="44797"/>
    <cellStyle name="PB Table Standard Row 4 2 3 4 2" xfId="44798"/>
    <cellStyle name="P-Green Rule 4 2 3 4 2" xfId="44799"/>
    <cellStyle name="Style 44 5 2 3 4 2" xfId="44800"/>
    <cellStyle name="Style 45 5 2 3 4 2" xfId="44801"/>
    <cellStyle name="Style 49 5 2 3 4 2" xfId="44802"/>
    <cellStyle name="Style 51 5 2 3 4 2" xfId="44803"/>
    <cellStyle name="Title [Palat] 3 2 3 4 2" xfId="44804"/>
    <cellStyle name="Title [Helv] 3 2 3 4 2" xfId="44805"/>
    <cellStyle name="Table Head Green 3 2 3 4 2" xfId="44806"/>
    <cellStyle name="Table Head Aligned 3 2 3 4 2" xfId="44807"/>
    <cellStyle name="Outputs 3 2 3 4 2" xfId="44808"/>
    <cellStyle name="Magic 3 2 3 4 2" xfId="44809"/>
    <cellStyle name="Heading [Palat] 3 2 3 4 2" xfId="44810"/>
    <cellStyle name="Heading [Helv] 3 2 3 4 2" xfId="44811"/>
    <cellStyle name="dp*SheetSubTitle 3 2 3 4 2" xfId="44812"/>
    <cellStyle name="dp*NumberLineEPS 3 2 3 4 2" xfId="44813"/>
    <cellStyle name="dp*NumberLine 3 2 3 4 2" xfId="44814"/>
    <cellStyle name="COL HEADINGS 3 2 3 4 2" xfId="44815"/>
    <cellStyle name="Bold/Border 3 2 3 4 2" xfId="44816"/>
    <cellStyle name="Afjusted 5 2 3 4 2" xfId="44817"/>
    <cellStyle name="ac 3 2 3 4 2" xfId="44818"/>
    <cellStyle name="Date [mmm-yyyy] 3 2 3 4 2" xfId="44819"/>
    <cellStyle name="ac 2 4 2 3 4 2" xfId="44820"/>
    <cellStyle name="Afjusted 2 3 2 3 4 2" xfId="44821"/>
    <cellStyle name="Bold/Border 2 4 2 3 4 2" xfId="44822"/>
    <cellStyle name="Border Thin 2 4 2 3 4 2" xfId="44823"/>
    <cellStyle name="COL HEADINGS 2 4 2 3 4 2" xfId="44824"/>
    <cellStyle name="Date [mmm-yyyy] 2 4 2 3 4 2" xfId="44825"/>
    <cellStyle name="dp*NumberLine 2 4 2 3 4 2" xfId="44826"/>
    <cellStyle name="dp*NumberLineEPS 2 4 2 3 4 2" xfId="44827"/>
    <cellStyle name="dp*SheetSubTitle 2 4 2 3 4 2" xfId="44828"/>
    <cellStyle name="dp*SubTitle 2 4 2 3 4 2" xfId="44829"/>
    <cellStyle name="dp*ThinLineBelow 2 4 2 3 4 2" xfId="44830"/>
    <cellStyle name="Heading [Helv] 2 4 2 3 4 2" xfId="44831"/>
    <cellStyle name="Heading [Palat] 2 4 2 3 4 2" xfId="44832"/>
    <cellStyle name="Magic 2 4 2 3 4 2" xfId="44833"/>
    <cellStyle name="Outputs 2 4 2 3 4 2" xfId="44834"/>
    <cellStyle name="PB Table Standard Row 2 4 2 3 4 2" xfId="44835"/>
    <cellStyle name="P-Green Rule 2 4 2 3 4 2" xfId="44836"/>
    <cellStyle name="Style 44 3 4 2 3 4 2" xfId="44837"/>
    <cellStyle name="Style 45 3 4 2 3 4 2" xfId="44838"/>
    <cellStyle name="Style 49 3 4 2 3 4 2" xfId="44839"/>
    <cellStyle name="Style 51 3 4 2 3 4 2" xfId="44840"/>
    <cellStyle name="Style 44 2 4 2 3 4 2" xfId="44841"/>
    <cellStyle name="Style 45 2 4 2 3 4 2" xfId="44842"/>
    <cellStyle name="Style 49 2 4 2 3 4 2" xfId="44843"/>
    <cellStyle name="Style 51 2 4 2 3 4 2" xfId="44844"/>
    <cellStyle name="Table Head Aligned 2 4 2 3 4 2" xfId="44845"/>
    <cellStyle name="Table Head Green 2 4 2 3 4 2" xfId="44846"/>
    <cellStyle name="Title [Helv] 2 4 2 3 4 2" xfId="44847"/>
    <cellStyle name="Title [Palat] 2 4 2 3 4 2" xfId="44848"/>
    <cellStyle name="ac 4 2 3 4 2" xfId="44849"/>
    <cellStyle name="Bold/Border 4 2 3 4 2" xfId="44850"/>
    <cellStyle name="Border Thin 5 2 3 4 2" xfId="44851"/>
    <cellStyle name="COL HEADINGS 4 2 3 4 2" xfId="44852"/>
    <cellStyle name="Date [mm-d-yyyy] 5 2 3 4 2" xfId="44853"/>
    <cellStyle name="Heading [Helv] 4 2 3 4 2" xfId="44854"/>
    <cellStyle name="Heading [Palat] 4 2 3 4 2" xfId="44855"/>
    <cellStyle name="Outputs 4 2 3 4 2" xfId="44856"/>
    <cellStyle name="PB Table Standard Row 5 2 3 4 2" xfId="44857"/>
    <cellStyle name="P-Green Rule 5 2 3 4 2" xfId="44858"/>
    <cellStyle name="Style 44 6 2 3 4 2" xfId="44859"/>
    <cellStyle name="Style 45 6 2 3 4 2" xfId="44860"/>
    <cellStyle name="Style 49 6 2 3 4 2" xfId="44861"/>
    <cellStyle name="Style 51 6 2 3 4 2" xfId="44862"/>
    <cellStyle name="Table Head Green 4 2 3 4 2" xfId="44863"/>
    <cellStyle name="Afjusted 6 2 3 4 2" xfId="44864"/>
    <cellStyle name="ac 2 5 2 3 4 2" xfId="44865"/>
    <cellStyle name="Afjusted 2 4 2 3 4 2" xfId="44866"/>
    <cellStyle name="Bold/Border 2 5 2 3 4 2" xfId="44867"/>
    <cellStyle name="Border Thin 2 5 2 3 4 2" xfId="44868"/>
    <cellStyle name="COL HEADINGS 2 5 2 3 4 2" xfId="44869"/>
    <cellStyle name="Date [mmm-yyyy] 2 5 2 3 4 2" xfId="44870"/>
    <cellStyle name="dp*NumberLine 2 5 2 3 4 2" xfId="44871"/>
    <cellStyle name="dp*NumberLineEPS 2 5 2 3 4 2" xfId="44872"/>
    <cellStyle name="dp*SheetSubTitle 2 5 2 3 4 2" xfId="44873"/>
    <cellStyle name="dp*SubTitle 2 5 2 3 4 2" xfId="44874"/>
    <cellStyle name="dp*ThinLineBelow 2 5 2 3 4 2" xfId="44875"/>
    <cellStyle name="Heading [Helv] 2 5 2 3 4 2" xfId="44876"/>
    <cellStyle name="Heading [Palat] 2 5 2 3 4 2" xfId="44877"/>
    <cellStyle name="Magic 2 5 2 3 4 2" xfId="44878"/>
    <cellStyle name="Outputs 2 5 2 3 4 2" xfId="44879"/>
    <cellStyle name="PB Table Standard Row 2 5 2 3 4 2" xfId="44880"/>
    <cellStyle name="P-Green Rule 2 5 2 3 4 2" xfId="44881"/>
    <cellStyle name="Style 44 3 5 2 3 4 2" xfId="44882"/>
    <cellStyle name="Style 45 3 5 2 3 4 2" xfId="44883"/>
    <cellStyle name="Style 49 3 5 2 3 4 2" xfId="44884"/>
    <cellStyle name="Style 51 3 5 2 3 4 2" xfId="44885"/>
    <cellStyle name="Style 44 2 5 2 3 4 2" xfId="44886"/>
    <cellStyle name="Style 45 2 5 2 3 4 2" xfId="44887"/>
    <cellStyle name="Style 49 2 5 2 3 4 2" xfId="44888"/>
    <cellStyle name="Style 51 2 5 2 3 4 2" xfId="44889"/>
    <cellStyle name="Table Head Aligned 2 5 2 3 4 2" xfId="44890"/>
    <cellStyle name="Table Head Green 2 5 2 3 4 2" xfId="44891"/>
    <cellStyle name="Title [Helv] 2 5 2 3 4 2" xfId="44892"/>
    <cellStyle name="Title [Palat] 2 5 2 3 4 2" xfId="44893"/>
    <cellStyle name="ac 5 2 3 4 2" xfId="44894"/>
    <cellStyle name="Bold/Border 5 2 3 4 2" xfId="44895"/>
    <cellStyle name="Border Thin 6 2 3 4 2" xfId="44896"/>
    <cellStyle name="COL HEADINGS 5 2 3 4 2" xfId="44897"/>
    <cellStyle name="Heading [Helv] 5 2 3 4 2" xfId="44898"/>
    <cellStyle name="Heading [Palat] 5 2 3 4 2" xfId="44899"/>
    <cellStyle name="Outputs 5 2 3 4 2" xfId="44900"/>
    <cellStyle name="PB Table Standard Row 6 2 3 4 2" xfId="44901"/>
    <cellStyle name="P-Green Rule 6 2 3 4 2" xfId="44902"/>
    <cellStyle name="Style 44 7 2 3 4 2" xfId="44903"/>
    <cellStyle name="Style 45 7 2 3 4 2" xfId="44904"/>
    <cellStyle name="Style 49 7 2 3 4 2" xfId="44905"/>
    <cellStyle name="Style 51 7 2 3 4 2" xfId="44906"/>
    <cellStyle name="Table Head Green 5 2 3 4 2" xfId="44907"/>
    <cellStyle name="Title [Palat] 4 2 3 4 2" xfId="44908"/>
    <cellStyle name="ac 2 6 2 3 4 2" xfId="44909"/>
    <cellStyle name="Bold/Border 2 6 2 3 4 2" xfId="44910"/>
    <cellStyle name="Border Thin 2 6 2 3 4 2" xfId="44911"/>
    <cellStyle name="COL HEADINGS 2 6 2 3 4 2" xfId="44912"/>
    <cellStyle name="Heading [Helv] 2 6 2 3 4 2" xfId="44913"/>
    <cellStyle name="Heading [Palat] 2 6 2 3 4 2" xfId="44914"/>
    <cellStyle name="Outputs 2 6 2 3 4 2" xfId="44915"/>
    <cellStyle name="PB Table Standard Row 2 6 2 3 4 2" xfId="44916"/>
    <cellStyle name="P-Green Rule 2 6 2 3 4 2" xfId="44917"/>
    <cellStyle name="Style 44 3 6 2 3 4 2" xfId="44918"/>
    <cellStyle name="Style 45 3 6 2 3 4 2" xfId="44919"/>
    <cellStyle name="Style 49 3 6 2 3 4 2" xfId="44920"/>
    <cellStyle name="Style 51 3 6 2 3 4 2" xfId="44921"/>
    <cellStyle name="Style 44 2 6 2 3 4 2" xfId="44922"/>
    <cellStyle name="Style 45 2 6 2 3 4 2" xfId="44923"/>
    <cellStyle name="Style 49 2 6 2 3 4 2" xfId="44924"/>
    <cellStyle name="Style 51 2 6 2 3 4 2" xfId="44925"/>
    <cellStyle name="Table Head Green 2 6 2 3 4 2" xfId="44926"/>
    <cellStyle name="Title [Palat] 2 6 2 3 4 2" xfId="44927"/>
    <cellStyle name="Title [Palat] 5 2 3 4 2" xfId="44928"/>
    <cellStyle name="Title [Helv] 4 2 3 4 2" xfId="44929"/>
    <cellStyle name="Table Head Green 6 2 3 4 2" xfId="44930"/>
    <cellStyle name="Table Head Aligned 4 2 3 4 2" xfId="44931"/>
    <cellStyle name="Style 51 9 2 3 4 2" xfId="44932"/>
    <cellStyle name="Style 49 9 2 3 4 2" xfId="44933"/>
    <cellStyle name="Style 45 9 2 3 4 2" xfId="44934"/>
    <cellStyle name="Style 44 9 2 3 4 2" xfId="44935"/>
    <cellStyle name="P-Green Rule 7 2 3 4 2" xfId="44936"/>
    <cellStyle name="PB Table Standard Row 7 2 3 4 2" xfId="44937"/>
    <cellStyle name="Outputs 6 2 3 4 2" xfId="44938"/>
    <cellStyle name="Magic 4 2 3 4 2" xfId="44939"/>
    <cellStyle name="Heading [Palat] 6 2 3 4 2" xfId="44940"/>
    <cellStyle name="Heading [Helv] 6 2 3 4 2" xfId="44941"/>
    <cellStyle name="dp*ThinLineBelow 5 2 3 4 2" xfId="44942"/>
    <cellStyle name="dp*SubTitle 5 2 3 4 2" xfId="44943"/>
    <cellStyle name="dp*SheetSubTitle 4 2 3 4 2" xfId="44944"/>
    <cellStyle name="dp*NumberLineEPS 4 2 3 4 2" xfId="44945"/>
    <cellStyle name="dp*NumberLine 4 2 3 4 2" xfId="44946"/>
    <cellStyle name="Date [mmm-yyyy] 4 2 3 4 2" xfId="44947"/>
    <cellStyle name="Date [mm-d-yyyy] 7 2 3 4 2" xfId="44948"/>
    <cellStyle name="COL HEADINGS 6 2 3 4 2" xfId="44949"/>
    <cellStyle name="Border Thin 7 2 3 4 2" xfId="44950"/>
    <cellStyle name="Bold/Border 6 2 3 4 2" xfId="44951"/>
    <cellStyle name="Afjusted 7 2 3 4 2" xfId="44952"/>
    <cellStyle name="ac 6 2 3 4 2" xfId="44953"/>
    <cellStyle name="Style 44 8 2 3 4 2" xfId="44954"/>
    <cellStyle name="Style 45 8 2 3 4 2" xfId="44955"/>
    <cellStyle name="Style 49 8 2 3 4 2" xfId="44956"/>
    <cellStyle name="Style 51 8 2 3 4 2" xfId="44957"/>
    <cellStyle name="Title [Palat] 6 2 3 4 2" xfId="44958"/>
    <cellStyle name="Title [Helv] 5 2 3 4 2" xfId="44959"/>
    <cellStyle name="Table Head Green 7 2 3 4 2" xfId="44960"/>
    <cellStyle name="Table Head Aligned 5 2 3 4 2" xfId="44961"/>
    <cellStyle name="Outputs 7 2 3 4 2" xfId="44962"/>
    <cellStyle name="Magic 5 2 3 4 2" xfId="44963"/>
    <cellStyle name="Heading [Palat] 7 2 3 4 2" xfId="44964"/>
    <cellStyle name="Heading [Helv] 7 2 3 4 2" xfId="44965"/>
    <cellStyle name="dp*SheetSubTitle 5 2 3 4 2" xfId="44966"/>
    <cellStyle name="dp*NumberLineEPS 5 2 3 4 2" xfId="44967"/>
    <cellStyle name="dp*NumberLine 5 2 3 4 2" xfId="44968"/>
    <cellStyle name="Date [mmm-yyyy] 5 2 3 4 2" xfId="44969"/>
    <cellStyle name="COL HEADINGS 7 2 3 4 2" xfId="44970"/>
    <cellStyle name="Bold/Border 7 2 3 4 2" xfId="44971"/>
    <cellStyle name="Afjusted 8 2 3 4 2" xfId="44972"/>
    <cellStyle name="ac 7 2 3 4 2" xfId="44973"/>
    <cellStyle name="Title [Palat] 7 2 3 4 2" xfId="44974"/>
    <cellStyle name="Title [Helv] 6 2 3 4 2" xfId="44975"/>
    <cellStyle name="Table Head Green 8 2 3 4 2" xfId="44976"/>
    <cellStyle name="Table Head Aligned 6 2 3 4 2" xfId="44977"/>
    <cellStyle name="Outputs 8 2 3 4 2" xfId="44978"/>
    <cellStyle name="Magic 6 2 3 4 2" xfId="44979"/>
    <cellStyle name="Heading [Palat] 8 2 3 4 2" xfId="44980"/>
    <cellStyle name="Heading [Helv] 8 2 3 4 2" xfId="44981"/>
    <cellStyle name="dp*SheetSubTitle 6 2 3 4 2" xfId="44982"/>
    <cellStyle name="dp*NumberLineEPS 6 2 3 4 2" xfId="44983"/>
    <cellStyle name="dp*NumberLine 6 2 3 4 2" xfId="44984"/>
    <cellStyle name="COL HEADINGS 8 2 3 4 2" xfId="44985"/>
    <cellStyle name="Bold/Border 8 2 3 4 2" xfId="44986"/>
    <cellStyle name="Afjusted 9 2 3 4 2" xfId="44987"/>
    <cellStyle name="ac 8 2 3 4 2" xfId="44988"/>
    <cellStyle name="Date [mmm-yyyy] 6 2 3 4 2" xfId="44989"/>
    <cellStyle name="Title [Palat] 8 2 3 4 2" xfId="44990"/>
    <cellStyle name="Title [Helv] 7 2 3 4 2" xfId="44991"/>
    <cellStyle name="Table Head Green 9 2 3 4 2" xfId="44992"/>
    <cellStyle name="Table Head Aligned 7 2 3 4 2" xfId="44993"/>
    <cellStyle name="Outputs 9 2 3 4 2" xfId="44994"/>
    <cellStyle name="Magic 7 2 3 4 2" xfId="44995"/>
    <cellStyle name="Heading [Palat] 9 2 3 4 2" xfId="44996"/>
    <cellStyle name="Heading [Helv] 9 2 3 4 2" xfId="44997"/>
    <cellStyle name="dp*SheetSubTitle 7 2 3 4 2" xfId="44998"/>
    <cellStyle name="dp*NumberLineEPS 7 2 3 4 2" xfId="44999"/>
    <cellStyle name="dp*NumberLine 7 2 3 4 2" xfId="45000"/>
    <cellStyle name="Date [mmm-yyyy] 7 2 3 4 2" xfId="45001"/>
    <cellStyle name="COL HEADINGS 9 2 3 4 2" xfId="45002"/>
    <cellStyle name="Bold/Border 9 2 3 4 2" xfId="45003"/>
    <cellStyle name="Afjusted 10 2 3 4 2" xfId="45004"/>
    <cellStyle name="ac 9 2 3 4 2" xfId="45005"/>
    <cellStyle name="dp*NumberLine 2 2 2 4 5 2 3" xfId="45006"/>
    <cellStyle name="Title [Helv] 2 2 2 4 5 2 3" xfId="45007"/>
    <cellStyle name="Title [Palat] 2 2 2 4 5 2 3" xfId="45008"/>
    <cellStyle name="Date [mm-d-yyyy] 4 5 2 3" xfId="45009"/>
    <cellStyle name="Title [Helv] 3 5 2 3" xfId="45010"/>
    <cellStyle name="Magic 3 5 2 3" xfId="45011"/>
    <cellStyle name="Heading [Palat] 3 5 2 3" xfId="45012"/>
    <cellStyle name="dp*NumberLineEPS 3 5 2 3" xfId="45013"/>
    <cellStyle name="Bold/Border 3 5 2 3" xfId="45014"/>
    <cellStyle name="COL HEADINGS 2 4 5 2 3" xfId="45015"/>
    <cellStyle name="Style 44 3 4 5 2 3" xfId="45016"/>
    <cellStyle name="Style 45 3 4 5 2 3" xfId="45017"/>
    <cellStyle name="Style 49 3 4 5 2 3" xfId="45018"/>
    <cellStyle name="Style 51 3 4 5 2 3" xfId="45019"/>
    <cellStyle name="Style 44 2 4 5 2 3" xfId="45020"/>
    <cellStyle name="Style 45 2 4 5 2 3" xfId="45021"/>
    <cellStyle name="Style 49 2 4 5 2 3" xfId="45022"/>
    <cellStyle name="Style 51 2 4 5 2 3" xfId="45023"/>
    <cellStyle name="Table Head Aligned 2 4 5 2 3" xfId="45024"/>
    <cellStyle name="Table Head Green 2 4 5 2 3" xfId="45025"/>
    <cellStyle name="Title [Helv] 2 4 5 2 3" xfId="45026"/>
    <cellStyle name="ac 4 5 2 3" xfId="45027"/>
    <cellStyle name="Bold/Border 4 5 2 3" xfId="45028"/>
    <cellStyle name="Heading [Palat] 4 5 2 3" xfId="45029"/>
    <cellStyle name="PB Table Standard Row 5 5 2 3" xfId="45030"/>
    <cellStyle name="Style 51 6 5 2 3" xfId="45031"/>
    <cellStyle name="ac 2 5 5 2 3" xfId="45032"/>
    <cellStyle name="Afjusted 2 4 5 2 3" xfId="45033"/>
    <cellStyle name="Bold/Border 2 5 5 2 3" xfId="45034"/>
    <cellStyle name="Date [mmm-yyyy] 2 5 5 2 3" xfId="45035"/>
    <cellStyle name="Style 45 2 5 5 2 3" xfId="45036"/>
    <cellStyle name="Bold/Border 5 5 2 3" xfId="45037"/>
    <cellStyle name="COL HEADINGS 5 5 2 3" xfId="45038"/>
    <cellStyle name="Heading [Helv] 5 5 2 3" xfId="45039"/>
    <cellStyle name="Outputs 5 5 2 3" xfId="45040"/>
    <cellStyle name="PB Table Standard Row 6 5 2 3" xfId="45041"/>
    <cellStyle name="P-Green Rule 6 5 2 3" xfId="45042"/>
    <cellStyle name="ac 9 6 3" xfId="45043"/>
    <cellStyle name="Afjusted 10 6 3" xfId="45044"/>
    <cellStyle name="Bold/Border 9 6 3" xfId="45045"/>
    <cellStyle name="dp*NumberLineEPS 7 6 3" xfId="45046"/>
    <cellStyle name="Heading [Palat] 9 6 3" xfId="45047"/>
    <cellStyle name="Outputs 9 6 3" xfId="45048"/>
    <cellStyle name="Table Head Green 9 6 3" xfId="45049"/>
    <cellStyle name="ac 8 6 3" xfId="45050"/>
    <cellStyle name="Bold/Border 8 6 3" xfId="45051"/>
    <cellStyle name="COL HEADINGS 8 6 3" xfId="45052"/>
    <cellStyle name="dp*NumberLine 6 6 3" xfId="45053"/>
    <cellStyle name="dp*NumberLineEPS 6 6 3" xfId="45054"/>
    <cellStyle name="dp*SheetSubTitle 6 6 3" xfId="45055"/>
    <cellStyle name="Heading [Helv] 8 6 3" xfId="45056"/>
    <cellStyle name="Heading [Palat] 8 6 3" xfId="45057"/>
    <cellStyle name="Table Head Aligned 6 6 3" xfId="45058"/>
    <cellStyle name="Table Head Green 8 6 3" xfId="45059"/>
    <cellStyle name="Title [Helv] 6 6 3" xfId="45060"/>
    <cellStyle name="Title [Palat] 7 6 3" xfId="45061"/>
    <cellStyle name="ac 10 3" xfId="45062"/>
    <cellStyle name="Style 45 8 7 3" xfId="45063"/>
    <cellStyle name="Style 44 8 7 3" xfId="45064"/>
    <cellStyle name="Afjusted 11 3" xfId="45065"/>
    <cellStyle name="Bold/Border 10 3" xfId="45066"/>
    <cellStyle name="Style 44 9 5 3" xfId="45067"/>
    <cellStyle name="Style 49 9 5 3" xfId="45068"/>
    <cellStyle name="Style 51 9 5 3" xfId="45069"/>
    <cellStyle name="Table Head Green 6 7 3" xfId="45070"/>
    <cellStyle name="Title [Palat] 5 7 3" xfId="45071"/>
    <cellStyle name="COL HEADINGS 10 3" xfId="45072"/>
    <cellStyle name="Title [Palat] 4 7 3" xfId="45073"/>
    <cellStyle name="Date [mmm-yyyy] 8 3" xfId="45074"/>
    <cellStyle name="P-Green Rule 6 7 3" xfId="45075"/>
    <cellStyle name="PB Table Standard Row 6 7 3" xfId="45076"/>
    <cellStyle name="Heading [Palat] 5 7 3" xfId="45077"/>
    <cellStyle name="Heading [Helv] 5 7 3" xfId="45078"/>
    <cellStyle name="dp*NumberLine 8 3" xfId="45079"/>
    <cellStyle name="dp*NumberLineEPS 8 3" xfId="45080"/>
    <cellStyle name="Date [mm-d-yyyy] 6 5 3" xfId="45081"/>
    <cellStyle name="dp*SheetSubTitle 8 3" xfId="45082"/>
    <cellStyle name="Border Thin 6 7 3" xfId="45083"/>
    <cellStyle name="ac 5 7 3" xfId="45084"/>
    <cellStyle name="Title [Helv] 2 5 7 3" xfId="45085"/>
    <cellStyle name="Style 51 2 5 7 3" xfId="45086"/>
    <cellStyle name="Style 44 2 5 7 3" xfId="45087"/>
    <cellStyle name="Style 45 3 5 7 3" xfId="45088"/>
    <cellStyle name="PB Table Standard Row 2 5 7 3" xfId="45089"/>
    <cellStyle name="Heading [Palat] 2 5 7 3" xfId="45090"/>
    <cellStyle name="Table Head Green 4 7 3" xfId="45091"/>
    <cellStyle name="Heading [Helv] 10 3" xfId="45092"/>
    <cellStyle name="Heading [Palat] 10 3" xfId="45093"/>
    <cellStyle name="Outputs 4 7 3" xfId="45094"/>
    <cellStyle name="Heading [Helv] 4 7 3" xfId="45095"/>
    <cellStyle name="Magic 8 3" xfId="45096"/>
    <cellStyle name="Date [mm-d-yyyy] 5 7 3" xfId="45097"/>
    <cellStyle name="Border Thin 5 7 3" xfId="45098"/>
    <cellStyle name="Bold/Border 4 7 3" xfId="45099"/>
    <cellStyle name="ac 4 7 3" xfId="45100"/>
    <cellStyle name="Style 45 5 7 3" xfId="45101"/>
    <cellStyle name="Magic 2 2 2 3 7 3" xfId="45102"/>
    <cellStyle name="Date [mm-d-yyyy] 3 2 3 7 3" xfId="45103"/>
    <cellStyle name="ac 2 2 2 2 7 3" xfId="45104"/>
    <cellStyle name="Date [mm-d-yyyy] 2 2 9 3" xfId="45105"/>
    <cellStyle name="Style 45 4 3 9 3" xfId="45106"/>
    <cellStyle name="PB Table Standard Row 3 3 9 3" xfId="45107"/>
    <cellStyle name="Border Thin 3 3 9 3" xfId="45108"/>
    <cellStyle name="Afjusted 4 3 9 3" xfId="45109"/>
    <cellStyle name="Outputs 10 3" xfId="45110"/>
    <cellStyle name="ac 2 2 3 10 3" xfId="45111"/>
    <cellStyle name="COL HEADINGS 2 2 3 10 3" xfId="45112"/>
    <cellStyle name="dp*NumberLineEPS 2 2 3 10 3" xfId="45113"/>
    <cellStyle name="Heading [Palat] 2 2 3 10 3" xfId="45114"/>
    <cellStyle name="Magic 2 2 3 10 3" xfId="45115"/>
    <cellStyle name="Outputs 2 2 3 10 3" xfId="45116"/>
    <cellStyle name="Title [Helv] 2 2 3 10 3" xfId="45117"/>
    <cellStyle name="PB Table Standard Row 3 3 4 7 3" xfId="45118"/>
    <cellStyle name="Style 45 4 4 7 3" xfId="45119"/>
    <cellStyle name="Date [mm-d-yyyy] 3 4 7 3" xfId="45120"/>
    <cellStyle name="P-Green Rule 3 3 3 7 3" xfId="45121"/>
    <cellStyle name="dp*SheetSubTitle 2 2 3 3 7 3" xfId="45122"/>
    <cellStyle name="Heading [Palat] 2 2 3 3 7 3" xfId="45123"/>
    <cellStyle name="Table Head Aligned 2 2 4 7 3" xfId="45124"/>
    <cellStyle name="Heading [Helv] 2 2 4 7 3" xfId="45125"/>
    <cellStyle name="Style 51 2 3 7 3" xfId="45126"/>
    <cellStyle name="Style 49 3 3 7 3" xfId="45127"/>
    <cellStyle name="Style 45 4 3 3 7 3" xfId="45128"/>
    <cellStyle name="Date [mmm-yyyy] 2 3 7 3" xfId="45129"/>
    <cellStyle name="Afjusted 3 3 3 7 3" xfId="45130"/>
    <cellStyle name="Style 49 4 3 4 7 3" xfId="45131"/>
    <cellStyle name="COL HEADINGS 2 2 3 4 7 3" xfId="45132"/>
    <cellStyle name="Style 44 3 3 7 3" xfId="45133"/>
    <cellStyle name="dp*ThinLineBelow 2 3 7 3" xfId="45134"/>
    <cellStyle name="PB Table Standard Row 2 2 7 3" xfId="45135"/>
    <cellStyle name="Style 45 3 2 7 3" xfId="45136"/>
    <cellStyle name="Style 49 3 2 7 3" xfId="45137"/>
    <cellStyle name="Style 51 3 2 7 3" xfId="45138"/>
    <cellStyle name="Style 45 2 2 7 3" xfId="45139"/>
    <cellStyle name="Style 51 2 2 7 3" xfId="45140"/>
    <cellStyle name="Title [Helv] 2 2 3 4 7 3" xfId="45141"/>
    <cellStyle name="Bold/Border 2 2 3 4 7 3" xfId="45142"/>
    <cellStyle name="Border Thin 2 2 7 3" xfId="45143"/>
    <cellStyle name="Outputs 2 2 3 3 5 2 3" xfId="45144"/>
    <cellStyle name="Table Head Green 2 2 9 3" xfId="45145"/>
    <cellStyle name="Title [Palat] 2 11 3" xfId="45146"/>
    <cellStyle name="Style 44 3 10 3" xfId="45147"/>
    <cellStyle name="Heading [Helv] 2 11 3" xfId="45148"/>
    <cellStyle name="UNLOCKED 38 3" xfId="45149"/>
    <cellStyle name="Table Head Aligned 8 3" xfId="45150"/>
    <cellStyle name="Table Head Green 10 3" xfId="45151"/>
    <cellStyle name="Title [Helv] 8 3" xfId="45152"/>
    <cellStyle name="Title [Palat] 9 3" xfId="45153"/>
    <cellStyle name="Table Head Green 2 2 2 4 7 3" xfId="45154"/>
    <cellStyle name="COL HEADINGS 2 3 7 3" xfId="45155"/>
    <cellStyle name="Style 51 4 5 7 3" xfId="45156"/>
    <cellStyle name="Style 44 4 3 3 7 3" xfId="45157"/>
    <cellStyle name="PB Table Standard Row 2 4 7 3" xfId="45158"/>
    <cellStyle name="Style 44 5 7 3" xfId="45159"/>
    <cellStyle name="Style 44 2 6 7 3" xfId="45160"/>
    <cellStyle name="Afjusted 3 3 4 7 3" xfId="45161"/>
    <cellStyle name="Outputs 6 7 3" xfId="45162"/>
    <cellStyle name="dp*SubTitle 3 3 3 7 3" xfId="45163"/>
    <cellStyle name="Border Thin 2 6 7 3" xfId="45164"/>
    <cellStyle name="Style 51 7 7 3" xfId="45165"/>
    <cellStyle name="Border Thin 2 3 6 3" xfId="45166"/>
    <cellStyle name="P-Green Rule 3 3 4 7 3" xfId="45167"/>
    <cellStyle name="Style 51 4 3 4 7 3" xfId="45168"/>
    <cellStyle name="Title [Palat] 2 3 7 3" xfId="45169"/>
    <cellStyle name="Title [Helv] 2 3 7 3" xfId="45170"/>
    <cellStyle name="Table Head Green 2 3 7 3" xfId="45171"/>
    <cellStyle name="Table Head Aligned 2 3 7 3" xfId="45172"/>
    <cellStyle name="Date [mm-d-yyyy] 2 6 3" xfId="45173"/>
    <cellStyle name="Style 45 4 2 9 3" xfId="45174"/>
    <cellStyle name="Afjusted 5 7 3" xfId="45175"/>
    <cellStyle name="Style 49 2 4 7 3" xfId="45176"/>
    <cellStyle name="dp*ThinLineBelow 3 3 3 7 3" xfId="45177"/>
    <cellStyle name="Afjusted 3 10 3" xfId="45178"/>
    <cellStyle name="PB Table Standard Row 3 5 7 3" xfId="45179"/>
    <cellStyle name="Border Thin 3 3 3 7 3" xfId="45180"/>
    <cellStyle name="Style 45 4 3 3 5 2 3" xfId="45181"/>
    <cellStyle name="dp*SheetSubTitle 2 2 2 4 7 3" xfId="45182"/>
    <cellStyle name="dp*SubTitle 3 2 2 7 3" xfId="45183"/>
    <cellStyle name="Afjusted 3 2 2 7 3" xfId="45184"/>
    <cellStyle name="dp*SubTitle 3 3 2 6 3" xfId="45185"/>
    <cellStyle name="Afjusted 4 3 3 7 3" xfId="45186"/>
    <cellStyle name="ac 2 2 4 7 3" xfId="45187"/>
    <cellStyle name="ac 2 10 3" xfId="45188"/>
    <cellStyle name="Afjusted 2 7 3" xfId="45189"/>
    <cellStyle name="Bold/Border 2 10 3" xfId="45190"/>
    <cellStyle name="COL HEADINGS 2 10 3" xfId="45191"/>
    <cellStyle name="Date [mmm-yyyy] 2 9 3" xfId="45192"/>
    <cellStyle name="dp*NumberLine 2 9 3" xfId="45193"/>
    <cellStyle name="dp*NumberLineEPS 2 9 3" xfId="45194"/>
    <cellStyle name="dp*SheetSubTitle 2 9 3" xfId="45195"/>
    <cellStyle name="Heading [Helv] 2 10 3" xfId="45196"/>
    <cellStyle name="Heading [Palat] 2 10 3" xfId="45197"/>
    <cellStyle name="Magic 2 9 3" xfId="45198"/>
    <cellStyle name="Outputs 2 10 3" xfId="45199"/>
    <cellStyle name="Style 44 3 9 3" xfId="45200"/>
    <cellStyle name="Style 44 2 9 3" xfId="45201"/>
    <cellStyle name="Table Head Aligned 2 9 3" xfId="45202"/>
    <cellStyle name="Table Head Green 2 10 3" xfId="45203"/>
    <cellStyle name="Title [Helv] 2 9 3" xfId="45204"/>
    <cellStyle name="Title [Palat] 2 10 3" xfId="45205"/>
    <cellStyle name="Style 45 4 3 2 7 3" xfId="45206"/>
    <cellStyle name="dp*NumberLineEPS 2 2 3 3 7 3" xfId="45207"/>
    <cellStyle name="Date [mmm-yyyy] 2 2 3 2 7 3" xfId="45208"/>
    <cellStyle name="Heading [Helv] 2 2 3 3 7 3" xfId="45209"/>
    <cellStyle name="Style 44 4 2 2 7 3" xfId="45210"/>
    <cellStyle name="PB Table Standard Row 3 3 3 7 3" xfId="45211"/>
    <cellStyle name="Afjusted 3 3 2 7 3" xfId="45212"/>
    <cellStyle name="COL HEADINGS 2 2 3 3 7 3" xfId="45213"/>
    <cellStyle name="dp*NumberLineEPS 2 2 2 4 7 3" xfId="45214"/>
    <cellStyle name="dp*ThinLineBelow 3 2 2 7 3" xfId="45215"/>
    <cellStyle name="Date [mm-d-yyyy] 2 2 2 7 3" xfId="45216"/>
    <cellStyle name="Border Thin 3 3 2 6 3" xfId="45217"/>
    <cellStyle name="dp*SheetSubTitle 2 2 2 9 3" xfId="45218"/>
    <cellStyle name="ac 2 2 3 3 7 3" xfId="45219"/>
    <cellStyle name="dp*NumberLineEPS 2 2 2 9 3" xfId="45220"/>
    <cellStyle name="Style 49 3 4 7 3" xfId="45221"/>
    <cellStyle name="Date [mmm-yyyy] 2 2 3 3 7 3" xfId="45222"/>
    <cellStyle name="Style 51 4 2 3 7 3" xfId="45223"/>
    <cellStyle name="Style 49 3 6 7 3" xfId="45224"/>
    <cellStyle name="ac 2 2 3 4 7 3" xfId="45225"/>
    <cellStyle name="Heading [Helv] 2 4 7 3" xfId="45226"/>
    <cellStyle name="Heading [Helv] 2 5 7 3" xfId="45227"/>
    <cellStyle name="Table Head Aligned 2 2 9 3" xfId="45228"/>
    <cellStyle name="Title [Helv] 2 10 3" xfId="45229"/>
    <cellStyle name="dp*NumberLine 2 4 7 3" xfId="45230"/>
    <cellStyle name="Outputs 2 3 7 3" xfId="45231"/>
    <cellStyle name="Date [mm-d-yyyy] 3 7 3" xfId="45232"/>
    <cellStyle name="Style 51 4 7 3" xfId="45233"/>
    <cellStyle name="Style 49 4 7 3" xfId="45234"/>
    <cellStyle name="Style 45 4 7 3" xfId="45235"/>
    <cellStyle name="Magic 2 3 7 3" xfId="45236"/>
    <cellStyle name="Border Thin 2 4 7 3" xfId="45237"/>
    <cellStyle name="Heading [Palat] 2 3 7 3" xfId="45238"/>
    <cellStyle name="Heading [Helv] 2 3 7 3" xfId="45239"/>
    <cellStyle name="Afjusted 4 8 3" xfId="45240"/>
    <cellStyle name="ac 2 2 8 3" xfId="45241"/>
    <cellStyle name="Afjusted 2 2 8 3" xfId="45242"/>
    <cellStyle name="Bold/Border 2 2 8 3" xfId="45243"/>
    <cellStyle name="COL HEADINGS 2 2 8 3" xfId="45244"/>
    <cellStyle name="Date [mmm-yyyy] 2 2 8 3" xfId="45245"/>
    <cellStyle name="dp*NumberLine 2 2 8 3" xfId="45246"/>
    <cellStyle name="dp*NumberLineEPS 2 2 8 3" xfId="45247"/>
    <cellStyle name="dp*SheetSubTitle 2 2 8 3" xfId="45248"/>
    <cellStyle name="Heading [Helv] 2 2 8 3" xfId="45249"/>
    <cellStyle name="Heading [Palat] 2 2 8 3" xfId="45250"/>
    <cellStyle name="Magic 2 2 8 3" xfId="45251"/>
    <cellStyle name="Outputs 2 2 8 3" xfId="45252"/>
    <cellStyle name="Table Head Aligned 2 2 8 3" xfId="45253"/>
    <cellStyle name="Table Head Green 2 2 8 3" xfId="45254"/>
    <cellStyle name="Title [Helv] 2 2 8 3" xfId="45255"/>
    <cellStyle name="Title [Palat] 2 2 8 3" xfId="45256"/>
    <cellStyle name="COL HEADINGS 2 4 7 3" xfId="45257"/>
    <cellStyle name="Afjusted 2 2 3 3 7 3" xfId="45258"/>
    <cellStyle name="Afjusted 2 3 7 3" xfId="45259"/>
    <cellStyle name="ac 2 4 7 3" xfId="45260"/>
    <cellStyle name="dp*SubTitle 4 7 3" xfId="45261"/>
    <cellStyle name="Date [mm-d-yyyy] 4 7 3" xfId="45262"/>
    <cellStyle name="dp*SheetSubTitle 2 3 7 3" xfId="45263"/>
    <cellStyle name="dp*NumberLineEPS 2 3 7 3" xfId="45264"/>
    <cellStyle name="dp*NumberLine 2 3 7 3" xfId="45265"/>
    <cellStyle name="Title [Helv] 2 4 7 3" xfId="45266"/>
    <cellStyle name="Heading [Palat] 2 2 2 3 7 3" xfId="45267"/>
    <cellStyle name="P-Green Rule 2 4 7 3" xfId="45268"/>
    <cellStyle name="Title [Palat] 2 4 7 3" xfId="45269"/>
    <cellStyle name="Outputs 8 6 3" xfId="45270"/>
    <cellStyle name="ac 3 7 3" xfId="45271"/>
    <cellStyle name="Outputs 2 2 3 3 5 3 2" xfId="45272"/>
    <cellStyle name="Afjusted 3 5 5 3 2" xfId="45273"/>
    <cellStyle name="Style 45 7 5 3 2" xfId="45274"/>
    <cellStyle name="Afjusted 4 2 3 7 3" xfId="45275"/>
    <cellStyle name="COL HEADINGS 3 7 3" xfId="45276"/>
    <cellStyle name="Border Thin 3 2 4 7 3" xfId="45277"/>
    <cellStyle name="dp*SubTitle 2 2 6 3" xfId="45278"/>
    <cellStyle name="Border Thin 2 2 6 3" xfId="45279"/>
    <cellStyle name="Date [mmm-yyyy] 2 2 2 3 7 3" xfId="45280"/>
    <cellStyle name="Style 45 3 6 7 3" xfId="45281"/>
    <cellStyle name="Title [Helv] 2 2 3 3 7 3" xfId="45282"/>
    <cellStyle name="Title [Palat] 2 2 2 2 7 3" xfId="45283"/>
    <cellStyle name="Style 44 2 4 7 3" xfId="45284"/>
    <cellStyle name="ac 2 2 2 4 7 3" xfId="45285"/>
    <cellStyle name="Bold/Border 2 2 3 4 6 3" xfId="45286"/>
    <cellStyle name="Magic 2 2 3 4 6 3" xfId="45287"/>
    <cellStyle name="Title [Helv] 2 2 3 4 6 3" xfId="45288"/>
    <cellStyle name="Style 51 2 2 6 3" xfId="45289"/>
    <cellStyle name="Style 45 2 2 6 3" xfId="45290"/>
    <cellStyle name="Style 49 2 2 6 3" xfId="45291"/>
    <cellStyle name="Style 44 2 2 6 3" xfId="45292"/>
    <cellStyle name="Style 51 3 2 6 3" xfId="45293"/>
    <cellStyle name="Style 49 3 2 6 3" xfId="45294"/>
    <cellStyle name="Style 45 3 2 6 3" xfId="45295"/>
    <cellStyle name="Style 44 3 2 6 3" xfId="45296"/>
    <cellStyle name="P-Green Rule 2 2 6 3" xfId="45297"/>
    <cellStyle name="PB Table Standard Row 2 2 6 3" xfId="45298"/>
    <cellStyle name="dp*ThinLineBelow 2 2 6 3" xfId="45299"/>
    <cellStyle name="dp*ThinLineBelow 2 3 6 3" xfId="45300"/>
    <cellStyle name="Style 44 3 3 6 3" xfId="45301"/>
    <cellStyle name="COL HEADINGS 2 2 3 4 6 3" xfId="45302"/>
    <cellStyle name="Style 49 4 3 4 6 3" xfId="45303"/>
    <cellStyle name="Afjusted 3 3 4 6 3" xfId="45304"/>
    <cellStyle name="Date [mm-d-yyyy] 3 3 4 6 3" xfId="45305"/>
    <cellStyle name="Afjusted 4 3 4 6 3" xfId="45306"/>
    <cellStyle name="ac 2 2 3 4 6 3" xfId="45307"/>
    <cellStyle name="Afjusted 2 2 3 4 6 3" xfId="45308"/>
    <cellStyle name="Date [mmm-yyyy] 2 2 3 4 6 3" xfId="45309"/>
    <cellStyle name="dp*NumberLine 2 2 3 4 6 3" xfId="45310"/>
    <cellStyle name="dp*NumberLineEPS 2 2 3 4 6 3" xfId="45311"/>
    <cellStyle name="dp*SheetSubTitle 2 2 3 4 6 3" xfId="45312"/>
    <cellStyle name="Heading [Helv] 2 2 3 4 6 3" xfId="45313"/>
    <cellStyle name="Outputs 2 2 3 4 6 3" xfId="45314"/>
    <cellStyle name="Table Head Aligned 2 2 3 4 6 3" xfId="45315"/>
    <cellStyle name="Title [Palat] 2 2 3 4 6 3" xfId="45316"/>
    <cellStyle name="dp*NumberLineEPS 2 2 2 3 7 3" xfId="45317"/>
    <cellStyle name="Afjusted 3 2 3 7 3" xfId="45318"/>
    <cellStyle name="Table Head Aligned 2 2 3 3 7 3" xfId="45319"/>
    <cellStyle name="dp*ThinLineBelow 3 2 3 7 3" xfId="45320"/>
    <cellStyle name="Afjusted 3 5 6 3" xfId="45321"/>
    <cellStyle name="Style 45 3 3 6 3" xfId="45322"/>
    <cellStyle name="Style 51 3 3 6 3" xfId="45323"/>
    <cellStyle name="Style 44 2 3 6 3" xfId="45324"/>
    <cellStyle name="Style 45 2 3 6 3" xfId="45325"/>
    <cellStyle name="Style 49 2 3 6 3" xfId="45326"/>
    <cellStyle name="Border Thin 3 5 6 3" xfId="45327"/>
    <cellStyle name="ac 2 2 4 6 3" xfId="45328"/>
    <cellStyle name="Afjusted 2 2 5 6 3" xfId="45329"/>
    <cellStyle name="Bold/Border 2 2 4 6 3" xfId="45330"/>
    <cellStyle name="COL HEADINGS 2 2 4 6 3" xfId="45331"/>
    <cellStyle name="Date [mmm-yyyy] 2 2 4 6 3" xfId="45332"/>
    <cellStyle name="dp*NumberLine 2 2 4 6 3" xfId="45333"/>
    <cellStyle name="dp*NumberLineEPS 2 2 4 6 3" xfId="45334"/>
    <cellStyle name="dp*SheetSubTitle 2 2 4 6 3" xfId="45335"/>
    <cellStyle name="Heading [Palat] 2 2 4 6 3" xfId="45336"/>
    <cellStyle name="Outputs 2 2 4 6 3" xfId="45337"/>
    <cellStyle name="Magic 2 2 4 6 3" xfId="45338"/>
    <cellStyle name="Title [Helv] 2 2 4 6 3" xfId="45339"/>
    <cellStyle name="Title [Palat] 2 2 4 6 3" xfId="45340"/>
    <cellStyle name="Title [Palat] 2 2 3 3 6 3" xfId="45341"/>
    <cellStyle name="Title [Helv] 2 2 3 3 6 3" xfId="45342"/>
    <cellStyle name="Table Head Aligned 2 2 3 3 6 3" xfId="45343"/>
    <cellStyle name="Magic 2 2 3 3 6 3" xfId="45344"/>
    <cellStyle name="Heading [Helv] 2 2 3 3 6 3" xfId="45345"/>
    <cellStyle name="dp*NumberLineEPS 2 2 3 3 6 3" xfId="45346"/>
    <cellStyle name="COL HEADINGS 2 2 3 3 6 3" xfId="45347"/>
    <cellStyle name="ac 2 2 3 3 6 3" xfId="45348"/>
    <cellStyle name="Afjusted 4 3 3 6 3" xfId="45349"/>
    <cellStyle name="Border Thin 3 3 3 6 3" xfId="45350"/>
    <cellStyle name="PB Table Standard Row 3 3 3 6 3" xfId="45351"/>
    <cellStyle name="Style 44 4 3 3 6 3" xfId="45352"/>
    <cellStyle name="Style 51 4 3 3 6 3" xfId="45353"/>
    <cellStyle name="Afjusted 3 3 3 6 3" xfId="45354"/>
    <cellStyle name="Style 49 4 5 6 3" xfId="45355"/>
    <cellStyle name="Style 44 4 5 6 3" xfId="45356"/>
    <cellStyle name="P-Green Rule 3 5 6 3" xfId="45357"/>
    <cellStyle name="dp*SubTitle 3 5 6 3" xfId="45358"/>
    <cellStyle name="Afjusted 4 5 6 3" xfId="45359"/>
    <cellStyle name="Bold/Border 3 7 3" xfId="45360"/>
    <cellStyle name="Border Thin 3 2 3 7 3" xfId="45361"/>
    <cellStyle name="Table Head Green 2 4 7 3" xfId="45362"/>
    <cellStyle name="Style 45 2 4 7 3" xfId="45363"/>
    <cellStyle name="ac 2 3 6 3" xfId="45364"/>
    <cellStyle name="Bold/Border 2 3 6 3" xfId="45365"/>
    <cellStyle name="COL HEADINGS 2 3 6 3" xfId="45366"/>
    <cellStyle name="Date [mmm-yyyy] 2 3 6 3" xfId="45367"/>
    <cellStyle name="dp*NumberLine 2 3 6 3" xfId="45368"/>
    <cellStyle name="dp*NumberLineEPS 2 3 6 3" xfId="45369"/>
    <cellStyle name="dp*SheetSubTitle 2 3 6 3" xfId="45370"/>
    <cellStyle name="Heading [Helv] 2 3 6 3" xfId="45371"/>
    <cellStyle name="Heading [Palat] 2 3 6 3" xfId="45372"/>
    <cellStyle name="Magic 2 3 6 3" xfId="45373"/>
    <cellStyle name="Outputs 2 3 6 3" xfId="45374"/>
    <cellStyle name="Date [mmm-yyyy] 2 2 3 3 6 3" xfId="45375"/>
    <cellStyle name="Afjusted 2 2 3 3 6 3" xfId="45376"/>
    <cellStyle name="dp*ThinLineBelow 3 3 3 6 3" xfId="45377"/>
    <cellStyle name="Style 49 4 3 3 6 3" xfId="45378"/>
    <cellStyle name="Outputs 2 2 3 3 6 3" xfId="45379"/>
    <cellStyle name="dp*NumberLine 2 2 3 3 6 3" xfId="45380"/>
    <cellStyle name="Bold/Border 2 2 3 3 6 3" xfId="45381"/>
    <cellStyle name="dp*SubTitle 3 3 3 6 3" xfId="45382"/>
    <cellStyle name="Style 45 4 3 3 6 3" xfId="45383"/>
    <cellStyle name="Table Head Aligned 2 3 6 3" xfId="45384"/>
    <cellStyle name="Table Head Green 2 3 6 3" xfId="45385"/>
    <cellStyle name="Title [Helv] 2 3 6 3" xfId="45386"/>
    <cellStyle name="Title [Palat] 2 3 6 3" xfId="45387"/>
    <cellStyle name="Style 45 3 4 7 3" xfId="45388"/>
    <cellStyle name="Style 45 4 3 4 6 3" xfId="45389"/>
    <cellStyle name="Style 51 4 3 4 6 3" xfId="45390"/>
    <cellStyle name="dp*ThinLineBelow 2 4 7 3" xfId="45391"/>
    <cellStyle name="Afjusted 3 4 6 3" xfId="45392"/>
    <cellStyle name="P-Green Rule 3 3 4 6 3" xfId="45393"/>
    <cellStyle name="Style 49 3 3 6 3" xfId="45394"/>
    <cellStyle name="Style 51 2 3 6 3" xfId="45395"/>
    <cellStyle name="Heading [Helv] 2 2 4 6 3" xfId="45396"/>
    <cellStyle name="Table Head Aligned 2 2 4 6 3" xfId="45397"/>
    <cellStyle name="Table Head Green 2 2 4 6 3" xfId="45398"/>
    <cellStyle name="Table Head Green 2 2 3 3 6 3" xfId="45399"/>
    <cellStyle name="Heading [Palat] 2 2 3 3 6 3" xfId="45400"/>
    <cellStyle name="dp*SheetSubTitle 2 2 3 3 6 3" xfId="45401"/>
    <cellStyle name="P-Green Rule 3 3 3 6 3" xfId="45402"/>
    <cellStyle name="Date [mm-d-yyyy] 3 3 3 6 3" xfId="45403"/>
    <cellStyle name="Date [mmm-yyyy] 2 4 7 3" xfId="45404"/>
    <cellStyle name="Date [mm-d-yyyy] 3 4 6 3" xfId="45405"/>
    <cellStyle name="Style 51 4 4 6 3" xfId="45406"/>
    <cellStyle name="Style 49 4 4 6 3" xfId="45407"/>
    <cellStyle name="Style 45 4 4 6 3" xfId="45408"/>
    <cellStyle name="Style 44 4 4 6 3" xfId="45409"/>
    <cellStyle name="dp*ThinLineBelow 3 3 4 6 3" xfId="45410"/>
    <cellStyle name="dp*SubTitle 3 3 4 6 3" xfId="45411"/>
    <cellStyle name="Bold/Border 2 4 7 3" xfId="45412"/>
    <cellStyle name="Border Thin 3 3 4 6 3" xfId="45413"/>
    <cellStyle name="Afjusted 4 4 6 3" xfId="45414"/>
    <cellStyle name="Afjusted 2 2 4 6 3" xfId="45415"/>
    <cellStyle name="dp*SubTitle 3 2 3 7 3" xfId="45416"/>
    <cellStyle name="Style 44 4 3 4 6 3" xfId="45417"/>
    <cellStyle name="PB Table Standard Row 3 3 4 6 3" xfId="45418"/>
    <cellStyle name="Title [Palat] 2 2 3 9 3" xfId="45419"/>
    <cellStyle name="Title [Helv] 2 2 3 9 3" xfId="45420"/>
    <cellStyle name="Table Head Green 2 2 3 9 3" xfId="45421"/>
    <cellStyle name="Table Head Aligned 2 2 3 9 3" xfId="45422"/>
    <cellStyle name="Outputs 2 2 3 9 3" xfId="45423"/>
    <cellStyle name="Magic 2 2 3 9 3" xfId="45424"/>
    <cellStyle name="Heading [Palat] 2 2 3 9 3" xfId="45425"/>
    <cellStyle name="Heading [Helv] 2 2 3 9 3" xfId="45426"/>
    <cellStyle name="dp*SheetSubTitle 2 2 3 9 3" xfId="45427"/>
    <cellStyle name="dp*NumberLineEPS 2 2 3 9 3" xfId="45428"/>
    <cellStyle name="dp*NumberLine 2 2 3 9 3" xfId="45429"/>
    <cellStyle name="Date [mmm-yyyy] 2 2 3 9 3" xfId="45430"/>
    <cellStyle name="COL HEADINGS 2 2 3 9 3" xfId="45431"/>
    <cellStyle name="Bold/Border 2 2 3 9 3" xfId="45432"/>
    <cellStyle name="Afjusted 2 2 3 8 3" xfId="45433"/>
    <cellStyle name="ac 2 2 3 9 3" xfId="45434"/>
    <cellStyle name="Afjusted 4 3 8 3" xfId="45435"/>
    <cellStyle name="Border Thin 3 3 8 3" xfId="45436"/>
    <cellStyle name="dp*SubTitle 3 3 8 3" xfId="45437"/>
    <cellStyle name="dp*ThinLineBelow 3 3 8 3" xfId="45438"/>
    <cellStyle name="PB Table Standard Row 3 3 8 3" xfId="45439"/>
    <cellStyle name="P-Green Rule 3 3 8 3" xfId="45440"/>
    <cellStyle name="Style 44 4 3 8 3" xfId="45441"/>
    <cellStyle name="Style 45 4 3 8 3" xfId="45442"/>
    <cellStyle name="Style 49 4 3 8 3" xfId="45443"/>
    <cellStyle name="Style 51 4 3 8 3" xfId="45444"/>
    <cellStyle name="Table Head Green 2 2 2 3 7 3" xfId="45445"/>
    <cellStyle name="Date [mm-d-yyyy] 3 3 8 3" xfId="45446"/>
    <cellStyle name="dp*SheetSubTitle 5 6 3" xfId="45447"/>
    <cellStyle name="Table Head Green 7 6 3" xfId="45448"/>
    <cellStyle name="PB Table Standard Row 7 4 3" xfId="45449"/>
    <cellStyle name="Afjusted 3 3 9 3" xfId="45450"/>
    <cellStyle name="Style 45 6 7 3" xfId="45451"/>
    <cellStyle name="ac 2 2 2 3 7 3" xfId="45452"/>
    <cellStyle name="Table Head Aligned 2 2 2 3 7 3" xfId="45453"/>
    <cellStyle name="Style 51 5 7 3" xfId="45454"/>
    <cellStyle name="Afjusted 4 5 7 3" xfId="45455"/>
    <cellStyle name="Style 49 4 2 4 7 3" xfId="45456"/>
    <cellStyle name="Date [mm-d-yyyy] 3 2 4 7 3" xfId="45457"/>
    <cellStyle name="P-Green Rule 3 5 7 3" xfId="45458"/>
    <cellStyle name="Style 51 4 2 4 7 3" xfId="45459"/>
    <cellStyle name="Outputs 2 2 2 3 7 3" xfId="45460"/>
    <cellStyle name="Afjusted 3 2 4 7 3" xfId="45461"/>
    <cellStyle name="Title [Palat] 2 2 2 3 7 3" xfId="45462"/>
    <cellStyle name="Style 45 4 2 4 7 3" xfId="45463"/>
    <cellStyle name="Title [Helv] 2 2 2 3 7 3" xfId="45464"/>
    <cellStyle name="Style 44 4 5 7 3" xfId="45465"/>
    <cellStyle name="dp*SubTitle 3 5 7 3" xfId="45466"/>
    <cellStyle name="Title [Helv] 2 2 4 7 3" xfId="45467"/>
    <cellStyle name="Title [Palat] 2 2 3 3 7 3" xfId="45468"/>
    <cellStyle name="Title [Palat] 2 2 4 7 3" xfId="45469"/>
    <cellStyle name="Bold/Border 2 2 3 3 7 3" xfId="45470"/>
    <cellStyle name="Date [mm-d-yyyy] 2 2 8 3" xfId="45471"/>
    <cellStyle name="Afjusted 3 2 9 3" xfId="45472"/>
    <cellStyle name="ac 7 6 3" xfId="45473"/>
    <cellStyle name="Date [mm-d-yyyy] 3 2 9 3" xfId="45474"/>
    <cellStyle name="Style 51 4 2 8 3" xfId="45475"/>
    <cellStyle name="Style 49 4 2 8 3" xfId="45476"/>
    <cellStyle name="Style 45 4 2 8 3" xfId="45477"/>
    <cellStyle name="Style 44 4 2 8 3" xfId="45478"/>
    <cellStyle name="Afjusted 4 2 9 3" xfId="45479"/>
    <cellStyle name="ac 2 2 2 8 3" xfId="45480"/>
    <cellStyle name="Afjusted 2 2 2 9 3" xfId="45481"/>
    <cellStyle name="Bold/Border 2 2 2 8 3" xfId="45482"/>
    <cellStyle name="COL HEADINGS 2 2 2 8 3" xfId="45483"/>
    <cellStyle name="Date [mmm-yyyy] 2 2 2 8 3" xfId="45484"/>
    <cellStyle name="dp*NumberLine 2 2 2 8 3" xfId="45485"/>
    <cellStyle name="dp*NumberLineEPS 2 2 2 8 3" xfId="45486"/>
    <cellStyle name="dp*SheetSubTitle 2 2 2 8 3" xfId="45487"/>
    <cellStyle name="Heading [Helv] 2 2 2 8 3" xfId="45488"/>
    <cellStyle name="Heading [Palat] 2 2 2 8 3" xfId="45489"/>
    <cellStyle name="Magic 2 2 2 8 3" xfId="45490"/>
    <cellStyle name="Outputs 2 2 2 8 3" xfId="45491"/>
    <cellStyle name="Table Head Aligned 2 2 2 8 3" xfId="45492"/>
    <cellStyle name="Table Head Green 2 2 2 8 3" xfId="45493"/>
    <cellStyle name="Title [Helv] 2 2 2 8 3" xfId="45494"/>
    <cellStyle name="Title [Palat] 2 2 2 8 3" xfId="45495"/>
    <cellStyle name="Border Thin 3 5 5 2 3" xfId="45496"/>
    <cellStyle name="Style 51 7 5 2 3" xfId="45497"/>
    <cellStyle name="Style 49 4 5 7 3" xfId="45498"/>
    <cellStyle name="Table Head Green 2 2 3 4 6 3" xfId="45499"/>
    <cellStyle name="Heading [Palat] 2 2 3 4 6 3" xfId="45500"/>
    <cellStyle name="Border Thin 3 3 4 7 3" xfId="45501"/>
    <cellStyle name="P-Green Rule 2 3 6 3" xfId="45502"/>
    <cellStyle name="Title [Palat] 2 2 3 2 6 3" xfId="45503"/>
    <cellStyle name="Title [Helv] 2 2 3 2 6 3" xfId="45504"/>
    <cellStyle name="Table Head Green 2 2 3 2 6 3" xfId="45505"/>
    <cellStyle name="Table Head Aligned 2 2 3 2 6 3" xfId="45506"/>
    <cellStyle name="Outputs 2 2 3 2 6 3" xfId="45507"/>
    <cellStyle name="Magic 2 2 3 2 6 3" xfId="45508"/>
    <cellStyle name="Heading [Palat] 2 2 3 2 6 3" xfId="45509"/>
    <cellStyle name="Heading [Helv] 2 2 3 2 6 3" xfId="45510"/>
    <cellStyle name="dp*SheetSubTitle 2 2 3 2 6 3" xfId="45511"/>
    <cellStyle name="dp*NumberLineEPS 2 2 3 2 6 3" xfId="45512"/>
    <cellStyle name="dp*NumberLine 2 2 3 2 6 3" xfId="45513"/>
    <cellStyle name="Date [mmm-yyyy] 2 2 3 2 6 3" xfId="45514"/>
    <cellStyle name="COL HEADINGS 2 2 3 2 6 3" xfId="45515"/>
    <cellStyle name="Bold/Border 2 2 3 2 6 3" xfId="45516"/>
    <cellStyle name="Afjusted 2 2 3 2 6 3" xfId="45517"/>
    <cellStyle name="ac 2 2 3 2 6 3" xfId="45518"/>
    <cellStyle name="Afjusted 4 3 2 6 3" xfId="45519"/>
    <cellStyle name="dp*ThinLineBelow 3 3 2 6 3" xfId="45520"/>
    <cellStyle name="dp*SubTitle 3 3 4 7 3" xfId="45521"/>
    <cellStyle name="P-Green Rule 3 3 2 6 3" xfId="45522"/>
    <cellStyle name="Style 44 4 3 2 6 3" xfId="45523"/>
    <cellStyle name="Style 45 4 3 2 6 3" xfId="45524"/>
    <cellStyle name="Style 49 4 3 2 6 3" xfId="45525"/>
    <cellStyle name="Style 51 4 3 2 6 3" xfId="45526"/>
    <cellStyle name="Date [mm-d-yyyy] 3 3 2 6 3" xfId="45527"/>
    <cellStyle name="Afjusted 3 3 2 6 3" xfId="45528"/>
    <cellStyle name="Date [mm-d-yyyy] 3 5 6 3" xfId="45529"/>
    <cellStyle name="Date [mm-d-yyyy] 2 2 2 6 3" xfId="45530"/>
    <cellStyle name="Afjusted 3 2 2 6 3" xfId="45531"/>
    <cellStyle name="PB Table Standard Row 3 5 6 3" xfId="45532"/>
    <cellStyle name="Date [mm-d-yyyy] 3 2 2 6 3" xfId="45533"/>
    <cellStyle name="Style 51 4 2 2 6 3" xfId="45534"/>
    <cellStyle name="Style 49 4 2 2 6 3" xfId="45535"/>
    <cellStyle name="Style 45 4 2 2 6 3" xfId="45536"/>
    <cellStyle name="Style 44 4 2 2 6 3" xfId="45537"/>
    <cellStyle name="Style 45 4 5 6 3" xfId="45538"/>
    <cellStyle name="P-Green Rule 3 2 2 6 3" xfId="45539"/>
    <cellStyle name="PB Table Standard Row 3 2 2 6 3" xfId="45540"/>
    <cellStyle name="dp*ThinLineBelow 3 2 2 6 3" xfId="45541"/>
    <cellStyle name="dp*SubTitle 3 2 2 6 3" xfId="45542"/>
    <cellStyle name="Style 51 4 5 6 3" xfId="45543"/>
    <cellStyle name="Border Thin 3 2 2 6 3" xfId="45544"/>
    <cellStyle name="Afjusted 4 2 2 6 3" xfId="45545"/>
    <cellStyle name="ac 2 2 2 2 6 3" xfId="45546"/>
    <cellStyle name="Afjusted 2 2 2 2 6 3" xfId="45547"/>
    <cellStyle name="Bold/Border 2 2 2 2 6 3" xfId="45548"/>
    <cellStyle name="COL HEADINGS 2 2 2 2 6 3" xfId="45549"/>
    <cellStyle name="Date [mmm-yyyy] 2 2 2 2 6 3" xfId="45550"/>
    <cellStyle name="dp*NumberLine 2 2 2 2 6 3" xfId="45551"/>
    <cellStyle name="dp*NumberLineEPS 2 2 2 2 6 3" xfId="45552"/>
    <cellStyle name="dp*SheetSubTitle 2 2 2 2 6 3" xfId="45553"/>
    <cellStyle name="Heading [Helv] 2 2 2 2 6 3" xfId="45554"/>
    <cellStyle name="Heading [Palat] 2 2 2 2 6 3" xfId="45555"/>
    <cellStyle name="Magic 2 2 2 2 6 3" xfId="45556"/>
    <cellStyle name="Outputs 2 2 2 2 6 3" xfId="45557"/>
    <cellStyle name="Table Head Aligned 2 2 2 2 6 3" xfId="45558"/>
    <cellStyle name="Table Head Green 2 2 2 2 6 3" xfId="45559"/>
    <cellStyle name="Title [Helv] 2 2 2 2 6 3" xfId="45560"/>
    <cellStyle name="Title [Palat] 2 2 2 2 6 3" xfId="45561"/>
    <cellStyle name="dp*ThinLineBelow 3 5 6 3" xfId="45562"/>
    <cellStyle name="Date [mm-d-yyyy] 2 2 3 6 3" xfId="45563"/>
    <cellStyle name="Afjusted 3 2 3 6 3" xfId="45564"/>
    <cellStyle name="Date [mm-d-yyyy] 3 2 3 6 3" xfId="45565"/>
    <cellStyle name="Style 51 4 2 3 6 3" xfId="45566"/>
    <cellStyle name="Style 49 4 2 3 6 3" xfId="45567"/>
    <cellStyle name="Style 45 4 2 3 6 3" xfId="45568"/>
    <cellStyle name="Style 44 4 2 3 6 3" xfId="45569"/>
    <cellStyle name="P-Green Rule 3 2 3 6 3" xfId="45570"/>
    <cellStyle name="PB Table Standard Row 3 2 3 6 3" xfId="45571"/>
    <cellStyle name="dp*ThinLineBelow 3 2 3 6 3" xfId="45572"/>
    <cellStyle name="dp*SubTitle 3 2 3 6 3" xfId="45573"/>
    <cellStyle name="Border Thin 3 2 3 6 3" xfId="45574"/>
    <cellStyle name="Afjusted 4 2 3 6 3" xfId="45575"/>
    <cellStyle name="ac 2 2 2 3 6 3" xfId="45576"/>
    <cellStyle name="Afjusted 2 2 2 3 6 3" xfId="45577"/>
    <cellStyle name="Bold/Border 2 2 2 3 6 3" xfId="45578"/>
    <cellStyle name="COL HEADINGS 2 2 2 3 6 3" xfId="45579"/>
    <cellStyle name="Date [mmm-yyyy] 2 2 2 3 6 3" xfId="45580"/>
    <cellStyle name="dp*NumberLine 2 2 2 3 6 3" xfId="45581"/>
    <cellStyle name="dp*NumberLineEPS 2 2 2 3 6 3" xfId="45582"/>
    <cellStyle name="dp*SheetSubTitle 2 2 2 3 6 3" xfId="45583"/>
    <cellStyle name="Heading [Helv] 2 2 2 3 6 3" xfId="45584"/>
    <cellStyle name="Heading [Palat] 2 2 2 3 6 3" xfId="45585"/>
    <cellStyle name="Magic 2 2 2 3 6 3" xfId="45586"/>
    <cellStyle name="Outputs 2 2 2 3 6 3" xfId="45587"/>
    <cellStyle name="Table Head Aligned 2 2 2 3 6 3" xfId="45588"/>
    <cellStyle name="Table Head Green 2 2 2 3 6 3" xfId="45589"/>
    <cellStyle name="Title [Helv] 2 2 2 3 6 3" xfId="45590"/>
    <cellStyle name="Title [Palat] 2 2 2 3 6 3" xfId="45591"/>
    <cellStyle name="Afjusted 3 2 4 6 3" xfId="45592"/>
    <cellStyle name="Date [mm-d-yyyy] 3 2 4 6 3" xfId="45593"/>
    <cellStyle name="Style 51 4 2 4 6 3" xfId="45594"/>
    <cellStyle name="Style 49 4 2 4 6 3" xfId="45595"/>
    <cellStyle name="Style 45 4 2 4 6 3" xfId="45596"/>
    <cellStyle name="Style 44 4 2 4 6 3" xfId="45597"/>
    <cellStyle name="P-Green Rule 3 2 4 6 3" xfId="45598"/>
    <cellStyle name="PB Table Standard Row 3 2 4 6 3" xfId="45599"/>
    <cellStyle name="dp*ThinLineBelow 3 2 4 6 3" xfId="45600"/>
    <cellStyle name="dp*SubTitle 3 2 4 6 3" xfId="45601"/>
    <cellStyle name="Border Thin 3 2 4 6 3" xfId="45602"/>
    <cellStyle name="Afjusted 4 2 4 6 3" xfId="45603"/>
    <cellStyle name="ac 2 2 2 4 6 3" xfId="45604"/>
    <cellStyle name="Afjusted 2 2 2 4 6 3" xfId="45605"/>
    <cellStyle name="Bold/Border 2 2 2 4 6 3" xfId="45606"/>
    <cellStyle name="COL HEADINGS 2 2 2 4 6 3" xfId="45607"/>
    <cellStyle name="Date [mmm-yyyy] 2 2 2 4 6 3" xfId="45608"/>
    <cellStyle name="dp*NumberLine 2 2 2 4 6 3" xfId="45609"/>
    <cellStyle name="dp*NumberLineEPS 2 2 2 4 6 3" xfId="45610"/>
    <cellStyle name="dp*SheetSubTitle 2 2 2 4 6 3" xfId="45611"/>
    <cellStyle name="Heading [Helv] 2 2 2 4 6 3" xfId="45612"/>
    <cellStyle name="Heading [Palat] 2 2 2 4 6 3" xfId="45613"/>
    <cellStyle name="Magic 2 2 2 4 6 3" xfId="45614"/>
    <cellStyle name="Outputs 2 2 2 4 6 3" xfId="45615"/>
    <cellStyle name="Table Head Aligned 2 2 2 4 6 3" xfId="45616"/>
    <cellStyle name="Table Head Green 2 2 2 4 6 3" xfId="45617"/>
    <cellStyle name="Title [Helv] 2 2 2 4 6 3" xfId="45618"/>
    <cellStyle name="Title [Palat] 2 2 2 4 6 3" xfId="45619"/>
    <cellStyle name="PB Table Standard Row 3 2 3 7 3" xfId="45620"/>
    <cellStyle name="Magic 2 2 4 7 3" xfId="45621"/>
    <cellStyle name="Border Thin 4 6 3" xfId="45622"/>
    <cellStyle name="Date [mm-d-yyyy] 4 6 3" xfId="45623"/>
    <cellStyle name="dp*SubTitle 4 6 3" xfId="45624"/>
    <cellStyle name="dp*ThinLineBelow 4 6 3" xfId="45625"/>
    <cellStyle name="PB Table Standard Row 4 6 3" xfId="45626"/>
    <cellStyle name="P-Green Rule 4 6 3" xfId="45627"/>
    <cellStyle name="Style 44 5 6 3" xfId="45628"/>
    <cellStyle name="Style 45 5 6 3" xfId="45629"/>
    <cellStyle name="Style 49 5 6 3" xfId="45630"/>
    <cellStyle name="Style 51 5 6 3" xfId="45631"/>
    <cellStyle name="P-Green Rule 3 2 3 7 3" xfId="45632"/>
    <cellStyle name="Outputs 2 2 4 7 3" xfId="45633"/>
    <cellStyle name="Table Head Aligned 2 2 2 4 7 3" xfId="45634"/>
    <cellStyle name="Style 44 4 2 3 7 3" xfId="45635"/>
    <cellStyle name="Heading [Palat] 2 2 4 7 3" xfId="45636"/>
    <cellStyle name="Title [Palat] 3 6 3" xfId="45637"/>
    <cellStyle name="Title [Helv] 3 6 3" xfId="45638"/>
    <cellStyle name="Table Head Green 3 6 3" xfId="45639"/>
    <cellStyle name="Table Head Aligned 3 6 3" xfId="45640"/>
    <cellStyle name="Table Head Green 5 7 3" xfId="45641"/>
    <cellStyle name="Outputs 3 6 3" xfId="45642"/>
    <cellStyle name="Magic 3 6 3" xfId="45643"/>
    <cellStyle name="Heading [Palat] 3 6 3" xfId="45644"/>
    <cellStyle name="Heading [Helv] 3 6 3" xfId="45645"/>
    <cellStyle name="dp*SubTitle 2 5 7 3" xfId="45646"/>
    <cellStyle name="dp*SheetSubTitle 3 6 3" xfId="45647"/>
    <cellStyle name="dp*NumberLineEPS 3 6 3" xfId="45648"/>
    <cellStyle name="dp*NumberLine 3 6 3" xfId="45649"/>
    <cellStyle name="Outputs 5 7 3" xfId="45650"/>
    <cellStyle name="COL HEADINGS 3 6 3" xfId="45651"/>
    <cellStyle name="Bold/Border 3 6 3" xfId="45652"/>
    <cellStyle name="Afjusted 7 7 3" xfId="45653"/>
    <cellStyle name="Afjusted 5 6 3" xfId="45654"/>
    <cellStyle name="ac 3 6 3" xfId="45655"/>
    <cellStyle name="dp*SheetSubTitle 2 2 4 7 3" xfId="45656"/>
    <cellStyle name="Style 45 4 2 3 7 3" xfId="45657"/>
    <cellStyle name="Date [mmm-yyyy] 3 6 3" xfId="45658"/>
    <cellStyle name="Style 49 4 2 3 7 3" xfId="45659"/>
    <cellStyle name="Title [Palat] 2 6 7 3" xfId="45660"/>
    <cellStyle name="dp*NumberLineEPS 2 2 4 7 3" xfId="45661"/>
    <cellStyle name="Style 49 7 7 3" xfId="45662"/>
    <cellStyle name="Magic 2 2 2 2 7 3" xfId="45663"/>
    <cellStyle name="Table Head Green 2 6 7 3" xfId="45664"/>
    <cellStyle name="dp*NumberLine 2 2 4 7 3" xfId="45665"/>
    <cellStyle name="Heading [Palat] 2 2 2 2 7 3" xfId="45666"/>
    <cellStyle name="Date [mmm-yyyy] 2 2 4 7 3" xfId="45667"/>
    <cellStyle name="ac 2 4 6 3" xfId="45668"/>
    <cellStyle name="Afjusted 2 3 6 3" xfId="45669"/>
    <cellStyle name="Bold/Border 2 4 6 3" xfId="45670"/>
    <cellStyle name="Border Thin 2 4 6 3" xfId="45671"/>
    <cellStyle name="COL HEADINGS 2 4 6 3" xfId="45672"/>
    <cellStyle name="Date [mmm-yyyy] 2 4 6 3" xfId="45673"/>
    <cellStyle name="dp*NumberLine 2 4 6 3" xfId="45674"/>
    <cellStyle name="dp*NumberLineEPS 2 4 6 3" xfId="45675"/>
    <cellStyle name="dp*SheetSubTitle 2 4 6 3" xfId="45676"/>
    <cellStyle name="dp*SubTitle 2 4 6 3" xfId="45677"/>
    <cellStyle name="dp*ThinLineBelow 2 4 6 3" xfId="45678"/>
    <cellStyle name="Heading [Helv] 2 4 6 3" xfId="45679"/>
    <cellStyle name="Heading [Palat] 2 4 6 3" xfId="45680"/>
    <cellStyle name="Magic 2 4 6 3" xfId="45681"/>
    <cellStyle name="Outputs 2 4 6 3" xfId="45682"/>
    <cellStyle name="PB Table Standard Row 2 4 6 3" xfId="45683"/>
    <cellStyle name="P-Green Rule 2 4 6 3" xfId="45684"/>
    <cellStyle name="Style 44 3 4 6 3" xfId="45685"/>
    <cellStyle name="Style 45 3 4 6 3" xfId="45686"/>
    <cellStyle name="Style 49 3 4 6 3" xfId="45687"/>
    <cellStyle name="Style 51 3 4 6 3" xfId="45688"/>
    <cellStyle name="Style 44 2 4 6 3" xfId="45689"/>
    <cellStyle name="Style 45 2 4 6 3" xfId="45690"/>
    <cellStyle name="Style 49 2 4 6 3" xfId="45691"/>
    <cellStyle name="Style 51 2 4 6 3" xfId="45692"/>
    <cellStyle name="Table Head Aligned 2 4 6 3" xfId="45693"/>
    <cellStyle name="Table Head Green 2 4 6 3" xfId="45694"/>
    <cellStyle name="Title [Helv] 2 4 6 3" xfId="45695"/>
    <cellStyle name="Title [Palat] 2 4 6 3" xfId="45696"/>
    <cellStyle name="Heading [Helv] 2 2 2 2 7 3" xfId="45697"/>
    <cellStyle name="Style 51 2 6 7 3" xfId="45698"/>
    <cellStyle name="Style 49 2 3 7 3" xfId="45699"/>
    <cellStyle name="dp*SheetSubTitle 2 2 2 2 7 3" xfId="45700"/>
    <cellStyle name="Style 49 2 6 7 3" xfId="45701"/>
    <cellStyle name="Style 45 2 3 7 3" xfId="45702"/>
    <cellStyle name="dp*ThinLineBelow 3 2 4 7 3" xfId="45703"/>
    <cellStyle name="P-Green Rule 3 3 2 7 3" xfId="45704"/>
    <cellStyle name="Date [mm-d-yyyy] 3 4 5 2 3" xfId="45705"/>
    <cellStyle name="dp*SubTitle 3 3 4 5 2 3" xfId="45706"/>
    <cellStyle name="Title [Helv] 2 2 3 8 2 3" xfId="45707"/>
    <cellStyle name="Outputs 2 2 3 8 2 3" xfId="45708"/>
    <cellStyle name="dp*NumberLineEPS 2 2 3 8 2 3" xfId="45709"/>
    <cellStyle name="Date [mm-d-yyyy] 2 2 7 2 3" xfId="45710"/>
    <cellStyle name="PB Table Standard Row 3 2 6 2 3" xfId="45711"/>
    <cellStyle name="Date [mm-d-yyyy] 2 2 3 5 2 3" xfId="45712"/>
    <cellStyle name="Table Head Green 2 2 2 3 5 2 3" xfId="45713"/>
    <cellStyle name="P-Green Rule 3 2 4 5 2 3" xfId="45714"/>
    <cellStyle name="Afjusted 2 2 2 4 5 2 3" xfId="45715"/>
    <cellStyle name="dp*NumberLineEPS 2 2 2 4 5 2 3" xfId="45716"/>
    <cellStyle name="dp*NumberLine 3 5 2 3" xfId="45717"/>
    <cellStyle name="Afjusted 5 5 2 3" xfId="45718"/>
    <cellStyle name="Heading [Helv] 2 4 5 2 3" xfId="45719"/>
    <cellStyle name="Date [mmm-yyyy] 7 6 3" xfId="45720"/>
    <cellStyle name="dp*SheetSubTitle 7 6 3" xfId="45721"/>
    <cellStyle name="Magic 7 6 3" xfId="45722"/>
    <cellStyle name="Title [Helv] 7 6 3" xfId="45723"/>
    <cellStyle name="Afjusted 9 6 3" xfId="45724"/>
    <cellStyle name="ac 4 6 3" xfId="45725"/>
    <cellStyle name="Heading [Helv] 6 7 3" xfId="45726"/>
    <cellStyle name="P-Green Rule 7 5 3" xfId="45727"/>
    <cellStyle name="Bold/Border 4 6 3" xfId="45728"/>
    <cellStyle name="Border Thin 5 6 3" xfId="45729"/>
    <cellStyle name="Style 45 9 5 3" xfId="45730"/>
    <cellStyle name="COL HEADINGS 4 6 3" xfId="45731"/>
    <cellStyle name="Style 45 7 7 3" xfId="45732"/>
    <cellStyle name="Date [mm-d-yyyy] 5 6 3" xfId="45733"/>
    <cellStyle name="Table Head Green 2 5 7 3" xfId="45734"/>
    <cellStyle name="Style 49 2 5 7 3" xfId="45735"/>
    <cellStyle name="Style 51 3 5 7 3" xfId="45736"/>
    <cellStyle name="Style 44 3 5 7 3" xfId="45737"/>
    <cellStyle name="Outputs 2 5 7 3" xfId="45738"/>
    <cellStyle name="dp*NumberLineEPS 2 5 7 3" xfId="45739"/>
    <cellStyle name="Style 49 6 7 3" xfId="45740"/>
    <cellStyle name="Heading [Helv] 4 6 3" xfId="45741"/>
    <cellStyle name="Heading [Palat] 4 6 3" xfId="45742"/>
    <cellStyle name="dp*SheetSubTitle 3 7 3" xfId="45743"/>
    <cellStyle name="Border Thin 4 7 3" xfId="45744"/>
    <cellStyle name="Bold/Border 2 2 2 3 7 3" xfId="45745"/>
    <cellStyle name="Table Head Green 2 2 2 2 7 3" xfId="45746"/>
    <cellStyle name="dp*SheetSubTitle 2 2 3 2 7 3" xfId="45747"/>
    <cellStyle name="Style 51 4 3 9 3" xfId="45748"/>
    <cellStyle name="Style 44 4 3 9 3" xfId="45749"/>
    <cellStyle name="dp*ThinLineBelow 3 3 9 3" xfId="45750"/>
    <cellStyle name="Outputs 4 6 3" xfId="45751"/>
    <cellStyle name="Afjusted 2 2 3 9 3" xfId="45752"/>
    <cellStyle name="Date [mmm-yyyy] 2 2 3 10 3" xfId="45753"/>
    <cellStyle name="dp*SheetSubTitle 2 2 3 10 3" xfId="45754"/>
    <cellStyle name="Table Head Aligned 2 2 3 10 3" xfId="45755"/>
    <cellStyle name="Title [Palat] 2 2 3 10 3" xfId="45756"/>
    <cellStyle name="Style 44 4 3 4 7 3" xfId="45757"/>
    <cellStyle name="PB Table Standard Row 5 6 3" xfId="45758"/>
    <cellStyle name="dp*ThinLineBelow 3 3 4 7 3" xfId="45759"/>
    <cellStyle name="Style 49 4 4 7 3" xfId="45760"/>
    <cellStyle name="Table Head Green 2 2 3 3 7 3" xfId="45761"/>
    <cellStyle name="Afjusted 3 4 7 3" xfId="45762"/>
    <cellStyle name="Style 45 4 3 4 7 3" xfId="45763"/>
    <cellStyle name="dp*NumberLine 2 2 3 3 7 3" xfId="45764"/>
    <cellStyle name="P-Green Rule 2 2 7 3" xfId="45765"/>
    <cellStyle name="Style 44 2 2 7 3" xfId="45766"/>
    <cellStyle name="Magic 2 2 3 4 7 3" xfId="45767"/>
    <cellStyle name="P-Green Rule 5 6 3" xfId="45768"/>
    <cellStyle name="dp*SubTitle 2 2 7 3" xfId="45769"/>
    <cellStyle name="Title [Palat] 2 2 9 3" xfId="45770"/>
    <cellStyle name="Table Head Green 2 11 3" xfId="45771"/>
    <cellStyle name="Date [mm-d-yyyy] 2 7 3" xfId="45772"/>
    <cellStyle name="Style 44 6 6 3" xfId="45773"/>
    <cellStyle name="Style 45 6 6 3" xfId="45774"/>
    <cellStyle name="Style 49 6 6 3" xfId="45775"/>
    <cellStyle name="Style 51 6 6 3" xfId="45776"/>
    <cellStyle name="Table Head Green 4 6 3" xfId="45777"/>
    <cellStyle name="Magic 2 2 2 4 7 3" xfId="45778"/>
    <cellStyle name="Style 49 4 2 2 7 3" xfId="45779"/>
    <cellStyle name="Outputs 2 4 7 3" xfId="45780"/>
    <cellStyle name="Style 49 4 2 9 3" xfId="45781"/>
    <cellStyle name="dp*NumberLineEPS 2 2 2 2 7 3" xfId="45782"/>
    <cellStyle name="Style 44 2 3 7 3" xfId="45783"/>
    <cellStyle name="Afjusted 6 6 3" xfId="45784"/>
    <cellStyle name="Style 44 7 7 3" xfId="45785"/>
    <cellStyle name="ac 2 5 6 3" xfId="45786"/>
    <cellStyle name="Afjusted 2 4 6 3" xfId="45787"/>
    <cellStyle name="Bold/Border 2 5 6 3" xfId="45788"/>
    <cellStyle name="Border Thin 2 5 6 3" xfId="45789"/>
    <cellStyle name="COL HEADINGS 2 5 6 3" xfId="45790"/>
    <cellStyle name="Date [mmm-yyyy] 2 5 6 3" xfId="45791"/>
    <cellStyle name="dp*NumberLine 2 5 6 3" xfId="45792"/>
    <cellStyle name="dp*NumberLineEPS 2 5 6 3" xfId="45793"/>
    <cellStyle name="dp*SheetSubTitle 2 5 6 3" xfId="45794"/>
    <cellStyle name="dp*SubTitle 2 5 6 3" xfId="45795"/>
    <cellStyle name="dp*ThinLineBelow 2 5 6 3" xfId="45796"/>
    <cellStyle name="Heading [Helv] 2 5 6 3" xfId="45797"/>
    <cellStyle name="Heading [Palat] 2 5 6 3" xfId="45798"/>
    <cellStyle name="Magic 2 5 6 3" xfId="45799"/>
    <cellStyle name="Outputs 2 5 6 3" xfId="45800"/>
    <cellStyle name="PB Table Standard Row 2 5 6 3" xfId="45801"/>
    <cellStyle name="P-Green Rule 2 5 6 3" xfId="45802"/>
    <cellStyle name="Style 44 3 5 6 3" xfId="45803"/>
    <cellStyle name="Style 45 3 5 6 3" xfId="45804"/>
    <cellStyle name="Style 49 3 5 6 3" xfId="45805"/>
    <cellStyle name="Style 51 3 5 6 3" xfId="45806"/>
    <cellStyle name="Style 44 2 5 6 3" xfId="45807"/>
    <cellStyle name="Style 45 2 5 6 3" xfId="45808"/>
    <cellStyle name="Style 49 2 5 6 3" xfId="45809"/>
    <cellStyle name="Style 51 2 5 6 3" xfId="45810"/>
    <cellStyle name="Table Head Aligned 2 5 6 3" xfId="45811"/>
    <cellStyle name="Table Head Green 2 5 6 3" xfId="45812"/>
    <cellStyle name="Title [Helv] 2 5 6 3" xfId="45813"/>
    <cellStyle name="Title [Palat] 2 5 6 3" xfId="45814"/>
    <cellStyle name="Style 51 6 7 3" xfId="45815"/>
    <cellStyle name="Afjusted 2 2 2 4 7 3" xfId="45816"/>
    <cellStyle name="Date [mm-d-yyyy] 3 2 2 7 3" xfId="45817"/>
    <cellStyle name="Style 45 4 5 7 3" xfId="45818"/>
    <cellStyle name="Style 49 4 3 2 7 3" xfId="45819"/>
    <cellStyle name="Date [mm-d-yyyy] 3 5 7 3" xfId="45820"/>
    <cellStyle name="COL HEADINGS 2 2 3 2 7 3" xfId="45821"/>
    <cellStyle name="COL HEADINGS 2 2 2 9 3" xfId="45822"/>
    <cellStyle name="dp*NumberLine 2 2 2 2 7 3" xfId="45823"/>
    <cellStyle name="Style 45 2 6 7 3" xfId="45824"/>
    <cellStyle name="Style 51 3 3 7 3" xfId="45825"/>
    <cellStyle name="Date [mmm-yyyy] 2 2 2 2 7 3" xfId="45826"/>
    <cellStyle name="P-Green Rule 2 6 7 3" xfId="45827"/>
    <cellStyle name="Style 45 3 3 7 3" xfId="45828"/>
    <cellStyle name="COL HEADINGS 2 2 2 2 7 3" xfId="45829"/>
    <cellStyle name="Afjusted 3 5 7 3" xfId="45830"/>
    <cellStyle name="P-Green Rule 3 2 4 7 3" xfId="45831"/>
    <cellStyle name="Style 45 4 4 5 2 3" xfId="45832"/>
    <cellStyle name="Border Thin 3 4 4 2 3" xfId="45833"/>
    <cellStyle name="Table Head Green 2 2 3 8 2 3" xfId="45834"/>
    <cellStyle name="Magic 2 2 3 8 2 3" xfId="45835"/>
    <cellStyle name="dp*NumberLine 2 2 3 8 2 3" xfId="45836"/>
    <cellStyle name="Style 49 4 2 7 2 3" xfId="45837"/>
    <cellStyle name="Afjusted 2 2 2 8 2 3" xfId="45838"/>
    <cellStyle name="PB Table Standard Row 3 2 3 5 2 3" xfId="45839"/>
    <cellStyle name="Afjusted 3 2 4 5 2 3" xfId="45840"/>
    <cellStyle name="dp*SubTitle 3 2 4 5 2 3" xfId="45841"/>
    <cellStyle name="Bold/Border 2 2 2 4 5 2 3" xfId="45842"/>
    <cellStyle name="Heading [Palat] 2 2 2 4 5 2 3" xfId="45843"/>
    <cellStyle name="COL HEADINGS 3 5 2 3" xfId="45844"/>
    <cellStyle name="Date [mmm-yyyy] 3 5 2 3" xfId="45845"/>
    <cellStyle name="Heading [Palat] 2 4 5 2 3" xfId="45846"/>
    <cellStyle name="dp*NumberLine 7 6 3" xfId="45847"/>
    <cellStyle name="Heading [Helv] 9 6 3" xfId="45848"/>
    <cellStyle name="Table Head Aligned 7 6 3" xfId="45849"/>
    <cellStyle name="Title [Palat] 8 6 3" xfId="45850"/>
    <cellStyle name="Date [mmm-yyyy] 6 6 3" xfId="45851"/>
    <cellStyle name="ac 5 6 3" xfId="45852"/>
    <cellStyle name="dp*NumberLine 4 7 3" xfId="45853"/>
    <cellStyle name="Bold/Border 5 6 3" xfId="45854"/>
    <cellStyle name="Border Thin 6 6 3" xfId="45855"/>
    <cellStyle name="Table Head Aligned 4 7 3" xfId="45856"/>
    <cellStyle name="Title [Helv] 4 7 3" xfId="45857"/>
    <cellStyle name="COL HEADINGS 5 6 3" xfId="45858"/>
    <cellStyle name="Date [mm-d-yyyy] 6 4 3" xfId="45859"/>
    <cellStyle name="Title [Palat] 2 5 7 3" xfId="45860"/>
    <cellStyle name="Table Head Aligned 2 5 7 3" xfId="45861"/>
    <cellStyle name="Style 45 2 5 7 3" xfId="45862"/>
    <cellStyle name="Style 49 3 5 7 3" xfId="45863"/>
    <cellStyle name="P-Green Rule 2 5 7 3" xfId="45864"/>
    <cellStyle name="Magic 2 5 7 3" xfId="45865"/>
    <cellStyle name="Date [mmm-yyyy] 2 5 7 3" xfId="45866"/>
    <cellStyle name="Heading [Helv] 5 6 3" xfId="45867"/>
    <cellStyle name="Heading [Palat] 5 6 3" xfId="45868"/>
    <cellStyle name="P-Green Rule 5 7 3" xfId="45869"/>
    <cellStyle name="PB Table Standard Row 5 7 3" xfId="45870"/>
    <cellStyle name="Heading [Palat] 4 7 3" xfId="45871"/>
    <cellStyle name="Afjusted 2 2 2 3 7 3" xfId="45872"/>
    <cellStyle name="Style 49 4 3 9 3" xfId="45873"/>
    <cellStyle name="P-Green Rule 3 3 9 3" xfId="45874"/>
    <cellStyle name="dp*SubTitle 3 3 9 3" xfId="45875"/>
    <cellStyle name="Outputs 5 6 3" xfId="45876"/>
    <cellStyle name="Bold/Border 2 2 3 10 3" xfId="45877"/>
    <cellStyle name="dp*NumberLine 2 2 3 10 3" xfId="45878"/>
    <cellStyle name="Heading [Helv] 2 2 3 10 3" xfId="45879"/>
    <cellStyle name="Table Head Green 2 2 3 10 3" xfId="45880"/>
    <cellStyle name="PB Table Standard Row 6 6 3" xfId="45881"/>
    <cellStyle name="Style 44 4 4 7 3" xfId="45882"/>
    <cellStyle name="Date [mm-d-yyyy] 3 3 3 7 3" xfId="45883"/>
    <cellStyle name="Table Head Green 2 2 4 7 3" xfId="45884"/>
    <cellStyle name="Outputs 2 2 3 3 7 3" xfId="45885"/>
    <cellStyle name="dp*ThinLineBelow 2 2 7 3" xfId="45886"/>
    <cellStyle name="Style 44 3 2 7 3" xfId="45887"/>
    <cellStyle name="Style 49 2 2 7 3" xfId="45888"/>
    <cellStyle name="P-Green Rule 6 6 3" xfId="45889"/>
    <cellStyle name="Title [Helv] 2 2 9 3" xfId="45890"/>
    <cellStyle name="Style 44 7 6 3" xfId="45891"/>
    <cellStyle name="Style 45 7 6 3" xfId="45892"/>
    <cellStyle name="Style 49 7 6 3" xfId="45893"/>
    <cellStyle name="Style 51 7 6 3" xfId="45894"/>
    <cellStyle name="Table Head Green 5 6 3" xfId="45895"/>
    <cellStyle name="Title [Palat] 4 6 3" xfId="45896"/>
    <cellStyle name="PB Table Standard Row 3 3 2 5 3" xfId="45897"/>
    <cellStyle name="Table Head Aligned 2 2 2 2 7 3" xfId="45898"/>
    <cellStyle name="Heading [Palat] 2 2 3 2 7 3" xfId="45899"/>
    <cellStyle name="Heading [Helv] 2 2 2 4 7 3" xfId="45900"/>
    <cellStyle name="Style 51 4 2 2 7 3" xfId="45901"/>
    <cellStyle name="Style 51 4 3 2 7 3" xfId="45902"/>
    <cellStyle name="Title [Helv] 2 3 5 2 3" xfId="45903"/>
    <cellStyle name="P-Green Rule 4 7 3" xfId="45904"/>
    <cellStyle name="Date [mmm-yyyy] 2 2 2 4 7 3" xfId="45905"/>
    <cellStyle name="P-Green Rule 3 2 2 7 3" xfId="45906"/>
    <cellStyle name="dp*SubTitle 2 3 6 3" xfId="45907"/>
    <cellStyle name="ac 2 2 3 2 7 3" xfId="45908"/>
    <cellStyle name="ac 2 6 6 3" xfId="45909"/>
    <cellStyle name="Bold/Border 2 6 6 3" xfId="45910"/>
    <cellStyle name="Border Thin 2 6 6 3" xfId="45911"/>
    <cellStyle name="COL HEADINGS 2 6 6 3" xfId="45912"/>
    <cellStyle name="Date [mm-d-yyyy] 2 3 4 3" xfId="45913"/>
    <cellStyle name="Heading [Helv] 2 6 6 3" xfId="45914"/>
    <cellStyle name="Heading [Palat] 2 6 6 3" xfId="45915"/>
    <cellStyle name="Outputs 2 6 6 3" xfId="45916"/>
    <cellStyle name="PB Table Standard Row 2 6 6 3" xfId="45917"/>
    <cellStyle name="P-Green Rule 2 6 6 3" xfId="45918"/>
    <cellStyle name="Style 44 3 6 6 3" xfId="45919"/>
    <cellStyle name="Style 45 3 6 6 3" xfId="45920"/>
    <cellStyle name="Style 49 3 6 6 3" xfId="45921"/>
    <cellStyle name="Style 51 3 6 6 3" xfId="45922"/>
    <cellStyle name="Style 44 2 6 6 3" xfId="45923"/>
    <cellStyle name="Style 45 2 6 6 3" xfId="45924"/>
    <cellStyle name="Style 49 2 6 6 3" xfId="45925"/>
    <cellStyle name="Style 51 2 6 6 3" xfId="45926"/>
    <cellStyle name="Table Head Green 2 6 6 3" xfId="45927"/>
    <cellStyle name="Title [Palat] 2 6 6 3" xfId="45928"/>
    <cellStyle name="Style 44 4 3 2 7 3" xfId="45929"/>
    <cellStyle name="dp*NumberLine 2 2 3 2 7 3" xfId="45930"/>
    <cellStyle name="Style 45 4 2 2 7 3" xfId="45931"/>
    <cellStyle name="Date [mm-d-yyyy] 3 3 2 7 3" xfId="45932"/>
    <cellStyle name="dp*NumberLine 2 2 2 4 7 3" xfId="45933"/>
    <cellStyle name="PB Table Standard Row 3 2 2 7 3" xfId="45934"/>
    <cellStyle name="Afjusted 4 3 2 7 3" xfId="45935"/>
    <cellStyle name="Date [mmm-yyyy] 2 2 2 9 3" xfId="45936"/>
    <cellStyle name="PB Table Standard Row 2 6 7 3" xfId="45937"/>
    <cellStyle name="Date [mm-d-yyyy] 3 2 10 3" xfId="45938"/>
    <cellStyle name="Border Thin 3 5 5 3 2" xfId="45939"/>
    <cellStyle name="Style 51 7 5 3 2" xfId="45940"/>
    <cellStyle name="Bold/Border 2 2 2 2 7 3" xfId="45941"/>
    <cellStyle name="Outputs 2 6 7 3" xfId="45942"/>
    <cellStyle name="Title [Helv] 2 2 3 2 7 3" xfId="45943"/>
    <cellStyle name="dp*ThinLineBelow 3 3 2 7 3" xfId="45944"/>
    <cellStyle name="COL HEADINGS 2 2 2 3 7 3" xfId="45945"/>
    <cellStyle name="PB Table Standard Row 3 2 4 7 3" xfId="45946"/>
    <cellStyle name="Title [Palat] 2 2 2 4 7 3" xfId="45947"/>
    <cellStyle name="Heading [Palat] 2 2 2 4 7 3" xfId="45948"/>
    <cellStyle name="Title [Helv] 2 2 2 2 7 3" xfId="45949"/>
    <cellStyle name="dp*SheetSubTitle 2 4 7 3" xfId="45950"/>
    <cellStyle name="Style 44 3 4 7 3" xfId="45951"/>
    <cellStyle name="dp*NumberLineEPS 2 2 3 2 7 3" xfId="45952"/>
    <cellStyle name="Afjusted 2 2 3 2 7 3" xfId="45953"/>
    <cellStyle name="Heading [Helv] 3 7 3" xfId="45954"/>
    <cellStyle name="Magic 3 7 3" xfId="45955"/>
    <cellStyle name="Outputs 3 7 3" xfId="45956"/>
    <cellStyle name="Date [mm-d-yyyy] 2 2 3 7 3" xfId="45957"/>
    <cellStyle name="Heading [Helv] 2 2 2 3 7 3" xfId="45958"/>
    <cellStyle name="Style 51 3 6 7 3" xfId="45959"/>
    <cellStyle name="ac 2 6 7 3" xfId="45960"/>
    <cellStyle name="Bold/Border 2 6 7 3" xfId="45961"/>
    <cellStyle name="Bold/Border 2 3 7 3" xfId="45962"/>
    <cellStyle name="dp*NumberLine 2 2 2 9 3" xfId="45963"/>
    <cellStyle name="Outputs 2 2 2 4 7 3" xfId="45964"/>
    <cellStyle name="dp*NumberLine 2 2 2 3 7 3" xfId="45965"/>
    <cellStyle name="Afjusted 2 2 5 7 3" xfId="45966"/>
    <cellStyle name="ac 2 2 2 9 3" xfId="45967"/>
    <cellStyle name="COL HEADINGS 2 2 2 4 7 3" xfId="45968"/>
    <cellStyle name="Table Head Aligned 3 7 3" xfId="45969"/>
    <cellStyle name="Table Head Green 3 7 3" xfId="45970"/>
    <cellStyle name="Title [Helv] 3 7 3" xfId="45971"/>
    <cellStyle name="dp*ThinLineBelow 4 7 3" xfId="45972"/>
    <cellStyle name="Title [Palat] 3 7 3" xfId="45973"/>
    <cellStyle name="Afjusted 4 2 4 7 3" xfId="45974"/>
    <cellStyle name="PB Table Standard Row 4 7 3" xfId="45975"/>
    <cellStyle name="dp*SubTitle 3 2 4 7 3" xfId="45976"/>
    <cellStyle name="Date [mmm-yyyy] 3 7 3" xfId="45977"/>
    <cellStyle name="dp*NumberLineEPS 3 7 3" xfId="45978"/>
    <cellStyle name="dp*NumberLine 3 7 3" xfId="45979"/>
    <cellStyle name="Table Head Aligned 2 4 7 3" xfId="45980"/>
    <cellStyle name="Heading [Helv] 2 2 3 2 7 3" xfId="45981"/>
    <cellStyle name="Magic 2 2 3 2 7 3" xfId="45982"/>
    <cellStyle name="Afjusted 2 2 2 2 7 3" xfId="45983"/>
    <cellStyle name="Title [Palat] 5 6 3" xfId="45984"/>
    <cellStyle name="Title [Helv] 4 6 3" xfId="45985"/>
    <cellStyle name="Table Head Green 6 6 3" xfId="45986"/>
    <cellStyle name="Table Head Aligned 4 6 3" xfId="45987"/>
    <cellStyle name="Style 51 9 4 3" xfId="45988"/>
    <cellStyle name="Style 49 9 4 3" xfId="45989"/>
    <cellStyle name="Style 45 9 4 3" xfId="45990"/>
    <cellStyle name="Style 44 9 4 3" xfId="45991"/>
    <cellStyle name="dp*NumberLineEPS 2 10 3" xfId="45992"/>
    <cellStyle name="COL HEADINGS 2 2 9 3" xfId="45993"/>
    <cellStyle name="Magic 2 2 9 3" xfId="45994"/>
    <cellStyle name="Style 45 7 5 2 3" xfId="45995"/>
    <cellStyle name="P-Green Rule 7 4 3" xfId="45996"/>
    <cellStyle name="Outputs 6 6 3" xfId="45997"/>
    <cellStyle name="Magic 4 6 3" xfId="45998"/>
    <cellStyle name="Afjusted 2 4 7 3" xfId="45999"/>
    <cellStyle name="Heading [Palat] 6 6 3" xfId="46000"/>
    <cellStyle name="Heading [Helv] 6 6 3" xfId="46001"/>
    <cellStyle name="Border Thin 2 5 7 3" xfId="46002"/>
    <cellStyle name="dp*ThinLineBelow 5 5 3" xfId="46003"/>
    <cellStyle name="dp*SheetSubTitle 4 6 3" xfId="46004"/>
    <cellStyle name="dp*NumberLineEPS 4 6 3" xfId="46005"/>
    <cellStyle name="dp*NumberLine 4 6 3" xfId="46006"/>
    <cellStyle name="Date [mmm-yyyy] 4 6 3" xfId="46007"/>
    <cellStyle name="Date [mm-d-yyyy] 7 5 3" xfId="46008"/>
    <cellStyle name="COL HEADINGS 6 6 3" xfId="46009"/>
    <cellStyle name="Bold/Border 6 6 3" xfId="46010"/>
    <cellStyle name="dp*SheetSubTitle 4 7 3" xfId="46011"/>
    <cellStyle name="Afjusted 7 6 3" xfId="46012"/>
    <cellStyle name="ac 6 6 3" xfId="46013"/>
    <cellStyle name="Heading [Helv] 2 2 9 3" xfId="46014"/>
    <cellStyle name="Style 44 2 10 3" xfId="46015"/>
    <cellStyle name="Style 44 8 6 3" xfId="46016"/>
    <cellStyle name="Style 45 8 6 3" xfId="46017"/>
    <cellStyle name="Style 49 8 6 3" xfId="46018"/>
    <cellStyle name="Style 51 8 6 3" xfId="46019"/>
    <cellStyle name="Heading [Palat] 2 6 7 3" xfId="46020"/>
    <cellStyle name="Title [Palat] 2 2 3 2 7 3" xfId="46021"/>
    <cellStyle name="Magic 2 4 7 3" xfId="46022"/>
    <cellStyle name="Bold/Border 2 2 2 4 7 3" xfId="46023"/>
    <cellStyle name="dp*SheetSubTitle 2 2 2 3 7 3" xfId="46024"/>
    <cellStyle name="Magic 2 2 2 9 3" xfId="46025"/>
    <cellStyle name="Style 44 3 6 7 3" xfId="46026"/>
    <cellStyle name="Style 51 3 4 7 3" xfId="46027"/>
    <cellStyle name="Heading [Palat] 2 4 7 3" xfId="46028"/>
    <cellStyle name="dp*SubTitle 2 4 7 3" xfId="46029"/>
    <cellStyle name="Heading [Palat] 3 7 3" xfId="46030"/>
    <cellStyle name="dp*ThinLineBelow 3 5 7 3" xfId="46031"/>
    <cellStyle name="Bold/Border 2 2 3 2 7 3" xfId="46032"/>
    <cellStyle name="ac 2 3 7 3" xfId="46033"/>
    <cellStyle name="Magic 2 2 3 3 7 3" xfId="46034"/>
    <cellStyle name="Border Thin 3 5 7 3" xfId="46035"/>
    <cellStyle name="dp*NumberLineEPS 2 4 7 3" xfId="46036"/>
    <cellStyle name="Date [mm-d-yyyy] 2 3 5 3" xfId="46037"/>
    <cellStyle name="Heading [Helv] 2 6 7 3" xfId="46038"/>
    <cellStyle name="P-Green Rule 2 3 7 3" xfId="46039"/>
    <cellStyle name="PB Table Standard Row 2 3 5 3" xfId="46040"/>
    <cellStyle name="Title [Palat] 6 5 3" xfId="46041"/>
    <cellStyle name="Title [Helv] 5 5 3" xfId="46042"/>
    <cellStyle name="Table Head Green 7 5 3" xfId="46043"/>
    <cellStyle name="Table Head Aligned 5 5 3" xfId="46044"/>
    <cellStyle name="Outputs 7 5 3" xfId="46045"/>
    <cellStyle name="Magic 5 5 3" xfId="46046"/>
    <cellStyle name="Heading [Palat] 7 5 3" xfId="46047"/>
    <cellStyle name="Heading [Helv] 7 5 3" xfId="46048"/>
    <cellStyle name="dp*SheetSubTitle 5 5 3" xfId="46049"/>
    <cellStyle name="dp*NumberLineEPS 5 5 3" xfId="46050"/>
    <cellStyle name="dp*NumberLine 5 5 3" xfId="46051"/>
    <cellStyle name="Date [mmm-yyyy] 5 5 3" xfId="46052"/>
    <cellStyle name="COL HEADINGS 7 5 3" xfId="46053"/>
    <cellStyle name="Bold/Border 7 5 3" xfId="46054"/>
    <cellStyle name="Afjusted 8 5 3" xfId="46055"/>
    <cellStyle name="ac 7 5 3" xfId="46056"/>
    <cellStyle name="Heading [Palat] 2 2 3 4 7 3" xfId="46057"/>
    <cellStyle name="Table Head Green 2 2 3 4 7 3" xfId="46058"/>
    <cellStyle name="COL HEADINGS 2 6 7 3" xfId="46059"/>
    <cellStyle name="Title [Palat] 2 2 3 4 7 3" xfId="46060"/>
    <cellStyle name="Title [Palat] 7 5 3" xfId="46061"/>
    <cellStyle name="Title [Helv] 6 5 3" xfId="46062"/>
    <cellStyle name="Table Head Green 8 5 3" xfId="46063"/>
    <cellStyle name="Table Head Aligned 6 5 3" xfId="46064"/>
    <cellStyle name="Magic 2 10 3" xfId="46065"/>
    <cellStyle name="dp*NumberLineEPS 2 2 9 3" xfId="46066"/>
    <cellStyle name="Afjusted 3 5 5 2 3" xfId="46067"/>
    <cellStyle name="Outputs 8 5 3" xfId="46068"/>
    <cellStyle name="Magic 6 5 3" xfId="46069"/>
    <cellStyle name="Heading [Palat] 8 5 3" xfId="46070"/>
    <cellStyle name="Heading [Helv] 8 5 3" xfId="46071"/>
    <cellStyle name="COL HEADINGS 5 7 3" xfId="46072"/>
    <cellStyle name="dp*SheetSubTitle 6 5 3" xfId="46073"/>
    <cellStyle name="dp*NumberLineEPS 6 5 3" xfId="46074"/>
    <cellStyle name="dp*NumberLine 6 5 3" xfId="46075"/>
    <cellStyle name="COL HEADINGS 8 5 3" xfId="46076"/>
    <cellStyle name="Bold/Border 8 5 3" xfId="46077"/>
    <cellStyle name="Afjusted 9 5 3" xfId="46078"/>
    <cellStyle name="ac 8 5 3" xfId="46079"/>
    <cellStyle name="Table Head Aligned 2 2 3 4 7 3" xfId="46080"/>
    <cellStyle name="Date [mmm-yyyy] 6 5 3" xfId="46081"/>
    <cellStyle name="Outputs 2 2 3 4 7 3" xfId="46082"/>
    <cellStyle name="Title [Palat] 8 5 3" xfId="46083"/>
    <cellStyle name="Title [Helv] 7 5 3" xfId="46084"/>
    <cellStyle name="Table Head Green 9 5 3" xfId="46085"/>
    <cellStyle name="Table Head Aligned 7 5 3" xfId="46086"/>
    <cellStyle name="Outputs 9 5 3" xfId="46087"/>
    <cellStyle name="Magic 7 5 3" xfId="46088"/>
    <cellStyle name="Heading [Palat] 9 5 3" xfId="46089"/>
    <cellStyle name="Heading [Helv] 9 5 3" xfId="46090"/>
    <cellStyle name="dp*SheetSubTitle 7 5 3" xfId="46091"/>
    <cellStyle name="dp*NumberLineEPS 7 5 3" xfId="46092"/>
    <cellStyle name="dp*NumberLine 7 5 3" xfId="46093"/>
    <cellStyle name="Date [mmm-yyyy] 7 5 3" xfId="46094"/>
    <cellStyle name="COL HEADINGS 9 5 3" xfId="46095"/>
    <cellStyle name="Bold/Border 9 5 3" xfId="46096"/>
    <cellStyle name="Afjusted 10 5 3" xfId="46097"/>
    <cellStyle name="ac 9 5 3" xfId="46098"/>
    <cellStyle name="Heading [Helv] 2 2 3 4 7 3" xfId="46099"/>
    <cellStyle name="P-Green Rule 6 5 3 2" xfId="46100"/>
    <cellStyle name="PB Table Standard Row 6 5 3 2" xfId="46101"/>
    <cellStyle name="Outputs 5 5 3 2" xfId="46102"/>
    <cellStyle name="Heading [Helv] 5 5 3 2" xfId="46103"/>
    <cellStyle name="COL HEADINGS 5 5 3 2" xfId="46104"/>
    <cellStyle name="Bold/Border 5 5 3 2" xfId="46105"/>
    <cellStyle name="Style 45 2 5 5 3 2" xfId="46106"/>
    <cellStyle name="Date [mmm-yyyy] 2 5 5 3 2" xfId="46107"/>
    <cellStyle name="Bold/Border 2 5 5 3 2" xfId="46108"/>
    <cellStyle name="Afjusted 2 4 5 3 2" xfId="46109"/>
    <cellStyle name="ac 2 5 5 3 2" xfId="46110"/>
    <cellStyle name="Style 51 6 5 3 2" xfId="46111"/>
    <cellStyle name="PB Table Standard Row 5 5 3 2" xfId="46112"/>
    <cellStyle name="Heading [Palat] 4 5 3 2" xfId="46113"/>
    <cellStyle name="Bold/Border 4 5 3 2" xfId="46114"/>
    <cellStyle name="ac 4 5 3 2" xfId="46115"/>
    <cellStyle name="Title [Helv] 2 4 5 3 2" xfId="46116"/>
    <cellStyle name="Table Head Green 2 4 5 3 2" xfId="46117"/>
    <cellStyle name="Table Head Aligned 2 4 5 3 2" xfId="46118"/>
    <cellStyle name="Style 51 2 4 5 3 2" xfId="46119"/>
    <cellStyle name="Style 49 2 4 5 3 2" xfId="46120"/>
    <cellStyle name="Style 45 2 4 5 3 2" xfId="46121"/>
    <cellStyle name="Style 44 2 4 5 3 2" xfId="46122"/>
    <cellStyle name="Style 51 3 4 5 3 2" xfId="46123"/>
    <cellStyle name="Style 49 3 4 5 3 2" xfId="46124"/>
    <cellStyle name="Style 45 3 4 5 3 2" xfId="46125"/>
    <cellStyle name="Style 44 3 4 5 3 2" xfId="46126"/>
    <cellStyle name="P-Green Rule 2 4 5 3 2" xfId="46127"/>
    <cellStyle name="PB Table Standard Row 2 4 5 3 2" xfId="46128"/>
    <cellStyle name="Outputs 2 4 5 3 2" xfId="46129"/>
    <cellStyle name="Magic 2 4 5 3 2" xfId="46130"/>
    <cellStyle name="Heading [Palat] 2 4 5 3 2" xfId="46131"/>
    <cellStyle name="Heading [Helv] 2 4 5 3 2" xfId="46132"/>
    <cellStyle name="COL HEADINGS 2 4 5 3 2" xfId="46133"/>
    <cellStyle name="Date [mmm-yyyy] 3 5 3 2" xfId="46134"/>
    <cellStyle name="Afjusted 5 5 3 2" xfId="46135"/>
    <cellStyle name="Bold/Border 3 5 3 2" xfId="46136"/>
    <cellStyle name="COL HEADINGS 3 5 3 2" xfId="46137"/>
    <cellStyle name="dp*NumberLine 3 5 3 2" xfId="46138"/>
    <cellStyle name="dp*NumberLineEPS 3 5 3 2" xfId="46139"/>
    <cellStyle name="Heading [Palat] 3 5 3 2" xfId="46140"/>
    <cellStyle name="Magic 3 5 3 2" xfId="46141"/>
    <cellStyle name="Title [Helv] 3 5 3 2" xfId="46142"/>
    <cellStyle name="Date [mm-d-yyyy] 4 5 3 2" xfId="46143"/>
    <cellStyle name="Title [Palat] 2 2 2 4 5 3 2" xfId="46144"/>
    <cellStyle name="Title [Helv] 2 2 2 4 5 3 2" xfId="46145"/>
    <cellStyle name="Heading [Palat] 2 2 2 4 5 3 2" xfId="46146"/>
    <cellStyle name="dp*NumberLineEPS 2 2 2 4 5 3 2" xfId="46147"/>
    <cellStyle name="dp*NumberLine 2 2 2 4 5 3 2" xfId="46148"/>
    <cellStyle name="Bold/Border 2 2 2 4 5 3 2" xfId="46149"/>
    <cellStyle name="Afjusted 2 2 2 4 5 3 2" xfId="46150"/>
    <cellStyle name="ac 2 2 2 4 5 3 2" xfId="46151"/>
    <cellStyle name="dp*SubTitle 3 2 4 5 3 2" xfId="46152"/>
    <cellStyle name="P-Green Rule 3 2 4 5 3 2" xfId="46153"/>
    <cellStyle name="Style 49 4 2 4 5 3 2" xfId="46154"/>
    <cellStyle name="Afjusted 3 2 4 5 3 2" xfId="46155"/>
    <cellStyle name="Table Head Green 2 2 2 3 5 3 2" xfId="46156"/>
    <cellStyle name="Magic 2 2 2 3 5 3 2" xfId="46157"/>
    <cellStyle name="dp*SheetSubTitle 2 2 2 3 5 3 2" xfId="46158"/>
    <cellStyle name="Date [mmm-yyyy] 2 2 2 3 5 3 2" xfId="46159"/>
    <cellStyle name="Afjusted 2 2 2 3 5 3 2" xfId="46160"/>
    <cellStyle name="Border Thin 3 2 3 5 3 2" xfId="46161"/>
    <cellStyle name="PB Table Standard Row 3 2 3 5 3 2" xfId="46162"/>
    <cellStyle name="Date [mm-d-yyyy] 2 2 3 5 3 2" xfId="46163"/>
    <cellStyle name="Heading [Palat] 2 2 2 2 5 3 2" xfId="46164"/>
    <cellStyle name="dp*NumberLineEPS 2 2 2 2 5 3 2" xfId="46165"/>
    <cellStyle name="dp*NumberLine 2 2 2 2 5 3 2" xfId="46166"/>
    <cellStyle name="Date [mmm-yyyy] 2 2 2 2 5 3 2" xfId="46167"/>
    <cellStyle name="COL HEADINGS 2 2 2 2 5 3 2" xfId="46168"/>
    <cellStyle name="Bold/Border 2 2 2 2 5 3 2" xfId="46169"/>
    <cellStyle name="Afjusted 2 2 2 2 5 3 2" xfId="46170"/>
    <cellStyle name="Style 51 4 5 5 3 2" xfId="46171"/>
    <cellStyle name="dp*SubTitle 3 2 2 5 3 2" xfId="46172"/>
    <cellStyle name="dp*ThinLineBelow 3 2 2 5 3 2" xfId="46173"/>
    <cellStyle name="PB Table Standard Row 3 2 2 5 3 2" xfId="46174"/>
    <cellStyle name="Style 44 4 2 2 5 3 2" xfId="46175"/>
    <cellStyle name="Style 49 4 2 2 5 3 2" xfId="46176"/>
    <cellStyle name="Style 51 4 2 2 5 3 2" xfId="46177"/>
    <cellStyle name="Afjusted 3 2 2 5 3 2" xfId="46178"/>
    <cellStyle name="Date [mm-d-yyyy] 2 2 2 5 3 2" xfId="46179"/>
    <cellStyle name="Afjusted 3 3 2 5 3 2" xfId="46180"/>
    <cellStyle name="Style 49 4 3 2 5 3 2" xfId="46181"/>
    <cellStyle name="Style 44 4 3 2 5 3 2" xfId="46182"/>
    <cellStyle name="P-Green Rule 3 3 2 5 3 2" xfId="46183"/>
    <cellStyle name="dp*SubTitle 3 3 2 5 3 2" xfId="46184"/>
    <cellStyle name="ac 2 2 3 2 5 3 2" xfId="46185"/>
    <cellStyle name="dp*NumberLineEPS 2 2 3 2 5 3 2" xfId="46186"/>
    <cellStyle name="Heading [Palat] 2 2 3 2 5 3 2" xfId="46187"/>
    <cellStyle name="Magic 2 2 3 2 5 3 2" xfId="46188"/>
    <cellStyle name="Outputs 2 2 3 2 5 3 2" xfId="46189"/>
    <cellStyle name="Afjusted 2 2 2 8 3 2" xfId="46190"/>
    <cellStyle name="PB Table Standard Row 3 2 6 3 2" xfId="46191"/>
    <cellStyle name="P-Green Rule 3 2 7 3 2" xfId="46192"/>
    <cellStyle name="Style 49 4 2 7 3 2" xfId="46193"/>
    <cellStyle name="Date [mm-d-yyyy] 2 2 7 3 2" xfId="46194"/>
    <cellStyle name="Bold/Border 2 2 3 8 3 2" xfId="46195"/>
    <cellStyle name="dp*NumberLine 2 2 3 8 3 2" xfId="46196"/>
    <cellStyle name="dp*NumberLineEPS 2 2 3 8 3 2" xfId="46197"/>
    <cellStyle name="dp*SheetSubTitle 2 2 3 8 3 2" xfId="46198"/>
    <cellStyle name="Magic 2 2 3 8 3 2" xfId="46199"/>
    <cellStyle name="Outputs 2 2 3 8 3 2" xfId="46200"/>
    <cellStyle name="Table Head Aligned 2 2 3 8 3 2" xfId="46201"/>
    <cellStyle name="Table Head Green 2 2 3 8 3 2" xfId="46202"/>
    <cellStyle name="Title [Helv] 2 2 3 8 3 2" xfId="46203"/>
    <cellStyle name="Title [Palat] 2 2 3 8 3 2" xfId="46204"/>
    <cellStyle name="Border Thin 3 4 4 3 2" xfId="46205"/>
    <cellStyle name="dp*SubTitle 3 3 4 5 3 2" xfId="46206"/>
    <cellStyle name="dp*SubTitle 3 4 4 3 2" xfId="46207"/>
    <cellStyle name="dp*ThinLineBelow 3 4 4 3 2" xfId="46208"/>
    <cellStyle name="PB Table Standard Row 3 4 3 3 2" xfId="46209"/>
    <cellStyle name="Style 44 4 4 5 3 2" xfId="46210"/>
    <cellStyle name="Style 45 4 4 5 3 2" xfId="46211"/>
    <cellStyle name="Date [mm-d-yyyy] 3 4 5 3 2" xfId="46212"/>
    <cellStyle name="Date [mm-d-yyyy] 3 3 3 5 3 2" xfId="46213"/>
    <cellStyle name="P-Green Rule 3 3 3 5 3 2" xfId="46214"/>
    <cellStyle name="dp*SheetSubTitle 2 2 3 3 5 3 2" xfId="46215"/>
    <cellStyle name="Heading [Palat] 2 2 3 3 5 3 2" xfId="46216"/>
    <cellStyle name="Table Head Aligned 2 2 4 5 3 2" xfId="46217"/>
    <cellStyle name="Afjusted 3 4 5 3 2" xfId="46218"/>
    <cellStyle name="Style 45 4 3 4 5 3 2" xfId="46219"/>
    <cellStyle name="Title [Helv] 2 3 5 3 2" xfId="46220"/>
    <cellStyle name="Style 45 4 3 3 5 3 2" xfId="46221"/>
    <cellStyle name="dp*SubTitle 3 3 3 5 3 2" xfId="46222"/>
    <cellStyle name="Style 49 4 3 3 5 3 2" xfId="46223"/>
    <cellStyle name="dp*ThinLineBelow 3 3 3 5 3 2" xfId="46224"/>
    <cellStyle name="Afjusted 2 2 3 3 5 3 2" xfId="46225"/>
    <cellStyle name="Date [mmm-yyyy] 2 2 3 3 5 3 2" xfId="46226"/>
    <cellStyle name="Magic 2 3 5 3 2" xfId="46227"/>
    <cellStyle name="Heading [Palat] 2 3 5 3 2" xfId="46228"/>
    <cellStyle name="Style 51 3 3 5 3 2" xfId="46229"/>
    <cellStyle name="Style 45 2 8 3 2" xfId="46230"/>
    <cellStyle name="Style 44 2 8 3 2" xfId="46231"/>
    <cellStyle name="Style 51 3 8 3 2" xfId="46232"/>
    <cellStyle name="P-Green Rule 2 8 3 2" xfId="46233"/>
    <cellStyle name="PB Table Standard Row 2 7 3 2" xfId="46234"/>
    <cellStyle name="dp*SubTitle 2 6 3 2" xfId="46235"/>
    <cellStyle name="Border Thin 2 7 3 2" xfId="46236"/>
    <cellStyle name="Style 49 4 3 3 7 3" xfId="46237"/>
    <cellStyle name="dp*SheetSubTitle 2 4 4 2 3" xfId="46238"/>
    <cellStyle name="Style 44 3 4 4 2 3" xfId="46239"/>
    <cellStyle name="Style 49 2 4 4 2 3" xfId="46240"/>
    <cellStyle name="Bold/Border 2 4 4 2 3" xfId="46241"/>
    <cellStyle name="Heading [Helv] 2 4 4 2 3" xfId="46242"/>
    <cellStyle name="Style 49 3 4 4 2 3" xfId="46243"/>
    <cellStyle name="Date [mmm-yyyy] 3 4 2 3" xfId="46244"/>
    <cellStyle name="PB Table Standard Row 2 4 4 2 3" xfId="46245"/>
    <cellStyle name="Table Head Aligned 2 2 2 7 2 3" xfId="46246"/>
    <cellStyle name="Style 44 2 4 4 2 3" xfId="46247"/>
    <cellStyle name="Table Head Aligned 2 2 2 3 4 2 3" xfId="46248"/>
    <cellStyle name="ac 2 2 2 4 4 2 3" xfId="46249"/>
    <cellStyle name="dp*SheetSubTitle 2 2 7 2 3" xfId="46250"/>
    <cellStyle name="COL HEADINGS 2 2 3 3 5 3 2" xfId="46251"/>
    <cellStyle name="Date [mmm-yyyy] 2 3 5 3 2" xfId="46252"/>
    <cellStyle name="Outputs 2 5 5 3 2" xfId="46253"/>
    <cellStyle name="dp*ThinLineBelow 2 5 5 3 2" xfId="46254"/>
    <cellStyle name="dp*NumberLineEPS 2 3 5 3 2" xfId="46255"/>
    <cellStyle name="Style 45 4 2 2 5 3 2" xfId="46256"/>
    <cellStyle name="Afjusted 4 5 5 3 2" xfId="46257"/>
    <cellStyle name="COL HEADINGS 2 3 5 3 2" xfId="46258"/>
    <cellStyle name="Heading [Helv] 2 2 3 4 5 3 2" xfId="46259"/>
    <cellStyle name="Afjusted 3 6 5 3" xfId="46260"/>
    <cellStyle name="ac 2 7 5 3" xfId="46261"/>
    <cellStyle name="Afjusted 2 5 5 3" xfId="46262"/>
    <cellStyle name="Bold/Border 2 7 5 3" xfId="46263"/>
    <cellStyle name="COL HEADINGS 2 7 5 3" xfId="46264"/>
    <cellStyle name="Date [mmm-yyyy] 2 6 5 3" xfId="46265"/>
    <cellStyle name="dp*ThinLineBelow 2 4 5 3 2" xfId="46266"/>
    <cellStyle name="Border Thin 2 4 5 3 2" xfId="46267"/>
    <cellStyle name="dp*NumberLine 2 6 5 3" xfId="46268"/>
    <cellStyle name="dp*NumberLineEPS 2 6 5 3" xfId="46269"/>
    <cellStyle name="dp*SheetSubTitle 2 6 5 3" xfId="46270"/>
    <cellStyle name="Heading [Helv] 3 5 3 2" xfId="46271"/>
    <cellStyle name="ac 2 2 2 2 5 3 2" xfId="46272"/>
    <cellStyle name="Afjusted 2 2 3 2 5 3 2" xfId="46273"/>
    <cellStyle name="Heading [Helv] 2 7 5 3" xfId="46274"/>
    <cellStyle name="Heading [Palat] 2 7 5 3" xfId="46275"/>
    <cellStyle name="Afjusted 2 2 4 5 3 2" xfId="46276"/>
    <cellStyle name="Magic 2 6 5 3" xfId="46277"/>
    <cellStyle name="Style 44 4 3 4 5 3 2" xfId="46278"/>
    <cellStyle name="ac 2 4 5 3 2" xfId="46279"/>
    <cellStyle name="dp*SheetSubTitle 2 4 5 3 2" xfId="46280"/>
    <cellStyle name="Outputs 2 7 5 3" xfId="46281"/>
    <cellStyle name="Afjusted 3 9 3 2" xfId="46282"/>
    <cellStyle name="Table Head Aligned 2 6 5 3" xfId="46283"/>
    <cellStyle name="Table Head Green 2 7 5 3" xfId="46284"/>
    <cellStyle name="Title [Helv] 2 6 5 3" xfId="46285"/>
    <cellStyle name="Title [Palat] 2 7 5 3" xfId="46286"/>
    <cellStyle name="PB Table Standard Row 3 3 3 5 3 2" xfId="46287"/>
    <cellStyle name="Afjusted 4 4 5 3 2" xfId="46288"/>
    <cellStyle name="dp*SubTitle 3 5 5 3 2" xfId="46289"/>
    <cellStyle name="Table Head Aligned 2 2 3 3 5 3 2" xfId="46290"/>
    <cellStyle name="Style 44 2 5 5 3 2" xfId="46291"/>
    <cellStyle name="dp*SheetSubTitle 3 5 3 2" xfId="46292"/>
    <cellStyle name="Outputs 3 5 3 2" xfId="46293"/>
    <cellStyle name="Table Head Green 2 2 2 4 5 3 2" xfId="46294"/>
    <cellStyle name="P-Green Rule 3 2 3 5 3 2" xfId="46295"/>
    <cellStyle name="dp*ThinLineBelow 3 5 5 3 2" xfId="46296"/>
    <cellStyle name="Magic 2 2 4 5 3 2" xfId="46297"/>
    <cellStyle name="Date [mm-d-yyyy] 3 6 5 3" xfId="46298"/>
    <cellStyle name="Style 51 4 6 5 3" xfId="46299"/>
    <cellStyle name="Style 49 4 6 5 3" xfId="46300"/>
    <cellStyle name="Style 45 4 6 5 3" xfId="46301"/>
    <cellStyle name="Style 44 4 6 5 3" xfId="46302"/>
    <cellStyle name="P-Green Rule 3 6 5 3" xfId="46303"/>
    <cellStyle name="PB Table Standard Row 3 6 5 3" xfId="46304"/>
    <cellStyle name="Border Thin 3 3 4 5 3 2" xfId="46305"/>
    <cellStyle name="dp*ThinLineBelow 3 6 5 3" xfId="46306"/>
    <cellStyle name="dp*SubTitle 3 6 5 3" xfId="46307"/>
    <cellStyle name="dp*NumberLineEPS 2 4 5 3 2" xfId="46308"/>
    <cellStyle name="Border Thin 3 6 5 3" xfId="46309"/>
    <cellStyle name="dp*SheetSubTitle 2 2 4 5 3 2" xfId="46310"/>
    <cellStyle name="Afjusted 4 6 5 3" xfId="46311"/>
    <cellStyle name="ac 2 2 5 5 3" xfId="46312"/>
    <cellStyle name="Afjusted 2 2 6 5 3" xfId="46313"/>
    <cellStyle name="Bold/Border 2 2 5 5 3" xfId="46314"/>
    <cellStyle name="COL HEADINGS 2 2 5 5 3" xfId="46315"/>
    <cellStyle name="Date [mmm-yyyy] 2 2 5 5 3" xfId="46316"/>
    <cellStyle name="dp*SubTitle 2 4 5 3 2" xfId="46317"/>
    <cellStyle name="Bold/Border 2 4 5 3 2" xfId="46318"/>
    <cellStyle name="dp*NumberLine 2 2 5 5 3" xfId="46319"/>
    <cellStyle name="dp*NumberLineEPS 2 2 5 5 3" xfId="46320"/>
    <cellStyle name="dp*SheetSubTitle 2 2 5 5 3" xfId="46321"/>
    <cellStyle name="Heading [Helv] 2 2 5 5 3" xfId="46322"/>
    <cellStyle name="Heading [Palat] 2 2 5 5 3" xfId="46323"/>
    <cellStyle name="Magic 2 2 5 5 3" xfId="46324"/>
    <cellStyle name="Outputs 2 2 5 5 3" xfId="46325"/>
    <cellStyle name="Table Head Aligned 2 2 5 5 3" xfId="46326"/>
    <cellStyle name="Table Head Green 2 2 5 5 3" xfId="46327"/>
    <cellStyle name="Title [Helv] 2 2 5 5 3" xfId="46328"/>
    <cellStyle name="Title [Palat] 2 2 5 5 3" xfId="46329"/>
    <cellStyle name="Heading [Palat] 2 2 4 5 3 2" xfId="46330"/>
    <cellStyle name="dp*NumberLine 2 2 4 5 3 2" xfId="46331"/>
    <cellStyle name="Date [mmm-yyyy] 2 2 4 5 3 2" xfId="46332"/>
    <cellStyle name="COL HEADINGS 2 2 4 5 3 2" xfId="46333"/>
    <cellStyle name="Bold/Border 2 2 4 5 3 2" xfId="46334"/>
    <cellStyle name="Afjusted 2 2 5 5 3 2" xfId="46335"/>
    <cellStyle name="ac 2 2 4 5 3 2" xfId="46336"/>
    <cellStyle name="dp*SubTitle 2 2 5 3 2" xfId="46337"/>
    <cellStyle name="Bold/Border 2 2 3 4 5 3 2" xfId="46338"/>
    <cellStyle name="Style 44 4 5 5 3 2" xfId="46339"/>
    <cellStyle name="dp*ThinLineBelow 4 5 3 2" xfId="46340"/>
    <cellStyle name="Style 51 5 5 3 2" xfId="46341"/>
    <cellStyle name="PB Table Standard Row 4 5 3 2" xfId="46342"/>
    <cellStyle name="ac 2 2 3 3 5 3 2" xfId="46343"/>
    <cellStyle name="P-Green Rule 3 5 5 3 2" xfId="46344"/>
    <cellStyle name="dp*SubTitle 4 5 3 2" xfId="46345"/>
    <cellStyle name="Style 44 5 5 3 2" xfId="46346"/>
    <cellStyle name="Style 49 5 5 3 2" xfId="46347"/>
    <cellStyle name="Style 45 5 5 3 2" xfId="46348"/>
    <cellStyle name="P-Green Rule 4 5 3 2" xfId="46349"/>
    <cellStyle name="Outputs 2 2 3 4 5 3 2" xfId="46350"/>
    <cellStyle name="Table Head Aligned 2 2 3 2 5 3 2" xfId="46351"/>
    <cellStyle name="Title [Helv] 2 2 3 2 5 3 2" xfId="46352"/>
    <cellStyle name="P-Green Rule 2 3 5 3 2" xfId="46353"/>
    <cellStyle name="Heading [Palat] 2 2 3 4 5 3 2" xfId="46354"/>
    <cellStyle name="Afjusted 4 2 2 5 3 2" xfId="46355"/>
    <cellStyle name="COL HEADINGS 2 5 5 3 2" xfId="46356"/>
    <cellStyle name="Style 49 6 5 3 2" xfId="46357"/>
    <cellStyle name="Title [Palat] 2 9 2 3" xfId="46358"/>
    <cellStyle name="Afjusted 4 3 4 5 3 2" xfId="46359"/>
    <cellStyle name="dp*NumberLine 2 2 3 4 5 3 2" xfId="46360"/>
    <cellStyle name="dp*SubTitle 2 2 2 5 3" xfId="46361"/>
    <cellStyle name="Border Thin 2 2 2 5 3" xfId="46362"/>
    <cellStyle name="Style 44 3 2 5 3 2" xfId="46363"/>
    <cellStyle name="Border Thin 2 3 5 3 2" xfId="46364"/>
    <cellStyle name="Style 51 4 3 3 5 3 2" xfId="46365"/>
    <cellStyle name="Bold/Border 2 2 3 4 2 5 3" xfId="46366"/>
    <cellStyle name="Magic 2 2 3 4 2 5 3" xfId="46367"/>
    <cellStyle name="Title [Helv] 2 2 3 4 2 5 3" xfId="46368"/>
    <cellStyle name="Style 51 2 2 2 5 3" xfId="46369"/>
    <cellStyle name="Style 45 2 2 2 5 3" xfId="46370"/>
    <cellStyle name="Style 49 2 2 2 5 3" xfId="46371"/>
    <cellStyle name="Style 44 2 2 2 5 3" xfId="46372"/>
    <cellStyle name="Style 51 3 2 2 5 3" xfId="46373"/>
    <cellStyle name="Style 49 3 2 2 5 3" xfId="46374"/>
    <cellStyle name="Style 45 3 2 2 5 3" xfId="46375"/>
    <cellStyle name="Style 44 3 2 2 5 3" xfId="46376"/>
    <cellStyle name="P-Green Rule 2 2 2 5 3" xfId="46377"/>
    <cellStyle name="PB Table Standard Row 2 2 2 5 3" xfId="46378"/>
    <cellStyle name="dp*ThinLineBelow 2 2 2 5 3" xfId="46379"/>
    <cellStyle name="dp*ThinLineBelow 2 3 2 5 3" xfId="46380"/>
    <cellStyle name="Style 44 3 3 2 5 3" xfId="46381"/>
    <cellStyle name="COL HEADINGS 2 2 3 4 2 5 3" xfId="46382"/>
    <cellStyle name="Style 49 4 3 4 2 5 3" xfId="46383"/>
    <cellStyle name="Afjusted 3 3 4 2 5 3" xfId="46384"/>
    <cellStyle name="Date [mm-d-yyyy] 3 3 4 2 5 3" xfId="46385"/>
    <cellStyle name="Afjusted 4 3 4 2 5 3" xfId="46386"/>
    <cellStyle name="ac 2 2 3 4 2 5 3" xfId="46387"/>
    <cellStyle name="Afjusted 2 2 3 4 2 5 3" xfId="46388"/>
    <cellStyle name="Date [mmm-yyyy] 2 2 3 4 2 5 3" xfId="46389"/>
    <cellStyle name="dp*NumberLine 2 2 3 4 2 5 3" xfId="46390"/>
    <cellStyle name="dp*NumberLineEPS 2 2 3 4 2 5 3" xfId="46391"/>
    <cellStyle name="dp*SheetSubTitle 2 2 3 4 2 5 3" xfId="46392"/>
    <cellStyle name="Heading [Helv] 2 2 3 4 2 5 3" xfId="46393"/>
    <cellStyle name="Outputs 2 2 3 4 2 5 3" xfId="46394"/>
    <cellStyle name="Table Head Aligned 2 2 3 4 2 5 3" xfId="46395"/>
    <cellStyle name="Title [Palat] 2 2 3 4 2 5 3" xfId="46396"/>
    <cellStyle name="Afjusted 3 5 2 5 3" xfId="46397"/>
    <cellStyle name="Style 45 3 3 2 5 3" xfId="46398"/>
    <cellStyle name="Style 51 3 3 2 5 3" xfId="46399"/>
    <cellStyle name="Style 44 2 3 2 5 3" xfId="46400"/>
    <cellStyle name="Style 45 2 3 2 5 3" xfId="46401"/>
    <cellStyle name="Style 49 2 3 2 5 3" xfId="46402"/>
    <cellStyle name="Border Thin 3 5 2 5 3" xfId="46403"/>
    <cellStyle name="ac 2 2 4 2 5 3" xfId="46404"/>
    <cellStyle name="Afjusted 2 2 5 2 5 3" xfId="46405"/>
    <cellStyle name="Bold/Border 2 2 4 2 5 3" xfId="46406"/>
    <cellStyle name="COL HEADINGS 2 2 4 2 5 3" xfId="46407"/>
    <cellStyle name="Date [mmm-yyyy] 2 2 4 2 5 3" xfId="46408"/>
    <cellStyle name="dp*NumberLine 2 2 4 2 5 3" xfId="46409"/>
    <cellStyle name="dp*NumberLineEPS 2 2 4 2 5 3" xfId="46410"/>
    <cellStyle name="dp*SheetSubTitle 2 2 4 2 5 3" xfId="46411"/>
    <cellStyle name="Heading [Palat] 2 2 4 2 5 3" xfId="46412"/>
    <cellStyle name="Outputs 2 2 4 2 5 3" xfId="46413"/>
    <cellStyle name="Magic 2 2 4 2 5 3" xfId="46414"/>
    <cellStyle name="Title [Helv] 2 2 4 2 5 3" xfId="46415"/>
    <cellStyle name="Title [Palat] 2 2 4 2 5 3" xfId="46416"/>
    <cellStyle name="Title [Palat] 2 2 3 3 2 5 3" xfId="46417"/>
    <cellStyle name="Title [Helv] 2 2 3 3 2 5 3" xfId="46418"/>
    <cellStyle name="Table Head Aligned 2 2 3 3 2 5 3" xfId="46419"/>
    <cellStyle name="Magic 2 2 3 3 2 5 3" xfId="46420"/>
    <cellStyle name="Heading [Helv] 2 2 3 3 2 5 3" xfId="46421"/>
    <cellStyle name="dp*NumberLineEPS 2 2 3 3 2 5 3" xfId="46422"/>
    <cellStyle name="COL HEADINGS 2 2 3 3 2 5 3" xfId="46423"/>
    <cellStyle name="ac 2 2 3 3 2 5 3" xfId="46424"/>
    <cellStyle name="Afjusted 4 3 3 2 5 3" xfId="46425"/>
    <cellStyle name="Border Thin 3 3 3 2 5 3" xfId="46426"/>
    <cellStyle name="PB Table Standard Row 3 3 3 2 5 3" xfId="46427"/>
    <cellStyle name="Style 44 4 3 3 2 5 3" xfId="46428"/>
    <cellStyle name="Style 51 4 3 3 2 5 3" xfId="46429"/>
    <cellStyle name="Afjusted 3 3 3 2 5 3" xfId="46430"/>
    <cellStyle name="Style 49 4 5 2 5 3" xfId="46431"/>
    <cellStyle name="Style 44 4 5 2 5 3" xfId="46432"/>
    <cellStyle name="P-Green Rule 3 5 2 5 3" xfId="46433"/>
    <cellStyle name="dp*SubTitle 3 5 2 5 3" xfId="46434"/>
    <cellStyle name="Afjusted 4 5 2 5 3" xfId="46435"/>
    <cellStyle name="Afjusted 2 2 3 4 5 3 2" xfId="46436"/>
    <cellStyle name="dp*ThinLineBelow 2 2 5 3 2" xfId="46437"/>
    <cellStyle name="Afjusted 3 3 3 5 3 2" xfId="46438"/>
    <cellStyle name="ac 2 3 2 5 3" xfId="46439"/>
    <cellStyle name="Bold/Border 2 3 2 5 3" xfId="46440"/>
    <cellStyle name="COL HEADINGS 2 3 2 5 3" xfId="46441"/>
    <cellStyle name="Date [mmm-yyyy] 2 3 2 5 3" xfId="46442"/>
    <cellStyle name="dp*NumberLine 2 3 2 5 3" xfId="46443"/>
    <cellStyle name="dp*NumberLineEPS 2 3 2 5 3" xfId="46444"/>
    <cellStyle name="dp*SheetSubTitle 2 3 2 5 3" xfId="46445"/>
    <cellStyle name="Heading [Helv] 2 3 2 5 3" xfId="46446"/>
    <cellStyle name="Heading [Palat] 2 3 2 5 3" xfId="46447"/>
    <cellStyle name="Magic 2 3 2 5 3" xfId="46448"/>
    <cellStyle name="Outputs 2 3 2 5 3" xfId="46449"/>
    <cellStyle name="Afjusted 6 5 3 2" xfId="46450"/>
    <cellStyle name="Date [mmm-yyyy] 2 2 3 3 2 5 3" xfId="46451"/>
    <cellStyle name="Afjusted 2 2 3 3 2 5 3" xfId="46452"/>
    <cellStyle name="dp*ThinLineBelow 3 3 3 2 5 3" xfId="46453"/>
    <cellStyle name="Style 49 4 3 3 2 5 3" xfId="46454"/>
    <cellStyle name="Outputs 2 2 3 3 2 5 3" xfId="46455"/>
    <cellStyle name="dp*NumberLine 2 2 3 3 2 5 3" xfId="46456"/>
    <cellStyle name="Bold/Border 2 2 3 3 2 5 3" xfId="46457"/>
    <cellStyle name="dp*SubTitle 3 3 3 2 5 3" xfId="46458"/>
    <cellStyle name="Style 45 4 3 3 2 5 3" xfId="46459"/>
    <cellStyle name="Table Head Aligned 2 3 2 5 3" xfId="46460"/>
    <cellStyle name="Table Head Green 2 3 2 5 3" xfId="46461"/>
    <cellStyle name="Title [Helv] 2 3 2 5 3" xfId="46462"/>
    <cellStyle name="Title [Palat] 2 3 2 5 3" xfId="46463"/>
    <cellStyle name="Border Thin 3 3 3 5 3 2" xfId="46464"/>
    <cellStyle name="Style 45 4 3 4 2 5 3" xfId="46465"/>
    <cellStyle name="Style 51 4 3 4 2 5 3" xfId="46466"/>
    <cellStyle name="Title [Helv] 2 2 3 3 5 3 2" xfId="46467"/>
    <cellStyle name="Afjusted 3 4 2 5 3" xfId="46468"/>
    <cellStyle name="P-Green Rule 3 3 4 2 5 3" xfId="46469"/>
    <cellStyle name="Border Thin 2 3 2 5 3" xfId="46470"/>
    <cellStyle name="Style 49 3 3 2 5 3" xfId="46471"/>
    <cellStyle name="Style 51 2 3 2 5 3" xfId="46472"/>
    <cellStyle name="Heading [Helv] 2 2 4 2 5 3" xfId="46473"/>
    <cellStyle name="Table Head Aligned 2 2 4 2 5 3" xfId="46474"/>
    <cellStyle name="Table Head Green 2 2 4 2 5 3" xfId="46475"/>
    <cellStyle name="Table Head Green 2 2 3 3 2 5 3" xfId="46476"/>
    <cellStyle name="Heading [Palat] 2 2 3 3 2 5 3" xfId="46477"/>
    <cellStyle name="dp*SheetSubTitle 2 2 3 3 2 5 3" xfId="46478"/>
    <cellStyle name="P-Green Rule 3 3 3 2 5 3" xfId="46479"/>
    <cellStyle name="Date [mm-d-yyyy] 3 3 3 2 5 3" xfId="46480"/>
    <cellStyle name="Outputs 2 2 4 5 3 2" xfId="46481"/>
    <cellStyle name="Date [mm-d-yyyy] 3 4 2 5 3" xfId="46482"/>
    <cellStyle name="Style 51 4 4 2 5 3" xfId="46483"/>
    <cellStyle name="Style 49 4 4 2 5 3" xfId="46484"/>
    <cellStyle name="Style 45 4 4 2 5 3" xfId="46485"/>
    <cellStyle name="Style 44 4 4 2 5 3" xfId="46486"/>
    <cellStyle name="dp*ThinLineBelow 3 3 4 2 5 3" xfId="46487"/>
    <cellStyle name="P-Green Rule 3 4 2 5 3" xfId="46488"/>
    <cellStyle name="dp*ThinLineBelow 3 4 2 5 3" xfId="46489"/>
    <cellStyle name="dp*SubTitle 3 3 4 2 5 3" xfId="46490"/>
    <cellStyle name="dp*NumberLineEPS 2 2 4 5 3 2" xfId="46491"/>
    <cellStyle name="Border Thin 3 3 4 2 5 3" xfId="46492"/>
    <cellStyle name="Border Thin 2 2 5 3 2" xfId="46493"/>
    <cellStyle name="Afjusted 4 4 2 5 3" xfId="46494"/>
    <cellStyle name="Afjusted 2 2 4 2 5 3" xfId="46495"/>
    <cellStyle name="Style 44 4 3 4 2 5 3" xfId="46496"/>
    <cellStyle name="PB Table Standard Row 3 3 4 2 5 3" xfId="46497"/>
    <cellStyle name="Title [Palat] 2 2 3 5 5 3" xfId="46498"/>
    <cellStyle name="Title [Helv] 2 2 3 5 5 3" xfId="46499"/>
    <cellStyle name="Table Head Green 2 2 3 5 5 3" xfId="46500"/>
    <cellStyle name="Table Head Aligned 2 2 3 5 5 3" xfId="46501"/>
    <cellStyle name="Outputs 2 2 3 5 5 3" xfId="46502"/>
    <cellStyle name="Magic 2 2 3 5 5 3" xfId="46503"/>
    <cellStyle name="Heading [Palat] 2 2 3 5 5 3" xfId="46504"/>
    <cellStyle name="Heading [Helv] 2 2 3 5 5 3" xfId="46505"/>
    <cellStyle name="dp*SheetSubTitle 2 2 3 5 5 3" xfId="46506"/>
    <cellStyle name="dp*NumberLineEPS 2 2 3 5 5 3" xfId="46507"/>
    <cellStyle name="dp*NumberLine 2 2 3 5 5 3" xfId="46508"/>
    <cellStyle name="Date [mmm-yyyy] 2 2 3 5 5 3" xfId="46509"/>
    <cellStyle name="COL HEADINGS 2 2 3 5 5 3" xfId="46510"/>
    <cellStyle name="Bold/Border 2 2 3 5 5 3" xfId="46511"/>
    <cellStyle name="Afjusted 2 2 3 5 5 3" xfId="46512"/>
    <cellStyle name="ac 2 2 3 5 5 3" xfId="46513"/>
    <cellStyle name="Afjusted 2 2 5 4 2 3" xfId="46514"/>
    <cellStyle name="Afjusted 4 3 5 5 3" xfId="46515"/>
    <cellStyle name="Border Thin 3 3 5 5 3" xfId="46516"/>
    <cellStyle name="dp*SubTitle 3 3 5 5 3" xfId="46517"/>
    <cellStyle name="dp*ThinLineBelow 3 3 5 5 3" xfId="46518"/>
    <cellStyle name="PB Table Standard Row 3 3 5 5 3" xfId="46519"/>
    <cellStyle name="P-Green Rule 3 3 5 5 3" xfId="46520"/>
    <cellStyle name="Style 44 4 3 5 5 3" xfId="46521"/>
    <cellStyle name="Style 45 4 3 5 5 3" xfId="46522"/>
    <cellStyle name="Style 49 4 3 5 5 3" xfId="46523"/>
    <cellStyle name="Style 51 4 3 5 5 3" xfId="46524"/>
    <cellStyle name="Title [Palat] 2 2 3 2 5 3 2" xfId="46525"/>
    <cellStyle name="Date [mm-d-yyyy] 3 3 5 5 3" xfId="46526"/>
    <cellStyle name="Magic 2 5 5 3 2" xfId="46527"/>
    <cellStyle name="dp*SubTitle 2 5 5 3 2" xfId="46528"/>
    <cellStyle name="Afjusted 3 3 5 5 3" xfId="46529"/>
    <cellStyle name="ac 5 5 3 2" xfId="46530"/>
    <cellStyle name="Border Thin 2 5 5 3 2" xfId="46531"/>
    <cellStyle name="Border Thin 3 2 2 5 3 2" xfId="46532"/>
    <cellStyle name="Table Head Green 2 2 3 2 5 3 2" xfId="46533"/>
    <cellStyle name="Table Head Green 2 2 3 4 5 3 2" xfId="46534"/>
    <cellStyle name="dp*SubTitle 3 2 7 3 2" xfId="46535"/>
    <cellStyle name="dp*ThinLineBelow 3 2 7 3 2" xfId="46536"/>
    <cellStyle name="dp*NumberLine 2 3 5 3 2" xfId="46537"/>
    <cellStyle name="Date [mm-d-yyyy] 2 2 4 5 3" xfId="46538"/>
    <cellStyle name="Afjusted 3 2 5 5 3" xfId="46539"/>
    <cellStyle name="P-Green Rule 3 3 4 5 3 2" xfId="46540"/>
    <cellStyle name="PB Table Standard Row 2 3 4 3 2" xfId="46541"/>
    <cellStyle name="Date [mm-d-yyyy] 3 2 5 5 3" xfId="46542"/>
    <cellStyle name="Style 51 4 2 5 5 3" xfId="46543"/>
    <cellStyle name="Style 49 4 2 5 5 3" xfId="46544"/>
    <cellStyle name="Style 45 4 2 5 5 3" xfId="46545"/>
    <cellStyle name="Style 44 4 2 5 5 3" xfId="46546"/>
    <cellStyle name="P-Green Rule 3 2 5 5 3" xfId="46547"/>
    <cellStyle name="dp*ThinLineBelow 3 2 5 5 3" xfId="46548"/>
    <cellStyle name="dp*SubTitle 3 2 5 5 3" xfId="46549"/>
    <cellStyle name="Border Thin 3 2 5 5 3" xfId="46550"/>
    <cellStyle name="Afjusted 4 2 5 5 3" xfId="46551"/>
    <cellStyle name="ac 2 2 2 5 5 3" xfId="46552"/>
    <cellStyle name="Afjusted 2 2 2 5 5 3" xfId="46553"/>
    <cellStyle name="Bold/Border 2 2 2 5 5 3" xfId="46554"/>
    <cellStyle name="COL HEADINGS 2 2 2 5 5 3" xfId="46555"/>
    <cellStyle name="Date [mmm-yyyy] 2 2 2 5 5 3" xfId="46556"/>
    <cellStyle name="dp*NumberLine 2 2 2 5 5 3" xfId="46557"/>
    <cellStyle name="dp*NumberLineEPS 2 2 2 5 5 3" xfId="46558"/>
    <cellStyle name="dp*SheetSubTitle 2 2 2 5 5 3" xfId="46559"/>
    <cellStyle name="Heading [Helv] 2 2 2 5 5 3" xfId="46560"/>
    <cellStyle name="Heading [Palat] 2 2 2 5 5 3" xfId="46561"/>
    <cellStyle name="Magic 2 2 2 5 5 3" xfId="46562"/>
    <cellStyle name="Outputs 2 2 2 5 5 3" xfId="46563"/>
    <cellStyle name="Table Head Aligned 2 2 2 5 5 3" xfId="46564"/>
    <cellStyle name="Table Head Green 2 2 2 5 5 3" xfId="46565"/>
    <cellStyle name="Title [Helv] 2 2 2 5 5 3" xfId="46566"/>
    <cellStyle name="Title [Palat] 2 2 2 5 5 3" xfId="46567"/>
    <cellStyle name="Table Head Green 2 2 3 4 2 5 3" xfId="46568"/>
    <cellStyle name="Heading [Palat] 2 2 3 4 2 5 3" xfId="46569"/>
    <cellStyle name="PB Table Standard Row 2 3 2 5 3" xfId="46570"/>
    <cellStyle name="P-Green Rule 2 3 2 5 3" xfId="46571"/>
    <cellStyle name="Title [Palat] 2 2 3 2 2 5 3" xfId="46572"/>
    <cellStyle name="Title [Helv] 2 2 3 2 2 5 3" xfId="46573"/>
    <cellStyle name="Table Head Green 2 2 3 2 2 5 3" xfId="46574"/>
    <cellStyle name="Table Head Aligned 2 2 3 2 2 5 3" xfId="46575"/>
    <cellStyle name="Outputs 2 2 3 2 2 5 3" xfId="46576"/>
    <cellStyle name="Magic 2 2 3 2 2 5 3" xfId="46577"/>
    <cellStyle name="Heading [Palat] 2 2 3 2 2 5 3" xfId="46578"/>
    <cellStyle name="Heading [Helv] 2 2 3 2 2 5 3" xfId="46579"/>
    <cellStyle name="dp*SheetSubTitle 2 2 3 2 2 5 3" xfId="46580"/>
    <cellStyle name="dp*NumberLineEPS 2 2 3 2 2 5 3" xfId="46581"/>
    <cellStyle name="dp*NumberLine 2 2 3 2 2 5 3" xfId="46582"/>
    <cellStyle name="Date [mmm-yyyy] 2 2 3 2 2 5 3" xfId="46583"/>
    <cellStyle name="COL HEADINGS 2 2 3 2 2 5 3" xfId="46584"/>
    <cellStyle name="Bold/Border 2 2 3 2 2 5 3" xfId="46585"/>
    <cellStyle name="Afjusted 2 2 3 2 2 5 3" xfId="46586"/>
    <cellStyle name="ac 2 2 3 2 2 5 3" xfId="46587"/>
    <cellStyle name="Afjusted 4 3 2 2 5 3" xfId="46588"/>
    <cellStyle name="Border Thin 3 3 2 2 5 3" xfId="46589"/>
    <cellStyle name="dp*SubTitle 3 3 2 2 5 3" xfId="46590"/>
    <cellStyle name="dp*ThinLineBelow 3 3 2 2 5 3" xfId="46591"/>
    <cellStyle name="PB Table Standard Row 3 3 2 2 5 3" xfId="46592"/>
    <cellStyle name="P-Green Rule 3 3 2 2 5 3" xfId="46593"/>
    <cellStyle name="Style 44 4 3 2 2 5 3" xfId="46594"/>
    <cellStyle name="Style 45 4 3 2 2 5 3" xfId="46595"/>
    <cellStyle name="Style 49 4 3 2 2 5 3" xfId="46596"/>
    <cellStyle name="Style 51 4 3 2 2 5 3" xfId="46597"/>
    <cellStyle name="Date [mm-d-yyyy] 3 3 2 2 5 3" xfId="46598"/>
    <cellStyle name="Afjusted 3 3 2 2 5 3" xfId="46599"/>
    <cellStyle name="Date [mm-d-yyyy] 3 5 2 5 3" xfId="46600"/>
    <cellStyle name="dp*SubTitle 2 3 2 5 3" xfId="46601"/>
    <cellStyle name="Date [mm-d-yyyy] 2 2 2 2 5 3" xfId="46602"/>
    <cellStyle name="Afjusted 3 2 2 2 5 3" xfId="46603"/>
    <cellStyle name="PB Table Standard Row 3 5 2 5 3" xfId="46604"/>
    <cellStyle name="Date [mm-d-yyyy] 3 2 2 2 5 3" xfId="46605"/>
    <cellStyle name="Style 51 4 2 2 2 5 3" xfId="46606"/>
    <cellStyle name="Style 49 4 2 2 2 5 3" xfId="46607"/>
    <cellStyle name="Style 45 4 2 2 2 5 3" xfId="46608"/>
    <cellStyle name="Style 44 4 2 2 2 5 3" xfId="46609"/>
    <cellStyle name="Style 45 4 5 2 5 3" xfId="46610"/>
    <cellStyle name="P-Green Rule 3 2 2 2 5 3" xfId="46611"/>
    <cellStyle name="PB Table Standard Row 3 2 2 2 5 3" xfId="46612"/>
    <cellStyle name="dp*ThinLineBelow 3 2 2 2 5 3" xfId="46613"/>
    <cellStyle name="dp*SubTitle 3 2 2 2 5 3" xfId="46614"/>
    <cellStyle name="Style 51 4 5 2 5 3" xfId="46615"/>
    <cellStyle name="Border Thin 3 2 2 2 5 3" xfId="46616"/>
    <cellStyle name="Afjusted 4 2 2 2 5 3" xfId="46617"/>
    <cellStyle name="ac 2 2 2 2 2 5 3" xfId="46618"/>
    <cellStyle name="Afjusted 2 2 2 2 2 5 3" xfId="46619"/>
    <cellStyle name="Bold/Border 2 2 2 2 2 5 3" xfId="46620"/>
    <cellStyle name="COL HEADINGS 2 2 2 2 2 5 3" xfId="46621"/>
    <cellStyle name="Date [mmm-yyyy] 2 2 2 2 2 5 3" xfId="46622"/>
    <cellStyle name="dp*NumberLine 2 2 2 2 2 5 3" xfId="46623"/>
    <cellStyle name="dp*NumberLineEPS 2 2 2 2 2 5 3" xfId="46624"/>
    <cellStyle name="dp*SheetSubTitle 2 2 2 2 2 5 3" xfId="46625"/>
    <cellStyle name="Heading [Helv] 2 2 2 2 2 5 3" xfId="46626"/>
    <cellStyle name="Heading [Palat] 2 2 2 2 2 5 3" xfId="46627"/>
    <cellStyle name="Magic 2 2 2 2 2 5 3" xfId="46628"/>
    <cellStyle name="Outputs 2 2 2 2 2 5 3" xfId="46629"/>
    <cellStyle name="Table Head Aligned 2 2 2 2 2 5 3" xfId="46630"/>
    <cellStyle name="Table Head Green 2 2 2 2 2 5 3" xfId="46631"/>
    <cellStyle name="Title [Helv] 2 2 2 2 2 5 3" xfId="46632"/>
    <cellStyle name="Title [Palat] 2 2 2 2 2 5 3" xfId="46633"/>
    <cellStyle name="dp*ThinLineBelow 3 5 2 5 3" xfId="46634"/>
    <cellStyle name="Date [mm-d-yyyy] 2 2 3 2 5 3" xfId="46635"/>
    <cellStyle name="Afjusted 3 2 3 2 5 3" xfId="46636"/>
    <cellStyle name="Date [mm-d-yyyy] 3 2 3 2 5 3" xfId="46637"/>
    <cellStyle name="Style 51 4 2 3 2 5 3" xfId="46638"/>
    <cellStyle name="Style 49 4 2 3 2 5 3" xfId="46639"/>
    <cellStyle name="Style 45 4 2 3 2 5 3" xfId="46640"/>
    <cellStyle name="Style 44 4 2 3 2 5 3" xfId="46641"/>
    <cellStyle name="P-Green Rule 3 2 3 2 5 3" xfId="46642"/>
    <cellStyle name="PB Table Standard Row 3 2 3 2 5 3" xfId="46643"/>
    <cellStyle name="dp*ThinLineBelow 3 2 3 2 5 3" xfId="46644"/>
    <cellStyle name="dp*SubTitle 3 2 3 2 5 3" xfId="46645"/>
    <cellStyle name="Border Thin 3 2 3 2 5 3" xfId="46646"/>
    <cellStyle name="Afjusted 4 2 3 2 5 3" xfId="46647"/>
    <cellStyle name="ac 2 2 2 3 2 5 3" xfId="46648"/>
    <cellStyle name="Afjusted 2 2 2 3 2 5 3" xfId="46649"/>
    <cellStyle name="Bold/Border 2 2 2 3 2 5 3" xfId="46650"/>
    <cellStyle name="COL HEADINGS 2 2 2 3 2 5 3" xfId="46651"/>
    <cellStyle name="Date [mmm-yyyy] 2 2 2 3 2 5 3" xfId="46652"/>
    <cellStyle name="dp*NumberLine 2 2 2 3 2 5 3" xfId="46653"/>
    <cellStyle name="dp*NumberLineEPS 2 2 2 3 2 5 3" xfId="46654"/>
    <cellStyle name="dp*SheetSubTitle 2 2 2 3 2 5 3" xfId="46655"/>
    <cellStyle name="Heading [Helv] 2 2 2 3 2 5 3" xfId="46656"/>
    <cellStyle name="Heading [Palat] 2 2 2 3 2 5 3" xfId="46657"/>
    <cellStyle name="Magic 2 2 2 3 2 5 3" xfId="46658"/>
    <cellStyle name="Outputs 2 2 2 3 2 5 3" xfId="46659"/>
    <cellStyle name="Table Head Aligned 2 2 2 3 2 5 3" xfId="46660"/>
    <cellStyle name="Table Head Green 2 2 2 3 2 5 3" xfId="46661"/>
    <cellStyle name="Title [Helv] 2 2 2 3 2 5 3" xfId="46662"/>
    <cellStyle name="Title [Palat] 2 2 2 3 2 5 3" xfId="46663"/>
    <cellStyle name="Afjusted 3 2 4 2 5 3" xfId="46664"/>
    <cellStyle name="Date [mm-d-yyyy] 3 2 4 2 5 3" xfId="46665"/>
    <cellStyle name="Style 51 4 2 4 2 5 3" xfId="46666"/>
    <cellStyle name="Style 49 4 2 4 2 5 3" xfId="46667"/>
    <cellStyle name="Style 45 4 2 4 2 5 3" xfId="46668"/>
    <cellStyle name="Style 44 4 2 4 2 5 3" xfId="46669"/>
    <cellStyle name="P-Green Rule 3 2 4 2 5 3" xfId="46670"/>
    <cellStyle name="PB Table Standard Row 3 2 4 2 5 3" xfId="46671"/>
    <cellStyle name="dp*ThinLineBelow 3 2 4 2 5 3" xfId="46672"/>
    <cellStyle name="dp*SubTitle 3 2 4 2 5 3" xfId="46673"/>
    <cellStyle name="Border Thin 3 2 4 2 5 3" xfId="46674"/>
    <cellStyle name="Afjusted 4 2 4 2 5 3" xfId="46675"/>
    <cellStyle name="ac 2 2 2 4 2 5 3" xfId="46676"/>
    <cellStyle name="Afjusted 2 2 2 4 2 5 3" xfId="46677"/>
    <cellStyle name="Bold/Border 2 2 2 4 2 5 3" xfId="46678"/>
    <cellStyle name="COL HEADINGS 2 2 2 4 2 5 3" xfId="46679"/>
    <cellStyle name="Date [mmm-yyyy] 2 2 2 4 2 5 3" xfId="46680"/>
    <cellStyle name="dp*NumberLine 2 2 2 4 2 5 3" xfId="46681"/>
    <cellStyle name="dp*NumberLineEPS 2 2 2 4 2 5 3" xfId="46682"/>
    <cellStyle name="dp*SheetSubTitle 2 2 2 4 2 5 3" xfId="46683"/>
    <cellStyle name="Heading [Helv] 2 2 2 4 2 5 3" xfId="46684"/>
    <cellStyle name="Heading [Palat] 2 2 2 4 2 5 3" xfId="46685"/>
    <cellStyle name="Magic 2 2 2 4 2 5 3" xfId="46686"/>
    <cellStyle name="Outputs 2 2 2 4 2 5 3" xfId="46687"/>
    <cellStyle name="Table Head Aligned 2 2 2 4 2 5 3" xfId="46688"/>
    <cellStyle name="Table Head Green 2 2 2 4 2 5 3" xfId="46689"/>
    <cellStyle name="Title [Helv] 2 2 2 4 2 5 3" xfId="46690"/>
    <cellStyle name="Title [Palat] 2 2 2 4 2 5 3" xfId="46691"/>
    <cellStyle name="Border Thin 4 2 5 3" xfId="46692"/>
    <cellStyle name="Date [mm-d-yyyy] 4 2 5 3" xfId="46693"/>
    <cellStyle name="dp*SubTitle 4 2 5 3" xfId="46694"/>
    <cellStyle name="dp*ThinLineBelow 4 2 5 3" xfId="46695"/>
    <cellStyle name="PB Table Standard Row 4 2 5 3" xfId="46696"/>
    <cellStyle name="P-Green Rule 4 2 5 3" xfId="46697"/>
    <cellStyle name="Style 44 5 2 5 3" xfId="46698"/>
    <cellStyle name="Style 45 5 2 5 3" xfId="46699"/>
    <cellStyle name="Style 49 5 2 5 3" xfId="46700"/>
    <cellStyle name="Style 51 5 2 5 3" xfId="46701"/>
    <cellStyle name="Style 49 2 3 5 3 2" xfId="46702"/>
    <cellStyle name="Outputs 4 5 3 2" xfId="46703"/>
    <cellStyle name="Table Head Aligned 2 2 2 4 5 3 2" xfId="46704"/>
    <cellStyle name="Title [Palat] 3 2 5 3" xfId="46705"/>
    <cellStyle name="Title [Helv] 3 2 5 3" xfId="46706"/>
    <cellStyle name="Table Head Green 3 2 5 3" xfId="46707"/>
    <cellStyle name="Table Head Aligned 3 2 5 3" xfId="46708"/>
    <cellStyle name="Outputs 3 2 5 3" xfId="46709"/>
    <cellStyle name="Magic 3 2 5 3" xfId="46710"/>
    <cellStyle name="Heading [Palat] 3 2 5 3" xfId="46711"/>
    <cellStyle name="Heading [Helv] 3 2 5 3" xfId="46712"/>
    <cellStyle name="Title [Palat] 2 2 2 2 5 3 2" xfId="46713"/>
    <cellStyle name="Style 44 4 2 3 5 3 2" xfId="46714"/>
    <cellStyle name="dp*SheetSubTitle 3 2 5 3" xfId="46715"/>
    <cellStyle name="dp*NumberLineEPS 3 2 5 3" xfId="46716"/>
    <cellStyle name="dp*NumberLine 3 2 5 3" xfId="46717"/>
    <cellStyle name="COL HEADINGS 3 2 5 3" xfId="46718"/>
    <cellStyle name="Bold/Border 3 2 5 3" xfId="46719"/>
    <cellStyle name="Style 51 3 5 5 3 2" xfId="46720"/>
    <cellStyle name="Title [Palat] 2 5 5 3 2" xfId="46721"/>
    <cellStyle name="Afjusted 5 2 5 3" xfId="46722"/>
    <cellStyle name="ac 3 2 5 3" xfId="46723"/>
    <cellStyle name="Date [mmm-yyyy] 3 2 5 3" xfId="46724"/>
    <cellStyle name="ac 2 4 2 5 3" xfId="46725"/>
    <cellStyle name="Afjusted 2 3 2 5 3" xfId="46726"/>
    <cellStyle name="Bold/Border 2 4 2 5 3" xfId="46727"/>
    <cellStyle name="Border Thin 2 4 2 5 3" xfId="46728"/>
    <cellStyle name="COL HEADINGS 2 4 2 5 3" xfId="46729"/>
    <cellStyle name="Date [mmm-yyyy] 2 4 2 5 3" xfId="46730"/>
    <cellStyle name="dp*NumberLine 2 4 2 5 3" xfId="46731"/>
    <cellStyle name="dp*NumberLineEPS 2 4 2 5 3" xfId="46732"/>
    <cellStyle name="dp*SheetSubTitle 2 4 2 5 3" xfId="46733"/>
    <cellStyle name="dp*SubTitle 2 4 2 5 3" xfId="46734"/>
    <cellStyle name="dp*ThinLineBelow 2 4 2 5 3" xfId="46735"/>
    <cellStyle name="Heading [Helv] 2 4 2 5 3" xfId="46736"/>
    <cellStyle name="Heading [Palat] 2 4 2 5 3" xfId="46737"/>
    <cellStyle name="Magic 2 4 2 5 3" xfId="46738"/>
    <cellStyle name="Outputs 2 4 2 5 3" xfId="46739"/>
    <cellStyle name="PB Table Standard Row 2 4 2 5 3" xfId="46740"/>
    <cellStyle name="P-Green Rule 2 4 2 5 3" xfId="46741"/>
    <cellStyle name="Style 44 3 4 2 5 3" xfId="46742"/>
    <cellStyle name="Style 45 3 4 2 5 3" xfId="46743"/>
    <cellStyle name="Style 49 3 4 2 5 3" xfId="46744"/>
    <cellStyle name="Style 51 3 4 2 5 3" xfId="46745"/>
    <cellStyle name="Style 44 2 4 2 5 3" xfId="46746"/>
    <cellStyle name="Style 45 2 4 2 5 3" xfId="46747"/>
    <cellStyle name="Style 49 2 4 2 5 3" xfId="46748"/>
    <cellStyle name="Style 51 2 4 2 5 3" xfId="46749"/>
    <cellStyle name="Table Head Aligned 2 4 2 5 3" xfId="46750"/>
    <cellStyle name="Table Head Green 2 4 2 5 3" xfId="46751"/>
    <cellStyle name="Title [Helv] 2 4 2 5 3" xfId="46752"/>
    <cellStyle name="Title [Palat] 2 4 2 5 3" xfId="46753"/>
    <cellStyle name="Style 45 2 3 5 3 2" xfId="46754"/>
    <cellStyle name="Style 44 7 5 3 2" xfId="46755"/>
    <cellStyle name="ac 4 2 5 3" xfId="46756"/>
    <cellStyle name="Title [Helv] 2 5 5 3 2" xfId="46757"/>
    <cellStyle name="Style 49 3 5 5 3 2" xfId="46758"/>
    <cellStyle name="Heading [Palat] 2 5 5 3 2" xfId="46759"/>
    <cellStyle name="dp*SheetSubTitle 2 5 5 3 2" xfId="46760"/>
    <cellStyle name="Bold/Border 4 2 5 3" xfId="46761"/>
    <cellStyle name="Border Thin 5 2 5 3" xfId="46762"/>
    <cellStyle name="Table Head Green 4 5 3 2" xfId="46763"/>
    <cellStyle name="Style 45 6 5 3 2" xfId="46764"/>
    <cellStyle name="COL HEADINGS 4 2 5 3" xfId="46765"/>
    <cellStyle name="Border Thin 5 5 3 2" xfId="46766"/>
    <cellStyle name="Date [mm-d-yyyy] 5 2 5 3" xfId="46767"/>
    <cellStyle name="Table Head Aligned 3 5 3 2" xfId="46768"/>
    <cellStyle name="Title [Palat] 3 5 3 2" xfId="46769"/>
    <cellStyle name="Heading [Helv] 2 2 2 4 5 3 2" xfId="46770"/>
    <cellStyle name="Date [mmm-yyyy] 2 2 2 4 5 3 2" xfId="46771"/>
    <cellStyle name="Afjusted 4 2 4 5 3 2" xfId="46772"/>
    <cellStyle name="dp*ThinLineBelow 3 2 4 5 3 2" xfId="46773"/>
    <cellStyle name="Style 44 4 2 4 5 3 2" xfId="46774"/>
    <cellStyle name="Style 51 4 2 4 5 3 2" xfId="46775"/>
    <cellStyle name="Title [Palat] 2 2 2 3 5 3 2" xfId="46776"/>
    <cellStyle name="Table Head Aligned 2 2 2 3 5 3 2" xfId="46777"/>
    <cellStyle name="Heading [Palat] 2 2 2 3 5 3 2" xfId="46778"/>
    <cellStyle name="dp*NumberLineEPS 2 2 2 3 5 3 2" xfId="46779"/>
    <cellStyle name="COL HEADINGS 2 2 2 3 5 3 2" xfId="46780"/>
    <cellStyle name="ac 2 2 2 3 5 3 2" xfId="46781"/>
    <cellStyle name="dp*SubTitle 3 2 3 5 3 2" xfId="46782"/>
    <cellStyle name="Style 45 4 2 3 5 3 2" xfId="46783"/>
    <cellStyle name="Title [Helv] 2 2 2 2 5 3 2" xfId="46784"/>
    <cellStyle name="Heading [Helv] 2 2 2 2 5 3 2" xfId="46785"/>
    <cellStyle name="P-Green Rule 3 2 2 5 3 2" xfId="46786"/>
    <cellStyle name="Date [mm-d-yyyy] 3 2 2 5 3 2" xfId="46787"/>
    <cellStyle name="PB Table Standard Row 3 3 2 4 3 2" xfId="46788"/>
    <cellStyle name="Border Thin 3 3 2 5 3 2" xfId="46789"/>
    <cellStyle name="COL HEADINGS 2 2 3 2 5 3 2" xfId="46790"/>
    <cellStyle name="dp*SheetSubTitle 2 2 3 2 5 3 2" xfId="46791"/>
    <cellStyle name="Heading [Helv] 4 2 5 3" xfId="46792"/>
    <cellStyle name="Heading [Palat] 4 2 5 3" xfId="46793"/>
    <cellStyle name="Style 44 4 2 7 3 2" xfId="46794"/>
    <cellStyle name="Style 51 4 2 7 3 2" xfId="46795"/>
    <cellStyle name="Afjusted 3 3 8 3 2" xfId="46796"/>
    <cellStyle name="ac 2 2 3 8 3 2" xfId="46797"/>
    <cellStyle name="COL HEADINGS 2 2 3 8 3 2" xfId="46798"/>
    <cellStyle name="Heading [Helv] 2 2 3 8 3 2" xfId="46799"/>
    <cellStyle name="P-Green Rule 3 4 4 3 2" xfId="46800"/>
    <cellStyle name="Style 49 4 4 5 3 2" xfId="46801"/>
    <cellStyle name="Table Head Green 2 2 3 3 5 3 2" xfId="46802"/>
    <cellStyle name="Heading [Helv] 2 2 4 5 3 2" xfId="46803"/>
    <cellStyle name="Style 51 4 3 4 5 3 2" xfId="46804"/>
    <cellStyle name="Table Head Green 2 3 5 3 2" xfId="46805"/>
    <cellStyle name="Bold/Border 2 2 3 3 5 3 2" xfId="46806"/>
    <cellStyle name="Heading [Helv] 2 3 5 3 2" xfId="46807"/>
    <cellStyle name="Style 49 4 3 4 5 3 2" xfId="46808"/>
    <cellStyle name="Style 51 2 8 3 2" xfId="46809"/>
    <cellStyle name="Style 49 3 9 3 2" xfId="46810"/>
    <cellStyle name="Outputs 4 2 5 3" xfId="46811"/>
    <cellStyle name="PB Table Standard Row 5 2 5 3" xfId="46812"/>
    <cellStyle name="P-Green Rule 5 2 5 3" xfId="46813"/>
    <cellStyle name="Style 44 6 2 5 3" xfId="46814"/>
    <cellStyle name="Style 45 6 2 5 3" xfId="46815"/>
    <cellStyle name="Style 49 6 2 5 3" xfId="46816"/>
    <cellStyle name="Style 51 6 2 5 3" xfId="46817"/>
    <cellStyle name="Table Head Green 4 2 5 3" xfId="46818"/>
    <cellStyle name="Magic 2 4 4 2 3" xfId="46819"/>
    <cellStyle name="Border Thin 4 4 2 3" xfId="46820"/>
    <cellStyle name="Style 49 3 2 5 3 2" xfId="46821"/>
    <cellStyle name="dp*NumberLineEPS 2 2 3 3 5 3 2" xfId="46822"/>
    <cellStyle name="Afjusted 6 2 5 3" xfId="46823"/>
    <cellStyle name="ac 2 5 2 5 3" xfId="46824"/>
    <cellStyle name="Afjusted 2 4 2 5 3" xfId="46825"/>
    <cellStyle name="Bold/Border 2 5 2 5 3" xfId="46826"/>
    <cellStyle name="Border Thin 2 5 2 5 3" xfId="46827"/>
    <cellStyle name="COL HEADINGS 2 5 2 5 3" xfId="46828"/>
    <cellStyle name="Date [mmm-yyyy] 2 5 2 5 3" xfId="46829"/>
    <cellStyle name="dp*NumberLine 2 5 2 5 3" xfId="46830"/>
    <cellStyle name="dp*NumberLineEPS 2 5 2 5 3" xfId="46831"/>
    <cellStyle name="dp*SheetSubTitle 2 5 2 5 3" xfId="46832"/>
    <cellStyle name="dp*SubTitle 2 5 2 5 3" xfId="46833"/>
    <cellStyle name="dp*ThinLineBelow 2 5 2 5 3" xfId="46834"/>
    <cellStyle name="Heading [Helv] 2 5 2 5 3" xfId="46835"/>
    <cellStyle name="Heading [Palat] 2 5 2 5 3" xfId="46836"/>
    <cellStyle name="Magic 2 5 2 5 3" xfId="46837"/>
    <cellStyle name="Outputs 2 5 2 5 3" xfId="46838"/>
    <cellStyle name="PB Table Standard Row 2 5 2 5 3" xfId="46839"/>
    <cellStyle name="P-Green Rule 2 5 2 5 3" xfId="46840"/>
    <cellStyle name="Style 44 3 5 2 5 3" xfId="46841"/>
    <cellStyle name="Style 45 3 5 2 5 3" xfId="46842"/>
    <cellStyle name="Style 49 3 5 2 5 3" xfId="46843"/>
    <cellStyle name="Style 51 3 5 2 5 3" xfId="46844"/>
    <cellStyle name="Style 44 2 5 2 5 3" xfId="46845"/>
    <cellStyle name="Style 45 2 5 2 5 3" xfId="46846"/>
    <cellStyle name="Style 49 2 5 2 5 3" xfId="46847"/>
    <cellStyle name="Style 51 2 5 2 5 3" xfId="46848"/>
    <cellStyle name="Table Head Aligned 2 5 2 5 3" xfId="46849"/>
    <cellStyle name="Table Head Green 2 5 2 5 3" xfId="46850"/>
    <cellStyle name="Title [Helv] 2 5 2 5 3" xfId="46851"/>
    <cellStyle name="Title [Palat] 2 5 2 5 3" xfId="46852"/>
    <cellStyle name="Date [mmm-yyyy] 2 4 5 3 2" xfId="46853"/>
    <cellStyle name="ac 3 5 3 2" xfId="46854"/>
    <cellStyle name="dp*NumberLine 2 2 3 2 5 3 2" xfId="46855"/>
    <cellStyle name="Style 44 2 3 5 3 2" xfId="46856"/>
    <cellStyle name="Style 49 7 5 3 2" xfId="46857"/>
    <cellStyle name="Border Thin 6 5 3 2" xfId="46858"/>
    <cellStyle name="ac 5 2 5 3" xfId="46859"/>
    <cellStyle name="Table Head Green 2 5 5 3 2" xfId="46860"/>
    <cellStyle name="Style 45 3 5 5 3 2" xfId="46861"/>
    <cellStyle name="Heading [Helv] 2 5 5 3 2" xfId="46862"/>
    <cellStyle name="dp*NumberLineEPS 2 5 5 3 2" xfId="46863"/>
    <cellStyle name="Bold/Border 5 2 5 3" xfId="46864"/>
    <cellStyle name="Border Thin 6 2 5 3" xfId="46865"/>
    <cellStyle name="Style 44 6 5 3 2" xfId="46866"/>
    <cellStyle name="COL HEADINGS 5 2 5 3" xfId="46867"/>
    <cellStyle name="Title [Palat] 2 4 5 3 2" xfId="46868"/>
    <cellStyle name="Table Head Green 3 5 3 2" xfId="46869"/>
    <cellStyle name="Border Thin 4 5 3 2" xfId="46870"/>
    <cellStyle name="dp*SheetSubTitle 2 2 2 4 5 3 2" xfId="46871"/>
    <cellStyle name="COL HEADINGS 2 2 2 4 5 3 2" xfId="46872"/>
    <cellStyle name="Border Thin 3 2 4 5 3 2" xfId="46873"/>
    <cellStyle name="PB Table Standard Row 3 2 4 5 3 2" xfId="46874"/>
    <cellStyle name="Style 45 4 2 4 5 3 2" xfId="46875"/>
    <cellStyle name="Date [mm-d-yyyy] 3 2 4 5 3 2" xfId="46876"/>
    <cellStyle name="Title [Helv] 2 2 2 3 5 3 2" xfId="46877"/>
    <cellStyle name="Outputs 2 2 2 3 5 3 2" xfId="46878"/>
    <cellStyle name="Heading [Helv] 2 2 2 3 5 3 2" xfId="46879"/>
    <cellStyle name="dp*NumberLine 2 2 2 3 5 3 2" xfId="46880"/>
    <cellStyle name="Bold/Border 2 2 2 3 5 3 2" xfId="46881"/>
    <cellStyle name="Afjusted 4 2 3 5 3 2" xfId="46882"/>
    <cellStyle name="dp*ThinLineBelow 3 2 3 5 3 2" xfId="46883"/>
    <cellStyle name="Style 49 4 2 3 5 3 2" xfId="46884"/>
    <cellStyle name="Table Head Green 2 2 2 2 5 3 2" xfId="46885"/>
    <cellStyle name="dp*SheetSubTitle 2 2 2 2 5 3 2" xfId="46886"/>
    <cellStyle name="Style 45 4 5 5 3 2" xfId="46887"/>
    <cellStyle name="PB Table Standard Row 3 5 5 3 2" xfId="46888"/>
    <cellStyle name="dp*ThinLineBelow 3 3 2 5 3 2" xfId="46889"/>
    <cellStyle name="Afjusted 4 3 2 5 3 2" xfId="46890"/>
    <cellStyle name="Date [mmm-yyyy] 2 2 3 2 5 3 2" xfId="46891"/>
    <cellStyle name="Heading [Helv] 2 2 3 2 5 3 2" xfId="46892"/>
    <cellStyle name="Heading [Helv] 5 2 5 3" xfId="46893"/>
    <cellStyle name="Heading [Palat] 5 2 5 3" xfId="46894"/>
    <cellStyle name="Afjusted 4 2 8 3 2" xfId="46895"/>
    <cellStyle name="Style 45 4 2 7 3 2" xfId="46896"/>
    <cellStyle name="Date [mm-d-yyyy] 3 2 8 3 2" xfId="46897"/>
    <cellStyle name="Afjusted 3 2 8 3 2" xfId="46898"/>
    <cellStyle name="Date [mmm-yyyy] 2 2 3 8 3 2" xfId="46899"/>
    <cellStyle name="Heading [Palat] 2 2 3 8 3 2" xfId="46900"/>
    <cellStyle name="dp*ThinLineBelow 3 3 4 5 3 2" xfId="46901"/>
    <cellStyle name="Style 51 4 4 5 3 2" xfId="46902"/>
    <cellStyle name="Table Head Green 2 2 4 5 3 2" xfId="46903"/>
    <cellStyle name="Style 51 2 3 5 3 2" xfId="46904"/>
    <cellStyle name="Title [Palat] 2 3 5 3 2" xfId="46905"/>
    <cellStyle name="Table Head Aligned 2 3 5 3 2" xfId="46906"/>
    <cellStyle name="dp*NumberLine 2 2 3 3 5 3 2" xfId="46907"/>
    <cellStyle name="Outputs 2 3 5 3 2" xfId="46908"/>
    <cellStyle name="dp*SheetSubTitle 2 3 5 3 2" xfId="46909"/>
    <cellStyle name="Style 49 2 9 3 2" xfId="46910"/>
    <cellStyle name="Style 45 3 8 3 2" xfId="46911"/>
    <cellStyle name="dp*ThinLineBelow 2 7 3 2" xfId="46912"/>
    <cellStyle name="Outputs 5 2 5 3" xfId="46913"/>
    <cellStyle name="PB Table Standard Row 6 2 5 3" xfId="46914"/>
    <cellStyle name="P-Green Rule 6 2 5 3" xfId="46915"/>
    <cellStyle name="Style 44 7 2 5 3" xfId="46916"/>
    <cellStyle name="Style 45 7 2 5 3" xfId="46917"/>
    <cellStyle name="Style 49 7 2 5 3" xfId="46918"/>
    <cellStyle name="Style 51 7 2 5 3" xfId="46919"/>
    <cellStyle name="Table Head Green 5 2 5 3" xfId="46920"/>
    <cellStyle name="Title [Palat] 4 2 5 3" xfId="46921"/>
    <cellStyle name="Date [mmm-yyyy] 2 4 4 2 3" xfId="46922"/>
    <cellStyle name="Style 44 3 3 5 3 2" xfId="46923"/>
    <cellStyle name="Style 44 2 2 5 3 2" xfId="46924"/>
    <cellStyle name="Table Head Aligned 2 2 3 4 5 3 2" xfId="46925"/>
    <cellStyle name="Table Head Green 5 5 3 2" xfId="46926"/>
    <cellStyle name="ac 2 6 2 5 3" xfId="46927"/>
    <cellStyle name="Bold/Border 2 6 2 5 3" xfId="46928"/>
    <cellStyle name="Border Thin 2 6 2 5 3" xfId="46929"/>
    <cellStyle name="COL HEADINGS 2 6 2 5 3" xfId="46930"/>
    <cellStyle name="Afjusted 2 3 5 3 2" xfId="46931"/>
    <cellStyle name="Bold/Border 2 2 3 2 5 3 2" xfId="46932"/>
    <cellStyle name="Heading [Helv] 2 6 2 5 3" xfId="46933"/>
    <cellStyle name="Heading [Palat] 2 6 2 5 3" xfId="46934"/>
    <cellStyle name="Outputs 2 6 2 5 3" xfId="46935"/>
    <cellStyle name="PB Table Standard Row 2 6 2 5 3" xfId="46936"/>
    <cellStyle name="P-Green Rule 2 6 2 5 3" xfId="46937"/>
    <cellStyle name="Style 44 3 6 2 5 3" xfId="46938"/>
    <cellStyle name="Style 45 3 6 2 5 3" xfId="46939"/>
    <cellStyle name="Style 49 3 6 2 5 3" xfId="46940"/>
    <cellStyle name="Style 51 3 6 2 5 3" xfId="46941"/>
    <cellStyle name="Style 44 2 6 2 5 3" xfId="46942"/>
    <cellStyle name="Style 45 2 6 2 5 3" xfId="46943"/>
    <cellStyle name="Style 49 2 6 2 5 3" xfId="46944"/>
    <cellStyle name="Style 51 2 6 2 5 3" xfId="46945"/>
    <cellStyle name="Table Head Green 2 6 2 5 3" xfId="46946"/>
    <cellStyle name="Title [Palat] 2 6 2 5 3" xfId="46947"/>
    <cellStyle name="Bold/Border 2 3 5 3 2" xfId="46948"/>
    <cellStyle name="Style 49 3 3 5 3 2" xfId="46949"/>
    <cellStyle name="dp*NumberLine 2 5 5 3 2" xfId="46950"/>
    <cellStyle name="Style 45 3 3 5 3 2" xfId="46951"/>
    <cellStyle name="Title [Palat] 2 2 3 4 5 3 2" xfId="46952"/>
    <cellStyle name="ac 2 2 3 4 5 3 2" xfId="46953"/>
    <cellStyle name="Date [mm-d-yyyy] 3 3 4 5 3 2" xfId="46954"/>
    <cellStyle name="Magic 2 2 3 4 5 3 2" xfId="46955"/>
    <cellStyle name="Title [Palat] 2 2 4 5 3 2" xfId="46956"/>
    <cellStyle name="Afjusted 4 3 3 5 3 2" xfId="46957"/>
    <cellStyle name="PB Table Standard Row 2 2 5 3 2" xfId="46958"/>
    <cellStyle name="Style 45 3 2 5 3 2" xfId="46959"/>
    <cellStyle name="Style 51 3 2 5 3 2" xfId="46960"/>
    <cellStyle name="Title [Helv] 2 2 3 4 5 3 2" xfId="46961"/>
    <cellStyle name="dp*SheetSubTitle 2 2 3 4 5 3 2" xfId="46962"/>
    <cellStyle name="Style 49 2 2 5 3 2" xfId="46963"/>
    <cellStyle name="Style 45 2 2 5 3 2" xfId="46964"/>
    <cellStyle name="Date [mmm-yyyy] 2 2 3 4 5 3 2" xfId="46965"/>
    <cellStyle name="ac 2 3 5 3 2" xfId="46966"/>
    <cellStyle name="Date [mm-d-yyyy] 5 5 3 2" xfId="46967"/>
    <cellStyle name="Style 51 2 2 5 3 2" xfId="46968"/>
    <cellStyle name="COL HEADINGS 2 2 3 4 5 3 2" xfId="46969"/>
    <cellStyle name="Afjusted 3 3 4 5 3 2" xfId="46970"/>
    <cellStyle name="dp*ThinLineBelow 2 3 5 3 2" xfId="46971"/>
    <cellStyle name="Style 49 4 5 5 3 2" xfId="46972"/>
    <cellStyle name="Outputs 2 2 2 4 5 3 2" xfId="46973"/>
    <cellStyle name="Title [Palat] 5 2 5 3" xfId="46974"/>
    <cellStyle name="Title [Helv] 4 2 5 3" xfId="46975"/>
    <cellStyle name="Table Head Green 6 2 5 3" xfId="46976"/>
    <cellStyle name="Table Head Aligned 4 2 5 3" xfId="46977"/>
    <cellStyle name="Style 51 9 2 5 3" xfId="46978"/>
    <cellStyle name="Style 49 9 2 5 3" xfId="46979"/>
    <cellStyle name="Style 45 9 2 5 3" xfId="46980"/>
    <cellStyle name="Style 44 9 2 5 3" xfId="46981"/>
    <cellStyle name="Style 51 2 5 5 3 2" xfId="46982"/>
    <cellStyle name="P-Green Rule 2 5 5 3 2" xfId="46983"/>
    <cellStyle name="P-Green Rule 7 2 5 3" xfId="46984"/>
    <cellStyle name="PB Table Standard Row 7 2 5 3" xfId="46985"/>
    <cellStyle name="Outputs 6 2 5 3" xfId="46986"/>
    <cellStyle name="Style 44 3 8 3 2" xfId="46987"/>
    <cellStyle name="Magic 4 2 5 3" xfId="46988"/>
    <cellStyle name="Date [mm-d-yyyy] 3 2 3 5 3 2" xfId="46989"/>
    <cellStyle name="Outputs 2 2 2 2 5 3 2" xfId="46990"/>
    <cellStyle name="Border Thin 3 2 7 3 2" xfId="46991"/>
    <cellStyle name="Heading [Palat] 6 2 5 3" xfId="46992"/>
    <cellStyle name="Heading [Helv] 6 2 5 3" xfId="46993"/>
    <cellStyle name="Date [mm-d-yyyy] 3 3 2 5 3 2" xfId="46994"/>
    <cellStyle name="dp*SubTitle 2 3 5 3 2" xfId="46995"/>
    <cellStyle name="Table Head Aligned 2 2 2 2 5 3 2" xfId="46996"/>
    <cellStyle name="Style 51 4 2 3 5 3 2" xfId="46997"/>
    <cellStyle name="dp*ThinLineBelow 5 2 5 3" xfId="46998"/>
    <cellStyle name="dp*SubTitle 5 2 5 3" xfId="46999"/>
    <cellStyle name="dp*SheetSubTitle 4 2 5 3" xfId="47000"/>
    <cellStyle name="dp*NumberLineEPS 4 2 5 3" xfId="47001"/>
    <cellStyle name="dp*NumberLine 4 2 5 3" xfId="47002"/>
    <cellStyle name="dp*NumberLine 2 4 5 3 2" xfId="47003"/>
    <cellStyle name="Date [mmm-yyyy] 4 2 5 3" xfId="47004"/>
    <cellStyle name="Date [mm-d-yyyy] 7 2 5 3" xfId="47005"/>
    <cellStyle name="COL HEADINGS 6 2 5 3" xfId="47006"/>
    <cellStyle name="Border Thin 7 2 5 3" xfId="47007"/>
    <cellStyle name="Bold/Border 6 2 5 3" xfId="47008"/>
    <cellStyle name="Style 44 3 5 5 3 2" xfId="47009"/>
    <cellStyle name="Table Head Aligned 2 5 5 3 2" xfId="47010"/>
    <cellStyle name="Afjusted 7 2 5 3" xfId="47011"/>
    <cellStyle name="ac 6 2 5 3" xfId="47012"/>
    <cellStyle name="Style 44 8 2 5 3" xfId="47013"/>
    <cellStyle name="Style 45 8 2 5 3" xfId="47014"/>
    <cellStyle name="Style 49 8 2 5 3" xfId="47015"/>
    <cellStyle name="Style 51 8 2 5 3" xfId="47016"/>
    <cellStyle name="COL HEADINGS 4 5 3 2" xfId="47017"/>
    <cellStyle name="Heading [Helv] 2 2 3 3 5 3 2" xfId="47018"/>
    <cellStyle name="P-Green Rule 5 5 3 2" xfId="47019"/>
    <cellStyle name="Heading [Palat] 5 5 3 2" xfId="47020"/>
    <cellStyle name="Heading [Helv] 4 5 3 2" xfId="47021"/>
    <cellStyle name="Style 45 4 3 2 5 3 2" xfId="47022"/>
    <cellStyle name="Style 44 4 3 3 5 3 2" xfId="47023"/>
    <cellStyle name="Magic 2 2 3 3 5 3 2" xfId="47024"/>
    <cellStyle name="Title [Palat] 2 2 3 3 5 3 2" xfId="47025"/>
    <cellStyle name="dp*NumberLineEPS 2 2 3 4 5 3 2" xfId="47026"/>
    <cellStyle name="P-Green Rule 2 2 5 3 2" xfId="47027"/>
    <cellStyle name="Title [Helv] 2 2 4 5 3 2" xfId="47028"/>
    <cellStyle name="Title [Palat] 6 2 5 3" xfId="47029"/>
    <cellStyle name="Title [Helv] 5 2 5 3" xfId="47030"/>
    <cellStyle name="Table Head Green 7 2 5 3" xfId="47031"/>
    <cellStyle name="Table Head Aligned 5 2 5 3" xfId="47032"/>
    <cellStyle name="Outputs 7 2 5 3" xfId="47033"/>
    <cellStyle name="PB Table Standard Row 3 3 4 5 3 2" xfId="47034"/>
    <cellStyle name="Magic 5 2 5 3" xfId="47035"/>
    <cellStyle name="Heading [Palat] 7 2 5 3" xfId="47036"/>
    <cellStyle name="Heading [Helv] 7 2 5 3" xfId="47037"/>
    <cellStyle name="dp*SheetSubTitle 5 2 5 3" xfId="47038"/>
    <cellStyle name="dp*NumberLineEPS 5 2 5 3" xfId="47039"/>
    <cellStyle name="dp*NumberLine 5 2 5 3" xfId="47040"/>
    <cellStyle name="Date [mmm-yyyy] 5 2 5 3" xfId="47041"/>
    <cellStyle name="COL HEADINGS 7 2 5 3" xfId="47042"/>
    <cellStyle name="Bold/Border 7 2 5 3" xfId="47043"/>
    <cellStyle name="Afjusted 8 2 5 3" xfId="47044"/>
    <cellStyle name="ac 7 2 5 3" xfId="47045"/>
    <cellStyle name="Magic 2 2 2 4 5 3 2" xfId="47046"/>
    <cellStyle name="Title [Palat] 7 2 5 3" xfId="47047"/>
    <cellStyle name="Title [Helv] 6 2 5 3" xfId="47048"/>
    <cellStyle name="Table Head Green 8 2 5 3" xfId="47049"/>
    <cellStyle name="Table Head Aligned 6 2 5 3" xfId="47050"/>
    <cellStyle name="Outputs 8 2 5 3" xfId="47051"/>
    <cellStyle name="Magic 6 2 5 3" xfId="47052"/>
    <cellStyle name="Heading [Palat] 8 2 5 3" xfId="47053"/>
    <cellStyle name="Heading [Helv] 8 2 5 3" xfId="47054"/>
    <cellStyle name="Style 51 4 3 2 5 3 2" xfId="47055"/>
    <cellStyle name="Date [mm-d-yyyy] 3 5 5 3 2" xfId="47056"/>
    <cellStyle name="Magic 2 2 2 2 5 3 2" xfId="47057"/>
    <cellStyle name="Afjusted 3 2 3 5 3 2" xfId="47058"/>
    <cellStyle name="dp*SheetSubTitle 6 2 5 3" xfId="47059"/>
    <cellStyle name="dp*NumberLineEPS 6 2 5 3" xfId="47060"/>
    <cellStyle name="dp*NumberLine 6 2 5 3" xfId="47061"/>
    <cellStyle name="COL HEADINGS 8 2 5 3" xfId="47062"/>
    <cellStyle name="Bold/Border 8 2 5 3" xfId="47063"/>
    <cellStyle name="PB Table Standard Row 2 5 5 3 2" xfId="47064"/>
    <cellStyle name="Style 49 2 5 5 3 2" xfId="47065"/>
    <cellStyle name="Afjusted 9 2 5 3" xfId="47066"/>
    <cellStyle name="ac 8 2 5 3" xfId="47067"/>
    <cellStyle name="Date [mmm-yyyy] 6 2 5 3" xfId="47068"/>
    <cellStyle name="Title [Palat] 8 2 5 3" xfId="47069"/>
    <cellStyle name="Title [Helv] 7 2 5 3" xfId="47070"/>
    <cellStyle name="Table Head Green 9 2 5 3" xfId="47071"/>
    <cellStyle name="Table Head Aligned 7 2 5 3" xfId="47072"/>
    <cellStyle name="Outputs 9 2 5 3" xfId="47073"/>
    <cellStyle name="Magic 7 2 5 3" xfId="47074"/>
    <cellStyle name="Heading [Palat] 9 2 5 3" xfId="47075"/>
    <cellStyle name="Heading [Helv] 9 2 5 3" xfId="47076"/>
    <cellStyle name="dp*SheetSubTitle 7 2 5 3" xfId="47077"/>
    <cellStyle name="dp*NumberLineEPS 7 2 5 3" xfId="47078"/>
    <cellStyle name="dp*NumberLine 7 2 5 3" xfId="47079"/>
    <cellStyle name="Date [mmm-yyyy] 7 2 5 3" xfId="47080"/>
    <cellStyle name="COL HEADINGS 9 2 5 3" xfId="47081"/>
    <cellStyle name="Bold/Border 9 2 5 3" xfId="47082"/>
    <cellStyle name="Afjusted 10 2 5 3" xfId="47083"/>
    <cellStyle name="ac 9 2 5 3" xfId="47084"/>
    <cellStyle name="Title [Palat] 4 5 3 2" xfId="47085"/>
    <cellStyle name="ac 2 6 5 3 2" xfId="47086"/>
    <cellStyle name="Bold/Border 2 6 5 3 2" xfId="47087"/>
    <cellStyle name="Border Thin 2 6 5 3 2" xfId="47088"/>
    <cellStyle name="COL HEADINGS 2 6 5 3 2" xfId="47089"/>
    <cellStyle name="Heading [Helv] 2 6 5 3 2" xfId="47090"/>
    <cellStyle name="Heading [Palat] 2 6 5 3 2" xfId="47091"/>
    <cellStyle name="Outputs 2 6 5 3 2" xfId="47092"/>
    <cellStyle name="PB Table Standard Row 2 6 5 3 2" xfId="47093"/>
    <cellStyle name="P-Green Rule 2 6 5 3 2" xfId="47094"/>
    <cellStyle name="Style 44 3 6 5 3 2" xfId="47095"/>
    <cellStyle name="Style 45 3 6 5 3 2" xfId="47096"/>
    <cellStyle name="Style 49 3 6 5 3 2" xfId="47097"/>
    <cellStyle name="Style 51 3 6 5 3 2" xfId="47098"/>
    <cellStyle name="Style 44 2 6 5 3 2" xfId="47099"/>
    <cellStyle name="Style 45 2 6 5 3 2" xfId="47100"/>
    <cellStyle name="Style 49 2 6 5 3 2" xfId="47101"/>
    <cellStyle name="Style 51 2 6 5 3 2" xfId="47102"/>
    <cellStyle name="Table Head Green 2 6 5 3 2" xfId="47103"/>
    <cellStyle name="Title [Palat] 2 6 5 3 2" xfId="47104"/>
    <cellStyle name="Title [Palat] 5 5 3 2" xfId="47105"/>
    <cellStyle name="Title [Helv] 4 5 3 2" xfId="47106"/>
    <cellStyle name="Table Head Green 6 5 3 2" xfId="47107"/>
    <cellStyle name="Table Head Aligned 4 5 3 2" xfId="47108"/>
    <cellStyle name="Outputs 6 5 3 2" xfId="47109"/>
    <cellStyle name="Magic 4 5 3 2" xfId="47110"/>
    <cellStyle name="Heading [Palat] 6 5 3 2" xfId="47111"/>
    <cellStyle name="Heading [Helv] 6 5 3 2" xfId="47112"/>
    <cellStyle name="dp*SheetSubTitle 4 5 3 2" xfId="47113"/>
    <cellStyle name="dp*NumberLineEPS 4 5 3 2" xfId="47114"/>
    <cellStyle name="dp*NumberLine 4 5 3 2" xfId="47115"/>
    <cellStyle name="Date [mmm-yyyy] 4 5 3 2" xfId="47116"/>
    <cellStyle name="COL HEADINGS 6 5 3 2" xfId="47117"/>
    <cellStyle name="Bold/Border 6 5 3 2" xfId="47118"/>
    <cellStyle name="Afjusted 7 5 3 2" xfId="47119"/>
    <cellStyle name="ac 6 5 3 2" xfId="47120"/>
    <cellStyle name="Style 44 8 5 3 2" xfId="47121"/>
    <cellStyle name="Style 45 8 5 3 2" xfId="47122"/>
    <cellStyle name="Style 49 8 5 3 2" xfId="47123"/>
    <cellStyle name="Style 51 8 5 3 2" xfId="47124"/>
    <cellStyle name="Afjusted 3 6 4 3 2" xfId="47125"/>
    <cellStyle name="ac 2 7 4 3 2" xfId="47126"/>
    <cellStyle name="Afjusted 2 5 4 3 2" xfId="47127"/>
    <cellStyle name="Bold/Border 2 7 4 3 2" xfId="47128"/>
    <cellStyle name="COL HEADINGS 2 7 4 3 2" xfId="47129"/>
    <cellStyle name="Date [mmm-yyyy] 2 6 4 3 2" xfId="47130"/>
    <cellStyle name="dp*NumberLine 2 6 4 3 2" xfId="47131"/>
    <cellStyle name="dp*NumberLineEPS 2 6 4 3 2" xfId="47132"/>
    <cellStyle name="dp*SheetSubTitle 2 6 4 3 2" xfId="47133"/>
    <cellStyle name="Heading [Helv] 2 7 4 3 2" xfId="47134"/>
    <cellStyle name="Heading [Palat] 2 7 4 3 2" xfId="47135"/>
    <cellStyle name="Magic 2 6 4 3 2" xfId="47136"/>
    <cellStyle name="Outputs 2 7 4 3 2" xfId="47137"/>
    <cellStyle name="Table Head Aligned 2 6 4 3 2" xfId="47138"/>
    <cellStyle name="Table Head Green 2 7 4 3 2" xfId="47139"/>
    <cellStyle name="Title [Helv] 2 6 4 3 2" xfId="47140"/>
    <cellStyle name="Title [Palat] 2 7 4 3 2" xfId="47141"/>
    <cellStyle name="Date [mm-d-yyyy] 3 6 4 3 2" xfId="47142"/>
    <cellStyle name="Style 51 4 6 4 3 2" xfId="47143"/>
    <cellStyle name="Style 49 4 6 4 3 2" xfId="47144"/>
    <cellStyle name="Style 45 4 6 4 3 2" xfId="47145"/>
    <cellStyle name="Style 44 4 6 4 3 2" xfId="47146"/>
    <cellStyle name="P-Green Rule 3 6 4 3 2" xfId="47147"/>
    <cellStyle name="PB Table Standard Row 3 6 4 3 2" xfId="47148"/>
    <cellStyle name="dp*ThinLineBelow 3 6 4 3 2" xfId="47149"/>
    <cellStyle name="dp*SubTitle 3 6 4 3 2" xfId="47150"/>
    <cellStyle name="Border Thin 3 6 4 3 2" xfId="47151"/>
    <cellStyle name="Afjusted 4 6 4 3 2" xfId="47152"/>
    <cellStyle name="ac 2 2 5 4 3 2" xfId="47153"/>
    <cellStyle name="Afjusted 2 2 6 4 3 2" xfId="47154"/>
    <cellStyle name="Bold/Border 2 2 5 4 3 2" xfId="47155"/>
    <cellStyle name="COL HEADINGS 2 2 5 4 3 2" xfId="47156"/>
    <cellStyle name="Date [mmm-yyyy] 2 2 5 4 3 2" xfId="47157"/>
    <cellStyle name="dp*NumberLine 2 2 5 4 3 2" xfId="47158"/>
    <cellStyle name="dp*NumberLineEPS 2 2 5 4 3 2" xfId="47159"/>
    <cellStyle name="dp*SheetSubTitle 2 2 5 4 3 2" xfId="47160"/>
    <cellStyle name="Heading [Helv] 2 2 5 4 3 2" xfId="47161"/>
    <cellStyle name="Heading [Palat] 2 2 5 4 3 2" xfId="47162"/>
    <cellStyle name="Magic 2 2 5 4 3 2" xfId="47163"/>
    <cellStyle name="Outputs 2 2 5 4 3 2" xfId="47164"/>
    <cellStyle name="Table Head Aligned 2 2 5 4 3 2" xfId="47165"/>
    <cellStyle name="Table Head Green 2 2 5 4 3 2" xfId="47166"/>
    <cellStyle name="Title [Helv] 2 2 5 4 3 2" xfId="47167"/>
    <cellStyle name="Title [Palat] 2 2 5 4 3 2" xfId="47168"/>
    <cellStyle name="dp*SubTitle 2 2 2 4 3 2" xfId="47169"/>
    <cellStyle name="Border Thin 2 2 2 4 3 2" xfId="47170"/>
    <cellStyle name="Bold/Border 2 2 3 4 2 4 3 2" xfId="47171"/>
    <cellStyle name="Magic 2 2 3 4 2 4 3 2" xfId="47172"/>
    <cellStyle name="Title [Helv] 2 2 3 4 2 4 3 2" xfId="47173"/>
    <cellStyle name="Style 51 2 2 2 4 3 2" xfId="47174"/>
    <cellStyle name="Style 45 2 2 2 4 3 2" xfId="47175"/>
    <cellStyle name="Style 49 2 2 2 4 3 2" xfId="47176"/>
    <cellStyle name="Style 44 2 2 2 4 3 2" xfId="47177"/>
    <cellStyle name="Style 51 3 2 2 4 3 2" xfId="47178"/>
    <cellStyle name="Style 49 3 2 2 4 3 2" xfId="47179"/>
    <cellStyle name="Style 45 3 2 2 4 3 2" xfId="47180"/>
    <cellStyle name="Style 44 3 2 2 4 3 2" xfId="47181"/>
    <cellStyle name="P-Green Rule 2 2 2 4 3 2" xfId="47182"/>
    <cellStyle name="PB Table Standard Row 2 2 2 4 3 2" xfId="47183"/>
    <cellStyle name="dp*ThinLineBelow 2 2 2 4 3 2" xfId="47184"/>
    <cellStyle name="dp*ThinLineBelow 2 3 2 4 3 2" xfId="47185"/>
    <cellStyle name="Style 44 3 3 2 4 3 2" xfId="47186"/>
    <cellStyle name="COL HEADINGS 2 2 3 4 2 4 3 2" xfId="47187"/>
    <cellStyle name="Style 49 4 3 4 2 4 3 2" xfId="47188"/>
    <cellStyle name="Afjusted 3 3 4 2 4 3 2" xfId="47189"/>
    <cellStyle name="Date [mm-d-yyyy] 3 3 4 2 4 3 2" xfId="47190"/>
    <cellStyle name="Afjusted 4 3 4 2 4 3 2" xfId="47191"/>
    <cellStyle name="ac 2 2 3 4 2 4 3 2" xfId="47192"/>
    <cellStyle name="Afjusted 2 2 3 4 2 4 3 2" xfId="47193"/>
    <cellStyle name="Date [mmm-yyyy] 2 2 3 4 2 4 3 2" xfId="47194"/>
    <cellStyle name="dp*NumberLine 2 2 3 4 2 4 3 2" xfId="47195"/>
    <cellStyle name="dp*NumberLineEPS 2 2 3 4 2 4 3 2" xfId="47196"/>
    <cellStyle name="dp*SheetSubTitle 2 2 3 4 2 4 3 2" xfId="47197"/>
    <cellStyle name="Heading [Helv] 2 2 3 4 2 4 3 2" xfId="47198"/>
    <cellStyle name="Outputs 2 2 3 4 2 4 3 2" xfId="47199"/>
    <cellStyle name="Table Head Aligned 2 2 3 4 2 4 3 2" xfId="47200"/>
    <cellStyle name="Title [Palat] 2 2 3 4 2 4 3 2" xfId="47201"/>
    <cellStyle name="Afjusted 3 5 2 4 3 2" xfId="47202"/>
    <cellStyle name="Style 45 3 3 2 4 3 2" xfId="47203"/>
    <cellStyle name="Style 51 3 3 2 4 3 2" xfId="47204"/>
    <cellStyle name="Style 44 2 3 2 4 3 2" xfId="47205"/>
    <cellStyle name="Style 45 2 3 2 4 3 2" xfId="47206"/>
    <cellStyle name="Style 49 2 3 2 4 3 2" xfId="47207"/>
    <cellStyle name="Border Thin 3 5 2 4 3 2" xfId="47208"/>
    <cellStyle name="ac 2 2 4 2 4 3 2" xfId="47209"/>
    <cellStyle name="Afjusted 2 2 5 2 4 3 2" xfId="47210"/>
    <cellStyle name="Bold/Border 2 2 4 2 4 3 2" xfId="47211"/>
    <cellStyle name="COL HEADINGS 2 2 4 2 4 3 2" xfId="47212"/>
    <cellStyle name="Date [mmm-yyyy] 2 2 4 2 4 3 2" xfId="47213"/>
    <cellStyle name="dp*NumberLine 2 2 4 2 4 3 2" xfId="47214"/>
    <cellStyle name="dp*NumberLineEPS 2 2 4 2 4 3 2" xfId="47215"/>
    <cellStyle name="dp*SheetSubTitle 2 2 4 2 4 3 2" xfId="47216"/>
    <cellStyle name="Heading [Palat] 2 2 4 2 4 3 2" xfId="47217"/>
    <cellStyle name="Outputs 2 2 4 2 4 3 2" xfId="47218"/>
    <cellStyle name="Magic 2 2 4 2 4 3 2" xfId="47219"/>
    <cellStyle name="Title [Helv] 2 2 4 2 4 3 2" xfId="47220"/>
    <cellStyle name="Title [Palat] 2 2 4 2 4 3 2" xfId="47221"/>
    <cellStyle name="Title [Palat] 2 2 3 3 2 4 3 2" xfId="47222"/>
    <cellStyle name="Title [Helv] 2 2 3 3 2 4 3 2" xfId="47223"/>
    <cellStyle name="Table Head Aligned 2 2 3 3 2 4 3 2" xfId="47224"/>
    <cellStyle name="Magic 2 2 3 3 2 4 3 2" xfId="47225"/>
    <cellStyle name="Heading [Helv] 2 2 3 3 2 4 3 2" xfId="47226"/>
    <cellStyle name="dp*NumberLineEPS 2 2 3 3 2 4 3 2" xfId="47227"/>
    <cellStyle name="COL HEADINGS 2 2 3 3 2 4 3 2" xfId="47228"/>
    <cellStyle name="ac 2 2 3 3 2 4 3 2" xfId="47229"/>
    <cellStyle name="Afjusted 4 3 3 2 4 3 2" xfId="47230"/>
    <cellStyle name="Border Thin 3 3 3 2 4 3 2" xfId="47231"/>
    <cellStyle name="PB Table Standard Row 3 3 3 2 4 3 2" xfId="47232"/>
    <cellStyle name="Style 44 4 3 3 2 4 3 2" xfId="47233"/>
    <cellStyle name="Style 51 4 3 3 2 4 3 2" xfId="47234"/>
    <cellStyle name="Afjusted 3 3 3 2 4 3 2" xfId="47235"/>
    <cellStyle name="Style 49 4 5 2 4 3 2" xfId="47236"/>
    <cellStyle name="Style 44 4 5 2 4 3 2" xfId="47237"/>
    <cellStyle name="P-Green Rule 3 5 2 4 3 2" xfId="47238"/>
    <cellStyle name="dp*SubTitle 3 5 2 4 3 2" xfId="47239"/>
    <cellStyle name="Afjusted 4 5 2 4 3 2" xfId="47240"/>
    <cellStyle name="ac 2 3 2 4 3 2" xfId="47241"/>
    <cellStyle name="Bold/Border 2 3 2 4 3 2" xfId="47242"/>
    <cellStyle name="COL HEADINGS 2 3 2 4 3 2" xfId="47243"/>
    <cellStyle name="Date [mmm-yyyy] 2 3 2 4 3 2" xfId="47244"/>
    <cellStyle name="dp*NumberLine 2 3 2 4 3 2" xfId="47245"/>
    <cellStyle name="dp*NumberLineEPS 2 3 2 4 3 2" xfId="47246"/>
    <cellStyle name="dp*SheetSubTitle 2 3 2 4 3 2" xfId="47247"/>
    <cellStyle name="Heading [Helv] 2 3 2 4 3 2" xfId="47248"/>
    <cellStyle name="Heading [Palat] 2 3 2 4 3 2" xfId="47249"/>
    <cellStyle name="Magic 2 3 2 4 3 2" xfId="47250"/>
    <cellStyle name="Outputs 2 3 2 4 3 2" xfId="47251"/>
    <cellStyle name="Date [mmm-yyyy] 2 2 3 3 2 4 3 2" xfId="47252"/>
    <cellStyle name="Afjusted 2 2 3 3 2 4 3 2" xfId="47253"/>
    <cellStyle name="dp*ThinLineBelow 3 3 3 2 4 3 2" xfId="47254"/>
    <cellStyle name="Style 49 4 3 3 2 4 3 2" xfId="47255"/>
    <cellStyle name="Outputs 2 2 3 3 2 4 3 2" xfId="47256"/>
    <cellStyle name="dp*NumberLine 2 2 3 3 2 4 3 2" xfId="47257"/>
    <cellStyle name="Bold/Border 2 2 3 3 2 4 3 2" xfId="47258"/>
    <cellStyle name="dp*SubTitle 3 3 3 2 4 3 2" xfId="47259"/>
    <cellStyle name="Style 45 4 3 3 2 4 3 2" xfId="47260"/>
    <cellStyle name="Table Head Aligned 2 3 2 4 3 2" xfId="47261"/>
    <cellStyle name="Table Head Green 2 3 2 4 3 2" xfId="47262"/>
    <cellStyle name="Title [Helv] 2 3 2 4 3 2" xfId="47263"/>
    <cellStyle name="Title [Palat] 2 3 2 4 3 2" xfId="47264"/>
    <cellStyle name="Style 45 4 3 4 2 4 3 2" xfId="47265"/>
    <cellStyle name="Style 51 4 3 4 2 4 3 2" xfId="47266"/>
    <cellStyle name="Afjusted 3 4 2 4 3 2" xfId="47267"/>
    <cellStyle name="P-Green Rule 3 3 4 2 4 3 2" xfId="47268"/>
    <cellStyle name="Border Thin 2 3 2 4 3 2" xfId="47269"/>
    <cellStyle name="Style 49 3 3 2 4 3 2" xfId="47270"/>
    <cellStyle name="Style 51 2 3 2 4 3 2" xfId="47271"/>
    <cellStyle name="Heading [Helv] 2 2 4 2 4 3 2" xfId="47272"/>
    <cellStyle name="Table Head Aligned 2 2 4 2 4 3 2" xfId="47273"/>
    <cellStyle name="Table Head Green 2 2 4 2 4 3 2" xfId="47274"/>
    <cellStyle name="Table Head Green 2 2 3 3 2 4 3 2" xfId="47275"/>
    <cellStyle name="Heading [Palat] 2 2 3 3 2 4 3 2" xfId="47276"/>
    <cellStyle name="dp*SheetSubTitle 2 2 3 3 2 4 3 2" xfId="47277"/>
    <cellStyle name="P-Green Rule 3 3 3 2 4 3 2" xfId="47278"/>
    <cellStyle name="Date [mm-d-yyyy] 3 3 3 2 4 3 2" xfId="47279"/>
    <cellStyle name="Date [mm-d-yyyy] 3 4 2 4 3 2" xfId="47280"/>
    <cellStyle name="Style 51 4 4 2 4 3 2" xfId="47281"/>
    <cellStyle name="Style 49 4 4 2 4 3 2" xfId="47282"/>
    <cellStyle name="Style 45 4 4 2 4 3 2" xfId="47283"/>
    <cellStyle name="Style 44 4 4 2 4 3 2" xfId="47284"/>
    <cellStyle name="dp*ThinLineBelow 3 3 4 2 4 3 2" xfId="47285"/>
    <cellStyle name="P-Green Rule 3 4 2 4 3 2" xfId="47286"/>
    <cellStyle name="PB Table Standard Row 3 4 2 3 3 2" xfId="47287"/>
    <cellStyle name="dp*ThinLineBelow 3 4 2 4 3 2" xfId="47288"/>
    <cellStyle name="dp*SubTitle 3 4 2 4 3 2" xfId="47289"/>
    <cellStyle name="dp*SubTitle 3 3 4 2 4 3 2" xfId="47290"/>
    <cellStyle name="Border Thin 3 4 2 4 3 2" xfId="47291"/>
    <cellStyle name="Border Thin 3 3 4 2 4 3 2" xfId="47292"/>
    <cellStyle name="Afjusted 4 4 2 4 3 2" xfId="47293"/>
    <cellStyle name="Afjusted 2 2 4 2 4 3 2" xfId="47294"/>
    <cellStyle name="Style 44 4 3 4 2 4 3 2" xfId="47295"/>
    <cellStyle name="PB Table Standard Row 3 3 4 2 4 3 2" xfId="47296"/>
    <cellStyle name="Title [Palat] 2 2 3 5 4 3 2" xfId="47297"/>
    <cellStyle name="Title [Helv] 2 2 3 5 4 3 2" xfId="47298"/>
    <cellStyle name="Table Head Green 2 2 3 5 4 3 2" xfId="47299"/>
    <cellStyle name="Table Head Aligned 2 2 3 5 4 3 2" xfId="47300"/>
    <cellStyle name="Outputs 2 2 3 5 4 3 2" xfId="47301"/>
    <cellStyle name="Magic 2 2 3 5 4 3 2" xfId="47302"/>
    <cellStyle name="Heading [Palat] 2 2 3 5 4 3 2" xfId="47303"/>
    <cellStyle name="Heading [Helv] 2 2 3 5 4 3 2" xfId="47304"/>
    <cellStyle name="dp*SheetSubTitle 2 2 3 5 4 3 2" xfId="47305"/>
    <cellStyle name="dp*NumberLineEPS 2 2 3 5 4 3 2" xfId="47306"/>
    <cellStyle name="dp*NumberLine 2 2 3 5 4 3 2" xfId="47307"/>
    <cellStyle name="Date [mmm-yyyy] 2 2 3 5 4 3 2" xfId="47308"/>
    <cellStyle name="COL HEADINGS 2 2 3 5 4 3 2" xfId="47309"/>
    <cellStyle name="Bold/Border 2 2 3 5 4 3 2" xfId="47310"/>
    <cellStyle name="Afjusted 2 2 3 5 4 3 2" xfId="47311"/>
    <cellStyle name="ac 2 2 3 5 4 3 2" xfId="47312"/>
    <cellStyle name="Afjusted 4 3 5 4 3 2" xfId="47313"/>
    <cellStyle name="Border Thin 3 3 5 4 3 2" xfId="47314"/>
    <cellStyle name="dp*SubTitle 3 3 5 4 3 2" xfId="47315"/>
    <cellStyle name="dp*ThinLineBelow 3 3 5 4 3 2" xfId="47316"/>
    <cellStyle name="PB Table Standard Row 3 3 5 4 3 2" xfId="47317"/>
    <cellStyle name="P-Green Rule 3 3 5 4 3 2" xfId="47318"/>
    <cellStyle name="Style 44 4 3 5 4 3 2" xfId="47319"/>
    <cellStyle name="Style 45 4 3 5 4 3 2" xfId="47320"/>
    <cellStyle name="Style 49 4 3 5 4 3 2" xfId="47321"/>
    <cellStyle name="Style 51 4 3 5 4 3 2" xfId="47322"/>
    <cellStyle name="Date [mm-d-yyyy] 3 3 5 4 3 2" xfId="47323"/>
    <cellStyle name="Afjusted 3 3 5 4 3 2" xfId="47324"/>
    <cellStyle name="Date [mm-d-yyyy] 2 2 4 4 3 2" xfId="47325"/>
    <cellStyle name="Afjusted 3 2 5 4 3 2" xfId="47326"/>
    <cellStyle name="Date [mm-d-yyyy] 3 2 5 4 3 2" xfId="47327"/>
    <cellStyle name="Style 51 4 2 5 4 3 2" xfId="47328"/>
    <cellStyle name="Style 49 4 2 5 4 3 2" xfId="47329"/>
    <cellStyle name="Style 45 4 2 5 4 3 2" xfId="47330"/>
    <cellStyle name="Style 44 4 2 5 4 3 2" xfId="47331"/>
    <cellStyle name="P-Green Rule 3 2 5 4 3 2" xfId="47332"/>
    <cellStyle name="PB Table Standard Row 3 2 5 3 3 2" xfId="47333"/>
    <cellStyle name="dp*ThinLineBelow 3 2 5 4 3 2" xfId="47334"/>
    <cellStyle name="dp*SubTitle 3 2 5 4 3 2" xfId="47335"/>
    <cellStyle name="Border Thin 3 2 5 4 3 2" xfId="47336"/>
    <cellStyle name="Afjusted 4 2 5 4 3 2" xfId="47337"/>
    <cellStyle name="ac 2 2 2 5 4 3 2" xfId="47338"/>
    <cellStyle name="Afjusted 2 2 2 5 4 3 2" xfId="47339"/>
    <cellStyle name="Bold/Border 2 2 2 5 4 3 2" xfId="47340"/>
    <cellStyle name="COL HEADINGS 2 2 2 5 4 3 2" xfId="47341"/>
    <cellStyle name="Date [mmm-yyyy] 2 2 2 5 4 3 2" xfId="47342"/>
    <cellStyle name="dp*NumberLine 2 2 2 5 4 3 2" xfId="47343"/>
    <cellStyle name="dp*NumberLineEPS 2 2 2 5 4 3 2" xfId="47344"/>
    <cellStyle name="dp*SheetSubTitle 2 2 2 5 4 3 2" xfId="47345"/>
    <cellStyle name="Heading [Helv] 2 2 2 5 4 3 2" xfId="47346"/>
    <cellStyle name="Heading [Palat] 2 2 2 5 4 3 2" xfId="47347"/>
    <cellStyle name="Magic 2 2 2 5 4 3 2" xfId="47348"/>
    <cellStyle name="Outputs 2 2 2 5 4 3 2" xfId="47349"/>
    <cellStyle name="Table Head Aligned 2 2 2 5 4 3 2" xfId="47350"/>
    <cellStyle name="Table Head Green 2 2 2 5 4 3 2" xfId="47351"/>
    <cellStyle name="Title [Helv] 2 2 2 5 4 3 2" xfId="47352"/>
    <cellStyle name="Title [Palat] 2 2 2 5 4 3 2" xfId="47353"/>
    <cellStyle name="Table Head Green 2 2 3 4 2 4 3 2" xfId="47354"/>
    <cellStyle name="Heading [Palat] 2 2 3 4 2 4 3 2" xfId="47355"/>
    <cellStyle name="PB Table Standard Row 2 3 2 4 3 2" xfId="47356"/>
    <cellStyle name="P-Green Rule 2 3 2 4 3 2" xfId="47357"/>
    <cellStyle name="Title [Palat] 2 2 3 2 2 4 3 2" xfId="47358"/>
    <cellStyle name="Title [Helv] 2 2 3 2 2 4 3 2" xfId="47359"/>
    <cellStyle name="Table Head Green 2 2 3 2 2 4 3 2" xfId="47360"/>
    <cellStyle name="Table Head Aligned 2 2 3 2 2 4 3 2" xfId="47361"/>
    <cellStyle name="Outputs 2 2 3 2 2 4 3 2" xfId="47362"/>
    <cellStyle name="Magic 2 2 3 2 2 4 3 2" xfId="47363"/>
    <cellStyle name="Heading [Palat] 2 2 3 2 2 4 3 2" xfId="47364"/>
    <cellStyle name="Heading [Helv] 2 2 3 2 2 4 3 2" xfId="47365"/>
    <cellStyle name="dp*SheetSubTitle 2 2 3 2 2 4 3 2" xfId="47366"/>
    <cellStyle name="dp*NumberLineEPS 2 2 3 2 2 4 3 2" xfId="47367"/>
    <cellStyle name="dp*NumberLine 2 2 3 2 2 4 3 2" xfId="47368"/>
    <cellStyle name="Date [mmm-yyyy] 2 2 3 2 2 4 3 2" xfId="47369"/>
    <cellStyle name="COL HEADINGS 2 2 3 2 2 4 3 2" xfId="47370"/>
    <cellStyle name="Bold/Border 2 2 3 2 2 4 3 2" xfId="47371"/>
    <cellStyle name="Afjusted 2 2 3 2 2 4 3 2" xfId="47372"/>
    <cellStyle name="ac 2 2 3 2 2 4 3 2" xfId="47373"/>
    <cellStyle name="Afjusted 4 3 2 2 4 3 2" xfId="47374"/>
    <cellStyle name="Border Thin 3 3 2 2 4 3 2" xfId="47375"/>
    <cellStyle name="dp*SubTitle 3 3 2 2 4 3 2" xfId="47376"/>
    <cellStyle name="dp*ThinLineBelow 3 3 2 2 4 3 2" xfId="47377"/>
    <cellStyle name="PB Table Standard Row 3 3 2 2 4 3 2" xfId="47378"/>
    <cellStyle name="P-Green Rule 3 3 2 2 4 3 2" xfId="47379"/>
    <cellStyle name="Style 44 4 3 2 2 4 3 2" xfId="47380"/>
    <cellStyle name="Style 45 4 3 2 2 4 3 2" xfId="47381"/>
    <cellStyle name="Style 49 4 3 2 2 4 3 2" xfId="47382"/>
    <cellStyle name="Style 51 4 3 2 2 4 3 2" xfId="47383"/>
    <cellStyle name="Date [mm-d-yyyy] 3 3 2 2 4 3 2" xfId="47384"/>
    <cellStyle name="Afjusted 3 3 2 2 4 3 2" xfId="47385"/>
    <cellStyle name="Date [mm-d-yyyy] 3 5 2 4 3 2" xfId="47386"/>
    <cellStyle name="dp*SubTitle 2 3 2 4 3 2" xfId="47387"/>
    <cellStyle name="Date [mm-d-yyyy] 2 2 2 2 4 3 2" xfId="47388"/>
    <cellStyle name="Afjusted 3 2 2 2 4 3 2" xfId="47389"/>
    <cellStyle name="PB Table Standard Row 3 5 2 4 3 2" xfId="47390"/>
    <cellStyle name="Date [mm-d-yyyy] 3 2 2 2 4 3 2" xfId="47391"/>
    <cellStyle name="Style 51 4 2 2 2 4 3 2" xfId="47392"/>
    <cellStyle name="Style 49 4 2 2 2 4 3 2" xfId="47393"/>
    <cellStyle name="Style 45 4 2 2 2 4 3 2" xfId="47394"/>
    <cellStyle name="Style 44 4 2 2 2 4 3 2" xfId="47395"/>
    <cellStyle name="Style 45 4 5 2 4 3 2" xfId="47396"/>
    <cellStyle name="P-Green Rule 3 2 2 2 4 3 2" xfId="47397"/>
    <cellStyle name="PB Table Standard Row 3 2 2 2 4 3 2" xfId="47398"/>
    <cellStyle name="dp*ThinLineBelow 3 2 2 2 4 3 2" xfId="47399"/>
    <cellStyle name="dp*SubTitle 3 2 2 2 4 3 2" xfId="47400"/>
    <cellStyle name="Style 51 4 5 2 4 3 2" xfId="47401"/>
    <cellStyle name="Border Thin 3 2 2 2 4 3 2" xfId="47402"/>
    <cellStyle name="Afjusted 4 2 2 2 4 3 2" xfId="47403"/>
    <cellStyle name="ac 2 2 2 2 2 4 3 2" xfId="47404"/>
    <cellStyle name="Afjusted 2 2 2 2 2 4 3 2" xfId="47405"/>
    <cellStyle name="Bold/Border 2 2 2 2 2 4 3 2" xfId="47406"/>
    <cellStyle name="COL HEADINGS 2 2 2 2 2 4 3 2" xfId="47407"/>
    <cellStyle name="Date [mmm-yyyy] 2 2 2 2 2 4 3 2" xfId="47408"/>
    <cellStyle name="dp*NumberLine 2 2 2 2 2 4 3 2" xfId="47409"/>
    <cellStyle name="dp*NumberLineEPS 2 2 2 2 2 4 3 2" xfId="47410"/>
    <cellStyle name="dp*SheetSubTitle 2 2 2 2 2 4 3 2" xfId="47411"/>
    <cellStyle name="Heading [Helv] 2 2 2 2 2 4 3 2" xfId="47412"/>
    <cellStyle name="Heading [Palat] 2 2 2 2 2 4 3 2" xfId="47413"/>
    <cellStyle name="Magic 2 2 2 2 2 4 3 2" xfId="47414"/>
    <cellStyle name="Outputs 2 2 2 2 2 4 3 2" xfId="47415"/>
    <cellStyle name="Table Head Aligned 2 2 2 2 2 4 3 2" xfId="47416"/>
    <cellStyle name="Table Head Green 2 2 2 2 2 4 3 2" xfId="47417"/>
    <cellStyle name="Title [Helv] 2 2 2 2 2 4 3 2" xfId="47418"/>
    <cellStyle name="Title [Palat] 2 2 2 2 2 4 3 2" xfId="47419"/>
    <cellStyle name="dp*ThinLineBelow 3 5 2 4 3 2" xfId="47420"/>
    <cellStyle name="Date [mm-d-yyyy] 2 2 3 2 4 3 2" xfId="47421"/>
    <cellStyle name="Afjusted 3 2 3 2 4 3 2" xfId="47422"/>
    <cellStyle name="Date [mm-d-yyyy] 3 2 3 2 4 3 2" xfId="47423"/>
    <cellStyle name="Style 51 4 2 3 2 4 3 2" xfId="47424"/>
    <cellStyle name="Style 49 4 2 3 2 4 3 2" xfId="47425"/>
    <cellStyle name="Style 45 4 2 3 2 4 3 2" xfId="47426"/>
    <cellStyle name="Style 44 4 2 3 2 4 3 2" xfId="47427"/>
    <cellStyle name="P-Green Rule 3 2 3 2 4 3 2" xfId="47428"/>
    <cellStyle name="PB Table Standard Row 3 2 3 2 4 3 2" xfId="47429"/>
    <cellStyle name="dp*ThinLineBelow 3 2 3 2 4 3 2" xfId="47430"/>
    <cellStyle name="dp*SubTitle 3 2 3 2 4 3 2" xfId="47431"/>
    <cellStyle name="Border Thin 3 2 3 2 4 3 2" xfId="47432"/>
    <cellStyle name="Afjusted 4 2 3 2 4 3 2" xfId="47433"/>
    <cellStyle name="ac 2 2 2 3 2 4 3 2" xfId="47434"/>
    <cellStyle name="Afjusted 2 2 2 3 2 4 3 2" xfId="47435"/>
    <cellStyle name="Bold/Border 2 2 2 3 2 4 3 2" xfId="47436"/>
    <cellStyle name="COL HEADINGS 2 2 2 3 2 4 3 2" xfId="47437"/>
    <cellStyle name="Date [mmm-yyyy] 2 2 2 3 2 4 3 2" xfId="47438"/>
    <cellStyle name="dp*NumberLine 2 2 2 3 2 4 3 2" xfId="47439"/>
    <cellStyle name="dp*NumberLineEPS 2 2 2 3 2 4 3 2" xfId="47440"/>
    <cellStyle name="dp*SheetSubTitle 2 2 2 3 2 4 3 2" xfId="47441"/>
    <cellStyle name="Heading [Helv] 2 2 2 3 2 4 3 2" xfId="47442"/>
    <cellStyle name="Heading [Palat] 2 2 2 3 2 4 3 2" xfId="47443"/>
    <cellStyle name="Magic 2 2 2 3 2 4 3 2" xfId="47444"/>
    <cellStyle name="Outputs 2 2 2 3 2 4 3 2" xfId="47445"/>
    <cellStyle name="Table Head Aligned 2 2 2 3 2 4 3 2" xfId="47446"/>
    <cellStyle name="Table Head Green 2 2 2 3 2 4 3 2" xfId="47447"/>
    <cellStyle name="Title [Helv] 2 2 2 3 2 4 3 2" xfId="47448"/>
    <cellStyle name="Title [Palat] 2 2 2 3 2 4 3 2" xfId="47449"/>
    <cellStyle name="Afjusted 3 2 4 2 4 3 2" xfId="47450"/>
    <cellStyle name="Date [mm-d-yyyy] 3 2 4 2 4 3 2" xfId="47451"/>
    <cellStyle name="Style 51 4 2 4 2 4 3 2" xfId="47452"/>
    <cellStyle name="Style 49 4 2 4 2 4 3 2" xfId="47453"/>
    <cellStyle name="Style 45 4 2 4 2 4 3 2" xfId="47454"/>
    <cellStyle name="Style 44 4 2 4 2 4 3 2" xfId="47455"/>
    <cellStyle name="P-Green Rule 3 2 4 2 4 3 2" xfId="47456"/>
    <cellStyle name="PB Table Standard Row 3 2 4 2 4 3 2" xfId="47457"/>
    <cellStyle name="dp*ThinLineBelow 3 2 4 2 4 3 2" xfId="47458"/>
    <cellStyle name="dp*SubTitle 3 2 4 2 4 3 2" xfId="47459"/>
    <cellStyle name="Border Thin 3 2 4 2 4 3 2" xfId="47460"/>
    <cellStyle name="Afjusted 4 2 4 2 4 3 2" xfId="47461"/>
    <cellStyle name="ac 2 2 2 4 2 4 3 2" xfId="47462"/>
    <cellStyle name="Afjusted 2 2 2 4 2 4 3 2" xfId="47463"/>
    <cellStyle name="Bold/Border 2 2 2 4 2 4 3 2" xfId="47464"/>
    <cellStyle name="COL HEADINGS 2 2 2 4 2 4 3 2" xfId="47465"/>
    <cellStyle name="Date [mmm-yyyy] 2 2 2 4 2 4 3 2" xfId="47466"/>
    <cellStyle name="dp*NumberLine 2 2 2 4 2 4 3 2" xfId="47467"/>
    <cellStyle name="dp*NumberLineEPS 2 2 2 4 2 4 3 2" xfId="47468"/>
    <cellStyle name="dp*SheetSubTitle 2 2 2 4 2 4 3 2" xfId="47469"/>
    <cellStyle name="Heading [Helv] 2 2 2 4 2 4 3 2" xfId="47470"/>
    <cellStyle name="Heading [Palat] 2 2 2 4 2 4 3 2" xfId="47471"/>
    <cellStyle name="Magic 2 2 2 4 2 4 3 2" xfId="47472"/>
    <cellStyle name="Outputs 2 2 2 4 2 4 3 2" xfId="47473"/>
    <cellStyle name="Table Head Aligned 2 2 2 4 2 4 3 2" xfId="47474"/>
    <cellStyle name="Table Head Green 2 2 2 4 2 4 3 2" xfId="47475"/>
    <cellStyle name="Title [Helv] 2 2 2 4 2 4 3 2" xfId="47476"/>
    <cellStyle name="Title [Palat] 2 2 2 4 2 4 3 2" xfId="47477"/>
    <cellStyle name="Border Thin 4 2 4 3 2" xfId="47478"/>
    <cellStyle name="Date [mm-d-yyyy] 4 2 4 3 2" xfId="47479"/>
    <cellStyle name="dp*SubTitle 4 2 4 3 2" xfId="47480"/>
    <cellStyle name="dp*ThinLineBelow 4 2 4 3 2" xfId="47481"/>
    <cellStyle name="PB Table Standard Row 4 2 4 3 2" xfId="47482"/>
    <cellStyle name="P-Green Rule 4 2 4 3 2" xfId="47483"/>
    <cellStyle name="Style 44 5 2 4 3 2" xfId="47484"/>
    <cellStyle name="Style 45 5 2 4 3 2" xfId="47485"/>
    <cellStyle name="Style 49 5 2 4 3 2" xfId="47486"/>
    <cellStyle name="Style 51 5 2 4 3 2" xfId="47487"/>
    <cellStyle name="Title [Palat] 3 2 4 3 2" xfId="47488"/>
    <cellStyle name="Title [Helv] 3 2 4 3 2" xfId="47489"/>
    <cellStyle name="Table Head Green 3 2 4 3 2" xfId="47490"/>
    <cellStyle name="Table Head Aligned 3 2 4 3 2" xfId="47491"/>
    <cellStyle name="Outputs 3 2 4 3 2" xfId="47492"/>
    <cellStyle name="Magic 3 2 4 3 2" xfId="47493"/>
    <cellStyle name="Heading [Palat] 3 2 4 3 2" xfId="47494"/>
    <cellStyle name="Heading [Helv] 3 2 4 3 2" xfId="47495"/>
    <cellStyle name="dp*SheetSubTitle 3 2 4 3 2" xfId="47496"/>
    <cellStyle name="dp*NumberLineEPS 3 2 4 3 2" xfId="47497"/>
    <cellStyle name="dp*NumberLine 3 2 4 3 2" xfId="47498"/>
    <cellStyle name="COL HEADINGS 3 2 4 3 2" xfId="47499"/>
    <cellStyle name="Bold/Border 3 2 4 3 2" xfId="47500"/>
    <cellStyle name="Afjusted 5 2 4 3 2" xfId="47501"/>
    <cellStyle name="ac 3 2 4 3 2" xfId="47502"/>
    <cellStyle name="Date [mmm-yyyy] 3 2 4 3 2" xfId="47503"/>
    <cellStyle name="ac 2 4 2 4 3 2" xfId="47504"/>
    <cellStyle name="Afjusted 2 3 2 4 3 2" xfId="47505"/>
    <cellStyle name="Bold/Border 2 4 2 4 3 2" xfId="47506"/>
    <cellStyle name="Border Thin 2 4 2 4 3 2" xfId="47507"/>
    <cellStyle name="COL HEADINGS 2 4 2 4 3 2" xfId="47508"/>
    <cellStyle name="Date [mmm-yyyy] 2 4 2 4 3 2" xfId="47509"/>
    <cellStyle name="dp*NumberLine 2 4 2 4 3 2" xfId="47510"/>
    <cellStyle name="dp*NumberLineEPS 2 4 2 4 3 2" xfId="47511"/>
    <cellStyle name="dp*SheetSubTitle 2 4 2 4 3 2" xfId="47512"/>
    <cellStyle name="dp*SubTitle 2 4 2 4 3 2" xfId="47513"/>
    <cellStyle name="dp*ThinLineBelow 2 4 2 4 3 2" xfId="47514"/>
    <cellStyle name="Heading [Helv] 2 4 2 4 3 2" xfId="47515"/>
    <cellStyle name="Heading [Palat] 2 4 2 4 3 2" xfId="47516"/>
    <cellStyle name="Magic 2 4 2 4 3 2" xfId="47517"/>
    <cellStyle name="Outputs 2 4 2 4 3 2" xfId="47518"/>
    <cellStyle name="PB Table Standard Row 2 4 2 4 3 2" xfId="47519"/>
    <cellStyle name="P-Green Rule 2 4 2 4 3 2" xfId="47520"/>
    <cellStyle name="Style 44 3 4 2 4 3 2" xfId="47521"/>
    <cellStyle name="Style 45 3 4 2 4 3 2" xfId="47522"/>
    <cellStyle name="Style 49 3 4 2 4 3 2" xfId="47523"/>
    <cellStyle name="Style 51 3 4 2 4 3 2" xfId="47524"/>
    <cellStyle name="Style 44 2 4 2 4 3 2" xfId="47525"/>
    <cellStyle name="Style 45 2 4 2 4 3 2" xfId="47526"/>
    <cellStyle name="Style 49 2 4 2 4 3 2" xfId="47527"/>
    <cellStyle name="Style 51 2 4 2 4 3 2" xfId="47528"/>
    <cellStyle name="Table Head Aligned 2 4 2 4 3 2" xfId="47529"/>
    <cellStyle name="Table Head Green 2 4 2 4 3 2" xfId="47530"/>
    <cellStyle name="Title [Helv] 2 4 2 4 3 2" xfId="47531"/>
    <cellStyle name="Title [Palat] 2 4 2 4 3 2" xfId="47532"/>
    <cellStyle name="ac 4 2 4 3 2" xfId="47533"/>
    <cellStyle name="Bold/Border 4 2 4 3 2" xfId="47534"/>
    <cellStyle name="Border Thin 5 2 4 3 2" xfId="47535"/>
    <cellStyle name="COL HEADINGS 4 2 4 3 2" xfId="47536"/>
    <cellStyle name="Date [mm-d-yyyy] 5 2 4 3 2" xfId="47537"/>
    <cellStyle name="Heading [Helv] 4 2 4 3 2" xfId="47538"/>
    <cellStyle name="Heading [Palat] 4 2 4 3 2" xfId="47539"/>
    <cellStyle name="Outputs 4 2 4 3 2" xfId="47540"/>
    <cellStyle name="PB Table Standard Row 5 2 4 3 2" xfId="47541"/>
    <cellStyle name="P-Green Rule 5 2 4 3 2" xfId="47542"/>
    <cellStyle name="Style 44 6 2 4 3 2" xfId="47543"/>
    <cellStyle name="Style 45 6 2 4 3 2" xfId="47544"/>
    <cellStyle name="Style 49 6 2 4 3 2" xfId="47545"/>
    <cellStyle name="Style 51 6 2 4 3 2" xfId="47546"/>
    <cellStyle name="Table Head Green 4 2 4 3 2" xfId="47547"/>
    <cellStyle name="Afjusted 6 2 4 3 2" xfId="47548"/>
    <cellStyle name="ac 2 5 2 4 3 2" xfId="47549"/>
    <cellStyle name="Afjusted 2 4 2 4 3 2" xfId="47550"/>
    <cellStyle name="Bold/Border 2 5 2 4 3 2" xfId="47551"/>
    <cellStyle name="Border Thin 2 5 2 4 3 2" xfId="47552"/>
    <cellStyle name="COL HEADINGS 2 5 2 4 3 2" xfId="47553"/>
    <cellStyle name="Date [mmm-yyyy] 2 5 2 4 3 2" xfId="47554"/>
    <cellStyle name="dp*NumberLine 2 5 2 4 3 2" xfId="47555"/>
    <cellStyle name="dp*NumberLineEPS 2 5 2 4 3 2" xfId="47556"/>
    <cellStyle name="dp*SheetSubTitle 2 5 2 4 3 2" xfId="47557"/>
    <cellStyle name="dp*SubTitle 2 5 2 4 3 2" xfId="47558"/>
    <cellStyle name="dp*ThinLineBelow 2 5 2 4 3 2" xfId="47559"/>
    <cellStyle name="Heading [Helv] 2 5 2 4 3 2" xfId="47560"/>
    <cellStyle name="Heading [Palat] 2 5 2 4 3 2" xfId="47561"/>
    <cellStyle name="Magic 2 5 2 4 3 2" xfId="47562"/>
    <cellStyle name="Outputs 2 5 2 4 3 2" xfId="47563"/>
    <cellStyle name="PB Table Standard Row 2 5 2 4 3 2" xfId="47564"/>
    <cellStyle name="P-Green Rule 2 5 2 4 3 2" xfId="47565"/>
    <cellStyle name="Style 44 3 5 2 4 3 2" xfId="47566"/>
    <cellStyle name="Style 45 3 5 2 4 3 2" xfId="47567"/>
    <cellStyle name="Style 49 3 5 2 4 3 2" xfId="47568"/>
    <cellStyle name="Style 51 3 5 2 4 3 2" xfId="47569"/>
    <cellStyle name="Style 44 2 5 2 4 3 2" xfId="47570"/>
    <cellStyle name="Style 45 2 5 2 4 3 2" xfId="47571"/>
    <cellStyle name="Style 49 2 5 2 4 3 2" xfId="47572"/>
    <cellStyle name="Style 51 2 5 2 4 3 2" xfId="47573"/>
    <cellStyle name="Table Head Aligned 2 5 2 4 3 2" xfId="47574"/>
    <cellStyle name="Table Head Green 2 5 2 4 3 2" xfId="47575"/>
    <cellStyle name="Title [Helv] 2 5 2 4 3 2" xfId="47576"/>
    <cellStyle name="Title [Palat] 2 5 2 4 3 2" xfId="47577"/>
    <cellStyle name="ac 5 2 4 3 2" xfId="47578"/>
    <cellStyle name="Bold/Border 5 2 4 3 2" xfId="47579"/>
    <cellStyle name="Border Thin 6 2 4 3 2" xfId="47580"/>
    <cellStyle name="COL HEADINGS 5 2 4 3 2" xfId="47581"/>
    <cellStyle name="Heading [Helv] 5 2 4 3 2" xfId="47582"/>
    <cellStyle name="Heading [Palat] 5 2 4 3 2" xfId="47583"/>
    <cellStyle name="Outputs 5 2 4 3 2" xfId="47584"/>
    <cellStyle name="PB Table Standard Row 6 2 4 3 2" xfId="47585"/>
    <cellStyle name="P-Green Rule 6 2 4 3 2" xfId="47586"/>
    <cellStyle name="Style 44 7 2 4 3 2" xfId="47587"/>
    <cellStyle name="Style 45 7 2 4 3 2" xfId="47588"/>
    <cellStyle name="Style 49 7 2 4 3 2" xfId="47589"/>
    <cellStyle name="Style 51 7 2 4 3 2" xfId="47590"/>
    <cellStyle name="Table Head Green 5 2 4 3 2" xfId="47591"/>
    <cellStyle name="Title [Palat] 4 2 4 3 2" xfId="47592"/>
    <cellStyle name="ac 2 6 2 4 3 2" xfId="47593"/>
    <cellStyle name="Bold/Border 2 6 2 4 3 2" xfId="47594"/>
    <cellStyle name="Border Thin 2 6 2 4 3 2" xfId="47595"/>
    <cellStyle name="COL HEADINGS 2 6 2 4 3 2" xfId="47596"/>
    <cellStyle name="Heading [Helv] 2 6 2 4 3 2" xfId="47597"/>
    <cellStyle name="Heading [Palat] 2 6 2 4 3 2" xfId="47598"/>
    <cellStyle name="Outputs 2 6 2 4 3 2" xfId="47599"/>
    <cellStyle name="PB Table Standard Row 2 6 2 4 3 2" xfId="47600"/>
    <cellStyle name="P-Green Rule 2 6 2 4 3 2" xfId="47601"/>
    <cellStyle name="Style 44 3 6 2 4 3 2" xfId="47602"/>
    <cellStyle name="Style 45 3 6 2 4 3 2" xfId="47603"/>
    <cellStyle name="Style 49 3 6 2 4 3 2" xfId="47604"/>
    <cellStyle name="Style 51 3 6 2 4 3 2" xfId="47605"/>
    <cellStyle name="Style 44 2 6 2 4 3 2" xfId="47606"/>
    <cellStyle name="Style 45 2 6 2 4 3 2" xfId="47607"/>
    <cellStyle name="Style 49 2 6 2 4 3 2" xfId="47608"/>
    <cellStyle name="Style 51 2 6 2 4 3 2" xfId="47609"/>
    <cellStyle name="Table Head Green 2 6 2 4 3 2" xfId="47610"/>
    <cellStyle name="Title [Palat] 2 6 2 4 3 2" xfId="47611"/>
    <cellStyle name="Title [Palat] 5 2 4 3 2" xfId="47612"/>
    <cellStyle name="Title [Helv] 4 2 4 3 2" xfId="47613"/>
    <cellStyle name="Table Head Green 6 2 4 3 2" xfId="47614"/>
    <cellStyle name="Table Head Aligned 4 2 4 3 2" xfId="47615"/>
    <cellStyle name="Style 51 9 2 4 3 2" xfId="47616"/>
    <cellStyle name="Style 49 9 2 4 3 2" xfId="47617"/>
    <cellStyle name="Style 45 9 2 4 3 2" xfId="47618"/>
    <cellStyle name="Style 44 9 2 4 3 2" xfId="47619"/>
    <cellStyle name="P-Green Rule 7 2 4 3 2" xfId="47620"/>
    <cellStyle name="PB Table Standard Row 7 2 4 3 2" xfId="47621"/>
    <cellStyle name="Outputs 6 2 4 3 2" xfId="47622"/>
    <cellStyle name="Magic 4 2 4 3 2" xfId="47623"/>
    <cellStyle name="Heading [Palat] 6 2 4 3 2" xfId="47624"/>
    <cellStyle name="Heading [Helv] 6 2 4 3 2" xfId="47625"/>
    <cellStyle name="dp*ThinLineBelow 5 2 4 3 2" xfId="47626"/>
    <cellStyle name="dp*SubTitle 5 2 4 3 2" xfId="47627"/>
    <cellStyle name="dp*SheetSubTitle 4 2 4 3 2" xfId="47628"/>
    <cellStyle name="dp*NumberLineEPS 4 2 4 3 2" xfId="47629"/>
    <cellStyle name="dp*NumberLine 4 2 4 3 2" xfId="47630"/>
    <cellStyle name="Date [mmm-yyyy] 4 2 4 3 2" xfId="47631"/>
    <cellStyle name="Date [mm-d-yyyy] 7 2 4 3 2" xfId="47632"/>
    <cellStyle name="COL HEADINGS 6 2 4 3 2" xfId="47633"/>
    <cellStyle name="Border Thin 7 2 4 3 2" xfId="47634"/>
    <cellStyle name="Bold/Border 6 2 4 3 2" xfId="47635"/>
    <cellStyle name="Afjusted 7 2 4 3 2" xfId="47636"/>
    <cellStyle name="ac 6 2 4 3 2" xfId="47637"/>
    <cellStyle name="Style 44 8 2 4 3 2" xfId="47638"/>
    <cellStyle name="Style 45 8 2 4 3 2" xfId="47639"/>
    <cellStyle name="Style 49 8 2 4 3 2" xfId="47640"/>
    <cellStyle name="Style 51 8 2 4 3 2" xfId="47641"/>
    <cellStyle name="Title [Palat] 6 2 4 3 2" xfId="47642"/>
    <cellStyle name="Title [Helv] 5 2 4 3 2" xfId="47643"/>
    <cellStyle name="Table Head Green 7 2 4 3 2" xfId="47644"/>
    <cellStyle name="Table Head Aligned 5 2 4 3 2" xfId="47645"/>
    <cellStyle name="Outputs 7 2 4 3 2" xfId="47646"/>
    <cellStyle name="Magic 5 2 4 3 2" xfId="47647"/>
    <cellStyle name="Heading [Palat] 7 2 4 3 2" xfId="47648"/>
    <cellStyle name="Heading [Helv] 7 2 4 3 2" xfId="47649"/>
    <cellStyle name="dp*SheetSubTitle 5 2 4 3 2" xfId="47650"/>
    <cellStyle name="dp*NumberLineEPS 5 2 4 3 2" xfId="47651"/>
    <cellStyle name="dp*NumberLine 5 2 4 3 2" xfId="47652"/>
    <cellStyle name="Date [mmm-yyyy] 5 2 4 3 2" xfId="47653"/>
    <cellStyle name="COL HEADINGS 7 2 4 3 2" xfId="47654"/>
    <cellStyle name="Bold/Border 7 2 4 3 2" xfId="47655"/>
    <cellStyle name="Afjusted 8 2 4 3 2" xfId="47656"/>
    <cellStyle name="ac 7 2 4 3 2" xfId="47657"/>
    <cellStyle name="Title [Palat] 7 2 4 3 2" xfId="47658"/>
    <cellStyle name="Title [Helv] 6 2 4 3 2" xfId="47659"/>
    <cellStyle name="Table Head Green 8 2 4 3 2" xfId="47660"/>
    <cellStyle name="Table Head Aligned 6 2 4 3 2" xfId="47661"/>
    <cellStyle name="Outputs 8 2 4 3 2" xfId="47662"/>
    <cellStyle name="Magic 6 2 4 3 2" xfId="47663"/>
    <cellStyle name="Heading [Palat] 8 2 4 3 2" xfId="47664"/>
    <cellStyle name="Heading [Helv] 8 2 4 3 2" xfId="47665"/>
    <cellStyle name="dp*SheetSubTitle 6 2 4 3 2" xfId="47666"/>
    <cellStyle name="dp*NumberLineEPS 6 2 4 3 2" xfId="47667"/>
    <cellStyle name="dp*NumberLine 6 2 4 3 2" xfId="47668"/>
    <cellStyle name="COL HEADINGS 8 2 4 3 2" xfId="47669"/>
    <cellStyle name="Bold/Border 8 2 4 3 2" xfId="47670"/>
    <cellStyle name="Afjusted 9 2 4 3 2" xfId="47671"/>
    <cellStyle name="ac 8 2 4 3 2" xfId="47672"/>
    <cellStyle name="Date [mmm-yyyy] 6 2 4 3 2" xfId="47673"/>
    <cellStyle name="Title [Palat] 8 2 4 3 2" xfId="47674"/>
    <cellStyle name="Title [Helv] 7 2 4 3 2" xfId="47675"/>
    <cellStyle name="Table Head Green 9 2 4 3 2" xfId="47676"/>
    <cellStyle name="Table Head Aligned 7 2 4 3 2" xfId="47677"/>
    <cellStyle name="Outputs 9 2 4 3 2" xfId="47678"/>
    <cellStyle name="Magic 7 2 4 3 2" xfId="47679"/>
    <cellStyle name="Heading [Palat] 9 2 4 3 2" xfId="47680"/>
    <cellStyle name="Heading [Helv] 9 2 4 3 2" xfId="47681"/>
    <cellStyle name="dp*SheetSubTitle 7 2 4 3 2" xfId="47682"/>
    <cellStyle name="dp*NumberLineEPS 7 2 4 3 2" xfId="47683"/>
    <cellStyle name="dp*NumberLine 7 2 4 3 2" xfId="47684"/>
    <cellStyle name="Date [mmm-yyyy] 7 2 4 3 2" xfId="47685"/>
    <cellStyle name="COL HEADINGS 9 2 4 3 2" xfId="47686"/>
    <cellStyle name="Bold/Border 9 2 4 3 2" xfId="47687"/>
    <cellStyle name="Afjusted 10 2 4 3 2" xfId="47688"/>
    <cellStyle name="ac 9 2 4 3 2" xfId="47689"/>
    <cellStyle name="Afjusted 3 8 2 3" xfId="47690"/>
    <cellStyle name="Bold/Border 2 2 2 2 4 2 3" xfId="47691"/>
    <cellStyle name="Outputs 2 9 2 3" xfId="47692"/>
    <cellStyle name="Table Head Green 2 2 3 2 4 2 3" xfId="47693"/>
    <cellStyle name="Title [Helv] 2 2 2 9 3" xfId="47694"/>
    <cellStyle name="PB Table Standard Row 5 4 2 3" xfId="47695"/>
    <cellStyle name="Outputs 4 4 2 3" xfId="47696"/>
    <cellStyle name="Heading [Palat] 4 4 2 3" xfId="47697"/>
    <cellStyle name="Heading [Helv] 4 4 2 3" xfId="47698"/>
    <cellStyle name="COL HEADINGS 4 4 2 3" xfId="47699"/>
    <cellStyle name="Border Thin 5 4 2 3" xfId="47700"/>
    <cellStyle name="Title [Helv] 2 4 4 2 3" xfId="47701"/>
    <cellStyle name="Style 51 2 4 4 2 3" xfId="47702"/>
    <cellStyle name="dp*SheetSubTitle 2 2 3 4 7 3" xfId="47703"/>
    <cellStyle name="ac 3 4 2 3" xfId="47704"/>
    <cellStyle name="Afjusted 5 4 2 3" xfId="47705"/>
    <cellStyle name="COL HEADINGS 3 4 2 3" xfId="47706"/>
    <cellStyle name="Date [mmm-yyyy] 4 7 3" xfId="47707"/>
    <cellStyle name="Table Head Green 3 4 2 3" xfId="47708"/>
    <cellStyle name="Style 51 5 4 2 3" xfId="47709"/>
    <cellStyle name="Style 49 5 4 2 3" xfId="47710"/>
    <cellStyle name="Style 45 5 4 2 3" xfId="47711"/>
    <cellStyle name="Style 44 5 4 2 3" xfId="47712"/>
    <cellStyle name="dp*ThinLineBelow 4 4 2 3" xfId="47713"/>
    <cellStyle name="Title [Helv] 2 2 2 4 4 2 3" xfId="47714"/>
    <cellStyle name="Outputs 2 2 2 4 4 2 3" xfId="47715"/>
    <cellStyle name="Magic 2 2 2 4 4 2 3" xfId="47716"/>
    <cellStyle name="dp*NumberLine 2 2 2 4 4 2 3" xfId="47717"/>
    <cellStyle name="Bold/Border 2 2 2 4 4 2 3" xfId="47718"/>
    <cellStyle name="Afjusted 2 2 2 4 4 2 3" xfId="47719"/>
    <cellStyle name="Border Thin 3 2 4 4 2 3" xfId="47720"/>
    <cellStyle name="dp*SubTitle 3 2 4 4 2 3" xfId="47721"/>
    <cellStyle name="Style 45 4 2 4 4 2 3" xfId="47722"/>
    <cellStyle name="Style 49 4 2 4 4 2 3" xfId="47723"/>
    <cellStyle name="Style 51 4 2 4 4 2 3" xfId="47724"/>
    <cellStyle name="Title [Palat] 2 2 2 3 4 2 3" xfId="47725"/>
    <cellStyle name="Title [Helv] 2 2 2 3 4 2 3" xfId="47726"/>
    <cellStyle name="Table Head Green 2 2 2 3 4 2 3" xfId="47727"/>
    <cellStyle name="Outputs 2 2 2 3 4 2 3" xfId="47728"/>
    <cellStyle name="Heading [Helv] 2 2 2 3 4 2 3" xfId="47729"/>
    <cellStyle name="dp*NumberLine 2 2 2 3 4 2 3" xfId="47730"/>
    <cellStyle name="Bold/Border 2 2 2 3 4 2 3" xfId="47731"/>
    <cellStyle name="Afjusted 4 2 3 4 2 3" xfId="47732"/>
    <cellStyle name="dp*ThinLineBelow 3 2 3 4 2 3" xfId="47733"/>
    <cellStyle name="Style 44 4 2 3 4 2 3" xfId="47734"/>
    <cellStyle name="Style 51 4 2 3 4 2 3" xfId="47735"/>
    <cellStyle name="Date [mm-d-yyyy] 2 2 3 4 2 3" xfId="47736"/>
    <cellStyle name="dp*ThinLineBelow 3 5 4 2 3" xfId="47737"/>
    <cellStyle name="Table Head Green 2 2 2 2 4 2 3" xfId="47738"/>
    <cellStyle name="Table Head Aligned 2 2 2 2 4 2 3" xfId="47739"/>
    <cellStyle name="Outputs 2 2 2 2 4 2 3" xfId="47740"/>
    <cellStyle name="Magic 2 2 2 2 4 2 3" xfId="47741"/>
    <cellStyle name="dp*ThinLineBelow 3 2 2 4 2 3" xfId="47742"/>
    <cellStyle name="dp*SubTitle 3 3 2 4 2 3" xfId="47743"/>
    <cellStyle name="Afjusted 2 2 3 2 4 2 3" xfId="47744"/>
    <cellStyle name="dp*NumberLineEPS 2 2 2 7 2 3" xfId="47745"/>
    <cellStyle name="dp*NumberLine 2 2 2 7 2 3" xfId="47746"/>
    <cellStyle name="Date [mmm-yyyy] 2 2 2 7 2 3" xfId="47747"/>
    <cellStyle name="COL HEADINGS 2 2 2 7 2 3" xfId="47748"/>
    <cellStyle name="ac 2 2 2 7 2 3" xfId="47749"/>
    <cellStyle name="Afjusted 4 2 7 2 3" xfId="47750"/>
    <cellStyle name="Date [mm-d-yyyy] 3 2 7 2 3" xfId="47751"/>
    <cellStyle name="Afjusted 3 3 7 2 3" xfId="47752"/>
    <cellStyle name="Style 49 4 3 7 2 3" xfId="47753"/>
    <cellStyle name="P-Green Rule 3 3 7 2 3" xfId="47754"/>
    <cellStyle name="dp*SubTitle 3 3 7 2 3" xfId="47755"/>
    <cellStyle name="Border Thin 3 3 7 2 3" xfId="47756"/>
    <cellStyle name="Style 49 8 7 3" xfId="47757"/>
    <cellStyle name="Afjusted 2 2 3 7 2 3" xfId="47758"/>
    <cellStyle name="Date [mmm-yyyy] 2 2 3 7 2 3" xfId="47759"/>
    <cellStyle name="dp*NumberLine 2 2 3 7 2 3" xfId="47760"/>
    <cellStyle name="dp*NumberLineEPS 2 2 3 7 2 3" xfId="47761"/>
    <cellStyle name="dp*SheetSubTitle 2 2 3 7 2 3" xfId="47762"/>
    <cellStyle name="Heading [Helv] 2 2 3 7 2 3" xfId="47763"/>
    <cellStyle name="Heading [Palat] 2 2 3 7 2 3" xfId="47764"/>
    <cellStyle name="Magic 2 2 3 7 2 3" xfId="47765"/>
    <cellStyle name="Outputs 2 2 3 7 2 3" xfId="47766"/>
    <cellStyle name="Table Head Aligned 2 2 3 7 2 3" xfId="47767"/>
    <cellStyle name="Table Head Green 2 2 3 7 2 3" xfId="47768"/>
    <cellStyle name="PB Table Standard Row 3 3 4 4 2 3" xfId="47769"/>
    <cellStyle name="Style 44 4 3 4 4 2 3" xfId="47770"/>
    <cellStyle name="Afjusted 4 4 4 2 3" xfId="47771"/>
    <cellStyle name="dp*SubTitle 3 3 4 4 2 3" xfId="47772"/>
    <cellStyle name="dp*ThinLineBelow 3 3 4 4 2 3" xfId="47773"/>
    <cellStyle name="Style 44 4 4 4 2 3" xfId="47774"/>
    <cellStyle name="Style 51 4 4 4 2 3" xfId="47775"/>
    <cellStyle name="Date [mm-d-yyyy] 3 4 4 2 3" xfId="47776"/>
    <cellStyle name="Date [mm-d-yyyy] 3 3 3 4 2 3" xfId="47777"/>
    <cellStyle name="P-Green Rule 3 3 3 4 2 3" xfId="47778"/>
    <cellStyle name="dp*SheetSubTitle 2 2 3 3 4 2 3" xfId="47779"/>
    <cellStyle name="Heading [Palat] 2 2 3 3 4 2 3" xfId="47780"/>
    <cellStyle name="Table Head Green 2 2 3 3 4 2 3" xfId="47781"/>
    <cellStyle name="Table Head Green 2 2 4 4 2 3" xfId="47782"/>
    <cellStyle name="Table Head Aligned 2 2 4 4 2 3" xfId="47783"/>
    <cellStyle name="Heading [Helv] 2 2 4 4 2 3" xfId="47784"/>
    <cellStyle name="Style 51 2 3 4 2 3" xfId="47785"/>
    <cellStyle name="Style 49 3 3 4 2 3" xfId="47786"/>
    <cellStyle name="Border Thin 2 3 4 2 3" xfId="47787"/>
    <cellStyle name="P-Green Rule 3 3 4 4 2 3" xfId="47788"/>
    <cellStyle name="Afjusted 3 4 4 2 3" xfId="47789"/>
    <cellStyle name="Style 51 4 3 4 4 2 3" xfId="47790"/>
    <cellStyle name="Table Head Aligned 2 3 4 2 3" xfId="47791"/>
    <cellStyle name="Outputs 2 3 4 2 3" xfId="47792"/>
    <cellStyle name="Magic 2 3 4 2 3" xfId="47793"/>
    <cellStyle name="Heading [Palat] 2 3 4 2 3" xfId="47794"/>
    <cellStyle name="Heading [Helv] 2 3 4 2 3" xfId="47795"/>
    <cellStyle name="dp*SheetSubTitle 2 3 4 2 3" xfId="47796"/>
    <cellStyle name="dp*NumberLineEPS 2 3 4 2 3" xfId="47797"/>
    <cellStyle name="dp*SubTitle 3 5 4 2 3" xfId="47798"/>
    <cellStyle name="P-Green Rule 3 5 4 2 3" xfId="47799"/>
    <cellStyle name="Style 44 4 5 4 2 3" xfId="47800"/>
    <cellStyle name="Style 49 4 5 4 2 3" xfId="47801"/>
    <cellStyle name="Afjusted 3 3 3 4 2 3" xfId="47802"/>
    <cellStyle name="Style 51 4 3 3 4 2 3" xfId="47803"/>
    <cellStyle name="Style 44 4 3 3 4 2 3" xfId="47804"/>
    <cellStyle name="Afjusted 4 3 3 4 2 3" xfId="47805"/>
    <cellStyle name="dp*NumberLineEPS 2 2 3 3 4 2 3" xfId="47806"/>
    <cellStyle name="Table Head Aligned 2 2 3 3 4 2 3" xfId="47807"/>
    <cellStyle name="Title [Helv] 2 2 3 3 4 2 3" xfId="47808"/>
    <cellStyle name="Title [Palat] 2 2 3 3 4 2 3" xfId="47809"/>
    <cellStyle name="Magic 2 2 4 4 2 3" xfId="47810"/>
    <cellStyle name="dp*SheetSubTitle 2 2 4 4 2 3" xfId="47811"/>
    <cellStyle name="dp*NumberLineEPS 2 2 4 4 2 3" xfId="47812"/>
    <cellStyle name="dp*NumberLine 2 2 4 4 2 3" xfId="47813"/>
    <cellStyle name="Date [mmm-yyyy] 2 2 4 4 2 3" xfId="47814"/>
    <cellStyle name="COL HEADINGS 2 2 4 4 2 3" xfId="47815"/>
    <cellStyle name="Bold/Border 2 2 4 4 2 3" xfId="47816"/>
    <cellStyle name="Outputs 2 2 3 4 4 2 3" xfId="47817"/>
    <cellStyle name="Heading [Helv] 2 2 3 4 4 2 3" xfId="47818"/>
    <cellStyle name="dp*NumberLine 2 2 3 4 4 2 3" xfId="47819"/>
    <cellStyle name="Date [mmm-yyyy] 2 2 3 4 4 2 3" xfId="47820"/>
    <cellStyle name="Afjusted 2 2 3 4 4 2 3" xfId="47821"/>
    <cellStyle name="Date [mm-d-yyyy] 3 3 4 4 2 3" xfId="47822"/>
    <cellStyle name="Style 49 4 3 4 4 2 3" xfId="47823"/>
    <cellStyle name="dp*ThinLineBelow 2 3 4 2 3" xfId="47824"/>
    <cellStyle name="PB Table Standard Row 2 2 4 2 3" xfId="47825"/>
    <cellStyle name="Style 45 3 2 4 2 3" xfId="47826"/>
    <cellStyle name="Style 44 2 2 4 2 3" xfId="47827"/>
    <cellStyle name="Style 51 2 2 4 2 3" xfId="47828"/>
    <cellStyle name="Afjusted 6 7 3" xfId="47829"/>
    <cellStyle name="Border Thin 2 2 4 2 3" xfId="47830"/>
    <cellStyle name="dp*SubTitle 2 2 4 2 3" xfId="47831"/>
    <cellStyle name="Outputs 2 2 2 9 3" xfId="47832"/>
    <cellStyle name="Title [Palat] 2 2 7 2 3" xfId="47833"/>
    <cellStyle name="Outputs 2 2 7 2 3" xfId="47834"/>
    <cellStyle name="Magic 2 2 7 2 3" xfId="47835"/>
    <cellStyle name="dp*NumberLineEPS 2 2 7 2 3" xfId="47836"/>
    <cellStyle name="Date [mmm-yyyy] 2 2 7 2 3" xfId="47837"/>
    <cellStyle name="Date [mm-d-yyyy] 3 3 9 3" xfId="47838"/>
    <cellStyle name="Heading [Helv] 2 2 2 9 3" xfId="47839"/>
    <cellStyle name="Title [Helv] 2 8 2 3" xfId="47840"/>
    <cellStyle name="Table Head Green 2 9 2 3" xfId="47841"/>
    <cellStyle name="Table Head Aligned 2 8 2 3" xfId="47842"/>
    <cellStyle name="Style 45 3 9 3" xfId="47843"/>
    <cellStyle name="Heading [Palat] 2 11 3" xfId="47844"/>
    <cellStyle name="COL HEADINGS 2 9 2 3" xfId="47845"/>
    <cellStyle name="Table Head Aligned 2 2 3 2 4 2 3" xfId="47846"/>
    <cellStyle name="Magic 3 4 2 3" xfId="47847"/>
    <cellStyle name="Style 49 3 8 2 3" xfId="47848"/>
    <cellStyle name="Table Head Aligned 3 4 2 3" xfId="47849"/>
    <cellStyle name="Heading [Palat] 2 2 2 2 4 2 3" xfId="47850"/>
    <cellStyle name="dp*SubTitle 2 3 4 2 3" xfId="47851"/>
    <cellStyle name="Date [mm-d-yyyy] 2 2 6 2 3" xfId="47852"/>
    <cellStyle name="Title [Helv] 2 2 2 7 2 3" xfId="47853"/>
    <cellStyle name="Date [mm-d-yyyy] 2 4 2 3" xfId="47854"/>
    <cellStyle name="dp*NumberLine 2 8 2 3" xfId="47855"/>
    <cellStyle name="Afjusted 3 7 2 3" xfId="47856"/>
    <cellStyle name="Date [mmm-yyyy] 2 2 3 4 7 3" xfId="47857"/>
    <cellStyle name="ac 2 8 2 3" xfId="47858"/>
    <cellStyle name="Afjusted 2 6 2 3" xfId="47859"/>
    <cellStyle name="Bold/Border 2 8 2 3" xfId="47860"/>
    <cellStyle name="COL HEADINGS 2 8 2 3" xfId="47861"/>
    <cellStyle name="Border Thin 3 3 2 4 2 3" xfId="47862"/>
    <cellStyle name="Date [mmm-yyyy] 2 7 2 3" xfId="47863"/>
    <cellStyle name="Style 45 4 3 3 4 2 3" xfId="47864"/>
    <cellStyle name="dp*NumberLine 2 3 4 2 3" xfId="47865"/>
    <cellStyle name="dp*NumberLine 2 7 2 3" xfId="47866"/>
    <cellStyle name="dp*NumberLineEPS 2 7 2 3" xfId="47867"/>
    <cellStyle name="dp*SheetSubTitle 2 7 2 3" xfId="47868"/>
    <cellStyle name="Afjusted 4 5 4 2 3" xfId="47869"/>
    <cellStyle name="dp*ThinLineBelow 2 6 2 3" xfId="47870"/>
    <cellStyle name="Heading [Helv] 2 8 2 3" xfId="47871"/>
    <cellStyle name="Heading [Palat] 2 8 2 3" xfId="47872"/>
    <cellStyle name="COL HEADINGS 4 7 3" xfId="47873"/>
    <cellStyle name="Magic 2 7 2 3" xfId="47874"/>
    <cellStyle name="COL HEADINGS 2 3 4 2 3" xfId="47875"/>
    <cellStyle name="dp*NumberLine 2 2 3 3 4 2 3" xfId="47876"/>
    <cellStyle name="Outputs 2 8 2 3" xfId="47877"/>
    <cellStyle name="P-Green Rule 2 7 2 3" xfId="47878"/>
    <cellStyle name="Style 44 3 7 2 3" xfId="47879"/>
    <cellStyle name="Style 45 3 7 2 3" xfId="47880"/>
    <cellStyle name="Style 49 3 7 2 3" xfId="47881"/>
    <cellStyle name="Style 51 3 7 2 3" xfId="47882"/>
    <cellStyle name="Style 44 2 7 2 3" xfId="47883"/>
    <cellStyle name="Style 45 2 7 2 3" xfId="47884"/>
    <cellStyle name="Style 49 2 7 2 3" xfId="47885"/>
    <cellStyle name="Style 51 2 7 2 3" xfId="47886"/>
    <cellStyle name="Table Head Aligned 2 7 2 3" xfId="47887"/>
    <cellStyle name="Table Head Green 2 8 2 3" xfId="47888"/>
    <cellStyle name="Title [Helv] 2 7 2 3" xfId="47889"/>
    <cellStyle name="Title [Palat] 2 8 2 3" xfId="47890"/>
    <cellStyle name="Magic 2 8 2 3" xfId="47891"/>
    <cellStyle name="Date [mmm-yyyy] 2 8 2 3" xfId="47892"/>
    <cellStyle name="Magic 2 2 2 7 2 3" xfId="47893"/>
    <cellStyle name="Title [Palat] 2 2 3 2 4 2 3" xfId="47894"/>
    <cellStyle name="ac 2 9 2 3" xfId="47895"/>
    <cellStyle name="Heading [Palat] 2 2 2 7 2 3" xfId="47896"/>
    <cellStyle name="ac 6 7 3" xfId="47897"/>
    <cellStyle name="Bold/Border 5 7 3" xfId="47898"/>
    <cellStyle name="dp*ThinLineBelow 2 5 7 3" xfId="47899"/>
    <cellStyle name="Outputs 2 2 9 3" xfId="47900"/>
    <cellStyle name="Date [mmm-yyyy] 2 2 9 3" xfId="47901"/>
    <cellStyle name="COL HEADINGS 2 11 3" xfId="47902"/>
    <cellStyle name="dp*SheetSubTitle 2 2 2 7 2 3" xfId="47903"/>
    <cellStyle name="ac 2 2 3 7 2 3" xfId="47904"/>
    <cellStyle name="dp*SubTitle 3 7 2 3" xfId="47905"/>
    <cellStyle name="Bold/Border 2 3 4 2 3" xfId="47906"/>
    <cellStyle name="Style 49 4 3 3 4 2 3" xfId="47907"/>
    <cellStyle name="Title [Palat] 2 3 4 2 3" xfId="47908"/>
    <cellStyle name="Border Thin 3 7 2 3" xfId="47909"/>
    <cellStyle name="dp*SheetSubTitle 2 2 2 2 4 2 3" xfId="47910"/>
    <cellStyle name="dp*NumberLineEPS 2 2 2 2 4 2 3" xfId="47911"/>
    <cellStyle name="Afjusted 4 7 2 3" xfId="47912"/>
    <cellStyle name="Bold/Border 4 4 2 3" xfId="47913"/>
    <cellStyle name="ac 2 2 6 2 3" xfId="47914"/>
    <cellStyle name="Afjusted 2 2 7 2 3" xfId="47915"/>
    <cellStyle name="Bold/Border 2 2 6 2 3" xfId="47916"/>
    <cellStyle name="COL HEADINGS 2 2 6 2 3" xfId="47917"/>
    <cellStyle name="Date [mmm-yyyy] 2 2 6 2 3" xfId="47918"/>
    <cellStyle name="Style 45 4 3 4 4 2 3" xfId="47919"/>
    <cellStyle name="dp*SubTitle 3 3 3 4 2 3" xfId="47920"/>
    <cellStyle name="Date [mmm-yyyy] 2 3 4 2 3" xfId="47921"/>
    <cellStyle name="dp*NumberLine 2 2 6 2 3" xfId="47922"/>
    <cellStyle name="dp*NumberLineEPS 2 2 6 2 3" xfId="47923"/>
    <cellStyle name="dp*SheetSubTitle 2 2 6 2 3" xfId="47924"/>
    <cellStyle name="Heading [Helv] 2 2 6 2 3" xfId="47925"/>
    <cellStyle name="Heading [Palat] 2 2 6 2 3" xfId="47926"/>
    <cellStyle name="Magic 2 2 6 2 3" xfId="47927"/>
    <cellStyle name="Outputs 2 2 6 2 3" xfId="47928"/>
    <cellStyle name="Table Head Aligned 2 2 6 2 3" xfId="47929"/>
    <cellStyle name="Table Head Green 2 2 6 2 3" xfId="47930"/>
    <cellStyle name="Title [Helv] 2 2 6 2 3" xfId="47931"/>
    <cellStyle name="Title [Palat] 2 2 6 2 3" xfId="47932"/>
    <cellStyle name="Date [mmm-yyyy] 2 2 2 2 4 2 3" xfId="47933"/>
    <cellStyle name="COL HEADINGS 2 2 2 2 4 2 3" xfId="47934"/>
    <cellStyle name="dp*NumberLine 2 2 2 2 4 2 3" xfId="47935"/>
    <cellStyle name="Date [mm-d-yyyy] 2 5 2 3" xfId="47936"/>
    <cellStyle name="PB Table Standard Row 3 2 2 4 2 3" xfId="47937"/>
    <cellStyle name="Afjusted 2 2 2 2 4 2 3" xfId="47938"/>
    <cellStyle name="ac 2 2 2 2 4 2 3" xfId="47939"/>
    <cellStyle name="Afjusted 4 2 2 4 2 3" xfId="47940"/>
    <cellStyle name="Style 45 3 3 4 2 3" xfId="47941"/>
    <cellStyle name="Style 49 2 3 4 2 3" xfId="47942"/>
    <cellStyle name="Style 51 3 3 4 2 3" xfId="47943"/>
    <cellStyle name="Border Thin 3 5 4 2 3" xfId="47944"/>
    <cellStyle name="Afjusted 3 5 4 2 3" xfId="47945"/>
    <cellStyle name="Style 45 2 3 4 2 3" xfId="47946"/>
    <cellStyle name="Style 44 2 3 4 2 3" xfId="47947"/>
    <cellStyle name="Style 45 4 2 2 4 2 3" xfId="47948"/>
    <cellStyle name="Outputs 2 4 5 2 3" xfId="47949"/>
    <cellStyle name="dp*SubTitle 2 2 3 2 3" xfId="47950"/>
    <cellStyle name="Border Thin 2 2 3 2 3" xfId="47951"/>
    <cellStyle name="P-Green Rule 2 3 4 2 3" xfId="47952"/>
    <cellStyle name="Date [mm-d-yyyy] 2 2 2 4 2 3" xfId="47953"/>
    <cellStyle name="dp*ThinLineBelow 2 4 4 2 3" xfId="47954"/>
    <cellStyle name="dp*NumberLineEPS 2 4 4 2 3" xfId="47955"/>
    <cellStyle name="COL HEADINGS 2 4 4 2 3" xfId="47956"/>
    <cellStyle name="Afjusted 2 3 4 2 3" xfId="47957"/>
    <cellStyle name="Bold/Border 2 2 3 4 3 2 3" xfId="47958"/>
    <cellStyle name="Magic 2 2 3 4 3 2 3" xfId="47959"/>
    <cellStyle name="Title [Helv] 2 2 3 4 3 2 3" xfId="47960"/>
    <cellStyle name="Style 51 2 2 3 2 3" xfId="47961"/>
    <cellStyle name="Style 45 2 2 3 2 3" xfId="47962"/>
    <cellStyle name="Style 49 2 2 3 2 3" xfId="47963"/>
    <cellStyle name="Style 44 2 2 3 2 3" xfId="47964"/>
    <cellStyle name="Style 51 3 2 3 2 3" xfId="47965"/>
    <cellStyle name="Style 49 3 2 3 2 3" xfId="47966"/>
    <cellStyle name="Style 45 3 2 3 2 3" xfId="47967"/>
    <cellStyle name="Style 44 3 2 3 2 3" xfId="47968"/>
    <cellStyle name="P-Green Rule 2 2 3 2 3" xfId="47969"/>
    <cellStyle name="PB Table Standard Row 2 2 3 2 3" xfId="47970"/>
    <cellStyle name="dp*ThinLineBelow 2 2 3 2 3" xfId="47971"/>
    <cellStyle name="dp*ThinLineBelow 2 3 3 2 3" xfId="47972"/>
    <cellStyle name="Style 44 3 3 3 2 3" xfId="47973"/>
    <cellStyle name="COL HEADINGS 2 2 3 4 3 2 3" xfId="47974"/>
    <cellStyle name="Style 49 4 3 4 3 2 3" xfId="47975"/>
    <cellStyle name="Date [mm-d-yyyy] 3 2 2 4 2 3" xfId="47976"/>
    <cellStyle name="Afjusted 3 3 4 3 2 3" xfId="47977"/>
    <cellStyle name="Date [mm-d-yyyy] 3 3 4 3 2 3" xfId="47978"/>
    <cellStyle name="Afjusted 4 3 4 3 2 3" xfId="47979"/>
    <cellStyle name="ac 2 2 3 4 3 2 3" xfId="47980"/>
    <cellStyle name="Afjusted 2 2 3 4 3 2 3" xfId="47981"/>
    <cellStyle name="Date [mmm-yyyy] 2 2 3 4 3 2 3" xfId="47982"/>
    <cellStyle name="dp*NumberLine 2 2 3 4 3 2 3" xfId="47983"/>
    <cellStyle name="dp*NumberLineEPS 2 2 3 4 3 2 3" xfId="47984"/>
    <cellStyle name="dp*SheetSubTitle 2 2 3 4 3 2 3" xfId="47985"/>
    <cellStyle name="Heading [Helv] 2 2 3 4 3 2 3" xfId="47986"/>
    <cellStyle name="Outputs 2 2 3 4 3 2 3" xfId="47987"/>
    <cellStyle name="Table Head Aligned 2 2 3 4 3 2 3" xfId="47988"/>
    <cellStyle name="Title [Palat] 2 2 3 4 3 2 3" xfId="47989"/>
    <cellStyle name="Afjusted 3 5 3 2 3" xfId="47990"/>
    <cellStyle name="Style 45 3 3 3 2 3" xfId="47991"/>
    <cellStyle name="Style 51 3 3 3 2 3" xfId="47992"/>
    <cellStyle name="Style 44 2 3 3 2 3" xfId="47993"/>
    <cellStyle name="Style 45 2 3 3 2 3" xfId="47994"/>
    <cellStyle name="Style 49 2 3 3 2 3" xfId="47995"/>
    <cellStyle name="Border Thin 3 5 3 2 3" xfId="47996"/>
    <cellStyle name="ac 2 2 4 3 2 3" xfId="47997"/>
    <cellStyle name="Afjusted 2 2 5 3 2 3" xfId="47998"/>
    <cellStyle name="Bold/Border 2 2 4 3 2 3" xfId="47999"/>
    <cellStyle name="COL HEADINGS 2 2 4 3 2 3" xfId="48000"/>
    <cellStyle name="Date [mmm-yyyy] 2 2 4 3 2 3" xfId="48001"/>
    <cellStyle name="dp*NumberLine 2 2 4 3 2 3" xfId="48002"/>
    <cellStyle name="dp*NumberLineEPS 2 2 4 3 2 3" xfId="48003"/>
    <cellStyle name="dp*SheetSubTitle 2 2 4 3 2 3" xfId="48004"/>
    <cellStyle name="Heading [Palat] 2 2 4 3 2 3" xfId="48005"/>
    <cellStyle name="Outputs 2 2 4 3 2 3" xfId="48006"/>
    <cellStyle name="Magic 2 2 4 3 2 3" xfId="48007"/>
    <cellStyle name="Title [Helv] 2 2 4 3 2 3" xfId="48008"/>
    <cellStyle name="Title [Palat] 2 2 4 3 2 3" xfId="48009"/>
    <cellStyle name="Title [Palat] 2 2 3 3 3 2 3" xfId="48010"/>
    <cellStyle name="Title [Helv] 2 2 3 3 3 2 3" xfId="48011"/>
    <cellStyle name="Table Head Aligned 2 2 3 3 3 2 3" xfId="48012"/>
    <cellStyle name="Magic 2 2 3 3 3 2 3" xfId="48013"/>
    <cellStyle name="Heading [Helv] 2 2 3 3 3 2 3" xfId="48014"/>
    <cellStyle name="dp*NumberLineEPS 2 2 3 3 3 2 3" xfId="48015"/>
    <cellStyle name="COL HEADINGS 2 2 3 3 3 2 3" xfId="48016"/>
    <cellStyle name="ac 2 2 3 3 3 2 3" xfId="48017"/>
    <cellStyle name="Afjusted 4 3 3 3 2 3" xfId="48018"/>
    <cellStyle name="Border Thin 3 3 3 3 2 3" xfId="48019"/>
    <cellStyle name="PB Table Standard Row 3 3 3 3 2 3" xfId="48020"/>
    <cellStyle name="Style 44 4 3 3 3 2 3" xfId="48021"/>
    <cellStyle name="Style 51 4 3 3 3 2 3" xfId="48022"/>
    <cellStyle name="Afjusted 3 3 3 3 2 3" xfId="48023"/>
    <cellStyle name="Style 49 4 5 3 2 3" xfId="48024"/>
    <cellStyle name="Style 44 4 5 3 2 3" xfId="48025"/>
    <cellStyle name="P-Green Rule 3 5 3 2 3" xfId="48026"/>
    <cellStyle name="dp*SubTitle 3 5 3 2 3" xfId="48027"/>
    <cellStyle name="Afjusted 4 5 3 2 3" xfId="48028"/>
    <cellStyle name="P-Green Rule 2 4 5 2 3" xfId="48029"/>
    <cellStyle name="dp*SheetSubTitle 2 8 2 3" xfId="48030"/>
    <cellStyle name="ac 2 3 3 2 3" xfId="48031"/>
    <cellStyle name="Bold/Border 2 3 3 2 3" xfId="48032"/>
    <cellStyle name="COL HEADINGS 2 3 3 2 3" xfId="48033"/>
    <cellStyle name="Date [mmm-yyyy] 2 3 3 2 3" xfId="48034"/>
    <cellStyle name="dp*NumberLine 2 3 3 2 3" xfId="48035"/>
    <cellStyle name="dp*NumberLineEPS 2 3 3 2 3" xfId="48036"/>
    <cellStyle name="dp*SheetSubTitle 2 3 3 2 3" xfId="48037"/>
    <cellStyle name="Heading [Helv] 2 3 3 2 3" xfId="48038"/>
    <cellStyle name="Heading [Palat] 2 3 3 2 3" xfId="48039"/>
    <cellStyle name="Magic 2 3 3 2 3" xfId="48040"/>
    <cellStyle name="Outputs 2 3 3 2 3" xfId="48041"/>
    <cellStyle name="Date [mmm-yyyy] 2 2 3 3 3 2 3" xfId="48042"/>
    <cellStyle name="Afjusted 2 2 3 3 3 2 3" xfId="48043"/>
    <cellStyle name="dp*ThinLineBelow 3 3 3 3 2 3" xfId="48044"/>
    <cellStyle name="Style 49 4 3 3 3 2 3" xfId="48045"/>
    <cellStyle name="Outputs 2 2 3 3 3 2 3" xfId="48046"/>
    <cellStyle name="dp*NumberLine 2 2 3 3 3 2 3" xfId="48047"/>
    <cellStyle name="Bold/Border 2 2 3 3 3 2 3" xfId="48048"/>
    <cellStyle name="dp*SubTitle 3 3 3 3 2 3" xfId="48049"/>
    <cellStyle name="Style 45 4 3 3 3 2 3" xfId="48050"/>
    <cellStyle name="Table Head Aligned 2 3 3 2 3" xfId="48051"/>
    <cellStyle name="Table Head Green 2 3 3 2 3" xfId="48052"/>
    <cellStyle name="Title [Helv] 2 3 3 2 3" xfId="48053"/>
    <cellStyle name="Title [Palat] 2 3 3 2 3" xfId="48054"/>
    <cellStyle name="Style 45 4 3 4 3 2 3" xfId="48055"/>
    <cellStyle name="Style 51 4 3 4 3 2 3" xfId="48056"/>
    <cellStyle name="Afjusted 3 4 3 2 3" xfId="48057"/>
    <cellStyle name="P-Green Rule 3 3 4 3 2 3" xfId="48058"/>
    <cellStyle name="Border Thin 2 3 3 2 3" xfId="48059"/>
    <cellStyle name="Style 49 3 3 3 2 3" xfId="48060"/>
    <cellStyle name="Style 51 2 3 3 2 3" xfId="48061"/>
    <cellStyle name="Heading [Helv] 2 2 4 3 2 3" xfId="48062"/>
    <cellStyle name="Table Head Aligned 2 2 4 3 2 3" xfId="48063"/>
    <cellStyle name="Table Head Green 2 2 4 3 2 3" xfId="48064"/>
    <cellStyle name="Table Head Green 2 2 3 3 3 2 3" xfId="48065"/>
    <cellStyle name="Heading [Palat] 2 2 3 3 3 2 3" xfId="48066"/>
    <cellStyle name="dp*SheetSubTitle 2 2 3 3 3 2 3" xfId="48067"/>
    <cellStyle name="P-Green Rule 3 3 3 3 2 3" xfId="48068"/>
    <cellStyle name="Date [mm-d-yyyy] 3 3 3 3 2 3" xfId="48069"/>
    <cellStyle name="Date [mm-d-yyyy] 3 4 3 2 3" xfId="48070"/>
    <cellStyle name="Style 51 4 4 3 2 3" xfId="48071"/>
    <cellStyle name="Style 49 4 4 3 2 3" xfId="48072"/>
    <cellStyle name="Style 45 4 4 3 2 3" xfId="48073"/>
    <cellStyle name="Style 44 4 4 3 2 3" xfId="48074"/>
    <cellStyle name="dp*ThinLineBelow 3 3 4 3 2 3" xfId="48075"/>
    <cellStyle name="P-Green Rule 3 4 3 2 3" xfId="48076"/>
    <cellStyle name="dp*ThinLineBelow 3 4 3 2 3" xfId="48077"/>
    <cellStyle name="dp*SubTitle 3 4 3 2 3" xfId="48078"/>
    <cellStyle name="dp*SubTitle 3 3 4 3 2 3" xfId="48079"/>
    <cellStyle name="Border Thin 3 4 3 2 3" xfId="48080"/>
    <cellStyle name="Border Thin 3 3 4 3 2 3" xfId="48081"/>
    <cellStyle name="Afjusted 4 4 3 2 3" xfId="48082"/>
    <cellStyle name="Afjusted 2 2 4 3 2 3" xfId="48083"/>
    <cellStyle name="Style 44 4 3 4 3 2 3" xfId="48084"/>
    <cellStyle name="PB Table Standard Row 3 3 4 3 2 3" xfId="48085"/>
    <cellStyle name="Title [Palat] 2 2 3 6 2 3" xfId="48086"/>
    <cellStyle name="Title [Helv] 2 2 3 6 2 3" xfId="48087"/>
    <cellStyle name="Table Head Green 2 2 3 6 2 3" xfId="48088"/>
    <cellStyle name="Table Head Aligned 2 2 3 6 2 3" xfId="48089"/>
    <cellStyle name="Outputs 2 2 3 6 2 3" xfId="48090"/>
    <cellStyle name="Magic 2 2 3 6 2 3" xfId="48091"/>
    <cellStyle name="Heading [Palat] 2 2 3 6 2 3" xfId="48092"/>
    <cellStyle name="Heading [Helv] 2 2 3 6 2 3" xfId="48093"/>
    <cellStyle name="dp*SheetSubTitle 2 2 3 6 2 3" xfId="48094"/>
    <cellStyle name="dp*NumberLineEPS 2 2 3 6 2 3" xfId="48095"/>
    <cellStyle name="dp*NumberLine 2 2 3 6 2 3" xfId="48096"/>
    <cellStyle name="Date [mmm-yyyy] 2 2 3 6 2 3" xfId="48097"/>
    <cellStyle name="COL HEADINGS 2 2 3 6 2 3" xfId="48098"/>
    <cellStyle name="Bold/Border 2 2 3 6 2 3" xfId="48099"/>
    <cellStyle name="Afjusted 2 2 3 6 2 3" xfId="48100"/>
    <cellStyle name="ac 2 2 3 6 2 3" xfId="48101"/>
    <cellStyle name="Afjusted 4 3 6 2 3" xfId="48102"/>
    <cellStyle name="Border Thin 3 3 6 2 3" xfId="48103"/>
    <cellStyle name="dp*SubTitle 3 3 6 2 3" xfId="48104"/>
    <cellStyle name="dp*ThinLineBelow 3 3 6 2 3" xfId="48105"/>
    <cellStyle name="PB Table Standard Row 3 3 6 2 3" xfId="48106"/>
    <cellStyle name="P-Green Rule 3 3 6 2 3" xfId="48107"/>
    <cellStyle name="Style 44 4 3 6 2 3" xfId="48108"/>
    <cellStyle name="Style 45 4 3 6 2 3" xfId="48109"/>
    <cellStyle name="Style 49 4 3 6 2 3" xfId="48110"/>
    <cellStyle name="Style 51 4 3 6 2 3" xfId="48111"/>
    <cellStyle name="Date [mm-d-yyyy] 3 3 6 2 3" xfId="48112"/>
    <cellStyle name="Title [Palat] 2 4 4 2 3" xfId="48113"/>
    <cellStyle name="Style 51 3 4 4 2 3" xfId="48114"/>
    <cellStyle name="Afjusted 3 3 6 2 3" xfId="48115"/>
    <cellStyle name="Border Thin 2 4 4 2 3" xfId="48116"/>
    <cellStyle name="Afjusted 4 2 4 4 2 3" xfId="48117"/>
    <cellStyle name="ac 2 2 4 4 2 3" xfId="48118"/>
    <cellStyle name="Date [mm-d-yyyy] 3 5 4 2 3" xfId="48119"/>
    <cellStyle name="Afjusted 3 3 2 4 2 3" xfId="48120"/>
    <cellStyle name="PB Table Standard Row 3 3 2 3 2 3" xfId="48121"/>
    <cellStyle name="P-Green Rule 3 3 2 4 2 3" xfId="48122"/>
    <cellStyle name="Date [mm-d-yyyy] 3 3 2 4 2 3" xfId="48123"/>
    <cellStyle name="ac 2 4 4 2 3" xfId="48124"/>
    <cellStyle name="Date [mm-d-yyyy] 2 2 5 2 3" xfId="48125"/>
    <cellStyle name="Afjusted 3 2 6 2 3" xfId="48126"/>
    <cellStyle name="dp*SubTitle 3 2 2 4 2 3" xfId="48127"/>
    <cellStyle name="Style 45 2 4 4 2 3" xfId="48128"/>
    <cellStyle name="P-Green Rule 2 4 4 2 3" xfId="48129"/>
    <cellStyle name="Style 51 4 5 4 2 3" xfId="48130"/>
    <cellStyle name="Date [mm-d-yyyy] 3 2 6 2 3" xfId="48131"/>
    <cellStyle name="Style 51 4 2 6 2 3" xfId="48132"/>
    <cellStyle name="Style 49 4 2 6 2 3" xfId="48133"/>
    <cellStyle name="Style 45 4 2 6 2 3" xfId="48134"/>
    <cellStyle name="Style 44 4 2 6 2 3" xfId="48135"/>
    <cellStyle name="Heading [Palat] 2 4 4 2 3" xfId="48136"/>
    <cellStyle name="P-Green Rule 3 2 6 2 3" xfId="48137"/>
    <cellStyle name="dp*ThinLineBelow 3 2 6 2 3" xfId="48138"/>
    <cellStyle name="dp*SubTitle 3 2 6 2 3" xfId="48139"/>
    <cellStyle name="dp*SubTitle 2 4 4 2 3" xfId="48140"/>
    <cellStyle name="Border Thin 3 2 6 2 3" xfId="48141"/>
    <cellStyle name="dp*NumberLine 2 4 4 2 3" xfId="48142"/>
    <cellStyle name="Afjusted 4 2 6 2 3" xfId="48143"/>
    <cellStyle name="ac 2 2 2 6 2 3" xfId="48144"/>
    <cellStyle name="Afjusted 2 2 2 6 2 3" xfId="48145"/>
    <cellStyle name="Bold/Border 2 2 2 6 2 3" xfId="48146"/>
    <cellStyle name="COL HEADINGS 2 2 2 6 2 3" xfId="48147"/>
    <cellStyle name="Date [mmm-yyyy] 2 2 2 6 2 3" xfId="48148"/>
    <cellStyle name="dp*NumberLine 2 2 2 6 2 3" xfId="48149"/>
    <cellStyle name="dp*NumberLineEPS 2 2 2 6 2 3" xfId="48150"/>
    <cellStyle name="dp*SheetSubTitle 2 2 2 6 2 3" xfId="48151"/>
    <cellStyle name="Heading [Helv] 2 2 2 6 2 3" xfId="48152"/>
    <cellStyle name="Heading [Palat] 2 2 2 6 2 3" xfId="48153"/>
    <cellStyle name="Magic 2 2 2 6 2 3" xfId="48154"/>
    <cellStyle name="Outputs 2 2 2 6 2 3" xfId="48155"/>
    <cellStyle name="Table Head Aligned 2 2 2 6 2 3" xfId="48156"/>
    <cellStyle name="Table Head Green 2 2 2 6 2 3" xfId="48157"/>
    <cellStyle name="Title [Helv] 2 2 2 6 2 3" xfId="48158"/>
    <cellStyle name="Title [Palat] 2 2 2 6 2 3" xfId="48159"/>
    <cellStyle name="Style 45 3 4 4 2 3" xfId="48160"/>
    <cellStyle name="Border Thin 3 2 2 4 2 3" xfId="48161"/>
    <cellStyle name="Outputs 2 4 4 2 3" xfId="48162"/>
    <cellStyle name="Style 51 4 3 2 4 2 3" xfId="48163"/>
    <cellStyle name="Style 45 4 3 2 4 2 3" xfId="48164"/>
    <cellStyle name="Style 49 4 3 2 4 2 3" xfId="48165"/>
    <cellStyle name="Style 44 4 3 2 4 2 3" xfId="48166"/>
    <cellStyle name="dp*ThinLineBelow 3 3 2 4 2 3" xfId="48167"/>
    <cellStyle name="Table Head Green 2 2 3 4 3 2 3" xfId="48168"/>
    <cellStyle name="Heading [Palat] 2 2 3 4 3 2 3" xfId="48169"/>
    <cellStyle name="P-Green Rule 2 3 3 2 3" xfId="48170"/>
    <cellStyle name="Title [Palat] 2 2 3 2 3 2 3" xfId="48171"/>
    <cellStyle name="Title [Helv] 2 2 3 2 3 2 3" xfId="48172"/>
    <cellStyle name="Table Head Green 2 2 3 2 3 2 3" xfId="48173"/>
    <cellStyle name="Table Head Aligned 2 2 3 2 3 2 3" xfId="48174"/>
    <cellStyle name="Outputs 2 2 3 2 3 2 3" xfId="48175"/>
    <cellStyle name="Magic 2 2 3 2 3 2 3" xfId="48176"/>
    <cellStyle name="Heading [Palat] 2 2 3 2 3 2 3" xfId="48177"/>
    <cellStyle name="Heading [Helv] 2 2 3 2 3 2 3" xfId="48178"/>
    <cellStyle name="dp*SheetSubTitle 2 2 3 2 3 2 3" xfId="48179"/>
    <cellStyle name="dp*NumberLineEPS 2 2 3 2 3 2 3" xfId="48180"/>
    <cellStyle name="dp*NumberLine 2 2 3 2 3 2 3" xfId="48181"/>
    <cellStyle name="Date [mmm-yyyy] 2 2 3 2 3 2 3" xfId="48182"/>
    <cellStyle name="COL HEADINGS 2 2 3 2 3 2 3" xfId="48183"/>
    <cellStyle name="Bold/Border 2 2 3 2 3 2 3" xfId="48184"/>
    <cellStyle name="Afjusted 2 2 3 2 3 2 3" xfId="48185"/>
    <cellStyle name="ac 2 2 3 2 3 2 3" xfId="48186"/>
    <cellStyle name="Afjusted 4 3 2 3 2 3" xfId="48187"/>
    <cellStyle name="Border Thin 3 3 2 3 2 3" xfId="48188"/>
    <cellStyle name="dp*SubTitle 3 3 2 3 2 3" xfId="48189"/>
    <cellStyle name="dp*ThinLineBelow 3 3 2 3 2 3" xfId="48190"/>
    <cellStyle name="P-Green Rule 3 3 2 3 2 3" xfId="48191"/>
    <cellStyle name="Style 44 4 3 2 3 2 3" xfId="48192"/>
    <cellStyle name="Style 45 4 3 2 3 2 3" xfId="48193"/>
    <cellStyle name="Style 49 4 3 2 3 2 3" xfId="48194"/>
    <cellStyle name="Style 51 4 3 2 3 2 3" xfId="48195"/>
    <cellStyle name="Date [mm-d-yyyy] 3 3 2 3 2 3" xfId="48196"/>
    <cellStyle name="Afjusted 3 3 2 3 2 3" xfId="48197"/>
    <cellStyle name="Date [mm-d-yyyy] 3 5 3 2 3" xfId="48198"/>
    <cellStyle name="dp*SubTitle 2 3 3 2 3" xfId="48199"/>
    <cellStyle name="Date [mm-d-yyyy] 2 2 2 3 2 3" xfId="48200"/>
    <cellStyle name="Afjusted 3 2 2 3 2 3" xfId="48201"/>
    <cellStyle name="PB Table Standard Row 3 5 3 2 3" xfId="48202"/>
    <cellStyle name="Date [mm-d-yyyy] 3 2 2 3 2 3" xfId="48203"/>
    <cellStyle name="Style 51 4 2 2 3 2 3" xfId="48204"/>
    <cellStyle name="Style 49 4 2 2 3 2 3" xfId="48205"/>
    <cellStyle name="Style 45 4 2 2 3 2 3" xfId="48206"/>
    <cellStyle name="Style 44 4 2 2 3 2 3" xfId="48207"/>
    <cellStyle name="Style 45 4 5 3 2 3" xfId="48208"/>
    <cellStyle name="P-Green Rule 3 2 2 3 2 3" xfId="48209"/>
    <cellStyle name="PB Table Standard Row 3 2 2 3 2 3" xfId="48210"/>
    <cellStyle name="dp*ThinLineBelow 3 2 2 3 2 3" xfId="48211"/>
    <cellStyle name="dp*SubTitle 3 2 2 3 2 3" xfId="48212"/>
    <cellStyle name="Style 51 4 5 3 2 3" xfId="48213"/>
    <cellStyle name="Border Thin 3 2 2 3 2 3" xfId="48214"/>
    <cellStyle name="Afjusted 4 2 2 3 2 3" xfId="48215"/>
    <cellStyle name="ac 2 2 2 2 3 2 3" xfId="48216"/>
    <cellStyle name="Afjusted 2 2 2 2 3 2 3" xfId="48217"/>
    <cellStyle name="Bold/Border 2 2 2 2 3 2 3" xfId="48218"/>
    <cellStyle name="COL HEADINGS 2 2 2 2 3 2 3" xfId="48219"/>
    <cellStyle name="Date [mmm-yyyy] 2 2 2 2 3 2 3" xfId="48220"/>
    <cellStyle name="dp*NumberLine 2 2 2 2 3 2 3" xfId="48221"/>
    <cellStyle name="dp*NumberLineEPS 2 2 2 2 3 2 3" xfId="48222"/>
    <cellStyle name="dp*SheetSubTitle 2 2 2 2 3 2 3" xfId="48223"/>
    <cellStyle name="Heading [Helv] 2 2 2 2 3 2 3" xfId="48224"/>
    <cellStyle name="Heading [Palat] 2 2 2 2 3 2 3" xfId="48225"/>
    <cellStyle name="Magic 2 2 2 2 3 2 3" xfId="48226"/>
    <cellStyle name="Outputs 2 2 2 2 3 2 3" xfId="48227"/>
    <cellStyle name="Table Head Aligned 2 2 2 2 3 2 3" xfId="48228"/>
    <cellStyle name="Table Head Green 2 2 2 2 3 2 3" xfId="48229"/>
    <cellStyle name="Title [Helv] 2 2 2 2 3 2 3" xfId="48230"/>
    <cellStyle name="Title [Palat] 2 2 2 2 3 2 3" xfId="48231"/>
    <cellStyle name="dp*ThinLineBelow 3 5 3 2 3" xfId="48232"/>
    <cellStyle name="Date [mm-d-yyyy] 2 2 3 3 2 3" xfId="48233"/>
    <cellStyle name="Afjusted 3 2 3 3 2 3" xfId="48234"/>
    <cellStyle name="Date [mm-d-yyyy] 3 2 3 3 2 3" xfId="48235"/>
    <cellStyle name="Style 51 4 2 3 3 2 3" xfId="48236"/>
    <cellStyle name="Style 49 4 2 3 3 2 3" xfId="48237"/>
    <cellStyle name="Style 45 4 2 3 3 2 3" xfId="48238"/>
    <cellStyle name="Style 44 4 2 3 3 2 3" xfId="48239"/>
    <cellStyle name="P-Green Rule 3 2 3 3 2 3" xfId="48240"/>
    <cellStyle name="PB Table Standard Row 3 2 3 3 2 3" xfId="48241"/>
    <cellStyle name="dp*ThinLineBelow 3 2 3 3 2 3" xfId="48242"/>
    <cellStyle name="dp*SubTitle 3 2 3 3 2 3" xfId="48243"/>
    <cellStyle name="Border Thin 3 2 3 3 2 3" xfId="48244"/>
    <cellStyle name="Afjusted 4 2 3 3 2 3" xfId="48245"/>
    <cellStyle name="ac 2 2 2 3 3 2 3" xfId="48246"/>
    <cellStyle name="Afjusted 2 2 2 3 3 2 3" xfId="48247"/>
    <cellStyle name="Bold/Border 2 2 2 3 3 2 3" xfId="48248"/>
    <cellStyle name="COL HEADINGS 2 2 2 3 3 2 3" xfId="48249"/>
    <cellStyle name="Date [mmm-yyyy] 2 2 2 3 3 2 3" xfId="48250"/>
    <cellStyle name="dp*NumberLine 2 2 2 3 3 2 3" xfId="48251"/>
    <cellStyle name="dp*NumberLineEPS 2 2 2 3 3 2 3" xfId="48252"/>
    <cellStyle name="dp*SheetSubTitle 2 2 2 3 3 2 3" xfId="48253"/>
    <cellStyle name="Heading [Helv] 2 2 2 3 3 2 3" xfId="48254"/>
    <cellStyle name="Heading [Palat] 2 2 2 3 3 2 3" xfId="48255"/>
    <cellStyle name="Magic 2 2 2 3 3 2 3" xfId="48256"/>
    <cellStyle name="Outputs 2 2 2 3 3 2 3" xfId="48257"/>
    <cellStyle name="Table Head Aligned 2 2 2 3 3 2 3" xfId="48258"/>
    <cellStyle name="Table Head Green 2 2 2 3 3 2 3" xfId="48259"/>
    <cellStyle name="Title [Helv] 2 2 2 3 3 2 3" xfId="48260"/>
    <cellStyle name="Title [Palat] 2 2 2 3 3 2 3" xfId="48261"/>
    <cellStyle name="Afjusted 3 2 4 3 2 3" xfId="48262"/>
    <cellStyle name="Date [mm-d-yyyy] 3 2 4 3 2 3" xfId="48263"/>
    <cellStyle name="Style 51 4 2 4 3 2 3" xfId="48264"/>
    <cellStyle name="Style 49 4 2 4 3 2 3" xfId="48265"/>
    <cellStyle name="Style 45 4 2 4 3 2 3" xfId="48266"/>
    <cellStyle name="Style 44 4 2 4 3 2 3" xfId="48267"/>
    <cellStyle name="P-Green Rule 3 2 4 3 2 3" xfId="48268"/>
    <cellStyle name="PB Table Standard Row 3 2 4 3 2 3" xfId="48269"/>
    <cellStyle name="dp*ThinLineBelow 3 2 4 3 2 3" xfId="48270"/>
    <cellStyle name="dp*SubTitle 3 2 4 3 2 3" xfId="48271"/>
    <cellStyle name="Border Thin 3 2 4 3 2 3" xfId="48272"/>
    <cellStyle name="Afjusted 4 2 4 3 2 3" xfId="48273"/>
    <cellStyle name="ac 2 2 2 4 3 2 3" xfId="48274"/>
    <cellStyle name="Afjusted 2 2 2 4 3 2 3" xfId="48275"/>
    <cellStyle name="Bold/Border 2 2 2 4 3 2 3" xfId="48276"/>
    <cellStyle name="COL HEADINGS 2 2 2 4 3 2 3" xfId="48277"/>
    <cellStyle name="Date [mmm-yyyy] 2 2 2 4 3 2 3" xfId="48278"/>
    <cellStyle name="dp*NumberLine 2 2 2 4 3 2 3" xfId="48279"/>
    <cellStyle name="dp*NumberLineEPS 2 2 2 4 3 2 3" xfId="48280"/>
    <cellStyle name="dp*SheetSubTitle 2 2 2 4 3 2 3" xfId="48281"/>
    <cellStyle name="Heading [Helv] 2 2 2 4 3 2 3" xfId="48282"/>
    <cellStyle name="Heading [Palat] 2 2 2 4 3 2 3" xfId="48283"/>
    <cellStyle name="Magic 2 2 2 4 3 2 3" xfId="48284"/>
    <cellStyle name="Outputs 2 2 2 4 3 2 3" xfId="48285"/>
    <cellStyle name="Table Head Aligned 2 2 2 4 3 2 3" xfId="48286"/>
    <cellStyle name="Table Head Green 2 2 2 4 3 2 3" xfId="48287"/>
    <cellStyle name="Title [Helv] 2 2 2 4 3 2 3" xfId="48288"/>
    <cellStyle name="Title [Palat] 2 2 2 4 3 2 3" xfId="48289"/>
    <cellStyle name="Bold/Border 2 2 3 2 4 2 3" xfId="48290"/>
    <cellStyle name="Border Thin 4 3 2 3" xfId="48291"/>
    <cellStyle name="Date [mm-d-yyyy] 4 3 2 3" xfId="48292"/>
    <cellStyle name="dp*SubTitle 4 3 2 3" xfId="48293"/>
    <cellStyle name="dp*ThinLineBelow 4 3 2 3" xfId="48294"/>
    <cellStyle name="PB Table Standard Row 4 3 2 3" xfId="48295"/>
    <cellStyle name="P-Green Rule 4 3 2 3" xfId="48296"/>
    <cellStyle name="Style 44 5 3 2 3" xfId="48297"/>
    <cellStyle name="Style 45 5 3 2 3" xfId="48298"/>
    <cellStyle name="Style 49 5 3 2 3" xfId="48299"/>
    <cellStyle name="Style 51 5 3 2 3" xfId="48300"/>
    <cellStyle name="COL HEADINGS 2 2 3 2 4 2 3" xfId="48301"/>
    <cellStyle name="ac 2 2 3 2 4 2 3" xfId="48302"/>
    <cellStyle name="Date [mmm-yyyy] 2 2 3 2 4 2 3" xfId="48303"/>
    <cellStyle name="Title [Palat] 3 3 2 3" xfId="48304"/>
    <cellStyle name="Title [Helv] 3 3 2 3" xfId="48305"/>
    <cellStyle name="Table Head Green 3 3 2 3" xfId="48306"/>
    <cellStyle name="Table Head Aligned 3 3 2 3" xfId="48307"/>
    <cellStyle name="Outputs 3 3 2 3" xfId="48308"/>
    <cellStyle name="Magic 3 3 2 3" xfId="48309"/>
    <cellStyle name="Heading [Palat] 3 3 2 3" xfId="48310"/>
    <cellStyle name="Heading [Helv] 3 3 2 3" xfId="48311"/>
    <cellStyle name="dp*SheetSubTitle 2 5 7 3" xfId="48312"/>
    <cellStyle name="dp*SheetSubTitle 3 3 2 3" xfId="48313"/>
    <cellStyle name="dp*NumberLineEPS 3 3 2 3" xfId="48314"/>
    <cellStyle name="dp*NumberLine 3 3 2 3" xfId="48315"/>
    <cellStyle name="COL HEADINGS 3 3 2 3" xfId="48316"/>
    <cellStyle name="Bold/Border 3 3 2 3" xfId="48317"/>
    <cellStyle name="Afjusted 5 3 2 3" xfId="48318"/>
    <cellStyle name="ac 3 3 2 3" xfId="48319"/>
    <cellStyle name="dp*NumberLine 2 2 3 2 4 2 3" xfId="48320"/>
    <cellStyle name="Date [mmm-yyyy] 3 3 2 3" xfId="48321"/>
    <cellStyle name="dp*NumberLineEPS 2 2 3 2 4 2 3" xfId="48322"/>
    <cellStyle name="Heading [Palat] 2 9 2 3" xfId="48323"/>
    <cellStyle name="dp*SheetSubTitle 2 2 3 2 4 2 3" xfId="48324"/>
    <cellStyle name="Table Head Aligned 2 2 7 2 3" xfId="48325"/>
    <cellStyle name="ac 2 4 3 2 3" xfId="48326"/>
    <cellStyle name="Afjusted 2 3 3 2 3" xfId="48327"/>
    <cellStyle name="Bold/Border 2 4 3 2 3" xfId="48328"/>
    <cellStyle name="Border Thin 2 4 3 2 3" xfId="48329"/>
    <cellStyle name="COL HEADINGS 2 4 3 2 3" xfId="48330"/>
    <cellStyle name="Date [mmm-yyyy] 2 4 3 2 3" xfId="48331"/>
    <cellStyle name="dp*NumberLine 2 4 3 2 3" xfId="48332"/>
    <cellStyle name="dp*NumberLineEPS 2 4 3 2 3" xfId="48333"/>
    <cellStyle name="dp*SheetSubTitle 2 4 3 2 3" xfId="48334"/>
    <cellStyle name="dp*SubTitle 2 4 3 2 3" xfId="48335"/>
    <cellStyle name="dp*ThinLineBelow 2 4 3 2 3" xfId="48336"/>
    <cellStyle name="Heading [Helv] 2 4 3 2 3" xfId="48337"/>
    <cellStyle name="Heading [Palat] 2 4 3 2 3" xfId="48338"/>
    <cellStyle name="Magic 2 4 3 2 3" xfId="48339"/>
    <cellStyle name="Outputs 2 4 3 2 3" xfId="48340"/>
    <cellStyle name="PB Table Standard Row 2 4 3 2 3" xfId="48341"/>
    <cellStyle name="P-Green Rule 2 4 3 2 3" xfId="48342"/>
    <cellStyle name="Style 44 3 4 3 2 3" xfId="48343"/>
    <cellStyle name="Style 45 3 4 3 2 3" xfId="48344"/>
    <cellStyle name="Style 49 3 4 3 2 3" xfId="48345"/>
    <cellStyle name="Style 51 3 4 3 2 3" xfId="48346"/>
    <cellStyle name="Style 44 2 4 3 2 3" xfId="48347"/>
    <cellStyle name="Style 45 2 4 3 2 3" xfId="48348"/>
    <cellStyle name="Style 49 2 4 3 2 3" xfId="48349"/>
    <cellStyle name="Style 51 2 4 3 2 3" xfId="48350"/>
    <cellStyle name="Table Head Aligned 2 4 3 2 3" xfId="48351"/>
    <cellStyle name="Table Head Green 2 4 3 2 3" xfId="48352"/>
    <cellStyle name="Title [Helv] 2 4 3 2 3" xfId="48353"/>
    <cellStyle name="Title [Palat] 2 4 3 2 3" xfId="48354"/>
    <cellStyle name="Heading [Helv] 2 2 3 2 4 2 3" xfId="48355"/>
    <cellStyle name="Heading [Palat] 2 2 3 2 4 2 3" xfId="48356"/>
    <cellStyle name="Table Head Green 2 2 2 9 3" xfId="48357"/>
    <cellStyle name="Table Head Green 2 4 4 2 3" xfId="48358"/>
    <cellStyle name="ac 4 3 2 3" xfId="48359"/>
    <cellStyle name="dp*SheetSubTitle 3 4 2 3" xfId="48360"/>
    <cellStyle name="dp*NumberLine 3 4 2 3" xfId="48361"/>
    <cellStyle name="Heading [Palat] 6 7 3" xfId="48362"/>
    <cellStyle name="Outputs 3 4 2 3" xfId="48363"/>
    <cellStyle name="Title [Helv] 3 4 2 3" xfId="48364"/>
    <cellStyle name="Bold/Border 4 3 2 3" xfId="48365"/>
    <cellStyle name="Border Thin 5 3 2 3" xfId="48366"/>
    <cellStyle name="P-Green Rule 4 4 2 3" xfId="48367"/>
    <cellStyle name="dp*SubTitle 4 4 2 3" xfId="48368"/>
    <cellStyle name="Table Head Green 2 2 2 4 4 2 3" xfId="48369"/>
    <cellStyle name="Heading [Palat] 2 2 2 4 4 2 3" xfId="48370"/>
    <cellStyle name="Date [mmm-yyyy] 2 2 2 4 4 2 3" xfId="48371"/>
    <cellStyle name="P-Green Rule 3 2 4 4 2 3" xfId="48372"/>
    <cellStyle name="dp*ThinLineBelow 3 2 4 4 2 3" xfId="48373"/>
    <cellStyle name="COL HEADINGS 4 3 2 3" xfId="48374"/>
    <cellStyle name="Date [mm-d-yyyy] 3 2 4 4 2 3" xfId="48375"/>
    <cellStyle name="Magic 2 2 2 3 4 2 3" xfId="48376"/>
    <cellStyle name="dp*SheetSubTitle 2 2 2 3 4 2 3" xfId="48377"/>
    <cellStyle name="Date [mmm-yyyy] 2 2 2 3 4 2 3" xfId="48378"/>
    <cellStyle name="Afjusted 2 2 2 3 4 2 3" xfId="48379"/>
    <cellStyle name="Border Thin 3 2 3 4 2 3" xfId="48380"/>
    <cellStyle name="PB Table Standard Row 3 2 3 4 2 3" xfId="48381"/>
    <cellStyle name="Style 45 4 2 3 4 2 3" xfId="48382"/>
    <cellStyle name="Date [mm-d-yyyy] 3 2 3 4 2 3" xfId="48383"/>
    <cellStyle name="Title [Palat] 2 2 2 2 4 2 3" xfId="48384"/>
    <cellStyle name="Bold/Border 2 2 2 7 2 3" xfId="48385"/>
    <cellStyle name="Style 45 4 3 7 2 3" xfId="48386"/>
    <cellStyle name="PB Table Standard Row 3 3 7 2 3" xfId="48387"/>
    <cellStyle name="Date [mm-d-yyyy] 5 3 2 3" xfId="48388"/>
    <cellStyle name="Bold/Border 2 2 3 7 2 3" xfId="48389"/>
    <cellStyle name="Title [Helv] 2 2 3 7 2 3" xfId="48390"/>
    <cellStyle name="Style 45 4 4 4 2 3" xfId="48391"/>
    <cellStyle name="dp*ThinLineBelow 3 3 3 4 2 3" xfId="48392"/>
    <cellStyle name="PB Table Standard Row 3 3 3 4 2 3" xfId="48393"/>
    <cellStyle name="ac 2 2 3 3 4 2 3" xfId="48394"/>
    <cellStyle name="Heading [Helv] 2 2 3 3 4 2 3" xfId="48395"/>
    <cellStyle name="Title [Palat] 2 2 4 4 2 3" xfId="48396"/>
    <cellStyle name="Outputs 2 2 4 4 2 3" xfId="48397"/>
    <cellStyle name="Title [Palat] 2 2 3 4 4 2 3" xfId="48398"/>
    <cellStyle name="dp*SheetSubTitle 2 2 3 4 4 2 3" xfId="48399"/>
    <cellStyle name="ac 2 2 3 4 4 2 3" xfId="48400"/>
    <cellStyle name="Afjusted 3 3 4 4 2 3" xfId="48401"/>
    <cellStyle name="COL HEADINGS 2 2 3 4 4 2 3" xfId="48402"/>
    <cellStyle name="P-Green Rule 2 2 4 2 3" xfId="48403"/>
    <cellStyle name="Style 49 3 2 4 2 3" xfId="48404"/>
    <cellStyle name="Style 49 2 2 4 2 3" xfId="48405"/>
    <cellStyle name="Title [Helv] 2 2 3 4 4 2 3" xfId="48406"/>
    <cellStyle name="Bold/Border 2 2 3 4 4 2 3" xfId="48407"/>
    <cellStyle name="dp*NumberLine 2 5 7 3" xfId="48408"/>
    <cellStyle name="Heading [Helv] 4 3 2 3" xfId="48409"/>
    <cellStyle name="Heading [Palat] 4 3 2 3" xfId="48410"/>
    <cellStyle name="Title [Helv] 2 2 7 2 3" xfId="48411"/>
    <cellStyle name="Heading [Palat] 2 2 7 2 3" xfId="48412"/>
    <cellStyle name="COL HEADINGS 2 2 7 2 3" xfId="48413"/>
    <cellStyle name="ac 2 2 7 2 3" xfId="48414"/>
    <cellStyle name="Style 51 2 4 7 3" xfId="48415"/>
    <cellStyle name="Outputs 4 3 2 3" xfId="48416"/>
    <cellStyle name="PB Table Standard Row 5 3 2 3" xfId="48417"/>
    <cellStyle name="P-Green Rule 5 3 2 3" xfId="48418"/>
    <cellStyle name="Table Head Aligned 2 10 3" xfId="48419"/>
    <cellStyle name="Bold/Border 2 11 3" xfId="48420"/>
    <cellStyle name="Style 44 6 3 2 3" xfId="48421"/>
    <cellStyle name="Style 45 6 3 2 3" xfId="48422"/>
    <cellStyle name="Style 49 6 3 2 3" xfId="48423"/>
    <cellStyle name="Style 51 6 3 2 3" xfId="48424"/>
    <cellStyle name="Table Head Green 4 3 2 3" xfId="48425"/>
    <cellStyle name="Heading [Helv] 2 9 2 3" xfId="48426"/>
    <cellStyle name="Afjusted 6 3 2 3" xfId="48427"/>
    <cellStyle name="ac 2 5 3 2 3" xfId="48428"/>
    <cellStyle name="Afjusted 2 4 3 2 3" xfId="48429"/>
    <cellStyle name="Bold/Border 2 5 3 2 3" xfId="48430"/>
    <cellStyle name="Border Thin 2 5 3 2 3" xfId="48431"/>
    <cellStyle name="COL HEADINGS 2 5 3 2 3" xfId="48432"/>
    <cellStyle name="Date [mmm-yyyy] 2 5 3 2 3" xfId="48433"/>
    <cellStyle name="dp*NumberLine 2 5 3 2 3" xfId="48434"/>
    <cellStyle name="dp*NumberLineEPS 2 5 3 2 3" xfId="48435"/>
    <cellStyle name="dp*SheetSubTitle 2 5 3 2 3" xfId="48436"/>
    <cellStyle name="dp*SubTitle 2 5 3 2 3" xfId="48437"/>
    <cellStyle name="dp*ThinLineBelow 2 5 3 2 3" xfId="48438"/>
    <cellStyle name="Heading [Helv] 2 5 3 2 3" xfId="48439"/>
    <cellStyle name="Heading [Palat] 2 5 3 2 3" xfId="48440"/>
    <cellStyle name="Magic 2 5 3 2 3" xfId="48441"/>
    <cellStyle name="Outputs 2 5 3 2 3" xfId="48442"/>
    <cellStyle name="PB Table Standard Row 2 5 3 2 3" xfId="48443"/>
    <cellStyle name="P-Green Rule 2 5 3 2 3" xfId="48444"/>
    <cellStyle name="Style 44 3 5 3 2 3" xfId="48445"/>
    <cellStyle name="Style 45 3 5 3 2 3" xfId="48446"/>
    <cellStyle name="Style 49 3 5 3 2 3" xfId="48447"/>
    <cellStyle name="Style 51 3 5 3 2 3" xfId="48448"/>
    <cellStyle name="Style 44 2 5 3 2 3" xfId="48449"/>
    <cellStyle name="Style 45 2 5 3 2 3" xfId="48450"/>
    <cellStyle name="Style 49 2 5 3 2 3" xfId="48451"/>
    <cellStyle name="Style 51 2 5 3 2 3" xfId="48452"/>
    <cellStyle name="Table Head Aligned 2 5 3 2 3" xfId="48453"/>
    <cellStyle name="Table Head Green 2 5 3 2 3" xfId="48454"/>
    <cellStyle name="Title [Helv] 2 5 3 2 3" xfId="48455"/>
    <cellStyle name="Title [Palat] 2 5 3 2 3" xfId="48456"/>
    <cellStyle name="Magic 2 2 3 2 4 2 3" xfId="48457"/>
    <cellStyle name="Table Head Green 2 3 4 2 3" xfId="48458"/>
    <cellStyle name="Outputs 2 2 3 2 4 2 3" xfId="48459"/>
    <cellStyle name="Heading [Palat] 2 2 3 4 4 2 3" xfId="48460"/>
    <cellStyle name="P-Green Rule 5 4 2 3" xfId="48461"/>
    <cellStyle name="Date [mm-d-yyyy] 5 4 2 3" xfId="48462"/>
    <cellStyle name="ac 4 4 2 3" xfId="48463"/>
    <cellStyle name="Table Head Aligned 2 4 4 2 3" xfId="48464"/>
    <cellStyle name="ac 5 3 2 3" xfId="48465"/>
    <cellStyle name="Bold/Border 3 4 2 3" xfId="48466"/>
    <cellStyle name="dp*NumberLineEPS 3 4 2 3" xfId="48467"/>
    <cellStyle name="Bold/Border 6 7 3" xfId="48468"/>
    <cellStyle name="dp*NumberLineEPS 4 7 3" xfId="48469"/>
    <cellStyle name="Heading [Helv] 3 4 2 3" xfId="48470"/>
    <cellStyle name="Title [Palat] 3 4 2 3" xfId="48471"/>
    <cellStyle name="Bold/Border 5 3 2 3" xfId="48472"/>
    <cellStyle name="Border Thin 6 3 2 3" xfId="48473"/>
    <cellStyle name="PB Table Standard Row 4 4 2 3" xfId="48474"/>
    <cellStyle name="Date [mm-d-yyyy] 4 4 2 3" xfId="48475"/>
    <cellStyle name="Title [Palat] 2 2 2 4 4 2 3" xfId="48476"/>
    <cellStyle name="Table Head Aligned 2 2 2 4 4 2 3" xfId="48477"/>
    <cellStyle name="Heading [Helv] 2 2 2 4 4 2 3" xfId="48478"/>
    <cellStyle name="COL HEADINGS 2 2 2 4 4 2 3" xfId="48479"/>
    <cellStyle name="Style 44 4 2 4 4 2 3" xfId="48480"/>
    <cellStyle name="PB Table Standard Row 3 2 4 4 2 3" xfId="48481"/>
    <cellStyle name="COL HEADINGS 5 3 2 3" xfId="48482"/>
    <cellStyle name="Afjusted 3 2 4 4 2 3" xfId="48483"/>
    <cellStyle name="Heading [Palat] 2 2 2 3 4 2 3" xfId="48484"/>
    <cellStyle name="dp*NumberLineEPS 2 2 2 3 4 2 3" xfId="48485"/>
    <cellStyle name="COL HEADINGS 2 2 2 3 4 2 3" xfId="48486"/>
    <cellStyle name="ac 2 2 2 3 4 2 3" xfId="48487"/>
    <cellStyle name="dp*SubTitle 3 2 3 4 2 3" xfId="48488"/>
    <cellStyle name="P-Green Rule 3 2 3 4 2 3" xfId="48489"/>
    <cellStyle name="Style 49 4 2 3 4 2 3" xfId="48490"/>
    <cellStyle name="Afjusted 3 2 3 4 2 3" xfId="48491"/>
    <cellStyle name="Title [Helv] 2 2 2 2 4 2 3" xfId="48492"/>
    <cellStyle name="Afjusted 2 2 2 7 2 3" xfId="48493"/>
    <cellStyle name="Date [mm-d-yyyy] 3 3 7 2 3" xfId="48494"/>
    <cellStyle name="Style 51 4 3 7 2 3" xfId="48495"/>
    <cellStyle name="Style 44 4 3 7 2 3" xfId="48496"/>
    <cellStyle name="dp*ThinLineBelow 3 3 7 2 3" xfId="48497"/>
    <cellStyle name="Afjusted 4 3 7 2 3" xfId="48498"/>
    <cellStyle name="Date [mm-d-yyyy] 6 2 2 3" xfId="48499"/>
    <cellStyle name="COL HEADINGS 2 2 3 7 2 3" xfId="48500"/>
    <cellStyle name="Title [Palat] 2 2 3 7 2 3" xfId="48501"/>
    <cellStyle name="Afjusted 2 2 4 4 2 3" xfId="48502"/>
    <cellStyle name="Border Thin 3 3 4 4 2 3" xfId="48503"/>
    <cellStyle name="Style 49 4 4 4 2 3" xfId="48504"/>
    <cellStyle name="Afjusted 2 2 3 3 4 2 3" xfId="48505"/>
    <cellStyle name="Border Thin 3 3 3 4 2 3" xfId="48506"/>
    <cellStyle name="COL HEADINGS 2 2 3 3 4 2 3" xfId="48507"/>
    <cellStyle name="Magic 2 2 3 3 4 2 3" xfId="48508"/>
    <cellStyle name="Title [Helv] 2 2 4 4 2 3" xfId="48509"/>
    <cellStyle name="Heading [Palat] 2 2 4 4 2 3" xfId="48510"/>
    <cellStyle name="Table Head Aligned 2 2 3 4 4 2 3" xfId="48511"/>
    <cellStyle name="dp*NumberLineEPS 2 2 3 4 4 2 3" xfId="48512"/>
    <cellStyle name="Afjusted 4 3 4 4 2 3" xfId="48513"/>
    <cellStyle name="Style 44 3 3 4 2 3" xfId="48514"/>
    <cellStyle name="dp*ThinLineBelow 2 2 4 2 3" xfId="48515"/>
    <cellStyle name="Style 44 3 2 4 2 3" xfId="48516"/>
    <cellStyle name="Style 51 3 2 4 2 3" xfId="48517"/>
    <cellStyle name="Style 45 2 2 4 2 3" xfId="48518"/>
    <cellStyle name="Magic 2 2 3 4 4 2 3" xfId="48519"/>
    <cellStyle name="COL HEADINGS 2 5 7 3" xfId="48520"/>
    <cellStyle name="Heading [Helv] 5 3 2 3" xfId="48521"/>
    <cellStyle name="Heading [Palat] 5 3 2 3" xfId="48522"/>
    <cellStyle name="Table Head Green 2 2 7 2 3" xfId="48523"/>
    <cellStyle name="Heading [Helv] 2 2 7 2 3" xfId="48524"/>
    <cellStyle name="Bold/Border 2 2 7 2 3" xfId="48525"/>
    <cellStyle name="Style 49 2 8 2 3" xfId="48526"/>
    <cellStyle name="Table Head Aligned 2 2 3 2 7 3" xfId="48527"/>
    <cellStyle name="Outputs 5 3 2 3" xfId="48528"/>
    <cellStyle name="PB Table Standard Row 6 3 2 3" xfId="48529"/>
    <cellStyle name="P-Green Rule 6 3 2 3" xfId="48530"/>
    <cellStyle name="Style 49 2 10 3" xfId="48531"/>
    <cellStyle name="Outputs 2 11 3" xfId="48532"/>
    <cellStyle name="dp*SheetSubTitle 2 10 3" xfId="48533"/>
    <cellStyle name="ac 2 11 3" xfId="48534"/>
    <cellStyle name="Style 44 7 3 2 3" xfId="48535"/>
    <cellStyle name="Style 45 7 3 2 3" xfId="48536"/>
    <cellStyle name="Style 49 7 3 2 3" xfId="48537"/>
    <cellStyle name="Style 51 7 3 2 3" xfId="48538"/>
    <cellStyle name="Table Head Green 5 3 2 3" xfId="48539"/>
    <cellStyle name="Title [Palat] 4 3 2 3" xfId="48540"/>
    <cellStyle name="Style 51 8 7 3" xfId="48541"/>
    <cellStyle name="Style 44 6 7 3" xfId="48542"/>
    <cellStyle name="ac 2 6 3 2 3" xfId="48543"/>
    <cellStyle name="Bold/Border 2 6 3 2 3" xfId="48544"/>
    <cellStyle name="Border Thin 2 6 3 2 3" xfId="48545"/>
    <cellStyle name="COL HEADINGS 2 6 3 2 3" xfId="48546"/>
    <cellStyle name="Date [mm-d-yyyy] 2 3 2 2 3" xfId="48547"/>
    <cellStyle name="Bold/Border 2 2 3 3 4 2 3" xfId="48548"/>
    <cellStyle name="Heading [Helv] 2 6 3 2 3" xfId="48549"/>
    <cellStyle name="Heading [Palat] 2 6 3 2 3" xfId="48550"/>
    <cellStyle name="Outputs 2 2 3 3 4 2 3" xfId="48551"/>
    <cellStyle name="Outputs 2 6 3 2 3" xfId="48552"/>
    <cellStyle name="PB Table Standard Row 2 6 3 2 3" xfId="48553"/>
    <cellStyle name="P-Green Rule 2 6 3 2 3" xfId="48554"/>
    <cellStyle name="Style 44 3 6 3 2 3" xfId="48555"/>
    <cellStyle name="Style 45 3 6 3 2 3" xfId="48556"/>
    <cellStyle name="Style 49 3 6 3 2 3" xfId="48557"/>
    <cellStyle name="Style 51 3 6 3 2 3" xfId="48558"/>
    <cellStyle name="Style 44 2 6 3 2 3" xfId="48559"/>
    <cellStyle name="Style 45 2 6 3 2 3" xfId="48560"/>
    <cellStyle name="Style 49 2 6 3 2 3" xfId="48561"/>
    <cellStyle name="Style 51 2 6 3 2 3" xfId="48562"/>
    <cellStyle name="Table Head Green 2 6 3 2 3" xfId="48563"/>
    <cellStyle name="Title [Palat] 2 6 3 2 3" xfId="48564"/>
    <cellStyle name="Table Head Green 2 2 3 4 4 2 3" xfId="48565"/>
    <cellStyle name="Table Head Green 2 2 2 7 2 3" xfId="48566"/>
    <cellStyle name="Outputs 2 2 2 7 2 3" xfId="48567"/>
    <cellStyle name="PB Table Standard Row 2 4 5 2 3" xfId="48568"/>
    <cellStyle name="Magic 6 6 3" xfId="48569"/>
    <cellStyle name="Outputs 7 6 3" xfId="48570"/>
    <cellStyle name="Title [Helv] 2 2 3 2 4 2 3" xfId="48571"/>
    <cellStyle name="dp*NumberLine 5 6 3" xfId="48572"/>
    <cellStyle name="Heading [Palat] 7 6 3" xfId="48573"/>
    <cellStyle name="Heading [Helv] 7 6 3" xfId="48574"/>
    <cellStyle name="PB Table Standard Row 3 5 4 2 3" xfId="48575"/>
    <cellStyle name="P-Green Rule 3 2 2 4 2 3" xfId="48576"/>
    <cellStyle name="Style 49 4 2 2 4 2 3" xfId="48577"/>
    <cellStyle name="dp*NumberLineEPS 2 8 2 3" xfId="48578"/>
    <cellStyle name="Heading [Helv] 2 2 2 7 2 3" xfId="48579"/>
    <cellStyle name="Title [Palat] 5 3 2 3" xfId="48580"/>
    <cellStyle name="Title [Helv] 4 3 2 3" xfId="48581"/>
    <cellStyle name="Table Head Green 6 3 2 3" xfId="48582"/>
    <cellStyle name="Table Head Aligned 4 3 2 3" xfId="48583"/>
    <cellStyle name="dp*NumberLine 2 10 3" xfId="48584"/>
    <cellStyle name="Style 45 2 9 3" xfId="48585"/>
    <cellStyle name="Bold/Border 2 2 9 3" xfId="48586"/>
    <cellStyle name="Heading [Palat] 2 2 9 3" xfId="48587"/>
    <cellStyle name="COL HEADINGS 6 7 3" xfId="48588"/>
    <cellStyle name="dp*ThinLineBelow 5 6 3" xfId="48589"/>
    <cellStyle name="Outputs 6 3 2 3" xfId="48590"/>
    <cellStyle name="Magic 4 3 2 3" xfId="48591"/>
    <cellStyle name="ac 2 5 7 3" xfId="48592"/>
    <cellStyle name="dp*NumberLine 2 2 7 2 3" xfId="48593"/>
    <cellStyle name="Heading [Palat] 6 3 2 3" xfId="48594"/>
    <cellStyle name="Heading [Helv] 6 3 2 3" xfId="48595"/>
    <cellStyle name="Bold/Border 2 5 7 3" xfId="48596"/>
    <cellStyle name="dp*ThinLineBelow 5 3 2 3" xfId="48597"/>
    <cellStyle name="dp*SubTitle 5 3 2 3" xfId="48598"/>
    <cellStyle name="dp*SheetSubTitle 4 3 2 3" xfId="48599"/>
    <cellStyle name="dp*NumberLineEPS 4 3 2 3" xfId="48600"/>
    <cellStyle name="dp*NumberLine 4 3 2 3" xfId="48601"/>
    <cellStyle name="ac 2 3 4 2 3" xfId="48602"/>
    <cellStyle name="Date [mmm-yyyy] 2 2 3 3 4 2 3" xfId="48603"/>
    <cellStyle name="Title [Helv] 2 3 4 2 3" xfId="48604"/>
    <cellStyle name="Date [mmm-yyyy] 4 3 2 3" xfId="48605"/>
    <cellStyle name="Date [mm-d-yyyy] 7 3 2 3" xfId="48606"/>
    <cellStyle name="COL HEADINGS 6 3 2 3" xfId="48607"/>
    <cellStyle name="dp*SheetSubTitle 2 2 2 4 4 2 3" xfId="48608"/>
    <cellStyle name="Border Thin 7 3 2 3" xfId="48609"/>
    <cellStyle name="Bold/Border 6 3 2 3" xfId="48610"/>
    <cellStyle name="dp*SubTitle 5 5 3" xfId="48611"/>
    <cellStyle name="Border Thin 7 5 3" xfId="48612"/>
    <cellStyle name="Afjusted 7 3 2 3" xfId="48613"/>
    <cellStyle name="ac 6 3 2 3" xfId="48614"/>
    <cellStyle name="dp*SheetSubTitle 2 2 9 3" xfId="48615"/>
    <cellStyle name="ac 2 2 9 3" xfId="48616"/>
    <cellStyle name="Style 44 8 3 2 3" xfId="48617"/>
    <cellStyle name="Style 45 8 3 2 3" xfId="48618"/>
    <cellStyle name="Style 49 8 3 2 3" xfId="48619"/>
    <cellStyle name="Style 51 8 3 2 3" xfId="48620"/>
    <cellStyle name="Bold/Border 2 9 2 3" xfId="48621"/>
    <cellStyle name="Afjusted 3 2 2 4 2 3" xfId="48622"/>
    <cellStyle name="Style 44 4 2 2 4 2 3" xfId="48623"/>
    <cellStyle name="Heading [Helv] 2 2 2 2 4 2 3" xfId="48624"/>
    <cellStyle name="Style 45 4 5 4 2 3" xfId="48625"/>
    <cellStyle name="Afjusted 4 3 2 4 2 3" xfId="48626"/>
    <cellStyle name="PB Table Standard Row 2 3 3 2 3" xfId="48627"/>
    <cellStyle name="Style 51 4 2 2 4 2 3" xfId="48628"/>
    <cellStyle name="Title [Palat] 6 3 2 3" xfId="48629"/>
    <cellStyle name="Title [Helv] 5 3 2 3" xfId="48630"/>
    <cellStyle name="Table Head Green 7 3 2 3" xfId="48631"/>
    <cellStyle name="Table Head Aligned 5 3 2 3" xfId="48632"/>
    <cellStyle name="Outputs 7 3 2 3" xfId="48633"/>
    <cellStyle name="Magic 5 3 2 3" xfId="48634"/>
    <cellStyle name="Heading [Palat] 7 3 2 3" xfId="48635"/>
    <cellStyle name="Heading [Helv] 7 3 2 3" xfId="48636"/>
    <cellStyle name="dp*SheetSubTitle 5 3 2 3" xfId="48637"/>
    <cellStyle name="dp*NumberLineEPS 5 3 2 3" xfId="48638"/>
    <cellStyle name="dp*NumberLine 5 3 2 3" xfId="48639"/>
    <cellStyle name="Date [mmm-yyyy] 5 3 2 3" xfId="48640"/>
    <cellStyle name="COL HEADINGS 7 3 2 3" xfId="48641"/>
    <cellStyle name="Bold/Border 7 3 2 3" xfId="48642"/>
    <cellStyle name="Afjusted 8 3 2 3" xfId="48643"/>
    <cellStyle name="ac 7 3 2 3" xfId="48644"/>
    <cellStyle name="Title [Palat] 7 3 2 3" xfId="48645"/>
    <cellStyle name="Title [Helv] 6 3 2 3" xfId="48646"/>
    <cellStyle name="Table Head Green 8 3 2 3" xfId="48647"/>
    <cellStyle name="Table Head Aligned 6 3 2 3" xfId="48648"/>
    <cellStyle name="Date [mmm-yyyy] 2 10 3" xfId="48649"/>
    <cellStyle name="Style 49 3 10 3" xfId="48650"/>
    <cellStyle name="dp*NumberLine 2 2 9 3" xfId="48651"/>
    <cellStyle name="Outputs 8 3 2 3" xfId="48652"/>
    <cellStyle name="Magic 6 3 2 3" xfId="48653"/>
    <cellStyle name="Heading [Palat] 8 3 2 3" xfId="48654"/>
    <cellStyle name="Heading [Helv] 8 3 2 3" xfId="48655"/>
    <cellStyle name="dp*SheetSubTitle 6 3 2 3" xfId="48656"/>
    <cellStyle name="dp*NumberLineEPS 6 3 2 3" xfId="48657"/>
    <cellStyle name="dp*NumberLine 6 3 2 3" xfId="48658"/>
    <cellStyle name="COL HEADINGS 8 3 2 3" xfId="48659"/>
    <cellStyle name="dp*NumberLineEPS 2 2 2 4 4 2 3" xfId="48660"/>
    <cellStyle name="Bold/Border 8 3 2 3" xfId="48661"/>
    <cellStyle name="Magic 4 7 3" xfId="48662"/>
    <cellStyle name="Date [mm-d-yyyy] 7 6 3" xfId="48663"/>
    <cellStyle name="Afjusted 9 3 2 3" xfId="48664"/>
    <cellStyle name="ac 8 3 2 3" xfId="48665"/>
    <cellStyle name="Date [mmm-yyyy] 6 3 2 3" xfId="48666"/>
    <cellStyle name="Title [Palat] 8 3 2 3" xfId="48667"/>
    <cellStyle name="Title [Helv] 7 3 2 3" xfId="48668"/>
    <cellStyle name="Table Head Green 9 3 2 3" xfId="48669"/>
    <cellStyle name="Table Head Aligned 7 3 2 3" xfId="48670"/>
    <cellStyle name="Outputs 9 3 2 3" xfId="48671"/>
    <cellStyle name="Magic 7 3 2 3" xfId="48672"/>
    <cellStyle name="Heading [Palat] 9 3 2 3" xfId="48673"/>
    <cellStyle name="Heading [Helv] 9 3 2 3" xfId="48674"/>
    <cellStyle name="dp*SheetSubTitle 7 3 2 3" xfId="48675"/>
    <cellStyle name="dp*NumberLineEPS 7 3 2 3" xfId="48676"/>
    <cellStyle name="dp*NumberLine 7 3 2 3" xfId="48677"/>
    <cellStyle name="Date [mmm-yyyy] 7 3 2 3" xfId="48678"/>
    <cellStyle name="COL HEADINGS 9 3 2 3" xfId="48679"/>
    <cellStyle name="Bold/Border 9 3 2 3" xfId="48680"/>
    <cellStyle name="Afjusted 10 3 2 3" xfId="48681"/>
    <cellStyle name="ac 9 3 2 3" xfId="48682"/>
    <cellStyle name="Title [Palat] 2 2 2 7 2 3" xfId="48683"/>
    <cellStyle name="Heading [Palat] 3 4 2 3" xfId="48684"/>
    <cellStyle name="Afjusted 3 2 7 2 3" xfId="48685"/>
    <cellStyle name="dp*NumberLine 2 2 3 4 7 3" xfId="48686"/>
    <cellStyle name="Afjusted 3 6 2 2 3" xfId="48687"/>
    <cellStyle name="ac 2 7 2 2 3" xfId="48688"/>
    <cellStyle name="Afjusted 2 5 2 2 3" xfId="48689"/>
    <cellStyle name="Bold/Border 2 7 2 2 3" xfId="48690"/>
    <cellStyle name="COL HEADINGS 2 7 2 2 3" xfId="48691"/>
    <cellStyle name="Date [mmm-yyyy] 2 6 2 2 3" xfId="48692"/>
    <cellStyle name="dp*NumberLine 2 6 2 2 3" xfId="48693"/>
    <cellStyle name="dp*NumberLineEPS 2 6 2 2 3" xfId="48694"/>
    <cellStyle name="dp*SheetSubTitle 2 6 2 2 3" xfId="48695"/>
    <cellStyle name="Heading [Helv] 2 7 2 2 3" xfId="48696"/>
    <cellStyle name="Heading [Palat] 2 7 2 2 3" xfId="48697"/>
    <cellStyle name="Magic 2 6 2 2 3" xfId="48698"/>
    <cellStyle name="Outputs 2 7 2 2 3" xfId="48699"/>
    <cellStyle name="Table Head Aligned 2 6 2 2 3" xfId="48700"/>
    <cellStyle name="Table Head Green 2 7 2 2 3" xfId="48701"/>
    <cellStyle name="Title [Helv] 2 6 2 2 3" xfId="48702"/>
    <cellStyle name="Title [Palat] 2 7 2 2 3" xfId="48703"/>
    <cellStyle name="Date [mm-d-yyyy] 3 6 2 2 3" xfId="48704"/>
    <cellStyle name="Style 51 4 6 2 2 3" xfId="48705"/>
    <cellStyle name="Style 49 4 6 2 2 3" xfId="48706"/>
    <cellStyle name="Style 45 4 6 2 2 3" xfId="48707"/>
    <cellStyle name="Style 44 4 6 2 2 3" xfId="48708"/>
    <cellStyle name="P-Green Rule 3 6 2 2 3" xfId="48709"/>
    <cellStyle name="PB Table Standard Row 3 6 2 2 3" xfId="48710"/>
    <cellStyle name="dp*ThinLineBelow 3 6 2 2 3" xfId="48711"/>
    <cellStyle name="dp*SubTitle 3 6 2 2 3" xfId="48712"/>
    <cellStyle name="Border Thin 3 6 2 2 3" xfId="48713"/>
    <cellStyle name="Afjusted 4 6 2 2 3" xfId="48714"/>
    <cellStyle name="ac 2 2 5 2 2 3" xfId="48715"/>
    <cellStyle name="Afjusted 2 2 6 2 2 3" xfId="48716"/>
    <cellStyle name="Bold/Border 2 2 5 2 2 3" xfId="48717"/>
    <cellStyle name="COL HEADINGS 2 2 5 2 2 3" xfId="48718"/>
    <cellStyle name="Date [mmm-yyyy] 2 2 5 2 2 3" xfId="48719"/>
    <cellStyle name="dp*NumberLine 2 2 5 2 2 3" xfId="48720"/>
    <cellStyle name="dp*NumberLineEPS 2 2 5 2 2 3" xfId="48721"/>
    <cellStyle name="dp*SheetSubTitle 2 2 5 2 2 3" xfId="48722"/>
    <cellStyle name="Heading [Helv] 2 2 5 2 2 3" xfId="48723"/>
    <cellStyle name="Heading [Palat] 2 2 5 2 2 3" xfId="48724"/>
    <cellStyle name="Magic 2 2 5 2 2 3" xfId="48725"/>
    <cellStyle name="Outputs 2 2 5 2 2 3" xfId="48726"/>
    <cellStyle name="Table Head Aligned 2 2 5 2 2 3" xfId="48727"/>
    <cellStyle name="Table Head Green 2 2 5 2 2 3" xfId="48728"/>
    <cellStyle name="Title [Helv] 2 2 5 2 2 3" xfId="48729"/>
    <cellStyle name="Title [Palat] 2 2 5 2 2 3" xfId="48730"/>
    <cellStyle name="dp*SubTitle 2 2 2 2 2 3" xfId="48731"/>
    <cellStyle name="Border Thin 2 2 2 2 2 3" xfId="48732"/>
    <cellStyle name="Bold/Border 2 2 3 4 2 2 2 3" xfId="48733"/>
    <cellStyle name="Magic 2 2 3 4 2 2 2 3" xfId="48734"/>
    <cellStyle name="Title [Helv] 2 2 3 4 2 2 2 3" xfId="48735"/>
    <cellStyle name="Style 51 2 2 2 2 2 3" xfId="48736"/>
    <cellStyle name="Style 45 2 2 2 2 2 3" xfId="48737"/>
    <cellStyle name="Style 49 2 2 2 2 2 3" xfId="48738"/>
    <cellStyle name="Style 44 2 2 2 2 2 3" xfId="48739"/>
    <cellStyle name="Style 51 3 2 2 2 2 3" xfId="48740"/>
    <cellStyle name="Style 49 3 2 2 2 2 3" xfId="48741"/>
    <cellStyle name="Style 45 3 2 2 2 2 3" xfId="48742"/>
    <cellStyle name="Style 44 3 2 2 2 2 3" xfId="48743"/>
    <cellStyle name="P-Green Rule 2 2 2 2 2 3" xfId="48744"/>
    <cellStyle name="PB Table Standard Row 2 2 2 2 2 3" xfId="48745"/>
    <cellStyle name="dp*ThinLineBelow 2 2 2 2 2 3" xfId="48746"/>
    <cellStyle name="dp*ThinLineBelow 2 3 2 2 2 3" xfId="48747"/>
    <cellStyle name="Style 44 3 3 2 2 2 3" xfId="48748"/>
    <cellStyle name="COL HEADINGS 2 2 3 4 2 2 2 3" xfId="48749"/>
    <cellStyle name="Style 49 4 3 4 2 2 2 3" xfId="48750"/>
    <cellStyle name="Afjusted 3 3 4 2 2 2 3" xfId="48751"/>
    <cellStyle name="Date [mm-d-yyyy] 3 3 4 2 2 2 3" xfId="48752"/>
    <cellStyle name="Afjusted 4 3 4 2 2 2 3" xfId="48753"/>
    <cellStyle name="ac 2 2 3 4 2 2 2 3" xfId="48754"/>
    <cellStyle name="Afjusted 2 2 3 4 2 2 2 3" xfId="48755"/>
    <cellStyle name="Date [mmm-yyyy] 2 2 3 4 2 2 2 3" xfId="48756"/>
    <cellStyle name="dp*NumberLine 2 2 3 4 2 2 2 3" xfId="48757"/>
    <cellStyle name="dp*NumberLineEPS 2 2 3 4 2 2 2 3" xfId="48758"/>
    <cellStyle name="dp*SheetSubTitle 2 2 3 4 2 2 2 3" xfId="48759"/>
    <cellStyle name="Heading [Helv] 2 2 3 4 2 2 2 3" xfId="48760"/>
    <cellStyle name="Outputs 2 2 3 4 2 2 2 3" xfId="48761"/>
    <cellStyle name="Table Head Aligned 2 2 3 4 2 2 2 3" xfId="48762"/>
    <cellStyle name="Title [Palat] 2 2 3 4 2 2 2 3" xfId="48763"/>
    <cellStyle name="Afjusted 3 5 2 2 2 3" xfId="48764"/>
    <cellStyle name="Style 45 3 3 2 2 2 3" xfId="48765"/>
    <cellStyle name="Style 51 3 3 2 2 2 3" xfId="48766"/>
    <cellStyle name="Style 44 2 3 2 2 2 3" xfId="48767"/>
    <cellStyle name="Style 45 2 3 2 2 2 3" xfId="48768"/>
    <cellStyle name="Style 49 2 3 2 2 2 3" xfId="48769"/>
    <cellStyle name="Border Thin 3 5 2 2 2 3" xfId="48770"/>
    <cellStyle name="ac 2 2 4 2 2 2 3" xfId="48771"/>
    <cellStyle name="Afjusted 2 2 5 2 2 2 3" xfId="48772"/>
    <cellStyle name="Bold/Border 2 2 4 2 2 2 3" xfId="48773"/>
    <cellStyle name="COL HEADINGS 2 2 4 2 2 2 3" xfId="48774"/>
    <cellStyle name="Date [mmm-yyyy] 2 2 4 2 2 2 3" xfId="48775"/>
    <cellStyle name="dp*NumberLine 2 2 4 2 2 2 3" xfId="48776"/>
    <cellStyle name="dp*NumberLineEPS 2 2 4 2 2 2 3" xfId="48777"/>
    <cellStyle name="dp*SheetSubTitle 2 2 4 2 2 2 3" xfId="48778"/>
    <cellStyle name="Heading [Palat] 2 2 4 2 2 2 3" xfId="48779"/>
    <cellStyle name="Outputs 2 2 4 2 2 2 3" xfId="48780"/>
    <cellStyle name="Magic 2 2 4 2 2 2 3" xfId="48781"/>
    <cellStyle name="Title [Helv] 2 2 4 2 2 2 3" xfId="48782"/>
    <cellStyle name="Title [Palat] 2 2 4 2 2 2 3" xfId="48783"/>
    <cellStyle name="Title [Palat] 2 2 3 3 2 2 2 3" xfId="48784"/>
    <cellStyle name="Title [Helv] 2 2 3 3 2 2 2 3" xfId="48785"/>
    <cellStyle name="Table Head Aligned 2 2 3 3 2 2 2 3" xfId="48786"/>
    <cellStyle name="Magic 2 2 3 3 2 2 2 3" xfId="48787"/>
    <cellStyle name="Heading [Helv] 2 2 3 3 2 2 2 3" xfId="48788"/>
    <cellStyle name="dp*NumberLineEPS 2 2 3 3 2 2 2 3" xfId="48789"/>
    <cellStyle name="COL HEADINGS 2 2 3 3 2 2 2 3" xfId="48790"/>
    <cellStyle name="ac 2 2 3 3 2 2 2 3" xfId="48791"/>
    <cellStyle name="Afjusted 4 3 3 2 2 2 3" xfId="48792"/>
    <cellStyle name="Border Thin 3 3 3 2 2 2 3" xfId="48793"/>
    <cellStyle name="PB Table Standard Row 3 3 3 2 2 2 3" xfId="48794"/>
    <cellStyle name="Style 44 4 3 3 2 2 2 3" xfId="48795"/>
    <cellStyle name="Style 51 4 3 3 2 2 2 3" xfId="48796"/>
    <cellStyle name="Afjusted 3 3 3 2 2 2 3" xfId="48797"/>
    <cellStyle name="Style 49 4 5 2 2 2 3" xfId="48798"/>
    <cellStyle name="Style 44 4 5 2 2 2 3" xfId="48799"/>
    <cellStyle name="P-Green Rule 3 5 2 2 2 3" xfId="48800"/>
    <cellStyle name="dp*SubTitle 3 5 2 2 2 3" xfId="48801"/>
    <cellStyle name="Afjusted 4 5 2 2 2 3" xfId="48802"/>
    <cellStyle name="ac 2 3 2 2 2 3" xfId="48803"/>
    <cellStyle name="Bold/Border 2 3 2 2 2 3" xfId="48804"/>
    <cellStyle name="COL HEADINGS 2 3 2 2 2 3" xfId="48805"/>
    <cellStyle name="Date [mmm-yyyy] 2 3 2 2 2 3" xfId="48806"/>
    <cellStyle name="dp*NumberLine 2 3 2 2 2 3" xfId="48807"/>
    <cellStyle name="dp*NumberLineEPS 2 3 2 2 2 3" xfId="48808"/>
    <cellStyle name="dp*SheetSubTitle 2 3 2 2 2 3" xfId="48809"/>
    <cellStyle name="Heading [Helv] 2 3 2 2 2 3" xfId="48810"/>
    <cellStyle name="Heading [Palat] 2 3 2 2 2 3" xfId="48811"/>
    <cellStyle name="Magic 2 3 2 2 2 3" xfId="48812"/>
    <cellStyle name="Outputs 2 3 2 2 2 3" xfId="48813"/>
    <cellStyle name="Date [mmm-yyyy] 2 2 3 3 2 2 2 3" xfId="48814"/>
    <cellStyle name="Afjusted 2 2 3 3 2 2 2 3" xfId="48815"/>
    <cellStyle name="dp*ThinLineBelow 3 3 3 2 2 2 3" xfId="48816"/>
    <cellStyle name="Style 49 4 3 3 2 2 2 3" xfId="48817"/>
    <cellStyle name="Outputs 2 2 3 3 2 2 2 3" xfId="48818"/>
    <cellStyle name="dp*NumberLine 2 2 3 3 2 2 2 3" xfId="48819"/>
    <cellStyle name="Bold/Border 2 2 3 3 2 2 2 3" xfId="48820"/>
    <cellStyle name="dp*SubTitle 3 3 3 2 2 2 3" xfId="48821"/>
    <cellStyle name="Style 45 4 3 3 2 2 2 3" xfId="48822"/>
    <cellStyle name="Table Head Aligned 2 3 2 2 2 3" xfId="48823"/>
    <cellStyle name="Table Head Green 2 3 2 2 2 3" xfId="48824"/>
    <cellStyle name="Title [Helv] 2 3 2 2 2 3" xfId="48825"/>
    <cellStyle name="Title [Palat] 2 3 2 2 2 3" xfId="48826"/>
    <cellStyle name="Style 45 4 3 4 2 2 2 3" xfId="48827"/>
    <cellStyle name="Style 51 4 3 4 2 2 2 3" xfId="48828"/>
    <cellStyle name="Afjusted 3 4 2 2 2 3" xfId="48829"/>
    <cellStyle name="P-Green Rule 3 3 4 2 2 2 3" xfId="48830"/>
    <cellStyle name="Border Thin 2 3 2 2 2 3" xfId="48831"/>
    <cellStyle name="Style 49 3 3 2 2 2 3" xfId="48832"/>
    <cellStyle name="Style 51 2 3 2 2 2 3" xfId="48833"/>
    <cellStyle name="Heading [Helv] 2 2 4 2 2 2 3" xfId="48834"/>
    <cellStyle name="Table Head Aligned 2 2 4 2 2 2 3" xfId="48835"/>
    <cellStyle name="Table Head Green 2 2 4 2 2 2 3" xfId="48836"/>
    <cellStyle name="Table Head Green 2 2 3 3 2 2 2 3" xfId="48837"/>
    <cellStyle name="Heading [Palat] 2 2 3 3 2 2 2 3" xfId="48838"/>
    <cellStyle name="dp*SheetSubTitle 2 2 3 3 2 2 2 3" xfId="48839"/>
    <cellStyle name="P-Green Rule 3 3 3 2 2 2 3" xfId="48840"/>
    <cellStyle name="Date [mm-d-yyyy] 3 3 3 2 2 2 3" xfId="48841"/>
    <cellStyle name="Date [mm-d-yyyy] 3 4 2 2 2 3" xfId="48842"/>
    <cellStyle name="Style 51 4 4 2 2 2 3" xfId="48843"/>
    <cellStyle name="Style 49 4 4 2 2 2 3" xfId="48844"/>
    <cellStyle name="Style 45 4 4 2 2 2 3" xfId="48845"/>
    <cellStyle name="Style 44 4 4 2 2 2 3" xfId="48846"/>
    <cellStyle name="dp*ThinLineBelow 3 3 4 2 2 2 3" xfId="48847"/>
    <cellStyle name="P-Green Rule 3 4 2 2 2 3" xfId="48848"/>
    <cellStyle name="dp*ThinLineBelow 3 4 2 2 2 3" xfId="48849"/>
    <cellStyle name="dp*SubTitle 3 4 2 2 2 3" xfId="48850"/>
    <cellStyle name="dp*SubTitle 3 3 4 2 2 2 3" xfId="48851"/>
    <cellStyle name="Border Thin 3 4 2 2 2 3" xfId="48852"/>
    <cellStyle name="Border Thin 3 3 4 2 2 2 3" xfId="48853"/>
    <cellStyle name="Afjusted 4 4 2 2 2 3" xfId="48854"/>
    <cellStyle name="Afjusted 2 2 4 2 2 2 3" xfId="48855"/>
    <cellStyle name="Style 44 4 3 4 2 2 2 3" xfId="48856"/>
    <cellStyle name="PB Table Standard Row 3 3 4 2 2 2 3" xfId="48857"/>
    <cellStyle name="Title [Palat] 2 2 3 5 2 2 3" xfId="48858"/>
    <cellStyle name="Title [Helv] 2 2 3 5 2 2 3" xfId="48859"/>
    <cellStyle name="Table Head Green 2 2 3 5 2 2 3" xfId="48860"/>
    <cellStyle name="Table Head Aligned 2 2 3 5 2 2 3" xfId="48861"/>
    <cellStyle name="Outputs 2 2 3 5 2 2 3" xfId="48862"/>
    <cellStyle name="Magic 2 2 3 5 2 2 3" xfId="48863"/>
    <cellStyle name="Heading [Palat] 2 2 3 5 2 2 3" xfId="48864"/>
    <cellStyle name="Heading [Helv] 2 2 3 5 2 2 3" xfId="48865"/>
    <cellStyle name="dp*SheetSubTitle 2 2 3 5 2 2 3" xfId="48866"/>
    <cellStyle name="dp*NumberLineEPS 2 2 3 5 2 2 3" xfId="48867"/>
    <cellStyle name="dp*NumberLine 2 2 3 5 2 2 3" xfId="48868"/>
    <cellStyle name="Date [mmm-yyyy] 2 2 3 5 2 2 3" xfId="48869"/>
    <cellStyle name="COL HEADINGS 2 2 3 5 2 2 3" xfId="48870"/>
    <cellStyle name="Bold/Border 2 2 3 5 2 2 3" xfId="48871"/>
    <cellStyle name="Afjusted 2 2 3 5 2 2 3" xfId="48872"/>
    <cellStyle name="ac 2 2 3 5 2 2 3" xfId="48873"/>
    <cellStyle name="Afjusted 4 3 5 2 2 3" xfId="48874"/>
    <cellStyle name="Border Thin 3 3 5 2 2 3" xfId="48875"/>
    <cellStyle name="dp*SubTitle 3 3 5 2 2 3" xfId="48876"/>
    <cellStyle name="dp*ThinLineBelow 3 3 5 2 2 3" xfId="48877"/>
    <cellStyle name="PB Table Standard Row 3 3 5 2 2 3" xfId="48878"/>
    <cellStyle name="P-Green Rule 3 3 5 2 2 3" xfId="48879"/>
    <cellStyle name="Style 44 4 3 5 2 2 3" xfId="48880"/>
    <cellStyle name="Style 45 4 3 5 2 2 3" xfId="48881"/>
    <cellStyle name="Style 49 4 3 5 2 2 3" xfId="48882"/>
    <cellStyle name="Style 51 4 3 5 2 2 3" xfId="48883"/>
    <cellStyle name="Date [mm-d-yyyy] 3 3 5 2 2 3" xfId="48884"/>
    <cellStyle name="Afjusted 3 3 5 2 2 3" xfId="48885"/>
    <cellStyle name="Date [mm-d-yyyy] 2 2 4 2 2 3" xfId="48886"/>
    <cellStyle name="Afjusted 3 2 5 2 2 3" xfId="48887"/>
    <cellStyle name="Date [mm-d-yyyy] 3 2 5 2 2 3" xfId="48888"/>
    <cellStyle name="Style 51 4 2 5 2 2 3" xfId="48889"/>
    <cellStyle name="Style 49 4 2 5 2 2 3" xfId="48890"/>
    <cellStyle name="Style 45 4 2 5 2 2 3" xfId="48891"/>
    <cellStyle name="Style 44 4 2 5 2 2 3" xfId="48892"/>
    <cellStyle name="P-Green Rule 3 2 5 2 2 3" xfId="48893"/>
    <cellStyle name="dp*ThinLineBelow 3 2 5 2 2 3" xfId="48894"/>
    <cellStyle name="dp*SubTitle 3 2 5 2 2 3" xfId="48895"/>
    <cellStyle name="Border Thin 3 2 5 2 2 3" xfId="48896"/>
    <cellStyle name="Afjusted 4 2 5 2 2 3" xfId="48897"/>
    <cellStyle name="ac 2 2 2 5 2 2 3" xfId="48898"/>
    <cellStyle name="Afjusted 2 2 2 5 2 2 3" xfId="48899"/>
    <cellStyle name="Bold/Border 2 2 2 5 2 2 3" xfId="48900"/>
    <cellStyle name="COL HEADINGS 2 2 2 5 2 2 3" xfId="48901"/>
    <cellStyle name="Date [mmm-yyyy] 2 2 2 5 2 2 3" xfId="48902"/>
    <cellStyle name="dp*NumberLine 2 2 2 5 2 2 3" xfId="48903"/>
    <cellStyle name="dp*NumberLineEPS 2 2 2 5 2 2 3" xfId="48904"/>
    <cellStyle name="dp*SheetSubTitle 2 2 2 5 2 2 3" xfId="48905"/>
    <cellStyle name="Heading [Helv] 2 2 2 5 2 2 3" xfId="48906"/>
    <cellStyle name="Heading [Palat] 2 2 2 5 2 2 3" xfId="48907"/>
    <cellStyle name="Magic 2 2 2 5 2 2 3" xfId="48908"/>
    <cellStyle name="Outputs 2 2 2 5 2 2 3" xfId="48909"/>
    <cellStyle name="Table Head Aligned 2 2 2 5 2 2 3" xfId="48910"/>
    <cellStyle name="Table Head Green 2 2 2 5 2 2 3" xfId="48911"/>
    <cellStyle name="Title [Helv] 2 2 2 5 2 2 3" xfId="48912"/>
    <cellStyle name="Title [Palat] 2 2 2 5 2 2 3" xfId="48913"/>
    <cellStyle name="Table Head Green 2 2 3 4 2 2 2 3" xfId="48914"/>
    <cellStyle name="Heading [Palat] 2 2 3 4 2 2 2 3" xfId="48915"/>
    <cellStyle name="PB Table Standard Row 2 3 2 2 2 3" xfId="48916"/>
    <cellStyle name="P-Green Rule 2 3 2 2 2 3" xfId="48917"/>
    <cellStyle name="Title [Palat] 2 2 3 2 2 2 2 3" xfId="48918"/>
    <cellStyle name="Title [Helv] 2 2 3 2 2 2 2 3" xfId="48919"/>
    <cellStyle name="Table Head Green 2 2 3 2 2 2 2 3" xfId="48920"/>
    <cellStyle name="Table Head Aligned 2 2 3 2 2 2 2 3" xfId="48921"/>
    <cellStyle name="Outputs 2 2 3 2 2 2 2 3" xfId="48922"/>
    <cellStyle name="Magic 2 2 3 2 2 2 2 3" xfId="48923"/>
    <cellStyle name="Heading [Palat] 2 2 3 2 2 2 2 3" xfId="48924"/>
    <cellStyle name="Heading [Helv] 2 2 3 2 2 2 2 3" xfId="48925"/>
    <cellStyle name="dp*SheetSubTitle 2 2 3 2 2 2 2 3" xfId="48926"/>
    <cellStyle name="dp*NumberLineEPS 2 2 3 2 2 2 2 3" xfId="48927"/>
    <cellStyle name="dp*NumberLine 2 2 3 2 2 2 2 3" xfId="48928"/>
    <cellStyle name="Date [mmm-yyyy] 2 2 3 2 2 2 2 3" xfId="48929"/>
    <cellStyle name="COL HEADINGS 2 2 3 2 2 2 2 3" xfId="48930"/>
    <cellStyle name="Bold/Border 2 2 3 2 2 2 2 3" xfId="48931"/>
    <cellStyle name="Afjusted 2 2 3 2 2 2 2 3" xfId="48932"/>
    <cellStyle name="ac 2 2 3 2 2 2 2 3" xfId="48933"/>
    <cellStyle name="Afjusted 4 3 2 2 2 2 3" xfId="48934"/>
    <cellStyle name="Border Thin 3 3 2 2 2 2 3" xfId="48935"/>
    <cellStyle name="dp*SubTitle 3 3 2 2 2 2 3" xfId="48936"/>
    <cellStyle name="dp*ThinLineBelow 3 3 2 2 2 2 3" xfId="48937"/>
    <cellStyle name="PB Table Standard Row 3 3 2 2 2 2 3" xfId="48938"/>
    <cellStyle name="P-Green Rule 3 3 2 2 2 2 3" xfId="48939"/>
    <cellStyle name="Style 44 4 3 2 2 2 2 3" xfId="48940"/>
    <cellStyle name="Style 45 4 3 2 2 2 2 3" xfId="48941"/>
    <cellStyle name="Style 49 4 3 2 2 2 2 3" xfId="48942"/>
    <cellStyle name="Style 51 4 3 2 2 2 2 3" xfId="48943"/>
    <cellStyle name="Date [mm-d-yyyy] 3 3 2 2 2 2 3" xfId="48944"/>
    <cellStyle name="Afjusted 3 3 2 2 2 2 3" xfId="48945"/>
    <cellStyle name="Date [mm-d-yyyy] 3 5 2 2 2 3" xfId="48946"/>
    <cellStyle name="dp*SubTitle 2 3 2 2 2 3" xfId="48947"/>
    <cellStyle name="Date [mm-d-yyyy] 2 2 2 2 2 2 3" xfId="48948"/>
    <cellStyle name="Afjusted 3 2 2 2 2 2 3" xfId="48949"/>
    <cellStyle name="PB Table Standard Row 3 5 2 2 2 3" xfId="48950"/>
    <cellStyle name="Date [mm-d-yyyy] 3 2 2 2 2 2 3" xfId="48951"/>
    <cellStyle name="Style 51 4 2 2 2 2 2 3" xfId="48952"/>
    <cellStyle name="Style 49 4 2 2 2 2 2 3" xfId="48953"/>
    <cellStyle name="Style 45 4 2 2 2 2 2 3" xfId="48954"/>
    <cellStyle name="Style 44 4 2 2 2 2 2 3" xfId="48955"/>
    <cellStyle name="Style 45 4 5 2 2 2 3" xfId="48956"/>
    <cellStyle name="P-Green Rule 3 2 2 2 2 2 3" xfId="48957"/>
    <cellStyle name="PB Table Standard Row 3 2 2 2 2 2 3" xfId="48958"/>
    <cellStyle name="dp*ThinLineBelow 3 2 2 2 2 2 3" xfId="48959"/>
    <cellStyle name="dp*SubTitle 3 2 2 2 2 2 3" xfId="48960"/>
    <cellStyle name="Style 51 4 5 2 2 2 3" xfId="48961"/>
    <cellStyle name="Border Thin 3 2 2 2 2 2 3" xfId="48962"/>
    <cellStyle name="Afjusted 4 2 2 2 2 2 3" xfId="48963"/>
    <cellStyle name="ac 2 2 2 2 2 2 2 3" xfId="48964"/>
    <cellStyle name="Afjusted 2 2 2 2 2 2 2 3" xfId="48965"/>
    <cellStyle name="Bold/Border 2 2 2 2 2 2 2 3" xfId="48966"/>
    <cellStyle name="COL HEADINGS 2 2 2 2 2 2 2 3" xfId="48967"/>
    <cellStyle name="Date [mmm-yyyy] 2 2 2 2 2 2 2 3" xfId="48968"/>
    <cellStyle name="dp*NumberLine 2 2 2 2 2 2 2 3" xfId="48969"/>
    <cellStyle name="dp*NumberLineEPS 2 2 2 2 2 2 2 3" xfId="48970"/>
    <cellStyle name="dp*SheetSubTitle 2 2 2 2 2 2 2 3" xfId="48971"/>
    <cellStyle name="Heading [Helv] 2 2 2 2 2 2 2 3" xfId="48972"/>
    <cellStyle name="Heading [Palat] 2 2 2 2 2 2 2 3" xfId="48973"/>
    <cellStyle name="Magic 2 2 2 2 2 2 2 3" xfId="48974"/>
    <cellStyle name="Outputs 2 2 2 2 2 2 2 3" xfId="48975"/>
    <cellStyle name="Table Head Aligned 2 2 2 2 2 2 2 3" xfId="48976"/>
    <cellStyle name="Table Head Green 2 2 2 2 2 2 2 3" xfId="48977"/>
    <cellStyle name="Title [Helv] 2 2 2 2 2 2 2 3" xfId="48978"/>
    <cellStyle name="Title [Palat] 2 2 2 2 2 2 2 3" xfId="48979"/>
    <cellStyle name="dp*ThinLineBelow 3 5 2 2 2 3" xfId="48980"/>
    <cellStyle name="Date [mm-d-yyyy] 2 2 3 2 2 2 3" xfId="48981"/>
    <cellStyle name="Afjusted 3 2 3 2 2 2 3" xfId="48982"/>
    <cellStyle name="Date [mm-d-yyyy] 3 2 3 2 2 2 3" xfId="48983"/>
    <cellStyle name="Style 51 4 2 3 2 2 2 3" xfId="48984"/>
    <cellStyle name="Style 49 4 2 3 2 2 2 3" xfId="48985"/>
    <cellStyle name="Style 45 4 2 3 2 2 2 3" xfId="48986"/>
    <cellStyle name="Style 44 4 2 3 2 2 2 3" xfId="48987"/>
    <cellStyle name="P-Green Rule 3 2 3 2 2 2 3" xfId="48988"/>
    <cellStyle name="PB Table Standard Row 3 2 3 2 2 2 3" xfId="48989"/>
    <cellStyle name="dp*ThinLineBelow 3 2 3 2 2 2 3" xfId="48990"/>
    <cellStyle name="dp*SubTitle 3 2 3 2 2 2 3" xfId="48991"/>
    <cellStyle name="Border Thin 3 2 3 2 2 2 3" xfId="48992"/>
    <cellStyle name="Afjusted 4 2 3 2 2 2 3" xfId="48993"/>
    <cellStyle name="ac 2 2 2 3 2 2 2 3" xfId="48994"/>
    <cellStyle name="Afjusted 2 2 2 3 2 2 2 3" xfId="48995"/>
    <cellStyle name="Bold/Border 2 2 2 3 2 2 2 3" xfId="48996"/>
    <cellStyle name="COL HEADINGS 2 2 2 3 2 2 2 3" xfId="48997"/>
    <cellStyle name="Date [mmm-yyyy] 2 2 2 3 2 2 2 3" xfId="48998"/>
    <cellStyle name="dp*NumberLine 2 2 2 3 2 2 2 3" xfId="48999"/>
    <cellStyle name="dp*NumberLineEPS 2 2 2 3 2 2 2 3" xfId="49000"/>
    <cellStyle name="dp*SheetSubTitle 2 2 2 3 2 2 2 3" xfId="49001"/>
    <cellStyle name="Heading [Helv] 2 2 2 3 2 2 2 3" xfId="49002"/>
    <cellStyle name="Heading [Palat] 2 2 2 3 2 2 2 3" xfId="49003"/>
    <cellStyle name="Magic 2 2 2 3 2 2 2 3" xfId="49004"/>
    <cellStyle name="Outputs 2 2 2 3 2 2 2 3" xfId="49005"/>
    <cellStyle name="Table Head Aligned 2 2 2 3 2 2 2 3" xfId="49006"/>
    <cellStyle name="Table Head Green 2 2 2 3 2 2 2 3" xfId="49007"/>
    <cellStyle name="Title [Helv] 2 2 2 3 2 2 2 3" xfId="49008"/>
    <cellStyle name="Title [Palat] 2 2 2 3 2 2 2 3" xfId="49009"/>
    <cellStyle name="Afjusted 3 2 4 2 2 2 3" xfId="49010"/>
    <cellStyle name="Date [mm-d-yyyy] 3 2 4 2 2 2 3" xfId="49011"/>
    <cellStyle name="Style 51 4 2 4 2 2 2 3" xfId="49012"/>
    <cellStyle name="Style 49 4 2 4 2 2 2 3" xfId="49013"/>
    <cellStyle name="Style 45 4 2 4 2 2 2 3" xfId="49014"/>
    <cellStyle name="Style 44 4 2 4 2 2 2 3" xfId="49015"/>
    <cellStyle name="P-Green Rule 3 2 4 2 2 2 3" xfId="49016"/>
    <cellStyle name="PB Table Standard Row 3 2 4 2 2 2 3" xfId="49017"/>
    <cellStyle name="dp*ThinLineBelow 3 2 4 2 2 2 3" xfId="49018"/>
    <cellStyle name="dp*SubTitle 3 2 4 2 2 2 3" xfId="49019"/>
    <cellStyle name="Border Thin 3 2 4 2 2 2 3" xfId="49020"/>
    <cellStyle name="Afjusted 4 2 4 2 2 2 3" xfId="49021"/>
    <cellStyle name="ac 2 2 2 4 2 2 2 3" xfId="49022"/>
    <cellStyle name="Afjusted 2 2 2 4 2 2 2 3" xfId="49023"/>
    <cellStyle name="Bold/Border 2 2 2 4 2 2 2 3" xfId="49024"/>
    <cellStyle name="COL HEADINGS 2 2 2 4 2 2 2 3" xfId="49025"/>
    <cellStyle name="Date [mmm-yyyy] 2 2 2 4 2 2 2 3" xfId="49026"/>
    <cellStyle name="dp*NumberLine 2 2 2 4 2 2 2 3" xfId="49027"/>
    <cellStyle name="dp*NumberLineEPS 2 2 2 4 2 2 2 3" xfId="49028"/>
    <cellStyle name="dp*SheetSubTitle 2 2 2 4 2 2 2 3" xfId="49029"/>
    <cellStyle name="Heading [Helv] 2 2 2 4 2 2 2 3" xfId="49030"/>
    <cellStyle name="Heading [Palat] 2 2 2 4 2 2 2 3" xfId="49031"/>
    <cellStyle name="Magic 2 2 2 4 2 2 2 3" xfId="49032"/>
    <cellStyle name="Outputs 2 2 2 4 2 2 2 3" xfId="49033"/>
    <cellStyle name="Table Head Aligned 2 2 2 4 2 2 2 3" xfId="49034"/>
    <cellStyle name="Table Head Green 2 2 2 4 2 2 2 3" xfId="49035"/>
    <cellStyle name="Title [Helv] 2 2 2 4 2 2 2 3" xfId="49036"/>
    <cellStyle name="Title [Palat] 2 2 2 4 2 2 2 3" xfId="49037"/>
    <cellStyle name="Border Thin 4 2 2 2 3" xfId="49038"/>
    <cellStyle name="Date [mm-d-yyyy] 4 2 2 2 3" xfId="49039"/>
    <cellStyle name="dp*SubTitle 4 2 2 2 3" xfId="49040"/>
    <cellStyle name="dp*ThinLineBelow 4 2 2 2 3" xfId="49041"/>
    <cellStyle name="PB Table Standard Row 4 2 2 2 3" xfId="49042"/>
    <cellStyle name="P-Green Rule 4 2 2 2 3" xfId="49043"/>
    <cellStyle name="Style 44 5 2 2 2 3" xfId="49044"/>
    <cellStyle name="Style 45 5 2 2 2 3" xfId="49045"/>
    <cellStyle name="Style 49 5 2 2 2 3" xfId="49046"/>
    <cellStyle name="Style 51 5 2 2 2 3" xfId="49047"/>
    <cellStyle name="Title [Palat] 3 2 2 2 3" xfId="49048"/>
    <cellStyle name="Title [Helv] 3 2 2 2 3" xfId="49049"/>
    <cellStyle name="Table Head Green 3 2 2 2 3" xfId="49050"/>
    <cellStyle name="Table Head Aligned 3 2 2 2 3" xfId="49051"/>
    <cellStyle name="Outputs 3 2 2 2 3" xfId="49052"/>
    <cellStyle name="Magic 3 2 2 2 3" xfId="49053"/>
    <cellStyle name="Heading [Palat] 3 2 2 2 3" xfId="49054"/>
    <cellStyle name="Heading [Helv] 3 2 2 2 3" xfId="49055"/>
    <cellStyle name="dp*SheetSubTitle 3 2 2 2 3" xfId="49056"/>
    <cellStyle name="dp*NumberLineEPS 3 2 2 2 3" xfId="49057"/>
    <cellStyle name="dp*NumberLine 3 2 2 2 3" xfId="49058"/>
    <cellStyle name="COL HEADINGS 3 2 2 2 3" xfId="49059"/>
    <cellStyle name="Bold/Border 3 2 2 2 3" xfId="49060"/>
    <cellStyle name="Afjusted 5 2 2 2 3" xfId="49061"/>
    <cellStyle name="ac 3 2 2 2 3" xfId="49062"/>
    <cellStyle name="Date [mmm-yyyy] 3 2 2 2 3" xfId="49063"/>
    <cellStyle name="ac 2 4 2 2 2 3" xfId="49064"/>
    <cellStyle name="Afjusted 2 3 2 2 2 3" xfId="49065"/>
    <cellStyle name="Bold/Border 2 4 2 2 2 3" xfId="49066"/>
    <cellStyle name="Border Thin 2 4 2 2 2 3" xfId="49067"/>
    <cellStyle name="COL HEADINGS 2 4 2 2 2 3" xfId="49068"/>
    <cellStyle name="Date [mmm-yyyy] 2 4 2 2 2 3" xfId="49069"/>
    <cellStyle name="dp*NumberLine 2 4 2 2 2 3" xfId="49070"/>
    <cellStyle name="dp*NumberLineEPS 2 4 2 2 2 3" xfId="49071"/>
    <cellStyle name="dp*SheetSubTitle 2 4 2 2 2 3" xfId="49072"/>
    <cellStyle name="dp*SubTitle 2 4 2 2 2 3" xfId="49073"/>
    <cellStyle name="dp*ThinLineBelow 2 4 2 2 2 3" xfId="49074"/>
    <cellStyle name="Heading [Helv] 2 4 2 2 2 3" xfId="49075"/>
    <cellStyle name="Heading [Palat] 2 4 2 2 2 3" xfId="49076"/>
    <cellStyle name="Magic 2 4 2 2 2 3" xfId="49077"/>
    <cellStyle name="Outputs 2 4 2 2 2 3" xfId="49078"/>
    <cellStyle name="PB Table Standard Row 2 4 2 2 2 3" xfId="49079"/>
    <cellStyle name="P-Green Rule 2 4 2 2 2 3" xfId="49080"/>
    <cellStyle name="Style 44 3 4 2 2 2 3" xfId="49081"/>
    <cellStyle name="Style 45 3 4 2 2 2 3" xfId="49082"/>
    <cellStyle name="Style 49 3 4 2 2 2 3" xfId="49083"/>
    <cellStyle name="Style 51 3 4 2 2 2 3" xfId="49084"/>
    <cellStyle name="Style 44 2 4 2 2 2 3" xfId="49085"/>
    <cellStyle name="Style 45 2 4 2 2 2 3" xfId="49086"/>
    <cellStyle name="Style 49 2 4 2 2 2 3" xfId="49087"/>
    <cellStyle name="Style 51 2 4 2 2 2 3" xfId="49088"/>
    <cellStyle name="Table Head Aligned 2 4 2 2 2 3" xfId="49089"/>
    <cellStyle name="Table Head Green 2 4 2 2 2 3" xfId="49090"/>
    <cellStyle name="Title [Helv] 2 4 2 2 2 3" xfId="49091"/>
    <cellStyle name="Title [Palat] 2 4 2 2 2 3" xfId="49092"/>
    <cellStyle name="ac 4 2 2 2 3" xfId="49093"/>
    <cellStyle name="Bold/Border 4 2 2 2 3" xfId="49094"/>
    <cellStyle name="Border Thin 5 2 2 2 3" xfId="49095"/>
    <cellStyle name="COL HEADINGS 4 2 2 2 3" xfId="49096"/>
    <cellStyle name="Date [mm-d-yyyy] 5 2 2 2 3" xfId="49097"/>
    <cellStyle name="Heading [Helv] 4 2 2 2 3" xfId="49098"/>
    <cellStyle name="Heading [Palat] 4 2 2 2 3" xfId="49099"/>
    <cellStyle name="Outputs 4 2 2 2 3" xfId="49100"/>
    <cellStyle name="PB Table Standard Row 5 2 2 2 3" xfId="49101"/>
    <cellStyle name="P-Green Rule 5 2 2 2 3" xfId="49102"/>
    <cellStyle name="Style 44 6 2 2 2 3" xfId="49103"/>
    <cellStyle name="Style 45 6 2 2 2 3" xfId="49104"/>
    <cellStyle name="Style 49 6 2 2 2 3" xfId="49105"/>
    <cellStyle name="Style 51 6 2 2 2 3" xfId="49106"/>
    <cellStyle name="Table Head Green 4 2 2 2 3" xfId="49107"/>
    <cellStyle name="Afjusted 6 2 2 2 3" xfId="49108"/>
    <cellStyle name="ac 2 5 2 2 2 3" xfId="49109"/>
    <cellStyle name="Afjusted 2 4 2 2 2 3" xfId="49110"/>
    <cellStyle name="Bold/Border 2 5 2 2 2 3" xfId="49111"/>
    <cellStyle name="Border Thin 2 5 2 2 2 3" xfId="49112"/>
    <cellStyle name="COL HEADINGS 2 5 2 2 2 3" xfId="49113"/>
    <cellStyle name="Date [mmm-yyyy] 2 5 2 2 2 3" xfId="49114"/>
    <cellStyle name="dp*NumberLine 2 5 2 2 2 3" xfId="49115"/>
    <cellStyle name="dp*NumberLineEPS 2 5 2 2 2 3" xfId="49116"/>
    <cellStyle name="dp*SheetSubTitle 2 5 2 2 2 3" xfId="49117"/>
    <cellStyle name="dp*SubTitle 2 5 2 2 2 3" xfId="49118"/>
    <cellStyle name="dp*ThinLineBelow 2 5 2 2 2 3" xfId="49119"/>
    <cellStyle name="Heading [Helv] 2 5 2 2 2 3" xfId="49120"/>
    <cellStyle name="Heading [Palat] 2 5 2 2 2 3" xfId="49121"/>
    <cellStyle name="Magic 2 5 2 2 2 3" xfId="49122"/>
    <cellStyle name="Outputs 2 5 2 2 2 3" xfId="49123"/>
    <cellStyle name="PB Table Standard Row 2 5 2 2 2 3" xfId="49124"/>
    <cellStyle name="P-Green Rule 2 5 2 2 2 3" xfId="49125"/>
    <cellStyle name="Style 44 3 5 2 2 2 3" xfId="49126"/>
    <cellStyle name="Style 45 3 5 2 2 2 3" xfId="49127"/>
    <cellStyle name="Style 49 3 5 2 2 2 3" xfId="49128"/>
    <cellStyle name="Style 51 3 5 2 2 2 3" xfId="49129"/>
    <cellStyle name="Style 44 2 5 2 2 2 3" xfId="49130"/>
    <cellStyle name="Style 45 2 5 2 2 2 3" xfId="49131"/>
    <cellStyle name="Style 49 2 5 2 2 2 3" xfId="49132"/>
    <cellStyle name="Style 51 2 5 2 2 2 3" xfId="49133"/>
    <cellStyle name="Table Head Aligned 2 5 2 2 2 3" xfId="49134"/>
    <cellStyle name="Table Head Green 2 5 2 2 2 3" xfId="49135"/>
    <cellStyle name="Title [Helv] 2 5 2 2 2 3" xfId="49136"/>
    <cellStyle name="Title [Palat] 2 5 2 2 2 3" xfId="49137"/>
    <cellStyle name="ac 5 2 2 2 3" xfId="49138"/>
    <cellStyle name="Bold/Border 5 2 2 2 3" xfId="49139"/>
    <cellStyle name="Border Thin 6 2 2 2 3" xfId="49140"/>
    <cellStyle name="COL HEADINGS 5 2 2 2 3" xfId="49141"/>
    <cellStyle name="Heading [Helv] 5 2 2 2 3" xfId="49142"/>
    <cellStyle name="Heading [Palat] 5 2 2 2 3" xfId="49143"/>
    <cellStyle name="Outputs 5 2 2 2 3" xfId="49144"/>
    <cellStyle name="PB Table Standard Row 6 2 2 2 3" xfId="49145"/>
    <cellStyle name="P-Green Rule 6 2 2 2 3" xfId="49146"/>
    <cellStyle name="Style 44 7 2 2 2 3" xfId="49147"/>
    <cellStyle name="Style 45 7 2 2 2 3" xfId="49148"/>
    <cellStyle name="Style 49 7 2 2 2 3" xfId="49149"/>
    <cellStyle name="Style 51 7 2 2 2 3" xfId="49150"/>
    <cellStyle name="Table Head Green 5 2 2 2 3" xfId="49151"/>
    <cellStyle name="Title [Palat] 4 2 2 2 3" xfId="49152"/>
    <cellStyle name="ac 2 6 2 2 2 3" xfId="49153"/>
    <cellStyle name="Bold/Border 2 6 2 2 2 3" xfId="49154"/>
    <cellStyle name="Border Thin 2 6 2 2 2 3" xfId="49155"/>
    <cellStyle name="COL HEADINGS 2 6 2 2 2 3" xfId="49156"/>
    <cellStyle name="Heading [Helv] 2 6 2 2 2 3" xfId="49157"/>
    <cellStyle name="Heading [Palat] 2 6 2 2 2 3" xfId="49158"/>
    <cellStyle name="Outputs 2 6 2 2 2 3" xfId="49159"/>
    <cellStyle name="PB Table Standard Row 2 6 2 2 2 3" xfId="49160"/>
    <cellStyle name="P-Green Rule 2 6 2 2 2 3" xfId="49161"/>
    <cellStyle name="Style 44 3 6 2 2 2 3" xfId="49162"/>
    <cellStyle name="Style 45 3 6 2 2 2 3" xfId="49163"/>
    <cellStyle name="Style 49 3 6 2 2 2 3" xfId="49164"/>
    <cellStyle name="Style 51 3 6 2 2 2 3" xfId="49165"/>
    <cellStyle name="Style 44 2 6 2 2 2 3" xfId="49166"/>
    <cellStyle name="Style 45 2 6 2 2 2 3" xfId="49167"/>
    <cellStyle name="Style 49 2 6 2 2 2 3" xfId="49168"/>
    <cellStyle name="Style 51 2 6 2 2 2 3" xfId="49169"/>
    <cellStyle name="Table Head Green 2 6 2 2 2 3" xfId="49170"/>
    <cellStyle name="Title [Palat] 2 6 2 2 2 3" xfId="49171"/>
    <cellStyle name="Title [Palat] 5 2 2 2 3" xfId="49172"/>
    <cellStyle name="Title [Helv] 4 2 2 2 3" xfId="49173"/>
    <cellStyle name="Table Head Green 6 2 2 2 3" xfId="49174"/>
    <cellStyle name="Table Head Aligned 4 2 2 2 3" xfId="49175"/>
    <cellStyle name="Style 51 9 2 2 2 3" xfId="49176"/>
    <cellStyle name="Style 49 9 2 2 2 3" xfId="49177"/>
    <cellStyle name="Style 45 9 2 2 2 3" xfId="49178"/>
    <cellStyle name="Style 44 9 2 2 2 3" xfId="49179"/>
    <cellStyle name="P-Green Rule 7 2 2 2 3" xfId="49180"/>
    <cellStyle name="PB Table Standard Row 7 2 2 2 3" xfId="49181"/>
    <cellStyle name="Outputs 6 2 2 2 3" xfId="49182"/>
    <cellStyle name="Magic 4 2 2 2 3" xfId="49183"/>
    <cellStyle name="Heading [Palat] 6 2 2 2 3" xfId="49184"/>
    <cellStyle name="Heading [Helv] 6 2 2 2 3" xfId="49185"/>
    <cellStyle name="dp*ThinLineBelow 5 2 2 2 3" xfId="49186"/>
    <cellStyle name="dp*SubTitle 5 2 2 2 3" xfId="49187"/>
    <cellStyle name="dp*SheetSubTitle 4 2 2 2 3" xfId="49188"/>
    <cellStyle name="dp*NumberLineEPS 4 2 2 2 3" xfId="49189"/>
    <cellStyle name="dp*NumberLine 4 2 2 2 3" xfId="49190"/>
    <cellStyle name="Date [mmm-yyyy] 4 2 2 2 3" xfId="49191"/>
    <cellStyle name="Date [mm-d-yyyy] 7 2 2 2 3" xfId="49192"/>
    <cellStyle name="COL HEADINGS 6 2 2 2 3" xfId="49193"/>
    <cellStyle name="Border Thin 7 2 2 2 3" xfId="49194"/>
    <cellStyle name="Bold/Border 6 2 2 2 3" xfId="49195"/>
    <cellStyle name="Afjusted 7 2 2 2 3" xfId="49196"/>
    <cellStyle name="ac 6 2 2 2 3" xfId="49197"/>
    <cellStyle name="Style 44 8 2 2 2 3" xfId="49198"/>
    <cellStyle name="Style 45 8 2 2 2 3" xfId="49199"/>
    <cellStyle name="Style 49 8 2 2 2 3" xfId="49200"/>
    <cellStyle name="Style 51 8 2 2 2 3" xfId="49201"/>
    <cellStyle name="Title [Palat] 6 2 2 2 3" xfId="49202"/>
    <cellStyle name="Title [Helv] 5 2 2 2 3" xfId="49203"/>
    <cellStyle name="Table Head Green 7 2 2 2 3" xfId="49204"/>
    <cellStyle name="Table Head Aligned 5 2 2 2 3" xfId="49205"/>
    <cellStyle name="Outputs 7 2 2 2 3" xfId="49206"/>
    <cellStyle name="Magic 5 2 2 2 3" xfId="49207"/>
    <cellStyle name="Heading [Palat] 7 2 2 2 3" xfId="49208"/>
    <cellStyle name="Heading [Helv] 7 2 2 2 3" xfId="49209"/>
    <cellStyle name="dp*SheetSubTitle 5 2 2 2 3" xfId="49210"/>
    <cellStyle name="dp*NumberLineEPS 5 2 2 2 3" xfId="49211"/>
    <cellStyle name="dp*NumberLine 5 2 2 2 3" xfId="49212"/>
    <cellStyle name="Date [mmm-yyyy] 5 2 2 2 3" xfId="49213"/>
    <cellStyle name="COL HEADINGS 7 2 2 2 3" xfId="49214"/>
    <cellStyle name="Bold/Border 7 2 2 2 3" xfId="49215"/>
    <cellStyle name="Afjusted 8 2 2 2 3" xfId="49216"/>
    <cellStyle name="ac 7 2 2 2 3" xfId="49217"/>
    <cellStyle name="Title [Palat] 7 2 2 2 3" xfId="49218"/>
    <cellStyle name="Title [Helv] 6 2 2 2 3" xfId="49219"/>
    <cellStyle name="Table Head Green 8 2 2 2 3" xfId="49220"/>
    <cellStyle name="Table Head Aligned 6 2 2 2 3" xfId="49221"/>
    <cellStyle name="Outputs 8 2 2 2 3" xfId="49222"/>
    <cellStyle name="Magic 6 2 2 2 3" xfId="49223"/>
    <cellStyle name="Heading [Palat] 8 2 2 2 3" xfId="49224"/>
    <cellStyle name="Heading [Helv] 8 2 2 2 3" xfId="49225"/>
    <cellStyle name="dp*SheetSubTitle 6 2 2 2 3" xfId="49226"/>
    <cellStyle name="dp*NumberLineEPS 6 2 2 2 3" xfId="49227"/>
    <cellStyle name="dp*NumberLine 6 2 2 2 3" xfId="49228"/>
    <cellStyle name="COL HEADINGS 8 2 2 2 3" xfId="49229"/>
    <cellStyle name="Bold/Border 8 2 2 2 3" xfId="49230"/>
    <cellStyle name="Afjusted 9 2 2 2 3" xfId="49231"/>
    <cellStyle name="ac 8 2 2 2 3" xfId="49232"/>
    <cellStyle name="Date [mmm-yyyy] 6 2 2 2 3" xfId="49233"/>
    <cellStyle name="Title [Palat] 8 2 2 2 3" xfId="49234"/>
    <cellStyle name="Title [Helv] 7 2 2 2 3" xfId="49235"/>
    <cellStyle name="Table Head Green 9 2 2 2 3" xfId="49236"/>
    <cellStyle name="Table Head Aligned 7 2 2 2 3" xfId="49237"/>
    <cellStyle name="Outputs 9 2 2 2 3" xfId="49238"/>
    <cellStyle name="Magic 7 2 2 2 3" xfId="49239"/>
    <cellStyle name="Heading [Palat] 9 2 2 2 3" xfId="49240"/>
    <cellStyle name="Heading [Helv] 9 2 2 2 3" xfId="49241"/>
    <cellStyle name="dp*SheetSubTitle 7 2 2 2 3" xfId="49242"/>
    <cellStyle name="dp*NumberLineEPS 7 2 2 2 3" xfId="49243"/>
    <cellStyle name="dp*NumberLine 7 2 2 2 3" xfId="49244"/>
    <cellStyle name="Date [mmm-yyyy] 7 2 2 2 3" xfId="49245"/>
    <cellStyle name="COL HEADINGS 9 2 2 2 3" xfId="49246"/>
    <cellStyle name="Bold/Border 9 2 2 2 3" xfId="49247"/>
    <cellStyle name="Afjusted 10 2 2 2 3" xfId="49248"/>
    <cellStyle name="ac 9 2 2 2 3" xfId="49249"/>
    <cellStyle name="Table Head Green 2 2 3 2 7 3" xfId="49250"/>
    <cellStyle name="Style 44 6 4 2 3" xfId="49251"/>
    <cellStyle name="Style 45 6 4 2 3" xfId="49252"/>
    <cellStyle name="Style 49 6 4 2 3" xfId="49253"/>
    <cellStyle name="Style 51 6 4 2 3" xfId="49254"/>
    <cellStyle name="Table Head Green 4 4 2 3" xfId="49255"/>
    <cellStyle name="Afjusted 8 6 3" xfId="49256"/>
    <cellStyle name="Magic 2 4 5 2 3" xfId="49257"/>
    <cellStyle name="Afjusted 6 4 2 3" xfId="49258"/>
    <cellStyle name="ac 2 5 4 2 3" xfId="49259"/>
    <cellStyle name="Afjusted 2 4 4 2 3" xfId="49260"/>
    <cellStyle name="Bold/Border 2 5 4 2 3" xfId="49261"/>
    <cellStyle name="Border Thin 2 5 4 2 3" xfId="49262"/>
    <cellStyle name="COL HEADINGS 2 5 4 2 3" xfId="49263"/>
    <cellStyle name="Date [mmm-yyyy] 2 5 4 2 3" xfId="49264"/>
    <cellStyle name="dp*NumberLine 2 5 4 2 3" xfId="49265"/>
    <cellStyle name="dp*NumberLineEPS 2 5 4 2 3" xfId="49266"/>
    <cellStyle name="dp*SheetSubTitle 2 5 4 2 3" xfId="49267"/>
    <cellStyle name="dp*SubTitle 2 5 4 2 3" xfId="49268"/>
    <cellStyle name="dp*ThinLineBelow 2 5 4 2 3" xfId="49269"/>
    <cellStyle name="Heading [Helv] 2 5 4 2 3" xfId="49270"/>
    <cellStyle name="Heading [Palat] 2 5 4 2 3" xfId="49271"/>
    <cellStyle name="Magic 2 5 4 2 3" xfId="49272"/>
    <cellStyle name="Outputs 2 5 4 2 3" xfId="49273"/>
    <cellStyle name="PB Table Standard Row 2 5 4 2 3" xfId="49274"/>
    <cellStyle name="P-Green Rule 2 5 4 2 3" xfId="49275"/>
    <cellStyle name="Style 44 3 5 4 2 3" xfId="49276"/>
    <cellStyle name="Style 45 3 5 4 2 3" xfId="49277"/>
    <cellStyle name="Style 49 3 5 4 2 3" xfId="49278"/>
    <cellStyle name="Style 51 3 5 4 2 3" xfId="49279"/>
    <cellStyle name="Style 44 2 5 4 2 3" xfId="49280"/>
    <cellStyle name="Style 45 2 5 4 2 3" xfId="49281"/>
    <cellStyle name="Style 49 2 5 4 2 3" xfId="49282"/>
    <cellStyle name="Style 51 2 5 4 2 3" xfId="49283"/>
    <cellStyle name="Table Head Aligned 2 5 4 2 3" xfId="49284"/>
    <cellStyle name="Table Head Green 2 5 4 2 3" xfId="49285"/>
    <cellStyle name="Title [Helv] 2 5 4 2 3" xfId="49286"/>
    <cellStyle name="Title [Palat] 2 5 4 2 3" xfId="49287"/>
    <cellStyle name="Date [mm-d-yyyy] 3 3 4 7 3" xfId="49288"/>
    <cellStyle name="ac 5 4 2 3" xfId="49289"/>
    <cellStyle name="Bold/Border 5 4 2 3" xfId="49290"/>
    <cellStyle name="Border Thin 6 4 2 3" xfId="49291"/>
    <cellStyle name="COL HEADINGS 5 4 2 3" xfId="49292"/>
    <cellStyle name="Date [mm-d-yyyy] 6 3 2 3" xfId="49293"/>
    <cellStyle name="Heading [Helv] 5 4 2 3" xfId="49294"/>
    <cellStyle name="Heading [Palat] 5 4 2 3" xfId="49295"/>
    <cellStyle name="Outputs 5 4 2 3" xfId="49296"/>
    <cellStyle name="PB Table Standard Row 6 4 2 3" xfId="49297"/>
    <cellStyle name="P-Green Rule 6 4 2 3" xfId="49298"/>
    <cellStyle name="Afjusted 4 2 2 7 3" xfId="49299"/>
    <cellStyle name="Style 44 7 4 2 3" xfId="49300"/>
    <cellStyle name="Style 45 7 4 2 3" xfId="49301"/>
    <cellStyle name="Style 49 7 4 2 3" xfId="49302"/>
    <cellStyle name="Style 51 7 4 2 3" xfId="49303"/>
    <cellStyle name="Table Head Green 5 4 2 3" xfId="49304"/>
    <cellStyle name="Title [Palat] 4 4 2 3" xfId="49305"/>
    <cellStyle name="Date [mmm-yyyy] 5 6 3" xfId="49306"/>
    <cellStyle name="Bold/Border 7 6 3" xfId="49307"/>
    <cellStyle name="COL HEADINGS 9 6 3" xfId="49308"/>
    <cellStyle name="ac 2 6 4 2 3" xfId="49309"/>
    <cellStyle name="Bold/Border 2 6 4 2 3" xfId="49310"/>
    <cellStyle name="Border Thin 2 6 4 2 3" xfId="49311"/>
    <cellStyle name="COL HEADINGS 2 6 4 2 3" xfId="49312"/>
    <cellStyle name="Date [mm-d-yyyy] 2 3 3 2 3" xfId="49313"/>
    <cellStyle name="Heading [Helv] 2 6 4 2 3" xfId="49314"/>
    <cellStyle name="Heading [Palat] 2 6 4 2 3" xfId="49315"/>
    <cellStyle name="Outputs 2 6 4 2 3" xfId="49316"/>
    <cellStyle name="PB Table Standard Row 2 6 4 2 3" xfId="49317"/>
    <cellStyle name="P-Green Rule 2 6 4 2 3" xfId="49318"/>
    <cellStyle name="Style 44 3 6 4 2 3" xfId="49319"/>
    <cellStyle name="Style 45 3 6 4 2 3" xfId="49320"/>
    <cellStyle name="Style 49 3 6 4 2 3" xfId="49321"/>
    <cellStyle name="Style 51 3 6 4 2 3" xfId="49322"/>
    <cellStyle name="Style 44 2 6 4 2 3" xfId="49323"/>
    <cellStyle name="Style 45 2 6 4 2 3" xfId="49324"/>
    <cellStyle name="Style 49 2 6 4 2 3" xfId="49325"/>
    <cellStyle name="Style 51 2 6 4 2 3" xfId="49326"/>
    <cellStyle name="Table Head Green 2 6 4 2 3" xfId="49327"/>
    <cellStyle name="Title [Palat] 2 6 4 2 3" xfId="49328"/>
    <cellStyle name="Title [Palat] 5 4 2 3" xfId="49329"/>
    <cellStyle name="Title [Helv] 4 4 2 3" xfId="49330"/>
    <cellStyle name="Table Head Green 6 4 2 3" xfId="49331"/>
    <cellStyle name="Table Head Aligned 4 4 2 3" xfId="49332"/>
    <cellStyle name="Style 51 9 3 2 3" xfId="49333"/>
    <cellStyle name="Style 49 9 3 2 3" xfId="49334"/>
    <cellStyle name="Style 45 9 3 2 3" xfId="49335"/>
    <cellStyle name="Style 44 9 3 2 3" xfId="49336"/>
    <cellStyle name="P-Green Rule 7 3 2 3" xfId="49337"/>
    <cellStyle name="PB Table Standard Row 7 3 2 3" xfId="49338"/>
    <cellStyle name="Outputs 6 4 2 3" xfId="49339"/>
    <cellStyle name="Magic 4 4 2 3" xfId="49340"/>
    <cellStyle name="Table Head Aligned 2 2 2 9 3" xfId="49341"/>
    <cellStyle name="Heading [Palat] 6 4 2 3" xfId="49342"/>
    <cellStyle name="Heading [Helv] 6 4 2 3" xfId="49343"/>
    <cellStyle name="dp*ThinLineBelow 5 4 2 3" xfId="49344"/>
    <cellStyle name="dp*SubTitle 5 4 2 3" xfId="49345"/>
    <cellStyle name="dp*SheetSubTitle 4 4 2 3" xfId="49346"/>
    <cellStyle name="dp*NumberLineEPS 4 4 2 3" xfId="49347"/>
    <cellStyle name="dp*NumberLine 4 4 2 3" xfId="49348"/>
    <cellStyle name="Date [mmm-yyyy] 4 4 2 3" xfId="49349"/>
    <cellStyle name="Date [mm-d-yyyy] 7 4 2 3" xfId="49350"/>
    <cellStyle name="Afjusted 4 3 4 7 3" xfId="49351"/>
    <cellStyle name="COL HEADINGS 6 4 2 3" xfId="49352"/>
    <cellStyle name="Border Thin 7 4 2 3" xfId="49353"/>
    <cellStyle name="Bold/Border 6 4 2 3" xfId="49354"/>
    <cellStyle name="Afjusted 7 4 2 3" xfId="49355"/>
    <cellStyle name="ac 6 4 2 3" xfId="49356"/>
    <cellStyle name="Style 44 8 4 2 3" xfId="49357"/>
    <cellStyle name="Style 45 8 4 2 3" xfId="49358"/>
    <cellStyle name="Style 49 8 4 2 3" xfId="49359"/>
    <cellStyle name="Style 51 8 4 2 3" xfId="49360"/>
    <cellStyle name="Title [Helv] 5 6 3" xfId="49361"/>
    <cellStyle name="Outputs 2 2 3 2 7 3" xfId="49362"/>
    <cellStyle name="Title [Palat] 6 4 2 3" xfId="49363"/>
    <cellStyle name="Title [Helv] 5 4 2 3" xfId="49364"/>
    <cellStyle name="Table Head Green 7 4 2 3" xfId="49365"/>
    <cellStyle name="Table Head Aligned 5 4 2 3" xfId="49366"/>
    <cellStyle name="Outputs 7 4 2 3" xfId="49367"/>
    <cellStyle name="Magic 5 4 2 3" xfId="49368"/>
    <cellStyle name="Heading [Palat] 7 4 2 3" xfId="49369"/>
    <cellStyle name="Heading [Helv] 7 4 2 3" xfId="49370"/>
    <cellStyle name="dp*SheetSubTitle 5 4 2 3" xfId="49371"/>
    <cellStyle name="dp*NumberLineEPS 5 4 2 3" xfId="49372"/>
    <cellStyle name="dp*NumberLine 5 4 2 3" xfId="49373"/>
    <cellStyle name="Date [mmm-yyyy] 5 4 2 3" xfId="49374"/>
    <cellStyle name="COL HEADINGS 7 4 2 3" xfId="49375"/>
    <cellStyle name="Bold/Border 7 4 2 3" xfId="49376"/>
    <cellStyle name="Afjusted 8 4 2 3" xfId="49377"/>
    <cellStyle name="ac 7 4 2 3" xfId="49378"/>
    <cellStyle name="Title [Palat] 2 2 2 9 3" xfId="49379"/>
    <cellStyle name="Title [Palat] 6 6 3" xfId="49380"/>
    <cellStyle name="Title [Palat] 7 4 2 3" xfId="49381"/>
    <cellStyle name="Title [Helv] 6 4 2 3" xfId="49382"/>
    <cellStyle name="Table Head Green 8 4 2 3" xfId="49383"/>
    <cellStyle name="Table Head Aligned 6 4 2 3" xfId="49384"/>
    <cellStyle name="dp*NumberLineEPS 2 2 3 4 7 3" xfId="49385"/>
    <cellStyle name="Outputs 8 4 2 3" xfId="49386"/>
    <cellStyle name="Magic 6 4 2 3" xfId="49387"/>
    <cellStyle name="Heading [Palat] 8 4 2 3" xfId="49388"/>
    <cellStyle name="Heading [Helv] 8 4 2 3" xfId="49389"/>
    <cellStyle name="dp*SheetSubTitle 6 4 2 3" xfId="49390"/>
    <cellStyle name="dp*NumberLineEPS 6 4 2 3" xfId="49391"/>
    <cellStyle name="dp*NumberLine 6 4 2 3" xfId="49392"/>
    <cellStyle name="COL HEADINGS 8 4 2 3" xfId="49393"/>
    <cellStyle name="Bold/Border 8 4 2 3" xfId="49394"/>
    <cellStyle name="Afjusted 9 4 2 3" xfId="49395"/>
    <cellStyle name="ac 8 4 2 3" xfId="49396"/>
    <cellStyle name="Outputs 2 2 2 2 7 3" xfId="49397"/>
    <cellStyle name="Date [mmm-yyyy] 6 4 2 3" xfId="49398"/>
    <cellStyle name="Title [Helv] 2 2 2 4 7 3" xfId="49399"/>
    <cellStyle name="Title [Palat] 8 4 2 3" xfId="49400"/>
    <cellStyle name="Title [Helv] 7 4 2 3" xfId="49401"/>
    <cellStyle name="Table Head Green 9 4 2 3" xfId="49402"/>
    <cellStyle name="Table Head Aligned 7 4 2 3" xfId="49403"/>
    <cellStyle name="Outputs 9 4 2 3" xfId="49404"/>
    <cellStyle name="Magic 7 4 2 3" xfId="49405"/>
    <cellStyle name="Heading [Palat] 9 4 2 3" xfId="49406"/>
    <cellStyle name="Heading [Helv] 9 4 2 3" xfId="49407"/>
    <cellStyle name="dp*SheetSubTitle 7 4 2 3" xfId="49408"/>
    <cellStyle name="dp*NumberLineEPS 7 4 2 3" xfId="49409"/>
    <cellStyle name="dp*NumberLine 7 4 2 3" xfId="49410"/>
    <cellStyle name="Date [mmm-yyyy] 7 4 2 3" xfId="49411"/>
    <cellStyle name="COL HEADINGS 9 4 2 3" xfId="49412"/>
    <cellStyle name="Bold/Border 9 4 2 3" xfId="49413"/>
    <cellStyle name="Afjusted 10 4 2 3" xfId="49414"/>
    <cellStyle name="ac 9 4 2 3" xfId="49415"/>
    <cellStyle name="Style 44 4 2 4 7 3" xfId="49416"/>
    <cellStyle name="Afjusted 3 6 3 2 3" xfId="49417"/>
    <cellStyle name="ac 2 7 3 2 3" xfId="49418"/>
    <cellStyle name="Afjusted 2 5 3 2 3" xfId="49419"/>
    <cellStyle name="Bold/Border 2 7 3 2 3" xfId="49420"/>
    <cellStyle name="COL HEADINGS 2 7 3 2 3" xfId="49421"/>
    <cellStyle name="Date [mmm-yyyy] 2 6 3 2 3" xfId="49422"/>
    <cellStyle name="dp*NumberLine 2 6 3 2 3" xfId="49423"/>
    <cellStyle name="dp*NumberLineEPS 2 6 3 2 3" xfId="49424"/>
    <cellStyle name="dp*SheetSubTitle 2 6 3 2 3" xfId="49425"/>
    <cellStyle name="Heading [Helv] 2 7 3 2 3" xfId="49426"/>
    <cellStyle name="Heading [Palat] 2 7 3 2 3" xfId="49427"/>
    <cellStyle name="Magic 2 6 3 2 3" xfId="49428"/>
    <cellStyle name="Outputs 2 7 3 2 3" xfId="49429"/>
    <cellStyle name="Table Head Aligned 2 6 3 2 3" xfId="49430"/>
    <cellStyle name="Table Head Green 2 7 3 2 3" xfId="49431"/>
    <cellStyle name="Title [Helv] 2 6 3 2 3" xfId="49432"/>
    <cellStyle name="Title [Palat] 2 7 3 2 3" xfId="49433"/>
    <cellStyle name="Date [mm-d-yyyy] 3 6 3 2 3" xfId="49434"/>
    <cellStyle name="Style 51 4 6 3 2 3" xfId="49435"/>
    <cellStyle name="Style 49 4 6 3 2 3" xfId="49436"/>
    <cellStyle name="Style 45 4 6 3 2 3" xfId="49437"/>
    <cellStyle name="Style 44 4 6 3 2 3" xfId="49438"/>
    <cellStyle name="P-Green Rule 3 6 3 2 3" xfId="49439"/>
    <cellStyle name="PB Table Standard Row 3 6 3 2 3" xfId="49440"/>
    <cellStyle name="dp*ThinLineBelow 3 6 3 2 3" xfId="49441"/>
    <cellStyle name="dp*SubTitle 3 6 3 2 3" xfId="49442"/>
    <cellStyle name="Border Thin 3 6 3 2 3" xfId="49443"/>
    <cellStyle name="Afjusted 4 6 3 2 3" xfId="49444"/>
    <cellStyle name="ac 2 2 5 3 2 3" xfId="49445"/>
    <cellStyle name="Afjusted 2 2 6 3 2 3" xfId="49446"/>
    <cellStyle name="Bold/Border 2 2 5 3 2 3" xfId="49447"/>
    <cellStyle name="COL HEADINGS 2 2 5 3 2 3" xfId="49448"/>
    <cellStyle name="Date [mmm-yyyy] 2 2 5 3 2 3" xfId="49449"/>
    <cellStyle name="dp*NumberLine 2 2 5 3 2 3" xfId="49450"/>
    <cellStyle name="dp*NumberLineEPS 2 2 5 3 2 3" xfId="49451"/>
    <cellStyle name="dp*SheetSubTitle 2 2 5 3 2 3" xfId="49452"/>
    <cellStyle name="Heading [Helv] 2 2 5 3 2 3" xfId="49453"/>
    <cellStyle name="Heading [Palat] 2 2 5 3 2 3" xfId="49454"/>
    <cellStyle name="Magic 2 2 5 3 2 3" xfId="49455"/>
    <cellStyle name="Outputs 2 2 5 3 2 3" xfId="49456"/>
    <cellStyle name="Table Head Aligned 2 2 5 3 2 3" xfId="49457"/>
    <cellStyle name="Table Head Green 2 2 5 3 2 3" xfId="49458"/>
    <cellStyle name="Title [Helv] 2 2 5 3 2 3" xfId="49459"/>
    <cellStyle name="Title [Palat] 2 2 5 3 2 3" xfId="49460"/>
    <cellStyle name="dp*SubTitle 2 2 2 3 2 3" xfId="49461"/>
    <cellStyle name="Border Thin 2 2 2 3 2 3" xfId="49462"/>
    <cellStyle name="Bold/Border 2 2 3 4 2 3 2 3" xfId="49463"/>
    <cellStyle name="Magic 2 2 3 4 2 3 2 3" xfId="49464"/>
    <cellStyle name="Title [Helv] 2 2 3 4 2 3 2 3" xfId="49465"/>
    <cellStyle name="Style 51 2 2 2 3 2 3" xfId="49466"/>
    <cellStyle name="Style 45 2 2 2 3 2 3" xfId="49467"/>
    <cellStyle name="Style 49 2 2 2 3 2 3" xfId="49468"/>
    <cellStyle name="Style 44 2 2 2 3 2 3" xfId="49469"/>
    <cellStyle name="Style 51 3 2 2 3 2 3" xfId="49470"/>
    <cellStyle name="Style 49 3 2 2 3 2 3" xfId="49471"/>
    <cellStyle name="Style 45 3 2 2 3 2 3" xfId="49472"/>
    <cellStyle name="Style 44 3 2 2 3 2 3" xfId="49473"/>
    <cellStyle name="P-Green Rule 2 2 2 3 2 3" xfId="49474"/>
    <cellStyle name="PB Table Standard Row 2 2 2 3 2 3" xfId="49475"/>
    <cellStyle name="dp*ThinLineBelow 2 2 2 3 2 3" xfId="49476"/>
    <cellStyle name="dp*ThinLineBelow 2 3 2 3 2 3" xfId="49477"/>
    <cellStyle name="Style 44 3 3 2 3 2 3" xfId="49478"/>
    <cellStyle name="COL HEADINGS 2 2 3 4 2 3 2 3" xfId="49479"/>
    <cellStyle name="Style 49 4 3 4 2 3 2 3" xfId="49480"/>
    <cellStyle name="Afjusted 3 3 4 2 3 2 3" xfId="49481"/>
    <cellStyle name="Date [mm-d-yyyy] 3 3 4 2 3 2 3" xfId="49482"/>
    <cellStyle name="Afjusted 4 3 4 2 3 2 3" xfId="49483"/>
    <cellStyle name="ac 2 2 3 4 2 3 2 3" xfId="49484"/>
    <cellStyle name="Afjusted 2 2 3 4 2 3 2 3" xfId="49485"/>
    <cellStyle name="Date [mmm-yyyy] 2 2 3 4 2 3 2 3" xfId="49486"/>
    <cellStyle name="dp*NumberLine 2 2 3 4 2 3 2 3" xfId="49487"/>
    <cellStyle name="dp*NumberLineEPS 2 2 3 4 2 3 2 3" xfId="49488"/>
    <cellStyle name="dp*SheetSubTitle 2 2 3 4 2 3 2 3" xfId="49489"/>
    <cellStyle name="Heading [Helv] 2 2 3 4 2 3 2 3" xfId="49490"/>
    <cellStyle name="Outputs 2 2 3 4 2 3 2 3" xfId="49491"/>
    <cellStyle name="Table Head Aligned 2 2 3 4 2 3 2 3" xfId="49492"/>
    <cellStyle name="Title [Palat] 2 2 3 4 2 3 2 3" xfId="49493"/>
    <cellStyle name="Afjusted 3 5 2 3 2 3" xfId="49494"/>
    <cellStyle name="Style 45 3 3 2 3 2 3" xfId="49495"/>
    <cellStyle name="Style 51 3 3 2 3 2 3" xfId="49496"/>
    <cellStyle name="Style 44 2 3 2 3 2 3" xfId="49497"/>
    <cellStyle name="Style 45 2 3 2 3 2 3" xfId="49498"/>
    <cellStyle name="Style 49 2 3 2 3 2 3" xfId="49499"/>
    <cellStyle name="Border Thin 3 5 2 3 2 3" xfId="49500"/>
    <cellStyle name="ac 2 2 4 2 3 2 3" xfId="49501"/>
    <cellStyle name="Afjusted 2 2 5 2 3 2 3" xfId="49502"/>
    <cellStyle name="Bold/Border 2 2 4 2 3 2 3" xfId="49503"/>
    <cellStyle name="COL HEADINGS 2 2 4 2 3 2 3" xfId="49504"/>
    <cellStyle name="Date [mmm-yyyy] 2 2 4 2 3 2 3" xfId="49505"/>
    <cellStyle name="dp*NumberLine 2 2 4 2 3 2 3" xfId="49506"/>
    <cellStyle name="dp*NumberLineEPS 2 2 4 2 3 2 3" xfId="49507"/>
    <cellStyle name="dp*SheetSubTitle 2 2 4 2 3 2 3" xfId="49508"/>
    <cellStyle name="Heading [Palat] 2 2 4 2 3 2 3" xfId="49509"/>
    <cellStyle name="Outputs 2 2 4 2 3 2 3" xfId="49510"/>
    <cellStyle name="Magic 2 2 4 2 3 2 3" xfId="49511"/>
    <cellStyle name="Title [Helv] 2 2 4 2 3 2 3" xfId="49512"/>
    <cellStyle name="Title [Palat] 2 2 4 2 3 2 3" xfId="49513"/>
    <cellStyle name="Title [Palat] 2 2 3 3 2 3 2 3" xfId="49514"/>
    <cellStyle name="Title [Helv] 2 2 3 3 2 3 2 3" xfId="49515"/>
    <cellStyle name="Table Head Aligned 2 2 3 3 2 3 2 3" xfId="49516"/>
    <cellStyle name="Magic 2 2 3 3 2 3 2 3" xfId="49517"/>
    <cellStyle name="Heading [Helv] 2 2 3 3 2 3 2 3" xfId="49518"/>
    <cellStyle name="dp*NumberLineEPS 2 2 3 3 2 3 2 3" xfId="49519"/>
    <cellStyle name="COL HEADINGS 2 2 3 3 2 3 2 3" xfId="49520"/>
    <cellStyle name="ac 2 2 3 3 2 3 2 3" xfId="49521"/>
    <cellStyle name="Afjusted 4 3 3 2 3 2 3" xfId="49522"/>
    <cellStyle name="Border Thin 3 3 3 2 3 2 3" xfId="49523"/>
    <cellStyle name="PB Table Standard Row 3 3 3 2 3 2 3" xfId="49524"/>
    <cellStyle name="Style 44 4 3 3 2 3 2 3" xfId="49525"/>
    <cellStyle name="Style 51 4 3 3 2 3 2 3" xfId="49526"/>
    <cellStyle name="Afjusted 3 3 3 2 3 2 3" xfId="49527"/>
    <cellStyle name="Style 49 4 5 2 3 2 3" xfId="49528"/>
    <cellStyle name="Style 44 4 5 2 3 2 3" xfId="49529"/>
    <cellStyle name="P-Green Rule 3 5 2 3 2 3" xfId="49530"/>
    <cellStyle name="dp*SubTitle 3 5 2 3 2 3" xfId="49531"/>
    <cellStyle name="Afjusted 4 5 2 3 2 3" xfId="49532"/>
    <cellStyle name="ac 2 3 2 3 2 3" xfId="49533"/>
    <cellStyle name="Bold/Border 2 3 2 3 2 3" xfId="49534"/>
    <cellStyle name="COL HEADINGS 2 3 2 3 2 3" xfId="49535"/>
    <cellStyle name="Date [mmm-yyyy] 2 3 2 3 2 3" xfId="49536"/>
    <cellStyle name="dp*NumberLine 2 3 2 3 2 3" xfId="49537"/>
    <cellStyle name="dp*NumberLineEPS 2 3 2 3 2 3" xfId="49538"/>
    <cellStyle name="dp*SheetSubTitle 2 3 2 3 2 3" xfId="49539"/>
    <cellStyle name="Heading [Helv] 2 3 2 3 2 3" xfId="49540"/>
    <cellStyle name="Heading [Palat] 2 3 2 3 2 3" xfId="49541"/>
    <cellStyle name="Magic 2 3 2 3 2 3" xfId="49542"/>
    <cellStyle name="Outputs 2 3 2 3 2 3" xfId="49543"/>
    <cellStyle name="Date [mmm-yyyy] 2 2 3 3 2 3 2 3" xfId="49544"/>
    <cellStyle name="Afjusted 2 2 3 3 2 3 2 3" xfId="49545"/>
    <cellStyle name="dp*ThinLineBelow 3 3 3 2 3 2 3" xfId="49546"/>
    <cellStyle name="Style 49 4 3 3 2 3 2 3" xfId="49547"/>
    <cellStyle name="Outputs 2 2 3 3 2 3 2 3" xfId="49548"/>
    <cellStyle name="dp*NumberLine 2 2 3 3 2 3 2 3" xfId="49549"/>
    <cellStyle name="Bold/Border 2 2 3 3 2 3 2 3" xfId="49550"/>
    <cellStyle name="dp*SubTitle 3 3 3 2 3 2 3" xfId="49551"/>
    <cellStyle name="Style 45 4 3 3 2 3 2 3" xfId="49552"/>
    <cellStyle name="Table Head Aligned 2 3 2 3 2 3" xfId="49553"/>
    <cellStyle name="Table Head Green 2 3 2 3 2 3" xfId="49554"/>
    <cellStyle name="Title [Helv] 2 3 2 3 2 3" xfId="49555"/>
    <cellStyle name="Title [Palat] 2 3 2 3 2 3" xfId="49556"/>
    <cellStyle name="Style 45 4 3 4 2 3 2 3" xfId="49557"/>
    <cellStyle name="Style 51 4 3 4 2 3 2 3" xfId="49558"/>
    <cellStyle name="Afjusted 3 4 2 3 2 3" xfId="49559"/>
    <cellStyle name="P-Green Rule 3 3 4 2 3 2 3" xfId="49560"/>
    <cellStyle name="Border Thin 2 3 2 3 2 3" xfId="49561"/>
    <cellStyle name="Style 49 3 3 2 3 2 3" xfId="49562"/>
    <cellStyle name="Style 51 2 3 2 3 2 3" xfId="49563"/>
    <cellStyle name="Heading [Helv] 2 2 4 2 3 2 3" xfId="49564"/>
    <cellStyle name="Table Head Aligned 2 2 4 2 3 2 3" xfId="49565"/>
    <cellStyle name="Table Head Green 2 2 4 2 3 2 3" xfId="49566"/>
    <cellStyle name="Table Head Green 2 2 3 3 2 3 2 3" xfId="49567"/>
    <cellStyle name="Heading [Palat] 2 2 3 3 2 3 2 3" xfId="49568"/>
    <cellStyle name="dp*SheetSubTitle 2 2 3 3 2 3 2 3" xfId="49569"/>
    <cellStyle name="P-Green Rule 3 3 3 2 3 2 3" xfId="49570"/>
    <cellStyle name="Date [mm-d-yyyy] 3 3 3 2 3 2 3" xfId="49571"/>
    <cellStyle name="Date [mm-d-yyyy] 3 4 2 3 2 3" xfId="49572"/>
    <cellStyle name="Style 51 4 4 2 3 2 3" xfId="49573"/>
    <cellStyle name="Style 49 4 4 2 3 2 3" xfId="49574"/>
    <cellStyle name="Style 45 4 4 2 3 2 3" xfId="49575"/>
    <cellStyle name="Style 44 4 4 2 3 2 3" xfId="49576"/>
    <cellStyle name="dp*ThinLineBelow 3 3 4 2 3 2 3" xfId="49577"/>
    <cellStyle name="P-Green Rule 3 4 2 3 2 3" xfId="49578"/>
    <cellStyle name="PB Table Standard Row 3 4 2 2 2 3" xfId="49579"/>
    <cellStyle name="dp*ThinLineBelow 3 4 2 3 2 3" xfId="49580"/>
    <cellStyle name="dp*SubTitle 3 4 2 3 2 3" xfId="49581"/>
    <cellStyle name="dp*SubTitle 3 3 4 2 3 2 3" xfId="49582"/>
    <cellStyle name="Border Thin 3 4 2 3 2 3" xfId="49583"/>
    <cellStyle name="Border Thin 3 3 4 2 3 2 3" xfId="49584"/>
    <cellStyle name="Afjusted 4 4 2 3 2 3" xfId="49585"/>
    <cellStyle name="Afjusted 2 2 4 2 3 2 3" xfId="49586"/>
    <cellStyle name="Style 44 4 3 4 2 3 2 3" xfId="49587"/>
    <cellStyle name="PB Table Standard Row 3 3 4 2 3 2 3" xfId="49588"/>
    <cellStyle name="Title [Palat] 2 2 3 5 3 2 3" xfId="49589"/>
    <cellStyle name="Title [Helv] 2 2 3 5 3 2 3" xfId="49590"/>
    <cellStyle name="Table Head Green 2 2 3 5 3 2 3" xfId="49591"/>
    <cellStyle name="Table Head Aligned 2 2 3 5 3 2 3" xfId="49592"/>
    <cellStyle name="Outputs 2 2 3 5 3 2 3" xfId="49593"/>
    <cellStyle name="Magic 2 2 3 5 3 2 3" xfId="49594"/>
    <cellStyle name="Heading [Palat] 2 2 3 5 3 2 3" xfId="49595"/>
    <cellStyle name="Heading [Helv] 2 2 3 5 3 2 3" xfId="49596"/>
    <cellStyle name="dp*SheetSubTitle 2 2 3 5 3 2 3" xfId="49597"/>
    <cellStyle name="dp*NumberLineEPS 2 2 3 5 3 2 3" xfId="49598"/>
    <cellStyle name="dp*NumberLine 2 2 3 5 3 2 3" xfId="49599"/>
    <cellStyle name="Date [mmm-yyyy] 2 2 3 5 3 2 3" xfId="49600"/>
    <cellStyle name="COL HEADINGS 2 2 3 5 3 2 3" xfId="49601"/>
    <cellStyle name="Bold/Border 2 2 3 5 3 2 3" xfId="49602"/>
    <cellStyle name="Afjusted 2 2 3 5 3 2 3" xfId="49603"/>
    <cellStyle name="ac 2 2 3 5 3 2 3" xfId="49604"/>
    <cellStyle name="Afjusted 4 3 5 3 2 3" xfId="49605"/>
    <cellStyle name="Border Thin 3 3 5 3 2 3" xfId="49606"/>
    <cellStyle name="dp*SubTitle 3 3 5 3 2 3" xfId="49607"/>
    <cellStyle name="dp*ThinLineBelow 3 3 5 3 2 3" xfId="49608"/>
    <cellStyle name="PB Table Standard Row 3 3 5 3 2 3" xfId="49609"/>
    <cellStyle name="P-Green Rule 3 3 5 3 2 3" xfId="49610"/>
    <cellStyle name="Style 44 4 3 5 3 2 3" xfId="49611"/>
    <cellStyle name="Style 45 4 3 5 3 2 3" xfId="49612"/>
    <cellStyle name="Style 49 4 3 5 3 2 3" xfId="49613"/>
    <cellStyle name="Style 51 4 3 5 3 2 3" xfId="49614"/>
    <cellStyle name="Date [mm-d-yyyy] 3 3 5 3 2 3" xfId="49615"/>
    <cellStyle name="Afjusted 3 3 5 3 2 3" xfId="49616"/>
    <cellStyle name="Date [mm-d-yyyy] 2 2 4 3 2 3" xfId="49617"/>
    <cellStyle name="Afjusted 3 2 5 3 2 3" xfId="49618"/>
    <cellStyle name="Date [mm-d-yyyy] 3 2 5 3 2 3" xfId="49619"/>
    <cellStyle name="Style 51 4 2 5 3 2 3" xfId="49620"/>
    <cellStyle name="Style 49 4 2 5 3 2 3" xfId="49621"/>
    <cellStyle name="Style 45 4 2 5 3 2 3" xfId="49622"/>
    <cellStyle name="Style 44 4 2 5 3 2 3" xfId="49623"/>
    <cellStyle name="P-Green Rule 3 2 5 3 2 3" xfId="49624"/>
    <cellStyle name="PB Table Standard Row 3 2 5 2 2 3" xfId="49625"/>
    <cellStyle name="dp*ThinLineBelow 3 2 5 3 2 3" xfId="49626"/>
    <cellStyle name="dp*SubTitle 3 2 5 3 2 3" xfId="49627"/>
    <cellStyle name="Border Thin 3 2 5 3 2 3" xfId="49628"/>
    <cellStyle name="Afjusted 4 2 5 3 2 3" xfId="49629"/>
    <cellStyle name="ac 2 2 2 5 3 2 3" xfId="49630"/>
    <cellStyle name="Afjusted 2 2 2 5 3 2 3" xfId="49631"/>
    <cellStyle name="Bold/Border 2 2 2 5 3 2 3" xfId="49632"/>
    <cellStyle name="COL HEADINGS 2 2 2 5 3 2 3" xfId="49633"/>
    <cellStyle name="Date [mmm-yyyy] 2 2 2 5 3 2 3" xfId="49634"/>
    <cellStyle name="dp*NumberLine 2 2 2 5 3 2 3" xfId="49635"/>
    <cellStyle name="dp*NumberLineEPS 2 2 2 5 3 2 3" xfId="49636"/>
    <cellStyle name="dp*SheetSubTitle 2 2 2 5 3 2 3" xfId="49637"/>
    <cellStyle name="Heading [Helv] 2 2 2 5 3 2 3" xfId="49638"/>
    <cellStyle name="Heading [Palat] 2 2 2 5 3 2 3" xfId="49639"/>
    <cellStyle name="Magic 2 2 2 5 3 2 3" xfId="49640"/>
    <cellStyle name="Outputs 2 2 2 5 3 2 3" xfId="49641"/>
    <cellStyle name="Table Head Aligned 2 2 2 5 3 2 3" xfId="49642"/>
    <cellStyle name="Table Head Green 2 2 2 5 3 2 3" xfId="49643"/>
    <cellStyle name="Title [Helv] 2 2 2 5 3 2 3" xfId="49644"/>
    <cellStyle name="Title [Palat] 2 2 2 5 3 2 3" xfId="49645"/>
    <cellStyle name="Table Head Green 2 2 3 4 2 3 2 3" xfId="49646"/>
    <cellStyle name="Heading [Palat] 2 2 3 4 2 3 2 3" xfId="49647"/>
    <cellStyle name="PB Table Standard Row 2 3 2 3 2 3" xfId="49648"/>
    <cellStyle name="P-Green Rule 2 3 2 3 2 3" xfId="49649"/>
    <cellStyle name="Title [Palat] 2 2 3 2 2 3 2 3" xfId="49650"/>
    <cellStyle name="Title [Helv] 2 2 3 2 2 3 2 3" xfId="49651"/>
    <cellStyle name="Table Head Green 2 2 3 2 2 3 2 3" xfId="49652"/>
    <cellStyle name="Table Head Aligned 2 2 3 2 2 3 2 3" xfId="49653"/>
    <cellStyle name="Outputs 2 2 3 2 2 3 2 3" xfId="49654"/>
    <cellStyle name="Magic 2 2 3 2 2 3 2 3" xfId="49655"/>
    <cellStyle name="Heading [Palat] 2 2 3 2 2 3 2 3" xfId="49656"/>
    <cellStyle name="Heading [Helv] 2 2 3 2 2 3 2 3" xfId="49657"/>
    <cellStyle name="dp*SheetSubTitle 2 2 3 2 2 3 2 3" xfId="49658"/>
    <cellStyle name="dp*NumberLineEPS 2 2 3 2 2 3 2 3" xfId="49659"/>
    <cellStyle name="dp*NumberLine 2 2 3 2 2 3 2 3" xfId="49660"/>
    <cellStyle name="Date [mmm-yyyy] 2 2 3 2 2 3 2 3" xfId="49661"/>
    <cellStyle name="COL HEADINGS 2 2 3 2 2 3 2 3" xfId="49662"/>
    <cellStyle name="Bold/Border 2 2 3 2 2 3 2 3" xfId="49663"/>
    <cellStyle name="Afjusted 2 2 3 2 2 3 2 3" xfId="49664"/>
    <cellStyle name="ac 2 2 3 2 2 3 2 3" xfId="49665"/>
    <cellStyle name="Afjusted 4 3 2 2 3 2 3" xfId="49666"/>
    <cellStyle name="Border Thin 3 3 2 2 3 2 3" xfId="49667"/>
    <cellStyle name="dp*SubTitle 3 3 2 2 3 2 3" xfId="49668"/>
    <cellStyle name="dp*ThinLineBelow 3 3 2 2 3 2 3" xfId="49669"/>
    <cellStyle name="PB Table Standard Row 3 3 2 2 3 2 3" xfId="49670"/>
    <cellStyle name="P-Green Rule 3 3 2 2 3 2 3" xfId="49671"/>
    <cellStyle name="Style 44 4 3 2 2 3 2 3" xfId="49672"/>
    <cellStyle name="Style 45 4 3 2 2 3 2 3" xfId="49673"/>
    <cellStyle name="Style 49 4 3 2 2 3 2 3" xfId="49674"/>
    <cellStyle name="Style 51 4 3 2 2 3 2 3" xfId="49675"/>
    <cellStyle name="Date [mm-d-yyyy] 3 3 2 2 3 2 3" xfId="49676"/>
    <cellStyle name="Afjusted 3 3 2 2 3 2 3" xfId="49677"/>
    <cellStyle name="Date [mm-d-yyyy] 3 5 2 3 2 3" xfId="49678"/>
    <cellStyle name="dp*SubTitle 2 3 2 3 2 3" xfId="49679"/>
    <cellStyle name="Date [mm-d-yyyy] 2 2 2 2 3 2 3" xfId="49680"/>
    <cellStyle name="Afjusted 3 2 2 2 3 2 3" xfId="49681"/>
    <cellStyle name="PB Table Standard Row 3 5 2 3 2 3" xfId="49682"/>
    <cellStyle name="Date [mm-d-yyyy] 3 2 2 2 3 2 3" xfId="49683"/>
    <cellStyle name="Style 51 4 2 2 2 3 2 3" xfId="49684"/>
    <cellStyle name="Style 49 4 2 2 2 3 2 3" xfId="49685"/>
    <cellStyle name="Style 45 4 2 2 2 3 2 3" xfId="49686"/>
    <cellStyle name="Style 44 4 2 2 2 3 2 3" xfId="49687"/>
    <cellStyle name="Style 45 4 5 2 3 2 3" xfId="49688"/>
    <cellStyle name="P-Green Rule 3 2 2 2 3 2 3" xfId="49689"/>
    <cellStyle name="PB Table Standard Row 3 2 2 2 3 2 3" xfId="49690"/>
    <cellStyle name="dp*ThinLineBelow 3 2 2 2 3 2 3" xfId="49691"/>
    <cellStyle name="dp*SubTitle 3 2 2 2 3 2 3" xfId="49692"/>
    <cellStyle name="Style 51 4 5 2 3 2 3" xfId="49693"/>
    <cellStyle name="Border Thin 3 2 2 2 3 2 3" xfId="49694"/>
    <cellStyle name="Afjusted 4 2 2 2 3 2 3" xfId="49695"/>
    <cellStyle name="ac 2 2 2 2 2 3 2 3" xfId="49696"/>
    <cellStyle name="Afjusted 2 2 2 2 2 3 2 3" xfId="49697"/>
    <cellStyle name="Bold/Border 2 2 2 2 2 3 2 3" xfId="49698"/>
    <cellStyle name="COL HEADINGS 2 2 2 2 2 3 2 3" xfId="49699"/>
    <cellStyle name="Date [mmm-yyyy] 2 2 2 2 2 3 2 3" xfId="49700"/>
    <cellStyle name="dp*NumberLine 2 2 2 2 2 3 2 3" xfId="49701"/>
    <cellStyle name="dp*NumberLineEPS 2 2 2 2 2 3 2 3" xfId="49702"/>
    <cellStyle name="dp*SheetSubTitle 2 2 2 2 2 3 2 3" xfId="49703"/>
    <cellStyle name="Heading [Helv] 2 2 2 2 2 3 2 3" xfId="49704"/>
    <cellStyle name="Heading [Palat] 2 2 2 2 2 3 2 3" xfId="49705"/>
    <cellStyle name="Magic 2 2 2 2 2 3 2 3" xfId="49706"/>
    <cellStyle name="Outputs 2 2 2 2 2 3 2 3" xfId="49707"/>
    <cellStyle name="Table Head Aligned 2 2 2 2 2 3 2 3" xfId="49708"/>
    <cellStyle name="Table Head Green 2 2 2 2 2 3 2 3" xfId="49709"/>
    <cellStyle name="Title [Helv] 2 2 2 2 2 3 2 3" xfId="49710"/>
    <cellStyle name="Title [Palat] 2 2 2 2 2 3 2 3" xfId="49711"/>
    <cellStyle name="dp*ThinLineBelow 3 5 2 3 2 3" xfId="49712"/>
    <cellStyle name="Date [mm-d-yyyy] 2 2 3 2 3 2 3" xfId="49713"/>
    <cellStyle name="Afjusted 3 2 3 2 3 2 3" xfId="49714"/>
    <cellStyle name="Date [mm-d-yyyy] 3 2 3 2 3 2 3" xfId="49715"/>
    <cellStyle name="Style 51 4 2 3 2 3 2 3" xfId="49716"/>
    <cellStyle name="Style 49 4 2 3 2 3 2 3" xfId="49717"/>
    <cellStyle name="Style 45 4 2 3 2 3 2 3" xfId="49718"/>
    <cellStyle name="Style 44 4 2 3 2 3 2 3" xfId="49719"/>
    <cellStyle name="P-Green Rule 3 2 3 2 3 2 3" xfId="49720"/>
    <cellStyle name="PB Table Standard Row 3 2 3 2 3 2 3" xfId="49721"/>
    <cellStyle name="dp*ThinLineBelow 3 2 3 2 3 2 3" xfId="49722"/>
    <cellStyle name="dp*SubTitle 3 2 3 2 3 2 3" xfId="49723"/>
    <cellStyle name="Border Thin 3 2 3 2 3 2 3" xfId="49724"/>
    <cellStyle name="Afjusted 4 2 3 2 3 2 3" xfId="49725"/>
    <cellStyle name="ac 2 2 2 3 2 3 2 3" xfId="49726"/>
    <cellStyle name="Afjusted 2 2 2 3 2 3 2 3" xfId="49727"/>
    <cellStyle name="Bold/Border 2 2 2 3 2 3 2 3" xfId="49728"/>
    <cellStyle name="COL HEADINGS 2 2 2 3 2 3 2 3" xfId="49729"/>
    <cellStyle name="Date [mmm-yyyy] 2 2 2 3 2 3 2 3" xfId="49730"/>
    <cellStyle name="dp*NumberLine 2 2 2 3 2 3 2 3" xfId="49731"/>
    <cellStyle name="dp*NumberLineEPS 2 2 2 3 2 3 2 3" xfId="49732"/>
    <cellStyle name="dp*SheetSubTitle 2 2 2 3 2 3 2 3" xfId="49733"/>
    <cellStyle name="Heading [Helv] 2 2 2 3 2 3 2 3" xfId="49734"/>
    <cellStyle name="Heading [Palat] 2 2 2 3 2 3 2 3" xfId="49735"/>
    <cellStyle name="Magic 2 2 2 3 2 3 2 3" xfId="49736"/>
    <cellStyle name="Outputs 2 2 2 3 2 3 2 3" xfId="49737"/>
    <cellStyle name="Table Head Aligned 2 2 2 3 2 3 2 3" xfId="49738"/>
    <cellStyle name="Table Head Green 2 2 2 3 2 3 2 3" xfId="49739"/>
    <cellStyle name="Title [Helv] 2 2 2 3 2 3 2 3" xfId="49740"/>
    <cellStyle name="Title [Palat] 2 2 2 3 2 3 2 3" xfId="49741"/>
    <cellStyle name="Afjusted 3 2 4 2 3 2 3" xfId="49742"/>
    <cellStyle name="Date [mm-d-yyyy] 3 2 4 2 3 2 3" xfId="49743"/>
    <cellStyle name="Style 51 4 2 4 2 3 2 3" xfId="49744"/>
    <cellStyle name="Style 49 4 2 4 2 3 2 3" xfId="49745"/>
    <cellStyle name="Style 45 4 2 4 2 3 2 3" xfId="49746"/>
    <cellStyle name="Style 44 4 2 4 2 3 2 3" xfId="49747"/>
    <cellStyle name="P-Green Rule 3 2 4 2 3 2 3" xfId="49748"/>
    <cellStyle name="PB Table Standard Row 3 2 4 2 3 2 3" xfId="49749"/>
    <cellStyle name="dp*ThinLineBelow 3 2 4 2 3 2 3" xfId="49750"/>
    <cellStyle name="dp*SubTitle 3 2 4 2 3 2 3" xfId="49751"/>
    <cellStyle name="Border Thin 3 2 4 2 3 2 3" xfId="49752"/>
    <cellStyle name="Afjusted 4 2 4 2 3 2 3" xfId="49753"/>
    <cellStyle name="ac 2 2 2 4 2 3 2 3" xfId="49754"/>
    <cellStyle name="Afjusted 2 2 2 4 2 3 2 3" xfId="49755"/>
    <cellStyle name="Bold/Border 2 2 2 4 2 3 2 3" xfId="49756"/>
    <cellStyle name="COL HEADINGS 2 2 2 4 2 3 2 3" xfId="49757"/>
    <cellStyle name="Date [mmm-yyyy] 2 2 2 4 2 3 2 3" xfId="49758"/>
    <cellStyle name="dp*NumberLine 2 2 2 4 2 3 2 3" xfId="49759"/>
    <cellStyle name="dp*NumberLineEPS 2 2 2 4 2 3 2 3" xfId="49760"/>
    <cellStyle name="dp*SheetSubTitle 2 2 2 4 2 3 2 3" xfId="49761"/>
    <cellStyle name="Heading [Helv] 2 2 2 4 2 3 2 3" xfId="49762"/>
    <cellStyle name="Heading [Palat] 2 2 2 4 2 3 2 3" xfId="49763"/>
    <cellStyle name="Magic 2 2 2 4 2 3 2 3" xfId="49764"/>
    <cellStyle name="Outputs 2 2 2 4 2 3 2 3" xfId="49765"/>
    <cellStyle name="Table Head Aligned 2 2 2 4 2 3 2 3" xfId="49766"/>
    <cellStyle name="Table Head Green 2 2 2 4 2 3 2 3" xfId="49767"/>
    <cellStyle name="Title [Helv] 2 2 2 4 2 3 2 3" xfId="49768"/>
    <cellStyle name="Title [Palat] 2 2 2 4 2 3 2 3" xfId="49769"/>
    <cellStyle name="Border Thin 4 2 3 2 3" xfId="49770"/>
    <cellStyle name="Date [mm-d-yyyy] 4 2 3 2 3" xfId="49771"/>
    <cellStyle name="dp*SubTitle 4 2 3 2 3" xfId="49772"/>
    <cellStyle name="dp*ThinLineBelow 4 2 3 2 3" xfId="49773"/>
    <cellStyle name="PB Table Standard Row 4 2 3 2 3" xfId="49774"/>
    <cellStyle name="P-Green Rule 4 2 3 2 3" xfId="49775"/>
    <cellStyle name="Style 44 5 2 3 2 3" xfId="49776"/>
    <cellStyle name="Style 45 5 2 3 2 3" xfId="49777"/>
    <cellStyle name="Style 49 5 2 3 2 3" xfId="49778"/>
    <cellStyle name="Style 51 5 2 3 2 3" xfId="49779"/>
    <cellStyle name="Title [Palat] 3 2 3 2 3" xfId="49780"/>
    <cellStyle name="Title [Helv] 3 2 3 2 3" xfId="49781"/>
    <cellStyle name="Table Head Green 3 2 3 2 3" xfId="49782"/>
    <cellStyle name="Table Head Aligned 3 2 3 2 3" xfId="49783"/>
    <cellStyle name="Outputs 3 2 3 2 3" xfId="49784"/>
    <cellStyle name="Magic 3 2 3 2 3" xfId="49785"/>
    <cellStyle name="Heading [Palat] 3 2 3 2 3" xfId="49786"/>
    <cellStyle name="Heading [Helv] 3 2 3 2 3" xfId="49787"/>
    <cellStyle name="dp*SheetSubTitle 3 2 3 2 3" xfId="49788"/>
    <cellStyle name="dp*NumberLineEPS 3 2 3 2 3" xfId="49789"/>
    <cellStyle name="dp*NumberLine 3 2 3 2 3" xfId="49790"/>
    <cellStyle name="COL HEADINGS 3 2 3 2 3" xfId="49791"/>
    <cellStyle name="Bold/Border 3 2 3 2 3" xfId="49792"/>
    <cellStyle name="Afjusted 5 2 3 2 3" xfId="49793"/>
    <cellStyle name="ac 3 2 3 2 3" xfId="49794"/>
    <cellStyle name="Date [mmm-yyyy] 3 2 3 2 3" xfId="49795"/>
    <cellStyle name="ac 2 4 2 3 2 3" xfId="49796"/>
    <cellStyle name="Afjusted 2 3 2 3 2 3" xfId="49797"/>
    <cellStyle name="Bold/Border 2 4 2 3 2 3" xfId="49798"/>
    <cellStyle name="Border Thin 2 4 2 3 2 3" xfId="49799"/>
    <cellStyle name="COL HEADINGS 2 4 2 3 2 3" xfId="49800"/>
    <cellStyle name="Date [mmm-yyyy] 2 4 2 3 2 3" xfId="49801"/>
    <cellStyle name="dp*NumberLine 2 4 2 3 2 3" xfId="49802"/>
    <cellStyle name="dp*NumberLineEPS 2 4 2 3 2 3" xfId="49803"/>
    <cellStyle name="dp*SheetSubTitle 2 4 2 3 2 3" xfId="49804"/>
    <cellStyle name="dp*SubTitle 2 4 2 3 2 3" xfId="49805"/>
    <cellStyle name="dp*ThinLineBelow 2 4 2 3 2 3" xfId="49806"/>
    <cellStyle name="Heading [Helv] 2 4 2 3 2 3" xfId="49807"/>
    <cellStyle name="Heading [Palat] 2 4 2 3 2 3" xfId="49808"/>
    <cellStyle name="Magic 2 4 2 3 2 3" xfId="49809"/>
    <cellStyle name="Outputs 2 4 2 3 2 3" xfId="49810"/>
    <cellStyle name="PB Table Standard Row 2 4 2 3 2 3" xfId="49811"/>
    <cellStyle name="P-Green Rule 2 4 2 3 2 3" xfId="49812"/>
    <cellStyle name="Style 44 3 4 2 3 2 3" xfId="49813"/>
    <cellStyle name="Style 45 3 4 2 3 2 3" xfId="49814"/>
    <cellStyle name="Style 49 3 4 2 3 2 3" xfId="49815"/>
    <cellStyle name="Style 51 3 4 2 3 2 3" xfId="49816"/>
    <cellStyle name="Style 44 2 4 2 3 2 3" xfId="49817"/>
    <cellStyle name="Style 45 2 4 2 3 2 3" xfId="49818"/>
    <cellStyle name="Style 49 2 4 2 3 2 3" xfId="49819"/>
    <cellStyle name="Style 51 2 4 2 3 2 3" xfId="49820"/>
    <cellStyle name="Table Head Aligned 2 4 2 3 2 3" xfId="49821"/>
    <cellStyle name="Table Head Green 2 4 2 3 2 3" xfId="49822"/>
    <cellStyle name="Title [Helv] 2 4 2 3 2 3" xfId="49823"/>
    <cellStyle name="Title [Palat] 2 4 2 3 2 3" xfId="49824"/>
    <cellStyle name="ac 4 2 3 2 3" xfId="49825"/>
    <cellStyle name="Bold/Border 4 2 3 2 3" xfId="49826"/>
    <cellStyle name="Border Thin 5 2 3 2 3" xfId="49827"/>
    <cellStyle name="COL HEADINGS 4 2 3 2 3" xfId="49828"/>
    <cellStyle name="Date [mm-d-yyyy] 5 2 3 2 3" xfId="49829"/>
    <cellStyle name="Heading [Helv] 4 2 3 2 3" xfId="49830"/>
    <cellStyle name="Heading [Palat] 4 2 3 2 3" xfId="49831"/>
    <cellStyle name="Outputs 4 2 3 2 3" xfId="49832"/>
    <cellStyle name="PB Table Standard Row 5 2 3 2 3" xfId="49833"/>
    <cellStyle name="P-Green Rule 5 2 3 2 3" xfId="49834"/>
    <cellStyle name="Style 44 6 2 3 2 3" xfId="49835"/>
    <cellStyle name="Style 45 6 2 3 2 3" xfId="49836"/>
    <cellStyle name="Style 49 6 2 3 2 3" xfId="49837"/>
    <cellStyle name="Style 51 6 2 3 2 3" xfId="49838"/>
    <cellStyle name="Table Head Green 4 2 3 2 3" xfId="49839"/>
    <cellStyle name="Afjusted 6 2 3 2 3" xfId="49840"/>
    <cellStyle name="ac 2 5 2 3 2 3" xfId="49841"/>
    <cellStyle name="Afjusted 2 4 2 3 2 3" xfId="49842"/>
    <cellStyle name="Bold/Border 2 5 2 3 2 3" xfId="49843"/>
    <cellStyle name="Border Thin 2 5 2 3 2 3" xfId="49844"/>
    <cellStyle name="COL HEADINGS 2 5 2 3 2 3" xfId="49845"/>
    <cellStyle name="Date [mmm-yyyy] 2 5 2 3 2 3" xfId="49846"/>
    <cellStyle name="dp*NumberLine 2 5 2 3 2 3" xfId="49847"/>
    <cellStyle name="dp*NumberLineEPS 2 5 2 3 2 3" xfId="49848"/>
    <cellStyle name="dp*SheetSubTitle 2 5 2 3 2 3" xfId="49849"/>
    <cellStyle name="dp*SubTitle 2 5 2 3 2 3" xfId="49850"/>
    <cellStyle name="dp*ThinLineBelow 2 5 2 3 2 3" xfId="49851"/>
    <cellStyle name="Heading [Helv] 2 5 2 3 2 3" xfId="49852"/>
    <cellStyle name="Heading [Palat] 2 5 2 3 2 3" xfId="49853"/>
    <cellStyle name="Magic 2 5 2 3 2 3" xfId="49854"/>
    <cellStyle name="Outputs 2 5 2 3 2 3" xfId="49855"/>
    <cellStyle name="PB Table Standard Row 2 5 2 3 2 3" xfId="49856"/>
    <cellStyle name="P-Green Rule 2 5 2 3 2 3" xfId="49857"/>
    <cellStyle name="Style 44 3 5 2 3 2 3" xfId="49858"/>
    <cellStyle name="Style 45 3 5 2 3 2 3" xfId="49859"/>
    <cellStyle name="Style 49 3 5 2 3 2 3" xfId="49860"/>
    <cellStyle name="Style 51 3 5 2 3 2 3" xfId="49861"/>
    <cellStyle name="Style 44 2 5 2 3 2 3" xfId="49862"/>
    <cellStyle name="Style 45 2 5 2 3 2 3" xfId="49863"/>
    <cellStyle name="Style 49 2 5 2 3 2 3" xfId="49864"/>
    <cellStyle name="Style 51 2 5 2 3 2 3" xfId="49865"/>
    <cellStyle name="Table Head Aligned 2 5 2 3 2 3" xfId="49866"/>
    <cellStyle name="Table Head Green 2 5 2 3 2 3" xfId="49867"/>
    <cellStyle name="Title [Helv] 2 5 2 3 2 3" xfId="49868"/>
    <cellStyle name="Title [Palat] 2 5 2 3 2 3" xfId="49869"/>
    <cellStyle name="ac 5 2 3 2 3" xfId="49870"/>
    <cellStyle name="Bold/Border 5 2 3 2 3" xfId="49871"/>
    <cellStyle name="Border Thin 6 2 3 2 3" xfId="49872"/>
    <cellStyle name="COL HEADINGS 5 2 3 2 3" xfId="49873"/>
    <cellStyle name="Heading [Helv] 5 2 3 2 3" xfId="49874"/>
    <cellStyle name="Heading [Palat] 5 2 3 2 3" xfId="49875"/>
    <cellStyle name="Outputs 5 2 3 2 3" xfId="49876"/>
    <cellStyle name="PB Table Standard Row 6 2 3 2 3" xfId="49877"/>
    <cellStyle name="P-Green Rule 6 2 3 2 3" xfId="49878"/>
    <cellStyle name="Style 44 7 2 3 2 3" xfId="49879"/>
    <cellStyle name="Style 45 7 2 3 2 3" xfId="49880"/>
    <cellStyle name="Style 49 7 2 3 2 3" xfId="49881"/>
    <cellStyle name="Style 51 7 2 3 2 3" xfId="49882"/>
    <cellStyle name="Table Head Green 5 2 3 2 3" xfId="49883"/>
    <cellStyle name="Title [Palat] 4 2 3 2 3" xfId="49884"/>
    <cellStyle name="ac 2 6 2 3 2 3" xfId="49885"/>
    <cellStyle name="Bold/Border 2 6 2 3 2 3" xfId="49886"/>
    <cellStyle name="Border Thin 2 6 2 3 2 3" xfId="49887"/>
    <cellStyle name="COL HEADINGS 2 6 2 3 2 3" xfId="49888"/>
    <cellStyle name="Heading [Helv] 2 6 2 3 2 3" xfId="49889"/>
    <cellStyle name="Heading [Palat] 2 6 2 3 2 3" xfId="49890"/>
    <cellStyle name="Outputs 2 6 2 3 2 3" xfId="49891"/>
    <cellStyle name="PB Table Standard Row 2 6 2 3 2 3" xfId="49892"/>
    <cellStyle name="P-Green Rule 2 6 2 3 2 3" xfId="49893"/>
    <cellStyle name="Style 44 3 6 2 3 2 3" xfId="49894"/>
    <cellStyle name="Style 45 3 6 2 3 2 3" xfId="49895"/>
    <cellStyle name="Style 49 3 6 2 3 2 3" xfId="49896"/>
    <cellStyle name="Style 51 3 6 2 3 2 3" xfId="49897"/>
    <cellStyle name="Style 44 2 6 2 3 2 3" xfId="49898"/>
    <cellStyle name="Style 45 2 6 2 3 2 3" xfId="49899"/>
    <cellStyle name="Style 49 2 6 2 3 2 3" xfId="49900"/>
    <cellStyle name="Style 51 2 6 2 3 2 3" xfId="49901"/>
    <cellStyle name="Table Head Green 2 6 2 3 2 3" xfId="49902"/>
    <cellStyle name="Title [Palat] 2 6 2 3 2 3" xfId="49903"/>
    <cellStyle name="Title [Palat] 5 2 3 2 3" xfId="49904"/>
    <cellStyle name="Title [Helv] 4 2 3 2 3" xfId="49905"/>
    <cellStyle name="Table Head Green 6 2 3 2 3" xfId="49906"/>
    <cellStyle name="Table Head Aligned 4 2 3 2 3" xfId="49907"/>
    <cellStyle name="Style 51 9 2 3 2 3" xfId="49908"/>
    <cellStyle name="Style 49 9 2 3 2 3" xfId="49909"/>
    <cellStyle name="Style 45 9 2 3 2 3" xfId="49910"/>
    <cellStyle name="Style 44 9 2 3 2 3" xfId="49911"/>
    <cellStyle name="P-Green Rule 7 2 3 2 3" xfId="49912"/>
    <cellStyle name="PB Table Standard Row 7 2 3 2 3" xfId="49913"/>
    <cellStyle name="Outputs 6 2 3 2 3" xfId="49914"/>
    <cellStyle name="Magic 4 2 3 2 3" xfId="49915"/>
    <cellStyle name="Heading [Palat] 6 2 3 2 3" xfId="49916"/>
    <cellStyle name="Heading [Helv] 6 2 3 2 3" xfId="49917"/>
    <cellStyle name="dp*ThinLineBelow 5 2 3 2 3" xfId="49918"/>
    <cellStyle name="dp*SubTitle 5 2 3 2 3" xfId="49919"/>
    <cellStyle name="dp*SheetSubTitle 4 2 3 2 3" xfId="49920"/>
    <cellStyle name="dp*NumberLineEPS 4 2 3 2 3" xfId="49921"/>
    <cellStyle name="dp*NumberLine 4 2 3 2 3" xfId="49922"/>
    <cellStyle name="Date [mmm-yyyy] 4 2 3 2 3" xfId="49923"/>
    <cellStyle name="Date [mm-d-yyyy] 7 2 3 2 3" xfId="49924"/>
    <cellStyle name="COL HEADINGS 6 2 3 2 3" xfId="49925"/>
    <cellStyle name="Border Thin 7 2 3 2 3" xfId="49926"/>
    <cellStyle name="Bold/Border 6 2 3 2 3" xfId="49927"/>
    <cellStyle name="Afjusted 7 2 3 2 3" xfId="49928"/>
    <cellStyle name="ac 6 2 3 2 3" xfId="49929"/>
    <cellStyle name="Style 44 8 2 3 2 3" xfId="49930"/>
    <cellStyle name="Style 45 8 2 3 2 3" xfId="49931"/>
    <cellStyle name="Style 49 8 2 3 2 3" xfId="49932"/>
    <cellStyle name="Style 51 8 2 3 2 3" xfId="49933"/>
    <cellStyle name="Title [Palat] 6 2 3 2 3" xfId="49934"/>
    <cellStyle name="Title [Helv] 5 2 3 2 3" xfId="49935"/>
    <cellStyle name="Table Head Green 7 2 3 2 3" xfId="49936"/>
    <cellStyle name="Table Head Aligned 5 2 3 2 3" xfId="49937"/>
    <cellStyle name="Outputs 7 2 3 2 3" xfId="49938"/>
    <cellStyle name="Magic 5 2 3 2 3" xfId="49939"/>
    <cellStyle name="Heading [Palat] 7 2 3 2 3" xfId="49940"/>
    <cellStyle name="Heading [Helv] 7 2 3 2 3" xfId="49941"/>
    <cellStyle name="dp*SheetSubTitle 5 2 3 2 3" xfId="49942"/>
    <cellStyle name="dp*NumberLineEPS 5 2 3 2 3" xfId="49943"/>
    <cellStyle name="dp*NumberLine 5 2 3 2 3" xfId="49944"/>
    <cellStyle name="Date [mmm-yyyy] 5 2 3 2 3" xfId="49945"/>
    <cellStyle name="COL HEADINGS 7 2 3 2 3" xfId="49946"/>
    <cellStyle name="Bold/Border 7 2 3 2 3" xfId="49947"/>
    <cellStyle name="Afjusted 8 2 3 2 3" xfId="49948"/>
    <cellStyle name="ac 7 2 3 2 3" xfId="49949"/>
    <cellStyle name="Title [Palat] 7 2 3 2 3" xfId="49950"/>
    <cellStyle name="Title [Helv] 6 2 3 2 3" xfId="49951"/>
    <cellStyle name="Table Head Green 8 2 3 2 3" xfId="49952"/>
    <cellStyle name="Table Head Aligned 6 2 3 2 3" xfId="49953"/>
    <cellStyle name="Outputs 8 2 3 2 3" xfId="49954"/>
    <cellStyle name="Magic 6 2 3 2 3" xfId="49955"/>
    <cellStyle name="Heading [Palat] 8 2 3 2 3" xfId="49956"/>
    <cellStyle name="Heading [Helv] 8 2 3 2 3" xfId="49957"/>
    <cellStyle name="dp*SheetSubTitle 6 2 3 2 3" xfId="49958"/>
    <cellStyle name="dp*NumberLineEPS 6 2 3 2 3" xfId="49959"/>
    <cellStyle name="dp*NumberLine 6 2 3 2 3" xfId="49960"/>
    <cellStyle name="COL HEADINGS 8 2 3 2 3" xfId="49961"/>
    <cellStyle name="Bold/Border 8 2 3 2 3" xfId="49962"/>
    <cellStyle name="Afjusted 9 2 3 2 3" xfId="49963"/>
    <cellStyle name="ac 8 2 3 2 3" xfId="49964"/>
    <cellStyle name="Date [mmm-yyyy] 6 2 3 2 3" xfId="49965"/>
    <cellStyle name="Title [Palat] 8 2 3 2 3" xfId="49966"/>
    <cellStyle name="Title [Helv] 7 2 3 2 3" xfId="49967"/>
    <cellStyle name="Table Head Green 9 2 3 2 3" xfId="49968"/>
    <cellStyle name="Table Head Aligned 7 2 3 2 3" xfId="49969"/>
    <cellStyle name="Outputs 9 2 3 2 3" xfId="49970"/>
    <cellStyle name="Magic 7 2 3 2 3" xfId="49971"/>
    <cellStyle name="Heading [Palat] 9 2 3 2 3" xfId="49972"/>
    <cellStyle name="Heading [Helv] 9 2 3 2 3" xfId="49973"/>
    <cellStyle name="dp*SheetSubTitle 7 2 3 2 3" xfId="49974"/>
    <cellStyle name="dp*NumberLineEPS 7 2 3 2 3" xfId="49975"/>
    <cellStyle name="dp*NumberLine 7 2 3 2 3" xfId="49976"/>
    <cellStyle name="Date [mmm-yyyy] 7 2 3 2 3" xfId="49977"/>
    <cellStyle name="COL HEADINGS 9 2 3 2 3" xfId="49978"/>
    <cellStyle name="Bold/Border 9 2 3 2 3" xfId="49979"/>
    <cellStyle name="Afjusted 10 2 3 2 3" xfId="49980"/>
    <cellStyle name="ac 9 2 3 2 3" xfId="49981"/>
    <cellStyle name="Style 49 4 3 3 5 2 3" xfId="49982"/>
    <cellStyle name="dp*ThinLineBelow 3 3 3 5 2 3" xfId="49983"/>
    <cellStyle name="Afjusted 2 2 3 3 5 2 3" xfId="49984"/>
    <cellStyle name="Date [mmm-yyyy] 2 2 3 3 5 2 3" xfId="49985"/>
    <cellStyle name="Magic 2 3 5 2 3" xfId="49986"/>
    <cellStyle name="Heading [Palat] 2 3 5 2 3" xfId="49987"/>
    <cellStyle name="Style 51 3 3 5 2 3" xfId="49988"/>
    <cellStyle name="Style 45 2 8 2 3" xfId="49989"/>
    <cellStyle name="Style 44 2 8 2 3" xfId="49990"/>
    <cellStyle name="Style 51 3 8 2 3" xfId="49991"/>
    <cellStyle name="P-Green Rule 2 8 2 3" xfId="49992"/>
    <cellStyle name="PB Table Standard Row 2 7 2 3" xfId="49993"/>
    <cellStyle name="dp*SubTitle 2 6 2 3" xfId="49994"/>
    <cellStyle name="Border Thin 2 7 2 3" xfId="49995"/>
    <cellStyle name="dp*SheetSubTitle 2 4 4 3 3" xfId="49996"/>
    <cellStyle name="Style 44 3 4 4 3 3" xfId="49997"/>
    <cellStyle name="Style 49 2 4 4 3 3" xfId="49998"/>
    <cellStyle name="Bold/Border 2 4 4 3 3" xfId="49999"/>
    <cellStyle name="Heading [Helv] 2 4 4 3 3" xfId="50000"/>
    <cellStyle name="Style 49 3 4 4 3 3" xfId="50001"/>
    <cellStyle name="Date [mmm-yyyy] 3 4 3 3" xfId="50002"/>
    <cellStyle name="PB Table Standard Row 2 4 4 3 3" xfId="50003"/>
    <cellStyle name="Table Head Aligned 2 2 2 7 3 3" xfId="50004"/>
    <cellStyle name="Style 44 2 4 4 3 3" xfId="50005"/>
    <cellStyle name="Table Head Aligned 2 2 2 3 4 3 3" xfId="50006"/>
    <cellStyle name="ac 2 2 2 4 4 3 3" xfId="50007"/>
    <cellStyle name="dp*SheetSubTitle 2 2 7 3 3" xfId="50008"/>
    <cellStyle name="COL HEADINGS 2 2 3 3 5 2 3" xfId="50009"/>
    <cellStyle name="Date [mmm-yyyy] 2 3 5 2 3" xfId="50010"/>
    <cellStyle name="Outputs 2 5 5 2 3" xfId="50011"/>
    <cellStyle name="dp*ThinLineBelow 2 5 5 2 3" xfId="50012"/>
    <cellStyle name="dp*NumberLineEPS 2 3 5 2 3" xfId="50013"/>
    <cellStyle name="Style 45 4 2 2 5 2 3" xfId="50014"/>
    <cellStyle name="Afjusted 4 5 5 2 3" xfId="50015"/>
    <cellStyle name="COL HEADINGS 2 3 5 2 3" xfId="50016"/>
    <cellStyle name="Heading [Helv] 2 2 3 4 5 2 3" xfId="50017"/>
    <cellStyle name="Afjusted 3 6 6 3" xfId="50018"/>
    <cellStyle name="ac 2 7 6 3" xfId="50019"/>
    <cellStyle name="Afjusted 2 5 6 3" xfId="50020"/>
    <cellStyle name="Bold/Border 2 7 6 3" xfId="50021"/>
    <cellStyle name="COL HEADINGS 2 7 6 3" xfId="50022"/>
    <cellStyle name="Date [mmm-yyyy] 2 6 6 3" xfId="50023"/>
    <cellStyle name="dp*ThinLineBelow 2 4 5 2 3" xfId="50024"/>
    <cellStyle name="Border Thin 2 4 5 2 3" xfId="50025"/>
    <cellStyle name="dp*NumberLine 2 6 6 3" xfId="50026"/>
    <cellStyle name="dp*NumberLineEPS 2 6 6 3" xfId="50027"/>
    <cellStyle name="dp*SheetSubTitle 2 6 6 3" xfId="50028"/>
    <cellStyle name="Heading [Helv] 3 5 2 3" xfId="50029"/>
    <cellStyle name="ac 2 2 2 2 5 2 3" xfId="50030"/>
    <cellStyle name="Afjusted 2 2 3 2 5 2 3" xfId="50031"/>
    <cellStyle name="Heading [Helv] 2 7 6 3" xfId="50032"/>
    <cellStyle name="Heading [Palat] 2 7 6 3" xfId="50033"/>
    <cellStyle name="Afjusted 2 2 4 5 2 3" xfId="50034"/>
    <cellStyle name="Magic 2 6 6 3" xfId="50035"/>
    <cellStyle name="Style 44 4 3 4 5 2 3" xfId="50036"/>
    <cellStyle name="ac 2 4 5 2 3" xfId="50037"/>
    <cellStyle name="dp*SheetSubTitle 2 4 5 2 3" xfId="50038"/>
    <cellStyle name="Outputs 2 7 6 3" xfId="50039"/>
    <cellStyle name="Afjusted 3 9 2 3" xfId="50040"/>
    <cellStyle name="Table Head Aligned 2 6 6 3" xfId="50041"/>
    <cellStyle name="Table Head Green 2 7 6 3" xfId="50042"/>
    <cellStyle name="Title [Helv] 2 6 6 3" xfId="50043"/>
    <cellStyle name="Title [Palat] 2 7 6 3" xfId="50044"/>
    <cellStyle name="PB Table Standard Row 3 3 3 5 2 3" xfId="50045"/>
    <cellStyle name="Afjusted 4 4 5 2 3" xfId="50046"/>
    <cellStyle name="dp*SubTitle 3 5 5 2 3" xfId="50047"/>
    <cellStyle name="Table Head Aligned 2 2 3 3 5 2 3" xfId="50048"/>
    <cellStyle name="Style 44 2 5 5 2 3" xfId="50049"/>
    <cellStyle name="dp*SheetSubTitle 3 5 2 3" xfId="50050"/>
    <cellStyle name="Outputs 3 5 2 3" xfId="50051"/>
    <cellStyle name="Table Head Green 2 2 2 4 5 2 3" xfId="50052"/>
    <cellStyle name="P-Green Rule 3 2 3 5 2 3" xfId="50053"/>
    <cellStyle name="dp*ThinLineBelow 3 5 5 2 3" xfId="50054"/>
    <cellStyle name="Magic 2 2 4 5 2 3" xfId="50055"/>
    <cellStyle name="Date [mm-d-yyyy] 3 6 6 3" xfId="50056"/>
    <cellStyle name="Style 51 4 6 6 3" xfId="50057"/>
    <cellStyle name="Style 49 4 6 6 3" xfId="50058"/>
    <cellStyle name="Style 45 4 6 6 3" xfId="50059"/>
    <cellStyle name="Style 44 4 6 6 3" xfId="50060"/>
    <cellStyle name="P-Green Rule 3 6 6 3" xfId="50061"/>
    <cellStyle name="PB Table Standard Row 3 6 6 3" xfId="50062"/>
    <cellStyle name="Border Thin 3 3 4 5 2 3" xfId="50063"/>
    <cellStyle name="dp*ThinLineBelow 3 6 6 3" xfId="50064"/>
    <cellStyle name="dp*SubTitle 3 6 6 3" xfId="50065"/>
    <cellStyle name="dp*NumberLineEPS 2 4 5 2 3" xfId="50066"/>
    <cellStyle name="Border Thin 3 6 6 3" xfId="50067"/>
    <cellStyle name="dp*SheetSubTitle 2 2 4 5 2 3" xfId="50068"/>
    <cellStyle name="Afjusted 4 6 6 3" xfId="50069"/>
    <cellStyle name="ac 2 2 5 6 3" xfId="50070"/>
    <cellStyle name="Afjusted 2 2 6 6 3" xfId="50071"/>
    <cellStyle name="Bold/Border 2 2 5 6 3" xfId="50072"/>
    <cellStyle name="COL HEADINGS 2 2 5 6 3" xfId="50073"/>
    <cellStyle name="Date [mmm-yyyy] 2 2 5 6 3" xfId="50074"/>
    <cellStyle name="dp*SubTitle 2 4 5 2 3" xfId="50075"/>
    <cellStyle name="Bold/Border 2 4 5 2 3" xfId="50076"/>
    <cellStyle name="dp*NumberLine 2 2 5 6 3" xfId="50077"/>
    <cellStyle name="dp*NumberLineEPS 2 2 5 6 3" xfId="50078"/>
    <cellStyle name="dp*SheetSubTitle 2 2 5 6 3" xfId="50079"/>
    <cellStyle name="Heading [Helv] 2 2 5 6 3" xfId="50080"/>
    <cellStyle name="Heading [Palat] 2 2 5 6 3" xfId="50081"/>
    <cellStyle name="Magic 2 2 5 6 3" xfId="50082"/>
    <cellStyle name="Outputs 2 2 5 6 3" xfId="50083"/>
    <cellStyle name="Table Head Aligned 2 2 5 6 3" xfId="50084"/>
    <cellStyle name="Table Head Green 2 2 5 6 3" xfId="50085"/>
    <cellStyle name="Title [Helv] 2 2 5 6 3" xfId="50086"/>
    <cellStyle name="Title [Palat] 2 2 5 6 3" xfId="50087"/>
    <cellStyle name="Heading [Palat] 2 2 4 5 2 3" xfId="50088"/>
    <cellStyle name="dp*NumberLine 2 2 4 5 2 3" xfId="50089"/>
    <cellStyle name="Date [mmm-yyyy] 2 2 4 5 2 3" xfId="50090"/>
    <cellStyle name="COL HEADINGS 2 2 4 5 2 3" xfId="50091"/>
    <cellStyle name="Bold/Border 2 2 4 5 2 3" xfId="50092"/>
    <cellStyle name="Afjusted 2 2 5 5 2 3" xfId="50093"/>
    <cellStyle name="ac 2 2 4 5 2 3" xfId="50094"/>
    <cellStyle name="dp*SubTitle 2 2 5 2 3" xfId="50095"/>
    <cellStyle name="Bold/Border 2 2 3 4 5 2 3" xfId="50096"/>
    <cellStyle name="Style 44 4 5 5 2 3" xfId="50097"/>
    <cellStyle name="dp*ThinLineBelow 4 5 2 3" xfId="50098"/>
    <cellStyle name="Style 51 5 5 2 3" xfId="50099"/>
    <cellStyle name="PB Table Standard Row 4 5 2 3" xfId="50100"/>
    <cellStyle name="ac 2 2 3 3 5 2 3" xfId="50101"/>
    <cellStyle name="P-Green Rule 3 5 5 2 3" xfId="50102"/>
    <cellStyle name="dp*SubTitle 4 5 2 3" xfId="50103"/>
    <cellStyle name="Style 44 5 5 2 3" xfId="50104"/>
    <cellStyle name="Style 49 5 5 2 3" xfId="50105"/>
    <cellStyle name="Style 45 5 5 2 3" xfId="50106"/>
    <cellStyle name="P-Green Rule 4 5 2 3" xfId="50107"/>
    <cellStyle name="Outputs 2 2 3 4 5 2 3" xfId="50108"/>
    <cellStyle name="Table Head Aligned 2 2 3 2 5 2 3" xfId="50109"/>
    <cellStyle name="Title [Helv] 2 2 3 2 5 2 3" xfId="50110"/>
    <cellStyle name="P-Green Rule 2 3 5 2 3" xfId="50111"/>
    <cellStyle name="Heading [Palat] 2 2 3 4 5 2 3" xfId="50112"/>
    <cellStyle name="Afjusted 4 2 2 5 2 3" xfId="50113"/>
    <cellStyle name="COL HEADINGS 2 5 5 2 3" xfId="50114"/>
    <cellStyle name="Style 49 6 5 2 3" xfId="50115"/>
    <cellStyle name="Title [Palat] 2 9 3 3" xfId="50116"/>
    <cellStyle name="Afjusted 4 3 4 5 2 3" xfId="50117"/>
    <cellStyle name="dp*NumberLine 2 2 3 4 5 2 3" xfId="50118"/>
    <cellStyle name="dp*SubTitle 2 2 2 6 3" xfId="50119"/>
    <cellStyle name="Border Thin 2 2 2 6 3" xfId="50120"/>
    <cellStyle name="Style 44 3 2 5 2 3" xfId="50121"/>
    <cellStyle name="Border Thin 2 3 5 2 3" xfId="50122"/>
    <cellStyle name="Style 51 4 3 3 5 2 3" xfId="50123"/>
    <cellStyle name="Bold/Border 2 2 3 4 2 6 3" xfId="50124"/>
    <cellStyle name="Magic 2 2 3 4 2 6 3" xfId="50125"/>
    <cellStyle name="Title [Helv] 2 2 3 4 2 6 3" xfId="50126"/>
    <cellStyle name="Style 51 2 2 2 6 3" xfId="50127"/>
    <cellStyle name="Style 45 2 2 2 6 3" xfId="50128"/>
    <cellStyle name="Style 49 2 2 2 6 3" xfId="50129"/>
    <cellStyle name="Style 44 2 2 2 6 3" xfId="50130"/>
    <cellStyle name="Style 51 3 2 2 6 3" xfId="50131"/>
    <cellStyle name="Style 49 3 2 2 6 3" xfId="50132"/>
    <cellStyle name="Style 45 3 2 2 6 3" xfId="50133"/>
    <cellStyle name="Style 44 3 2 2 6 3" xfId="50134"/>
    <cellStyle name="P-Green Rule 2 2 2 6 3" xfId="50135"/>
    <cellStyle name="PB Table Standard Row 2 2 2 6 3" xfId="50136"/>
    <cellStyle name="dp*ThinLineBelow 2 2 2 6 3" xfId="50137"/>
    <cellStyle name="dp*ThinLineBelow 2 3 2 6 3" xfId="50138"/>
    <cellStyle name="Style 44 3 3 2 6 3" xfId="50139"/>
    <cellStyle name="COL HEADINGS 2 2 3 4 2 6 3" xfId="50140"/>
    <cellStyle name="Style 49 4 3 4 2 6 3" xfId="50141"/>
    <cellStyle name="Afjusted 3 3 4 2 6 3" xfId="50142"/>
    <cellStyle name="Date [mm-d-yyyy] 3 3 4 2 6 3" xfId="50143"/>
    <cellStyle name="Afjusted 4 3 4 2 6 3" xfId="50144"/>
    <cellStyle name="ac 2 2 3 4 2 6 3" xfId="50145"/>
    <cellStyle name="Afjusted 2 2 3 4 2 6 3" xfId="50146"/>
    <cellStyle name="Date [mmm-yyyy] 2 2 3 4 2 6 3" xfId="50147"/>
    <cellStyle name="dp*NumberLine 2 2 3 4 2 6 3" xfId="50148"/>
    <cellStyle name="dp*NumberLineEPS 2 2 3 4 2 6 3" xfId="50149"/>
    <cellStyle name="dp*SheetSubTitle 2 2 3 4 2 6 3" xfId="50150"/>
    <cellStyle name="Heading [Helv] 2 2 3 4 2 6 3" xfId="50151"/>
    <cellStyle name="Outputs 2 2 3 4 2 6 3" xfId="50152"/>
    <cellStyle name="Table Head Aligned 2 2 3 4 2 6 3" xfId="50153"/>
    <cellStyle name="Title [Palat] 2 2 3 4 2 6 3" xfId="50154"/>
    <cellStyle name="Afjusted 3 5 2 6 3" xfId="50155"/>
    <cellStyle name="Style 45 3 3 2 6 3" xfId="50156"/>
    <cellStyle name="Style 51 3 3 2 6 3" xfId="50157"/>
    <cellStyle name="Style 44 2 3 2 6 3" xfId="50158"/>
    <cellStyle name="Style 45 2 3 2 6 3" xfId="50159"/>
    <cellStyle name="Style 49 2 3 2 6 3" xfId="50160"/>
    <cellStyle name="Border Thin 3 5 2 6 3" xfId="50161"/>
    <cellStyle name="ac 2 2 4 2 6 3" xfId="50162"/>
    <cellStyle name="Afjusted 2 2 5 2 6 3" xfId="50163"/>
    <cellStyle name="Bold/Border 2 2 4 2 6 3" xfId="50164"/>
    <cellStyle name="COL HEADINGS 2 2 4 2 6 3" xfId="50165"/>
    <cellStyle name="Date [mmm-yyyy] 2 2 4 2 6 3" xfId="50166"/>
    <cellStyle name="dp*NumberLine 2 2 4 2 6 3" xfId="50167"/>
    <cellStyle name="dp*NumberLineEPS 2 2 4 2 6 3" xfId="50168"/>
    <cellStyle name="dp*SheetSubTitle 2 2 4 2 6 3" xfId="50169"/>
    <cellStyle name="Heading [Palat] 2 2 4 2 6 3" xfId="50170"/>
    <cellStyle name="Outputs 2 2 4 2 6 3" xfId="50171"/>
    <cellStyle name="Magic 2 2 4 2 6 3" xfId="50172"/>
    <cellStyle name="Title [Helv] 2 2 4 2 6 3" xfId="50173"/>
    <cellStyle name="Title [Palat] 2 2 4 2 6 3" xfId="50174"/>
    <cellStyle name="Title [Palat] 2 2 3 3 2 6 3" xfId="50175"/>
    <cellStyle name="Title [Helv] 2 2 3 3 2 6 3" xfId="50176"/>
    <cellStyle name="Table Head Aligned 2 2 3 3 2 6 3" xfId="50177"/>
    <cellStyle name="Magic 2 2 3 3 2 6 3" xfId="50178"/>
    <cellStyle name="Heading [Helv] 2 2 3 3 2 6 3" xfId="50179"/>
    <cellStyle name="dp*NumberLineEPS 2 2 3 3 2 6 3" xfId="50180"/>
    <cellStyle name="COL HEADINGS 2 2 3 3 2 6 3" xfId="50181"/>
    <cellStyle name="ac 2 2 3 3 2 6 3" xfId="50182"/>
    <cellStyle name="Afjusted 4 3 3 2 6 3" xfId="50183"/>
    <cellStyle name="Border Thin 3 3 3 2 6 3" xfId="50184"/>
    <cellStyle name="PB Table Standard Row 3 3 3 2 6 3" xfId="50185"/>
    <cellStyle name="Style 44 4 3 3 2 6 3" xfId="50186"/>
    <cellStyle name="Style 51 4 3 3 2 6 3" xfId="50187"/>
    <cellStyle name="Afjusted 3 3 3 2 6 3" xfId="50188"/>
    <cellStyle name="Style 49 4 5 2 6 3" xfId="50189"/>
    <cellStyle name="Style 44 4 5 2 6 3" xfId="50190"/>
    <cellStyle name="P-Green Rule 3 5 2 6 3" xfId="50191"/>
    <cellStyle name="dp*SubTitle 3 5 2 6 3" xfId="50192"/>
    <cellStyle name="Afjusted 4 5 2 6 3" xfId="50193"/>
    <cellStyle name="Afjusted 2 2 3 4 5 2 3" xfId="50194"/>
    <cellStyle name="dp*ThinLineBelow 2 2 5 2 3" xfId="50195"/>
    <cellStyle name="Afjusted 3 3 3 5 2 3" xfId="50196"/>
    <cellStyle name="ac 2 3 2 6 3" xfId="50197"/>
    <cellStyle name="Bold/Border 2 3 2 6 3" xfId="50198"/>
    <cellStyle name="COL HEADINGS 2 3 2 6 3" xfId="50199"/>
    <cellStyle name="Date [mmm-yyyy] 2 3 2 6 3" xfId="50200"/>
    <cellStyle name="dp*NumberLine 2 3 2 6 3" xfId="50201"/>
    <cellStyle name="dp*NumberLineEPS 2 3 2 6 3" xfId="50202"/>
    <cellStyle name="dp*SheetSubTitle 2 3 2 6 3" xfId="50203"/>
    <cellStyle name="Heading [Helv] 2 3 2 6 3" xfId="50204"/>
    <cellStyle name="Heading [Palat] 2 3 2 6 3" xfId="50205"/>
    <cellStyle name="Magic 2 3 2 6 3" xfId="50206"/>
    <cellStyle name="Outputs 2 3 2 6 3" xfId="50207"/>
    <cellStyle name="Afjusted 6 5 2 3" xfId="50208"/>
    <cellStyle name="Date [mmm-yyyy] 2 2 3 3 2 6 3" xfId="50209"/>
    <cellStyle name="Afjusted 2 2 3 3 2 6 3" xfId="50210"/>
    <cellStyle name="dp*ThinLineBelow 3 3 3 2 6 3" xfId="50211"/>
    <cellStyle name="Style 49 4 3 3 2 6 3" xfId="50212"/>
    <cellStyle name="Outputs 2 2 3 3 2 6 3" xfId="50213"/>
    <cellStyle name="dp*NumberLine 2 2 3 3 2 6 3" xfId="50214"/>
    <cellStyle name="Bold/Border 2 2 3 3 2 6 3" xfId="50215"/>
    <cellStyle name="dp*SubTitle 3 3 3 2 6 3" xfId="50216"/>
    <cellStyle name="Style 45 4 3 3 2 6 3" xfId="50217"/>
    <cellStyle name="Table Head Aligned 2 3 2 6 3" xfId="50218"/>
    <cellStyle name="Table Head Green 2 3 2 6 3" xfId="50219"/>
    <cellStyle name="Title [Helv] 2 3 2 6 3" xfId="50220"/>
    <cellStyle name="Title [Palat] 2 3 2 6 3" xfId="50221"/>
    <cellStyle name="Border Thin 3 3 3 5 2 3" xfId="50222"/>
    <cellStyle name="Style 45 4 3 4 2 6 3" xfId="50223"/>
    <cellStyle name="Style 51 4 3 4 2 6 3" xfId="50224"/>
    <cellStyle name="Title [Helv] 2 2 3 3 5 2 3" xfId="50225"/>
    <cellStyle name="Afjusted 3 4 2 6 3" xfId="50226"/>
    <cellStyle name="P-Green Rule 3 3 4 2 6 3" xfId="50227"/>
    <cellStyle name="Border Thin 2 3 2 6 3" xfId="50228"/>
    <cellStyle name="Style 49 3 3 2 6 3" xfId="50229"/>
    <cellStyle name="Style 51 2 3 2 6 3" xfId="50230"/>
    <cellStyle name="Heading [Helv] 2 2 4 2 6 3" xfId="50231"/>
    <cellStyle name="Table Head Aligned 2 2 4 2 6 3" xfId="50232"/>
    <cellStyle name="Table Head Green 2 2 4 2 6 3" xfId="50233"/>
    <cellStyle name="Table Head Green 2 2 3 3 2 6 3" xfId="50234"/>
    <cellStyle name="Heading [Palat] 2 2 3 3 2 6 3" xfId="50235"/>
    <cellStyle name="dp*SheetSubTitle 2 2 3 3 2 6 3" xfId="50236"/>
    <cellStyle name="P-Green Rule 3 3 3 2 6 3" xfId="50237"/>
    <cellStyle name="Date [mm-d-yyyy] 3 3 3 2 6 3" xfId="50238"/>
    <cellStyle name="Outputs 2 2 4 5 2 3" xfId="50239"/>
    <cellStyle name="Date [mm-d-yyyy] 3 4 2 6 3" xfId="50240"/>
    <cellStyle name="Style 51 4 4 2 6 3" xfId="50241"/>
    <cellStyle name="Style 49 4 4 2 6 3" xfId="50242"/>
    <cellStyle name="Style 45 4 4 2 6 3" xfId="50243"/>
    <cellStyle name="Style 44 4 4 2 6 3" xfId="50244"/>
    <cellStyle name="dp*ThinLineBelow 3 3 4 2 6 3" xfId="50245"/>
    <cellStyle name="P-Green Rule 3 4 2 6 3" xfId="50246"/>
    <cellStyle name="PB Table Standard Row 3 4 2 4 3" xfId="50247"/>
    <cellStyle name="dp*ThinLineBelow 3 4 2 6 3" xfId="50248"/>
    <cellStyle name="dp*SubTitle 3 4 2 5 3" xfId="50249"/>
    <cellStyle name="dp*SubTitle 3 3 4 2 6 3" xfId="50250"/>
    <cellStyle name="Border Thin 3 4 2 5 3" xfId="50251"/>
    <cellStyle name="dp*NumberLineEPS 2 2 4 5 2 3" xfId="50252"/>
    <cellStyle name="Border Thin 3 3 4 2 6 3" xfId="50253"/>
    <cellStyle name="Border Thin 2 2 5 2 3" xfId="50254"/>
    <cellStyle name="Afjusted 4 4 2 6 3" xfId="50255"/>
    <cellStyle name="Afjusted 2 2 4 2 6 3" xfId="50256"/>
    <cellStyle name="Style 44 4 3 4 2 6 3" xfId="50257"/>
    <cellStyle name="PB Table Standard Row 3 3 4 2 6 3" xfId="50258"/>
    <cellStyle name="Title [Palat] 2 2 3 5 6 3" xfId="50259"/>
    <cellStyle name="Title [Helv] 2 2 3 5 6 3" xfId="50260"/>
    <cellStyle name="Table Head Green 2 2 3 5 6 3" xfId="50261"/>
    <cellStyle name="Table Head Aligned 2 2 3 5 6 3" xfId="50262"/>
    <cellStyle name="Outputs 2 2 3 5 6 3" xfId="50263"/>
    <cellStyle name="Magic 2 2 3 5 6 3" xfId="50264"/>
    <cellStyle name="Heading [Palat] 2 2 3 5 6 3" xfId="50265"/>
    <cellStyle name="Heading [Helv] 2 2 3 5 6 3" xfId="50266"/>
    <cellStyle name="dp*SheetSubTitle 2 2 3 5 6 3" xfId="50267"/>
    <cellStyle name="dp*NumberLineEPS 2 2 3 5 6 3" xfId="50268"/>
    <cellStyle name="dp*NumberLine 2 2 3 5 6 3" xfId="50269"/>
    <cellStyle name="Date [mmm-yyyy] 2 2 3 5 6 3" xfId="50270"/>
    <cellStyle name="COL HEADINGS 2 2 3 5 6 3" xfId="50271"/>
    <cellStyle name="Bold/Border 2 2 3 5 6 3" xfId="50272"/>
    <cellStyle name="Afjusted 2 2 3 5 6 3" xfId="50273"/>
    <cellStyle name="ac 2 2 3 5 6 3" xfId="50274"/>
    <cellStyle name="Afjusted 2 2 5 4 3 3" xfId="50275"/>
    <cellStyle name="Afjusted 4 3 5 6 3" xfId="50276"/>
    <cellStyle name="Border Thin 3 3 5 6 3" xfId="50277"/>
    <cellStyle name="dp*SubTitle 3 3 5 6 3" xfId="50278"/>
    <cellStyle name="dp*ThinLineBelow 3 3 5 6 3" xfId="50279"/>
    <cellStyle name="PB Table Standard Row 3 3 5 6 3" xfId="50280"/>
    <cellStyle name="P-Green Rule 3 3 5 6 3" xfId="50281"/>
    <cellStyle name="Style 44 4 3 5 6 3" xfId="50282"/>
    <cellStyle name="Style 45 4 3 5 6 3" xfId="50283"/>
    <cellStyle name="Style 49 4 3 5 6 3" xfId="50284"/>
    <cellStyle name="Style 51 4 3 5 6 3" xfId="50285"/>
    <cellStyle name="Title [Palat] 2 2 3 2 5 2 3" xfId="50286"/>
    <cellStyle name="Date [mm-d-yyyy] 3 3 5 6 3" xfId="50287"/>
    <cellStyle name="Magic 2 5 5 2 3" xfId="50288"/>
    <cellStyle name="dp*SubTitle 2 5 5 2 3" xfId="50289"/>
    <cellStyle name="Afjusted 3 3 5 6 3" xfId="50290"/>
    <cellStyle name="ac 5 5 2 3" xfId="50291"/>
    <cellStyle name="Border Thin 2 5 5 2 3" xfId="50292"/>
    <cellStyle name="Border Thin 3 2 2 5 2 3" xfId="50293"/>
    <cellStyle name="Table Head Green 2 2 3 2 5 2 3" xfId="50294"/>
    <cellStyle name="Table Head Green 2 2 3 4 5 2 3" xfId="50295"/>
    <cellStyle name="dp*SubTitle 3 2 7 2 3" xfId="50296"/>
    <cellStyle name="dp*ThinLineBelow 3 2 7 2 3" xfId="50297"/>
    <cellStyle name="dp*NumberLine 2 3 5 2 3" xfId="50298"/>
    <cellStyle name="Date [mm-d-yyyy] 2 2 4 6 3" xfId="50299"/>
    <cellStyle name="Afjusted 3 2 5 6 3" xfId="50300"/>
    <cellStyle name="P-Green Rule 3 3 4 5 2 3" xfId="50301"/>
    <cellStyle name="PB Table Standard Row 2 3 4 2 3" xfId="50302"/>
    <cellStyle name="Date [mm-d-yyyy] 3 2 5 6 3" xfId="50303"/>
    <cellStyle name="Style 51 4 2 5 6 3" xfId="50304"/>
    <cellStyle name="Style 49 4 2 5 6 3" xfId="50305"/>
    <cellStyle name="Style 45 4 2 5 6 3" xfId="50306"/>
    <cellStyle name="Style 44 4 2 5 6 3" xfId="50307"/>
    <cellStyle name="P-Green Rule 3 2 5 6 3" xfId="50308"/>
    <cellStyle name="PB Table Standard Row 3 2 5 4 3" xfId="50309"/>
    <cellStyle name="dp*ThinLineBelow 3 2 5 6 3" xfId="50310"/>
    <cellStyle name="dp*SubTitle 3 2 5 6 3" xfId="50311"/>
    <cellStyle name="Border Thin 3 2 5 6 3" xfId="50312"/>
    <cellStyle name="Afjusted 4 2 5 6 3" xfId="50313"/>
    <cellStyle name="ac 2 2 2 5 6 3" xfId="50314"/>
    <cellStyle name="Afjusted 2 2 2 5 6 3" xfId="50315"/>
    <cellStyle name="Bold/Border 2 2 2 5 6 3" xfId="50316"/>
    <cellStyle name="COL HEADINGS 2 2 2 5 6 3" xfId="50317"/>
    <cellStyle name="Date [mmm-yyyy] 2 2 2 5 6 3" xfId="50318"/>
    <cellStyle name="dp*NumberLine 2 2 2 5 6 3" xfId="50319"/>
    <cellStyle name="dp*NumberLineEPS 2 2 2 5 6 3" xfId="50320"/>
    <cellStyle name="dp*SheetSubTitle 2 2 2 5 6 3" xfId="50321"/>
    <cellStyle name="Heading [Helv] 2 2 2 5 6 3" xfId="50322"/>
    <cellStyle name="Heading [Palat] 2 2 2 5 6 3" xfId="50323"/>
    <cellStyle name="Magic 2 2 2 5 6 3" xfId="50324"/>
    <cellStyle name="Outputs 2 2 2 5 6 3" xfId="50325"/>
    <cellStyle name="Table Head Aligned 2 2 2 5 6 3" xfId="50326"/>
    <cellStyle name="Table Head Green 2 2 2 5 6 3" xfId="50327"/>
    <cellStyle name="Title [Helv] 2 2 2 5 6 3" xfId="50328"/>
    <cellStyle name="Title [Palat] 2 2 2 5 6 3" xfId="50329"/>
    <cellStyle name="Table Head Green 2 2 3 4 2 6 3" xfId="50330"/>
    <cellStyle name="Heading [Palat] 2 2 3 4 2 6 3" xfId="50331"/>
    <cellStyle name="PB Table Standard Row 2 3 2 6 3" xfId="50332"/>
    <cellStyle name="P-Green Rule 2 3 2 6 3" xfId="50333"/>
    <cellStyle name="Title [Palat] 2 2 3 2 2 6 3" xfId="50334"/>
    <cellStyle name="Title [Helv] 2 2 3 2 2 6 3" xfId="50335"/>
    <cellStyle name="Table Head Green 2 2 3 2 2 6 3" xfId="50336"/>
    <cellStyle name="Table Head Aligned 2 2 3 2 2 6 3" xfId="50337"/>
    <cellStyle name="Outputs 2 2 3 2 2 6 3" xfId="50338"/>
    <cellStyle name="Magic 2 2 3 2 2 6 3" xfId="50339"/>
    <cellStyle name="Heading [Palat] 2 2 3 2 2 6 3" xfId="50340"/>
    <cellStyle name="Heading [Helv] 2 2 3 2 2 6 3" xfId="50341"/>
    <cellStyle name="dp*SheetSubTitle 2 2 3 2 2 6 3" xfId="50342"/>
    <cellStyle name="dp*NumberLineEPS 2 2 3 2 2 6 3" xfId="50343"/>
    <cellStyle name="dp*NumberLine 2 2 3 2 2 6 3" xfId="50344"/>
    <cellStyle name="Date [mmm-yyyy] 2 2 3 2 2 6 3" xfId="50345"/>
    <cellStyle name="COL HEADINGS 2 2 3 2 2 6 3" xfId="50346"/>
    <cellStyle name="Bold/Border 2 2 3 2 2 6 3" xfId="50347"/>
    <cellStyle name="Afjusted 2 2 3 2 2 6 3" xfId="50348"/>
    <cellStyle name="ac 2 2 3 2 2 6 3" xfId="50349"/>
    <cellStyle name="Afjusted 4 3 2 2 6 3" xfId="50350"/>
    <cellStyle name="Border Thin 3 3 2 2 6 3" xfId="50351"/>
    <cellStyle name="dp*SubTitle 3 3 2 2 6 3" xfId="50352"/>
    <cellStyle name="dp*ThinLineBelow 3 3 2 2 6 3" xfId="50353"/>
    <cellStyle name="PB Table Standard Row 3 3 2 2 6 3" xfId="50354"/>
    <cellStyle name="P-Green Rule 3 3 2 2 6 3" xfId="50355"/>
    <cellStyle name="Style 44 4 3 2 2 6 3" xfId="50356"/>
    <cellStyle name="Style 45 4 3 2 2 6 3" xfId="50357"/>
    <cellStyle name="Style 49 4 3 2 2 6 3" xfId="50358"/>
    <cellStyle name="Style 51 4 3 2 2 6 3" xfId="50359"/>
    <cellStyle name="Date [mm-d-yyyy] 3 3 2 2 6 3" xfId="50360"/>
    <cellStyle name="Afjusted 3 3 2 2 6 3" xfId="50361"/>
    <cellStyle name="Date [mm-d-yyyy] 3 5 2 6 3" xfId="50362"/>
    <cellStyle name="dp*SubTitle 2 3 2 6 3" xfId="50363"/>
    <cellStyle name="Date [mm-d-yyyy] 2 2 2 2 6 3" xfId="50364"/>
    <cellStyle name="Afjusted 3 2 2 2 6 3" xfId="50365"/>
    <cellStyle name="PB Table Standard Row 3 5 2 6 3" xfId="50366"/>
    <cellStyle name="Date [mm-d-yyyy] 3 2 2 2 6 3" xfId="50367"/>
    <cellStyle name="Style 51 4 2 2 2 6 3" xfId="50368"/>
    <cellStyle name="Style 49 4 2 2 2 6 3" xfId="50369"/>
    <cellStyle name="Style 45 4 2 2 2 6 3" xfId="50370"/>
    <cellStyle name="Style 44 4 2 2 2 6 3" xfId="50371"/>
    <cellStyle name="Style 45 4 5 2 6 3" xfId="50372"/>
    <cellStyle name="P-Green Rule 3 2 2 2 6 3" xfId="50373"/>
    <cellStyle name="PB Table Standard Row 3 2 2 2 6 3" xfId="50374"/>
    <cellStyle name="dp*ThinLineBelow 3 2 2 2 6 3" xfId="50375"/>
    <cellStyle name="dp*SubTitle 3 2 2 2 6 3" xfId="50376"/>
    <cellStyle name="Style 51 4 5 2 6 3" xfId="50377"/>
    <cellStyle name="Border Thin 3 2 2 2 6 3" xfId="50378"/>
    <cellStyle name="Afjusted 4 2 2 2 6 3" xfId="50379"/>
    <cellStyle name="ac 2 2 2 2 2 6 3" xfId="50380"/>
    <cellStyle name="Afjusted 2 2 2 2 2 6 3" xfId="50381"/>
    <cellStyle name="Bold/Border 2 2 2 2 2 6 3" xfId="50382"/>
    <cellStyle name="COL HEADINGS 2 2 2 2 2 6 3" xfId="50383"/>
    <cellStyle name="Date [mmm-yyyy] 2 2 2 2 2 6 3" xfId="50384"/>
    <cellStyle name="dp*NumberLine 2 2 2 2 2 6 3" xfId="50385"/>
    <cellStyle name="dp*NumberLineEPS 2 2 2 2 2 6 3" xfId="50386"/>
    <cellStyle name="dp*SheetSubTitle 2 2 2 2 2 6 3" xfId="50387"/>
    <cellStyle name="Heading [Helv] 2 2 2 2 2 6 3" xfId="50388"/>
    <cellStyle name="Heading [Palat] 2 2 2 2 2 6 3" xfId="50389"/>
    <cellStyle name="Magic 2 2 2 2 2 6 3" xfId="50390"/>
    <cellStyle name="Outputs 2 2 2 2 2 6 3" xfId="50391"/>
    <cellStyle name="Table Head Aligned 2 2 2 2 2 6 3" xfId="50392"/>
    <cellStyle name="Table Head Green 2 2 2 2 2 6 3" xfId="50393"/>
    <cellStyle name="Title [Helv] 2 2 2 2 2 6 3" xfId="50394"/>
    <cellStyle name="Title [Palat] 2 2 2 2 2 6 3" xfId="50395"/>
    <cellStyle name="dp*ThinLineBelow 3 5 2 6 3" xfId="50396"/>
    <cellStyle name="Date [mm-d-yyyy] 2 2 3 2 6 3" xfId="50397"/>
    <cellStyle name="Afjusted 3 2 3 2 6 3" xfId="50398"/>
    <cellStyle name="Date [mm-d-yyyy] 3 2 3 2 6 3" xfId="50399"/>
    <cellStyle name="Style 51 4 2 3 2 6 3" xfId="50400"/>
    <cellStyle name="Style 49 4 2 3 2 6 3" xfId="50401"/>
    <cellStyle name="Style 45 4 2 3 2 6 3" xfId="50402"/>
    <cellStyle name="Style 44 4 2 3 2 6 3" xfId="50403"/>
    <cellStyle name="P-Green Rule 3 2 3 2 6 3" xfId="50404"/>
    <cellStyle name="PB Table Standard Row 3 2 3 2 6 3" xfId="50405"/>
    <cellStyle name="dp*ThinLineBelow 3 2 3 2 6 3" xfId="50406"/>
    <cellStyle name="dp*SubTitle 3 2 3 2 6 3" xfId="50407"/>
    <cellStyle name="Border Thin 3 2 3 2 6 3" xfId="50408"/>
    <cellStyle name="Afjusted 4 2 3 2 6 3" xfId="50409"/>
    <cellStyle name="ac 2 2 2 3 2 6 3" xfId="50410"/>
    <cellStyle name="Afjusted 2 2 2 3 2 6 3" xfId="50411"/>
    <cellStyle name="Bold/Border 2 2 2 3 2 6 3" xfId="50412"/>
    <cellStyle name="COL HEADINGS 2 2 2 3 2 6 3" xfId="50413"/>
    <cellStyle name="Date [mmm-yyyy] 2 2 2 3 2 6 3" xfId="50414"/>
    <cellStyle name="dp*NumberLine 2 2 2 3 2 6 3" xfId="50415"/>
    <cellStyle name="dp*NumberLineEPS 2 2 2 3 2 6 3" xfId="50416"/>
    <cellStyle name="dp*SheetSubTitle 2 2 2 3 2 6 3" xfId="50417"/>
    <cellStyle name="Heading [Helv] 2 2 2 3 2 6 3" xfId="50418"/>
    <cellStyle name="Heading [Palat] 2 2 2 3 2 6 3" xfId="50419"/>
    <cellStyle name="Magic 2 2 2 3 2 6 3" xfId="50420"/>
    <cellStyle name="Outputs 2 2 2 3 2 6 3" xfId="50421"/>
    <cellStyle name="Table Head Aligned 2 2 2 3 2 6 3" xfId="50422"/>
    <cellStyle name="Table Head Green 2 2 2 3 2 6 3" xfId="50423"/>
    <cellStyle name="Title [Helv] 2 2 2 3 2 6 3" xfId="50424"/>
    <cellStyle name="Title [Palat] 2 2 2 3 2 6 3" xfId="50425"/>
    <cellStyle name="Afjusted 3 2 4 2 6 3" xfId="50426"/>
    <cellStyle name="Date [mm-d-yyyy] 3 2 4 2 6 3" xfId="50427"/>
    <cellStyle name="Style 51 4 2 4 2 6 3" xfId="50428"/>
    <cellStyle name="Style 49 4 2 4 2 6 3" xfId="50429"/>
    <cellStyle name="Style 45 4 2 4 2 6 3" xfId="50430"/>
    <cellStyle name="Style 44 4 2 4 2 6 3" xfId="50431"/>
    <cellStyle name="P-Green Rule 3 2 4 2 6 3" xfId="50432"/>
    <cellStyle name="PB Table Standard Row 3 2 4 2 6 3" xfId="50433"/>
    <cellStyle name="dp*ThinLineBelow 3 2 4 2 6 3" xfId="50434"/>
    <cellStyle name="dp*SubTitle 3 2 4 2 6 3" xfId="50435"/>
    <cellStyle name="Border Thin 3 2 4 2 6 3" xfId="50436"/>
    <cellStyle name="Afjusted 4 2 4 2 6 3" xfId="50437"/>
    <cellStyle name="ac 2 2 2 4 2 6 3" xfId="50438"/>
    <cellStyle name="Afjusted 2 2 2 4 2 6 3" xfId="50439"/>
    <cellStyle name="Bold/Border 2 2 2 4 2 6 3" xfId="50440"/>
    <cellStyle name="COL HEADINGS 2 2 2 4 2 6 3" xfId="50441"/>
    <cellStyle name="Date [mmm-yyyy] 2 2 2 4 2 6 3" xfId="50442"/>
    <cellStyle name="dp*NumberLine 2 2 2 4 2 6 3" xfId="50443"/>
    <cellStyle name="dp*NumberLineEPS 2 2 2 4 2 6 3" xfId="50444"/>
    <cellStyle name="dp*SheetSubTitle 2 2 2 4 2 6 3" xfId="50445"/>
    <cellStyle name="Heading [Helv] 2 2 2 4 2 6 3" xfId="50446"/>
    <cellStyle name="Heading [Palat] 2 2 2 4 2 6 3" xfId="50447"/>
    <cellStyle name="Magic 2 2 2 4 2 6 3" xfId="50448"/>
    <cellStyle name="Outputs 2 2 2 4 2 6 3" xfId="50449"/>
    <cellStyle name="Table Head Aligned 2 2 2 4 2 6 3" xfId="50450"/>
    <cellStyle name="Table Head Green 2 2 2 4 2 6 3" xfId="50451"/>
    <cellStyle name="Title [Helv] 2 2 2 4 2 6 3" xfId="50452"/>
    <cellStyle name="Title [Palat] 2 2 2 4 2 6 3" xfId="50453"/>
    <cellStyle name="Border Thin 4 2 6 3" xfId="50454"/>
    <cellStyle name="Date [mm-d-yyyy] 4 2 6 3" xfId="50455"/>
    <cellStyle name="dp*SubTitle 4 2 6 3" xfId="50456"/>
    <cellStyle name="dp*ThinLineBelow 4 2 6 3" xfId="50457"/>
    <cellStyle name="PB Table Standard Row 4 2 6 3" xfId="50458"/>
    <cellStyle name="P-Green Rule 4 2 6 3" xfId="50459"/>
    <cellStyle name="Style 44 5 2 6 3" xfId="50460"/>
    <cellStyle name="Style 45 5 2 6 3" xfId="50461"/>
    <cellStyle name="Style 49 5 2 6 3" xfId="50462"/>
    <cellStyle name="Style 51 5 2 6 3" xfId="50463"/>
    <cellStyle name="Style 49 2 3 5 2 3" xfId="50464"/>
    <cellStyle name="Outputs 4 5 2 3" xfId="50465"/>
    <cellStyle name="Table Head Aligned 2 2 2 4 5 2 3" xfId="50466"/>
    <cellStyle name="Title [Palat] 3 2 6 3" xfId="50467"/>
    <cellStyle name="Title [Helv] 3 2 6 3" xfId="50468"/>
    <cellStyle name="Table Head Green 3 2 6 3" xfId="50469"/>
    <cellStyle name="Table Head Aligned 3 2 6 3" xfId="50470"/>
    <cellStyle name="Outputs 3 2 6 3" xfId="50471"/>
    <cellStyle name="Magic 3 2 6 3" xfId="50472"/>
    <cellStyle name="Heading [Palat] 3 2 6 3" xfId="50473"/>
    <cellStyle name="Heading [Helv] 3 2 6 3" xfId="50474"/>
    <cellStyle name="Title [Palat] 2 2 2 2 5 2 3" xfId="50475"/>
    <cellStyle name="Style 44 4 2 3 5 2 3" xfId="50476"/>
    <cellStyle name="dp*SheetSubTitle 3 2 6 3" xfId="50477"/>
    <cellStyle name="dp*NumberLineEPS 3 2 6 3" xfId="50478"/>
    <cellStyle name="dp*NumberLine 3 2 6 3" xfId="50479"/>
    <cellStyle name="COL HEADINGS 3 2 6 3" xfId="50480"/>
    <cellStyle name="Bold/Border 3 2 6 3" xfId="50481"/>
    <cellStyle name="Style 51 3 5 5 2 3" xfId="50482"/>
    <cellStyle name="Title [Palat] 2 5 5 2 3" xfId="50483"/>
    <cellStyle name="Afjusted 5 2 6 3" xfId="50484"/>
    <cellStyle name="ac 3 2 6 3" xfId="50485"/>
    <cellStyle name="Date [mmm-yyyy] 3 2 6 3" xfId="50486"/>
    <cellStyle name="ac 2 4 2 6 3" xfId="50487"/>
    <cellStyle name="Afjusted 2 3 2 6 3" xfId="50488"/>
    <cellStyle name="Bold/Border 2 4 2 6 3" xfId="50489"/>
    <cellStyle name="Border Thin 2 4 2 6 3" xfId="50490"/>
    <cellStyle name="COL HEADINGS 2 4 2 6 3" xfId="50491"/>
    <cellStyle name="Date [mmm-yyyy] 2 4 2 6 3" xfId="50492"/>
    <cellStyle name="dp*NumberLine 2 4 2 6 3" xfId="50493"/>
    <cellStyle name="dp*NumberLineEPS 2 4 2 6 3" xfId="50494"/>
    <cellStyle name="dp*SheetSubTitle 2 4 2 6 3" xfId="50495"/>
    <cellStyle name="dp*SubTitle 2 4 2 6 3" xfId="50496"/>
    <cellStyle name="dp*ThinLineBelow 2 4 2 6 3" xfId="50497"/>
    <cellStyle name="Heading [Helv] 2 4 2 6 3" xfId="50498"/>
    <cellStyle name="Heading [Palat] 2 4 2 6 3" xfId="50499"/>
    <cellStyle name="Magic 2 4 2 6 3" xfId="50500"/>
    <cellStyle name="Outputs 2 4 2 6 3" xfId="50501"/>
    <cellStyle name="PB Table Standard Row 2 4 2 6 3" xfId="50502"/>
    <cellStyle name="P-Green Rule 2 4 2 6 3" xfId="50503"/>
    <cellStyle name="Style 44 3 4 2 6 3" xfId="50504"/>
    <cellStyle name="Style 45 3 4 2 6 3" xfId="50505"/>
    <cellStyle name="Style 49 3 4 2 6 3" xfId="50506"/>
    <cellStyle name="Style 51 3 4 2 6 3" xfId="50507"/>
    <cellStyle name="Style 44 2 4 2 6 3" xfId="50508"/>
    <cellStyle name="Style 45 2 4 2 6 3" xfId="50509"/>
    <cellStyle name="Style 49 2 4 2 6 3" xfId="50510"/>
    <cellStyle name="Style 51 2 4 2 6 3" xfId="50511"/>
    <cellStyle name="Table Head Aligned 2 4 2 6 3" xfId="50512"/>
    <cellStyle name="Table Head Green 2 4 2 6 3" xfId="50513"/>
    <cellStyle name="Title [Helv] 2 4 2 6 3" xfId="50514"/>
    <cellStyle name="Title [Palat] 2 4 2 6 3" xfId="50515"/>
    <cellStyle name="Style 45 2 3 5 2 3" xfId="50516"/>
    <cellStyle name="Style 44 7 5 2 3" xfId="50517"/>
    <cellStyle name="ac 4 2 6 3" xfId="50518"/>
    <cellStyle name="Title [Helv] 2 5 5 2 3" xfId="50519"/>
    <cellStyle name="Style 49 3 5 5 2 3" xfId="50520"/>
    <cellStyle name="Heading [Palat] 2 5 5 2 3" xfId="50521"/>
    <cellStyle name="dp*SheetSubTitle 2 5 5 2 3" xfId="50522"/>
    <cellStyle name="Bold/Border 4 2 6 3" xfId="50523"/>
    <cellStyle name="Border Thin 5 2 6 3" xfId="50524"/>
    <cellStyle name="Table Head Green 4 5 2 3" xfId="50525"/>
    <cellStyle name="Style 45 6 5 2 3" xfId="50526"/>
    <cellStyle name="COL HEADINGS 4 2 6 3" xfId="50527"/>
    <cellStyle name="Border Thin 5 5 2 3" xfId="50528"/>
    <cellStyle name="Date [mm-d-yyyy] 5 2 6 3" xfId="50529"/>
    <cellStyle name="Table Head Aligned 3 5 2 3" xfId="50530"/>
    <cellStyle name="Title [Palat] 3 5 2 3" xfId="50531"/>
    <cellStyle name="Heading [Helv] 2 2 2 4 5 2 3" xfId="50532"/>
    <cellStyle name="Date [mmm-yyyy] 2 2 2 4 5 2 3" xfId="50533"/>
    <cellStyle name="Afjusted 4 2 4 5 2 3" xfId="50534"/>
    <cellStyle name="dp*ThinLineBelow 3 2 4 5 2 3" xfId="50535"/>
    <cellStyle name="Style 44 4 2 4 5 2 3" xfId="50536"/>
    <cellStyle name="Style 51 4 2 4 5 2 3" xfId="50537"/>
    <cellStyle name="Title [Palat] 2 2 2 3 5 2 3" xfId="50538"/>
    <cellStyle name="Table Head Aligned 2 2 2 3 5 2 3" xfId="50539"/>
    <cellStyle name="Heading [Palat] 2 2 2 3 5 2 3" xfId="50540"/>
    <cellStyle name="dp*NumberLineEPS 2 2 2 3 5 2 3" xfId="50541"/>
    <cellStyle name="COL HEADINGS 2 2 2 3 5 2 3" xfId="50542"/>
    <cellStyle name="ac 2 2 2 3 5 2 3" xfId="50543"/>
    <cellStyle name="dp*SubTitle 3 2 3 5 2 3" xfId="50544"/>
    <cellStyle name="Style 45 4 2 3 5 2 3" xfId="50545"/>
    <cellStyle name="Title [Helv] 2 2 2 2 5 2 3" xfId="50546"/>
    <cellStyle name="Heading [Helv] 2 2 2 2 5 2 3" xfId="50547"/>
    <cellStyle name="P-Green Rule 3 2 2 5 2 3" xfId="50548"/>
    <cellStyle name="Date [mm-d-yyyy] 3 2 2 5 2 3" xfId="50549"/>
    <cellStyle name="PB Table Standard Row 3 3 2 4 2 3" xfId="50550"/>
    <cellStyle name="Border Thin 3 3 2 5 2 3" xfId="50551"/>
    <cellStyle name="COL HEADINGS 2 2 3 2 5 2 3" xfId="50552"/>
    <cellStyle name="dp*SheetSubTitle 2 2 3 2 5 2 3" xfId="50553"/>
    <cellStyle name="Heading [Helv] 4 2 6 3" xfId="50554"/>
    <cellStyle name="Heading [Palat] 4 2 6 3" xfId="50555"/>
    <cellStyle name="Style 44 4 2 7 2 3" xfId="50556"/>
    <cellStyle name="Style 51 4 2 7 2 3" xfId="50557"/>
    <cellStyle name="Afjusted 3 3 8 2 3" xfId="50558"/>
    <cellStyle name="ac 2 2 3 8 2 3" xfId="50559"/>
    <cellStyle name="COL HEADINGS 2 2 3 8 2 3" xfId="50560"/>
    <cellStyle name="Heading [Helv] 2 2 3 8 2 3" xfId="50561"/>
    <cellStyle name="P-Green Rule 3 4 4 2 3" xfId="50562"/>
    <cellStyle name="Style 49 4 4 5 2 3" xfId="50563"/>
    <cellStyle name="Table Head Green 2 2 3 3 5 2 3" xfId="50564"/>
    <cellStyle name="Heading [Helv] 2 2 4 5 2 3" xfId="50565"/>
    <cellStyle name="Style 51 4 3 4 5 2 3" xfId="50566"/>
    <cellStyle name="Table Head Green 2 3 5 2 3" xfId="50567"/>
    <cellStyle name="Bold/Border 2 2 3 3 5 2 3" xfId="50568"/>
    <cellStyle name="Heading [Helv] 2 3 5 2 3" xfId="50569"/>
    <cellStyle name="Style 49 4 3 4 5 2 3" xfId="50570"/>
    <cellStyle name="Style 51 2 8 2 3" xfId="50571"/>
    <cellStyle name="Style 49 3 9 2 3" xfId="50572"/>
    <cellStyle name="Outputs 4 2 6 3" xfId="50573"/>
    <cellStyle name="PB Table Standard Row 5 2 6 3" xfId="50574"/>
    <cellStyle name="P-Green Rule 5 2 6 3" xfId="50575"/>
    <cellStyle name="Style 44 6 2 6 3" xfId="50576"/>
    <cellStyle name="Style 45 6 2 6 3" xfId="50577"/>
    <cellStyle name="Style 49 6 2 6 3" xfId="50578"/>
    <cellStyle name="Style 51 6 2 6 3" xfId="50579"/>
    <cellStyle name="Table Head Green 4 2 6 3" xfId="50580"/>
    <cellStyle name="Magic 2 4 4 3 3" xfId="50581"/>
    <cellStyle name="Border Thin 4 4 3 3" xfId="50582"/>
    <cellStyle name="Style 49 3 2 5 2 3" xfId="50583"/>
    <cellStyle name="dp*NumberLineEPS 2 2 3 3 5 2 3" xfId="50584"/>
    <cellStyle name="Afjusted 6 2 6 3" xfId="50585"/>
    <cellStyle name="ac 2 5 2 6 3" xfId="50586"/>
    <cellStyle name="Afjusted 2 4 2 6 3" xfId="50587"/>
    <cellStyle name="Bold/Border 2 5 2 6 3" xfId="50588"/>
    <cellStyle name="Border Thin 2 5 2 6 3" xfId="50589"/>
    <cellStyle name="COL HEADINGS 2 5 2 6 3" xfId="50590"/>
    <cellStyle name="Date [mmm-yyyy] 2 5 2 6 3" xfId="50591"/>
    <cellStyle name="dp*NumberLine 2 5 2 6 3" xfId="50592"/>
    <cellStyle name="dp*NumberLineEPS 2 5 2 6 3" xfId="50593"/>
    <cellStyle name="dp*SheetSubTitle 2 5 2 6 3" xfId="50594"/>
    <cellStyle name="dp*SubTitle 2 5 2 6 3" xfId="50595"/>
    <cellStyle name="dp*ThinLineBelow 2 5 2 6 3" xfId="50596"/>
    <cellStyle name="Heading [Helv] 2 5 2 6 3" xfId="50597"/>
    <cellStyle name="Heading [Palat] 2 5 2 6 3" xfId="50598"/>
    <cellStyle name="Magic 2 5 2 6 3" xfId="50599"/>
    <cellStyle name="Outputs 2 5 2 6 3" xfId="50600"/>
    <cellStyle name="PB Table Standard Row 2 5 2 6 3" xfId="50601"/>
    <cellStyle name="P-Green Rule 2 5 2 6 3" xfId="50602"/>
    <cellStyle name="Style 44 3 5 2 6 3" xfId="50603"/>
    <cellStyle name="Style 45 3 5 2 6 3" xfId="50604"/>
    <cellStyle name="Style 49 3 5 2 6 3" xfId="50605"/>
    <cellStyle name="Style 51 3 5 2 6 3" xfId="50606"/>
    <cellStyle name="Style 44 2 5 2 6 3" xfId="50607"/>
    <cellStyle name="Style 45 2 5 2 6 3" xfId="50608"/>
    <cellStyle name="Style 49 2 5 2 6 3" xfId="50609"/>
    <cellStyle name="Style 51 2 5 2 6 3" xfId="50610"/>
    <cellStyle name="Table Head Aligned 2 5 2 6 3" xfId="50611"/>
    <cellStyle name="Table Head Green 2 5 2 6 3" xfId="50612"/>
    <cellStyle name="Title [Helv] 2 5 2 6 3" xfId="50613"/>
    <cellStyle name="Title [Palat] 2 5 2 6 3" xfId="50614"/>
    <cellStyle name="Date [mmm-yyyy] 2 4 5 2 3" xfId="50615"/>
    <cellStyle name="ac 3 5 2 3" xfId="50616"/>
    <cellStyle name="dp*NumberLine 2 2 3 2 5 2 3" xfId="50617"/>
    <cellStyle name="Style 44 2 3 5 2 3" xfId="50618"/>
    <cellStyle name="Style 49 7 5 2 3" xfId="50619"/>
    <cellStyle name="Border Thin 6 5 2 3" xfId="50620"/>
    <cellStyle name="ac 5 2 6 3" xfId="50621"/>
    <cellStyle name="Table Head Green 2 5 5 2 3" xfId="50622"/>
    <cellStyle name="Style 45 3 5 5 2 3" xfId="50623"/>
    <cellStyle name="Heading [Helv] 2 5 5 2 3" xfId="50624"/>
    <cellStyle name="dp*NumberLineEPS 2 5 5 2 3" xfId="50625"/>
    <cellStyle name="Bold/Border 5 2 6 3" xfId="50626"/>
    <cellStyle name="Border Thin 6 2 6 3" xfId="50627"/>
    <cellStyle name="Style 44 6 5 2 3" xfId="50628"/>
    <cellStyle name="COL HEADINGS 5 2 6 3" xfId="50629"/>
    <cellStyle name="Title [Palat] 2 4 5 2 3" xfId="50630"/>
    <cellStyle name="Table Head Green 3 5 2 3" xfId="50631"/>
    <cellStyle name="Border Thin 4 5 2 3" xfId="50632"/>
    <cellStyle name="dp*SheetSubTitle 2 2 2 4 5 2 3" xfId="50633"/>
    <cellStyle name="COL HEADINGS 2 2 2 4 5 2 3" xfId="50634"/>
    <cellStyle name="Border Thin 3 2 4 5 2 3" xfId="50635"/>
    <cellStyle name="PB Table Standard Row 3 2 4 5 2 3" xfId="50636"/>
    <cellStyle name="Style 45 4 2 4 5 2 3" xfId="50637"/>
    <cellStyle name="Date [mm-d-yyyy] 3 2 4 5 2 3" xfId="50638"/>
    <cellStyle name="Title [Helv] 2 2 2 3 5 2 3" xfId="50639"/>
    <cellStyle name="Outputs 2 2 2 3 5 2 3" xfId="50640"/>
    <cellStyle name="Heading [Helv] 2 2 2 3 5 2 3" xfId="50641"/>
    <cellStyle name="dp*NumberLine 2 2 2 3 5 2 3" xfId="50642"/>
    <cellStyle name="Bold/Border 2 2 2 3 5 2 3" xfId="50643"/>
    <cellStyle name="Afjusted 4 2 3 5 2 3" xfId="50644"/>
    <cellStyle name="dp*ThinLineBelow 3 2 3 5 2 3" xfId="50645"/>
    <cellStyle name="Style 49 4 2 3 5 2 3" xfId="50646"/>
    <cellStyle name="Table Head Green 2 2 2 2 5 2 3" xfId="50647"/>
    <cellStyle name="dp*SheetSubTitle 2 2 2 2 5 2 3" xfId="50648"/>
    <cellStyle name="Style 45 4 5 5 2 3" xfId="50649"/>
    <cellStyle name="PB Table Standard Row 3 5 5 2 3" xfId="50650"/>
    <cellStyle name="dp*ThinLineBelow 3 3 2 5 2 3" xfId="50651"/>
    <cellStyle name="Afjusted 4 3 2 5 2 3" xfId="50652"/>
    <cellStyle name="Date [mmm-yyyy] 2 2 3 2 5 2 3" xfId="50653"/>
    <cellStyle name="Heading [Helv] 2 2 3 2 5 2 3" xfId="50654"/>
    <cellStyle name="Heading [Helv] 5 2 6 3" xfId="50655"/>
    <cellStyle name="Heading [Palat] 5 2 6 3" xfId="50656"/>
    <cellStyle name="Afjusted 4 2 8 2 3" xfId="50657"/>
    <cellStyle name="Style 45 4 2 7 2 3" xfId="50658"/>
    <cellStyle name="Date [mm-d-yyyy] 3 2 8 2 3" xfId="50659"/>
    <cellStyle name="Afjusted 3 2 8 2 3" xfId="50660"/>
    <cellStyle name="Date [mmm-yyyy] 2 2 3 8 2 3" xfId="50661"/>
    <cellStyle name="Heading [Palat] 2 2 3 8 2 3" xfId="50662"/>
    <cellStyle name="dp*ThinLineBelow 3 3 4 5 2 3" xfId="50663"/>
    <cellStyle name="Style 51 4 4 5 2 3" xfId="50664"/>
    <cellStyle name="Table Head Green 2 2 4 5 2 3" xfId="50665"/>
    <cellStyle name="Style 51 2 3 5 2 3" xfId="50666"/>
    <cellStyle name="Title [Palat] 2 3 5 2 3" xfId="50667"/>
    <cellStyle name="Table Head Aligned 2 3 5 2 3" xfId="50668"/>
    <cellStyle name="dp*NumberLine 2 2 3 3 5 2 3" xfId="50669"/>
    <cellStyle name="Outputs 2 3 5 2 3" xfId="50670"/>
    <cellStyle name="dp*SheetSubTitle 2 3 5 2 3" xfId="50671"/>
    <cellStyle name="Style 49 2 9 2 3" xfId="50672"/>
    <cellStyle name="Style 45 3 8 2 3" xfId="50673"/>
    <cellStyle name="dp*ThinLineBelow 2 7 2 3" xfId="50674"/>
    <cellStyle name="Outputs 5 2 6 3" xfId="50675"/>
    <cellStyle name="PB Table Standard Row 6 2 6 3" xfId="50676"/>
    <cellStyle name="P-Green Rule 6 2 6 3" xfId="50677"/>
    <cellStyle name="Style 44 7 2 6 3" xfId="50678"/>
    <cellStyle name="Style 45 7 2 6 3" xfId="50679"/>
    <cellStyle name="Style 49 7 2 6 3" xfId="50680"/>
    <cellStyle name="Style 51 7 2 6 3" xfId="50681"/>
    <cellStyle name="Table Head Green 5 2 6 3" xfId="50682"/>
    <cellStyle name="Title [Palat] 4 2 6 3" xfId="50683"/>
    <cellStyle name="Date [mmm-yyyy] 2 4 4 3 3" xfId="50684"/>
    <cellStyle name="Style 44 3 3 5 2 3" xfId="50685"/>
    <cellStyle name="Style 44 2 2 5 2 3" xfId="50686"/>
    <cellStyle name="Table Head Aligned 2 2 3 4 5 2 3" xfId="50687"/>
    <cellStyle name="Table Head Green 5 5 2 3" xfId="50688"/>
    <cellStyle name="ac 2 6 2 6 3" xfId="50689"/>
    <cellStyle name="Bold/Border 2 6 2 6 3" xfId="50690"/>
    <cellStyle name="Border Thin 2 6 2 6 3" xfId="50691"/>
    <cellStyle name="COL HEADINGS 2 6 2 6 3" xfId="50692"/>
    <cellStyle name="Afjusted 2 3 5 2 3" xfId="50693"/>
    <cellStyle name="Bold/Border 2 2 3 2 5 2 3" xfId="50694"/>
    <cellStyle name="Heading [Helv] 2 6 2 6 3" xfId="50695"/>
    <cellStyle name="Heading [Palat] 2 6 2 6 3" xfId="50696"/>
    <cellStyle name="Outputs 2 6 2 6 3" xfId="50697"/>
    <cellStyle name="PB Table Standard Row 2 6 2 6 3" xfId="50698"/>
    <cellStyle name="P-Green Rule 2 6 2 6 3" xfId="50699"/>
    <cellStyle name="Style 44 3 6 2 6 3" xfId="50700"/>
    <cellStyle name="Style 45 3 6 2 6 3" xfId="50701"/>
    <cellStyle name="Style 49 3 6 2 6 3" xfId="50702"/>
    <cellStyle name="Style 51 3 6 2 6 3" xfId="50703"/>
    <cellStyle name="Style 44 2 6 2 6 3" xfId="50704"/>
    <cellStyle name="Style 45 2 6 2 6 3" xfId="50705"/>
    <cellStyle name="Style 49 2 6 2 6 3" xfId="50706"/>
    <cellStyle name="Style 51 2 6 2 6 3" xfId="50707"/>
    <cellStyle name="Table Head Green 2 6 2 6 3" xfId="50708"/>
    <cellStyle name="Title [Palat] 2 6 2 6 3" xfId="50709"/>
    <cellStyle name="Bold/Border 2 3 5 2 3" xfId="50710"/>
    <cellStyle name="Style 49 3 3 5 2 3" xfId="50711"/>
    <cellStyle name="dp*NumberLine 2 5 5 2 3" xfId="50712"/>
    <cellStyle name="Style 45 3 3 5 2 3" xfId="50713"/>
    <cellStyle name="Title [Palat] 2 2 3 4 5 2 3" xfId="50714"/>
    <cellStyle name="ac 2 2 3 4 5 2 3" xfId="50715"/>
    <cellStyle name="Date [mm-d-yyyy] 3 3 4 5 2 3" xfId="50716"/>
    <cellStyle name="Magic 2 2 3 4 5 2 3" xfId="50717"/>
    <cellStyle name="Title [Palat] 2 2 4 5 2 3" xfId="50718"/>
    <cellStyle name="Afjusted 4 3 3 5 2 3" xfId="50719"/>
    <cellStyle name="PB Table Standard Row 2 2 5 2 3" xfId="50720"/>
    <cellStyle name="Style 45 3 2 5 2 3" xfId="50721"/>
    <cellStyle name="Style 51 3 2 5 2 3" xfId="50722"/>
    <cellStyle name="Title [Helv] 2 2 3 4 5 2 3" xfId="50723"/>
    <cellStyle name="dp*SheetSubTitle 2 2 3 4 5 2 3" xfId="50724"/>
    <cellStyle name="Style 49 2 2 5 2 3" xfId="50725"/>
    <cellStyle name="Style 45 2 2 5 2 3" xfId="50726"/>
    <cellStyle name="Date [mmm-yyyy] 2 2 3 4 5 2 3" xfId="50727"/>
    <cellStyle name="ac 2 3 5 2 3" xfId="50728"/>
    <cellStyle name="Date [mm-d-yyyy] 5 5 2 3" xfId="50729"/>
    <cellStyle name="Style 51 2 2 5 2 3" xfId="50730"/>
    <cellStyle name="COL HEADINGS 2 2 3 4 5 2 3" xfId="50731"/>
    <cellStyle name="Afjusted 3 3 4 5 2 3" xfId="50732"/>
    <cellStyle name="dp*ThinLineBelow 2 3 5 2 3" xfId="50733"/>
    <cellStyle name="Style 49 4 5 5 2 3" xfId="50734"/>
    <cellStyle name="Outputs 2 2 2 4 5 2 3" xfId="50735"/>
    <cellStyle name="Title [Palat] 5 2 6 3" xfId="50736"/>
    <cellStyle name="Title [Helv] 4 2 6 3" xfId="50737"/>
    <cellStyle name="Table Head Green 6 2 6 3" xfId="50738"/>
    <cellStyle name="Table Head Aligned 4 2 6 3" xfId="50739"/>
    <cellStyle name="Style 51 9 2 6 3" xfId="50740"/>
    <cellStyle name="Style 49 9 2 6 3" xfId="50741"/>
    <cellStyle name="Style 45 9 2 6 3" xfId="50742"/>
    <cellStyle name="Style 44 9 2 6 3" xfId="50743"/>
    <cellStyle name="Style 51 2 5 5 2 3" xfId="50744"/>
    <cellStyle name="P-Green Rule 2 5 5 2 3" xfId="50745"/>
    <cellStyle name="P-Green Rule 7 2 6 3" xfId="50746"/>
    <cellStyle name="PB Table Standard Row 7 2 6 3" xfId="50747"/>
    <cellStyle name="Outputs 6 2 6 3" xfId="50748"/>
    <cellStyle name="Style 44 3 8 2 3" xfId="50749"/>
    <cellStyle name="Magic 4 2 6 3" xfId="50750"/>
    <cellStyle name="Date [mm-d-yyyy] 3 2 3 5 2 3" xfId="50751"/>
    <cellStyle name="Outputs 2 2 2 2 5 2 3" xfId="50752"/>
    <cellStyle name="Border Thin 3 2 7 2 3" xfId="50753"/>
    <cellStyle name="Heading [Palat] 6 2 6 3" xfId="50754"/>
    <cellStyle name="Heading [Helv] 6 2 6 3" xfId="50755"/>
    <cellStyle name="Date [mm-d-yyyy] 3 3 2 5 2 3" xfId="50756"/>
    <cellStyle name="dp*SubTitle 2 3 5 2 3" xfId="50757"/>
    <cellStyle name="Table Head Aligned 2 2 2 2 5 2 3" xfId="50758"/>
    <cellStyle name="Style 51 4 2 3 5 2 3" xfId="50759"/>
    <cellStyle name="dp*ThinLineBelow 5 2 6 3" xfId="50760"/>
    <cellStyle name="dp*SubTitle 5 2 6 3" xfId="50761"/>
    <cellStyle name="dp*SheetSubTitle 4 2 6 3" xfId="50762"/>
    <cellStyle name="dp*NumberLineEPS 4 2 6 3" xfId="50763"/>
    <cellStyle name="dp*NumberLine 4 2 6 3" xfId="50764"/>
    <cellStyle name="dp*NumberLine 2 4 5 2 3" xfId="50765"/>
    <cellStyle name="Date [mmm-yyyy] 4 2 6 3" xfId="50766"/>
    <cellStyle name="Date [mm-d-yyyy] 7 2 6 3" xfId="50767"/>
    <cellStyle name="COL HEADINGS 6 2 6 3" xfId="50768"/>
    <cellStyle name="Border Thin 7 2 6 3" xfId="50769"/>
    <cellStyle name="Bold/Border 6 2 6 3" xfId="50770"/>
    <cellStyle name="Style 44 3 5 5 2 3" xfId="50771"/>
    <cellStyle name="Table Head Aligned 2 5 5 2 3" xfId="50772"/>
    <cellStyle name="Afjusted 7 2 6 3" xfId="50773"/>
    <cellStyle name="ac 6 2 6 3" xfId="50774"/>
    <cellStyle name="Style 44 8 2 6 3" xfId="50775"/>
    <cellStyle name="Style 45 8 2 6 3" xfId="50776"/>
    <cellStyle name="Style 49 8 2 6 3" xfId="50777"/>
    <cellStyle name="Style 51 8 2 6 3" xfId="50778"/>
    <cellStyle name="COL HEADINGS 4 5 2 3" xfId="50779"/>
    <cellStyle name="Heading [Helv] 2 2 3 3 5 2 3" xfId="50780"/>
    <cellStyle name="P-Green Rule 5 5 2 3" xfId="50781"/>
    <cellStyle name="Heading [Palat] 5 5 2 3" xfId="50782"/>
    <cellStyle name="Heading [Helv] 4 5 2 3" xfId="50783"/>
    <cellStyle name="Style 45 4 3 2 5 2 3" xfId="50784"/>
    <cellStyle name="Style 44 4 3 3 5 2 3" xfId="50785"/>
    <cellStyle name="Magic 2 2 3 3 5 2 3" xfId="50786"/>
    <cellStyle name="Title [Palat] 2 2 3 3 5 2 3" xfId="50787"/>
    <cellStyle name="dp*NumberLineEPS 2 2 3 4 5 2 3" xfId="50788"/>
    <cellStyle name="P-Green Rule 2 2 5 2 3" xfId="50789"/>
    <cellStyle name="Title [Helv] 2 2 4 5 2 3" xfId="50790"/>
    <cellStyle name="Title [Palat] 6 2 6 3" xfId="50791"/>
    <cellStyle name="Title [Helv] 5 2 6 3" xfId="50792"/>
    <cellStyle name="Table Head Green 7 2 6 3" xfId="50793"/>
    <cellStyle name="Table Head Aligned 5 2 6 3" xfId="50794"/>
    <cellStyle name="Outputs 7 2 6 3" xfId="50795"/>
    <cellStyle name="PB Table Standard Row 3 3 4 5 2 3" xfId="50796"/>
    <cellStyle name="Magic 5 2 6 3" xfId="50797"/>
    <cellStyle name="Heading [Palat] 7 2 6 3" xfId="50798"/>
    <cellStyle name="Heading [Helv] 7 2 6 3" xfId="50799"/>
    <cellStyle name="dp*SheetSubTitle 5 2 6 3" xfId="50800"/>
    <cellStyle name="dp*NumberLineEPS 5 2 6 3" xfId="50801"/>
    <cellStyle name="dp*NumberLine 5 2 6 3" xfId="50802"/>
    <cellStyle name="Date [mmm-yyyy] 5 2 6 3" xfId="50803"/>
    <cellStyle name="COL HEADINGS 7 2 6 3" xfId="50804"/>
    <cellStyle name="Bold/Border 7 2 6 3" xfId="50805"/>
    <cellStyle name="Afjusted 8 2 6 3" xfId="50806"/>
    <cellStyle name="ac 7 2 6 3" xfId="50807"/>
    <cellStyle name="Magic 2 2 2 4 5 2 3" xfId="50808"/>
    <cellStyle name="Title [Palat] 7 2 6 3" xfId="50809"/>
    <cellStyle name="Title [Helv] 6 2 6 3" xfId="50810"/>
    <cellStyle name="Table Head Green 8 2 6 3" xfId="50811"/>
    <cellStyle name="Table Head Aligned 6 2 6 3" xfId="50812"/>
    <cellStyle name="Outputs 8 2 6 3" xfId="50813"/>
    <cellStyle name="Magic 6 2 6 3" xfId="50814"/>
    <cellStyle name="Heading [Palat] 8 2 6 3" xfId="50815"/>
    <cellStyle name="Heading [Helv] 8 2 6 3" xfId="50816"/>
    <cellStyle name="Style 51 4 3 2 5 2 3" xfId="50817"/>
    <cellStyle name="Date [mm-d-yyyy] 3 5 5 2 3" xfId="50818"/>
    <cellStyle name="Magic 2 2 2 2 5 2 3" xfId="50819"/>
    <cellStyle name="Afjusted 3 2 3 5 2 3" xfId="50820"/>
    <cellStyle name="dp*SheetSubTitle 6 2 6 3" xfId="50821"/>
    <cellStyle name="dp*NumberLineEPS 6 2 6 3" xfId="50822"/>
    <cellStyle name="dp*NumberLine 6 2 6 3" xfId="50823"/>
    <cellStyle name="COL HEADINGS 8 2 6 3" xfId="50824"/>
    <cellStyle name="Bold/Border 8 2 6 3" xfId="50825"/>
    <cellStyle name="PB Table Standard Row 2 5 5 2 3" xfId="50826"/>
    <cellStyle name="Style 49 2 5 5 2 3" xfId="50827"/>
    <cellStyle name="Afjusted 9 2 6 3" xfId="50828"/>
    <cellStyle name="ac 8 2 6 3" xfId="50829"/>
    <cellStyle name="Date [mmm-yyyy] 6 2 6 3" xfId="50830"/>
    <cellStyle name="Title [Palat] 8 2 6 3" xfId="50831"/>
    <cellStyle name="Title [Helv] 7 2 6 3" xfId="50832"/>
    <cellStyle name="Table Head Green 9 2 6 3" xfId="50833"/>
    <cellStyle name="Table Head Aligned 7 2 6 3" xfId="50834"/>
    <cellStyle name="Outputs 9 2 6 3" xfId="50835"/>
    <cellStyle name="Magic 7 2 6 3" xfId="50836"/>
    <cellStyle name="Heading [Palat] 9 2 6 3" xfId="50837"/>
    <cellStyle name="Heading [Helv] 9 2 6 3" xfId="50838"/>
    <cellStyle name="dp*SheetSubTitle 7 2 6 3" xfId="50839"/>
    <cellStyle name="dp*NumberLineEPS 7 2 6 3" xfId="50840"/>
    <cellStyle name="dp*NumberLine 7 2 6 3" xfId="50841"/>
    <cellStyle name="Date [mmm-yyyy] 7 2 6 3" xfId="50842"/>
    <cellStyle name="COL HEADINGS 9 2 6 3" xfId="50843"/>
    <cellStyle name="Bold/Border 9 2 6 3" xfId="50844"/>
    <cellStyle name="Afjusted 10 2 6 3" xfId="50845"/>
    <cellStyle name="ac 9 2 6 3" xfId="50846"/>
    <cellStyle name="Title [Palat] 4 5 2 3" xfId="50847"/>
    <cellStyle name="ac 2 6 5 2 3" xfId="50848"/>
    <cellStyle name="Bold/Border 2 6 5 2 3" xfId="50849"/>
    <cellStyle name="Border Thin 2 6 5 2 3" xfId="50850"/>
    <cellStyle name="COL HEADINGS 2 6 5 2 3" xfId="50851"/>
    <cellStyle name="Heading [Helv] 2 6 5 2 3" xfId="50852"/>
    <cellStyle name="Heading [Palat] 2 6 5 2 3" xfId="50853"/>
    <cellStyle name="Outputs 2 6 5 2 3" xfId="50854"/>
    <cellStyle name="PB Table Standard Row 2 6 5 2 3" xfId="50855"/>
    <cellStyle name="P-Green Rule 2 6 5 2 3" xfId="50856"/>
    <cellStyle name="Style 44 3 6 5 2 3" xfId="50857"/>
    <cellStyle name="Style 45 3 6 5 2 3" xfId="50858"/>
    <cellStyle name="Style 49 3 6 5 2 3" xfId="50859"/>
    <cellStyle name="Style 51 3 6 5 2 3" xfId="50860"/>
    <cellStyle name="Style 44 2 6 5 2 3" xfId="50861"/>
    <cellStyle name="Style 45 2 6 5 2 3" xfId="50862"/>
    <cellStyle name="Style 49 2 6 5 2 3" xfId="50863"/>
    <cellStyle name="Style 51 2 6 5 2 3" xfId="50864"/>
    <cellStyle name="Table Head Green 2 6 5 2 3" xfId="50865"/>
    <cellStyle name="Title [Palat] 2 6 5 2 3" xfId="50866"/>
    <cellStyle name="Title [Palat] 5 5 2 3" xfId="50867"/>
    <cellStyle name="Title [Helv] 4 5 2 3" xfId="50868"/>
    <cellStyle name="Table Head Green 6 5 2 3" xfId="50869"/>
    <cellStyle name="Table Head Aligned 4 5 2 3" xfId="50870"/>
    <cellStyle name="Outputs 6 5 2 3" xfId="50871"/>
    <cellStyle name="Magic 4 5 2 3" xfId="50872"/>
    <cellStyle name="Heading [Palat] 6 5 2 3" xfId="50873"/>
    <cellStyle name="Heading [Helv] 6 5 2 3" xfId="50874"/>
    <cellStyle name="dp*SheetSubTitle 4 5 2 3" xfId="50875"/>
    <cellStyle name="dp*NumberLineEPS 4 5 2 3" xfId="50876"/>
    <cellStyle name="dp*NumberLine 4 5 2 3" xfId="50877"/>
    <cellStyle name="Date [mmm-yyyy] 4 5 2 3" xfId="50878"/>
    <cellStyle name="COL HEADINGS 6 5 2 3" xfId="50879"/>
    <cellStyle name="Bold/Border 6 5 2 3" xfId="50880"/>
    <cellStyle name="Afjusted 7 5 2 3" xfId="50881"/>
    <cellStyle name="ac 6 5 2 3" xfId="50882"/>
    <cellStyle name="Style 44 8 5 2 3" xfId="50883"/>
    <cellStyle name="Style 45 8 5 2 3" xfId="50884"/>
    <cellStyle name="Style 49 8 5 2 3" xfId="50885"/>
    <cellStyle name="Style 51 8 5 2 3" xfId="50886"/>
    <cellStyle name="Afjusted 3 6 4 2 3" xfId="50887"/>
    <cellStyle name="ac 2 7 4 2 3" xfId="50888"/>
    <cellStyle name="Afjusted 2 5 4 2 3" xfId="50889"/>
    <cellStyle name="Bold/Border 2 7 4 2 3" xfId="50890"/>
    <cellStyle name="COL HEADINGS 2 7 4 2 3" xfId="50891"/>
    <cellStyle name="Date [mmm-yyyy] 2 6 4 2 3" xfId="50892"/>
    <cellStyle name="dp*NumberLine 2 6 4 2 3" xfId="50893"/>
    <cellStyle name="dp*NumberLineEPS 2 6 4 2 3" xfId="50894"/>
    <cellStyle name="dp*SheetSubTitle 2 6 4 2 3" xfId="50895"/>
    <cellStyle name="Heading [Helv] 2 7 4 2 3" xfId="50896"/>
    <cellStyle name="Heading [Palat] 2 7 4 2 3" xfId="50897"/>
    <cellStyle name="Magic 2 6 4 2 3" xfId="50898"/>
    <cellStyle name="Outputs 2 7 4 2 3" xfId="50899"/>
    <cellStyle name="Table Head Aligned 2 6 4 2 3" xfId="50900"/>
    <cellStyle name="Table Head Green 2 7 4 2 3" xfId="50901"/>
    <cellStyle name="Title [Helv] 2 6 4 2 3" xfId="50902"/>
    <cellStyle name="Title [Palat] 2 7 4 2 3" xfId="50903"/>
    <cellStyle name="Date [mm-d-yyyy] 3 6 4 2 3" xfId="50904"/>
    <cellStyle name="Style 51 4 6 4 2 3" xfId="50905"/>
    <cellStyle name="Style 49 4 6 4 2 3" xfId="50906"/>
    <cellStyle name="Style 45 4 6 4 2 3" xfId="50907"/>
    <cellStyle name="Style 44 4 6 4 2 3" xfId="50908"/>
    <cellStyle name="P-Green Rule 3 6 4 2 3" xfId="50909"/>
    <cellStyle name="PB Table Standard Row 3 6 4 2 3" xfId="50910"/>
    <cellStyle name="dp*ThinLineBelow 3 6 4 2 3" xfId="50911"/>
    <cellStyle name="dp*SubTitle 3 6 4 2 3" xfId="50912"/>
    <cellStyle name="Border Thin 3 6 4 2 3" xfId="50913"/>
    <cellStyle name="Afjusted 4 6 4 2 3" xfId="50914"/>
    <cellStyle name="ac 2 2 5 4 2 3" xfId="50915"/>
    <cellStyle name="Afjusted 2 2 6 4 2 3" xfId="50916"/>
    <cellStyle name="Bold/Border 2 2 5 4 2 3" xfId="50917"/>
    <cellStyle name="COL HEADINGS 2 2 5 4 2 3" xfId="50918"/>
    <cellStyle name="Date [mmm-yyyy] 2 2 5 4 2 3" xfId="50919"/>
    <cellStyle name="dp*NumberLine 2 2 5 4 2 3" xfId="50920"/>
    <cellStyle name="dp*NumberLineEPS 2 2 5 4 2 3" xfId="50921"/>
    <cellStyle name="dp*SheetSubTitle 2 2 5 4 2 3" xfId="50922"/>
    <cellStyle name="Heading [Helv] 2 2 5 4 2 3" xfId="50923"/>
    <cellStyle name="Heading [Palat] 2 2 5 4 2 3" xfId="50924"/>
    <cellStyle name="Magic 2 2 5 4 2 3" xfId="50925"/>
    <cellStyle name="Outputs 2 2 5 4 2 3" xfId="50926"/>
    <cellStyle name="Table Head Aligned 2 2 5 4 2 3" xfId="50927"/>
    <cellStyle name="Table Head Green 2 2 5 4 2 3" xfId="50928"/>
    <cellStyle name="Title [Helv] 2 2 5 4 2 3" xfId="50929"/>
    <cellStyle name="Title [Palat] 2 2 5 4 2 3" xfId="50930"/>
    <cellStyle name="dp*SubTitle 2 2 2 4 2 3" xfId="50931"/>
    <cellStyle name="Border Thin 2 2 2 4 2 3" xfId="50932"/>
    <cellStyle name="Bold/Border 2 2 3 4 2 4 2 3" xfId="50933"/>
    <cellStyle name="Magic 2 2 3 4 2 4 2 3" xfId="50934"/>
    <cellStyle name="Title [Helv] 2 2 3 4 2 4 2 3" xfId="50935"/>
    <cellStyle name="Style 51 2 2 2 4 2 3" xfId="50936"/>
    <cellStyle name="Style 45 2 2 2 4 2 3" xfId="50937"/>
    <cellStyle name="Style 49 2 2 2 4 2 3" xfId="50938"/>
    <cellStyle name="Style 44 2 2 2 4 2 3" xfId="50939"/>
    <cellStyle name="Style 51 3 2 2 4 2 3" xfId="50940"/>
    <cellStyle name="Style 49 3 2 2 4 2 3" xfId="50941"/>
    <cellStyle name="Style 45 3 2 2 4 2 3" xfId="50942"/>
    <cellStyle name="Style 44 3 2 2 4 2 3" xfId="50943"/>
    <cellStyle name="P-Green Rule 2 2 2 4 2 3" xfId="50944"/>
    <cellStyle name="PB Table Standard Row 2 2 2 4 2 3" xfId="50945"/>
    <cellStyle name="dp*ThinLineBelow 2 2 2 4 2 3" xfId="50946"/>
    <cellStyle name="dp*ThinLineBelow 2 3 2 4 2 3" xfId="50947"/>
    <cellStyle name="Style 44 3 3 2 4 2 3" xfId="50948"/>
    <cellStyle name="COL HEADINGS 2 2 3 4 2 4 2 3" xfId="50949"/>
    <cellStyle name="Style 49 4 3 4 2 4 2 3" xfId="50950"/>
    <cellStyle name="Afjusted 3 3 4 2 4 2 3" xfId="50951"/>
    <cellStyle name="Date [mm-d-yyyy] 3 3 4 2 4 2 3" xfId="50952"/>
    <cellStyle name="Afjusted 4 3 4 2 4 2 3" xfId="50953"/>
    <cellStyle name="ac 2 2 3 4 2 4 2 3" xfId="50954"/>
    <cellStyle name="Afjusted 2 2 3 4 2 4 2 3" xfId="50955"/>
    <cellStyle name="Date [mmm-yyyy] 2 2 3 4 2 4 2 3" xfId="50956"/>
    <cellStyle name="dp*NumberLine 2 2 3 4 2 4 2 3" xfId="50957"/>
    <cellStyle name="dp*NumberLineEPS 2 2 3 4 2 4 2 3" xfId="50958"/>
    <cellStyle name="dp*SheetSubTitle 2 2 3 4 2 4 2 3" xfId="50959"/>
    <cellStyle name="Heading [Helv] 2 2 3 4 2 4 2 3" xfId="50960"/>
    <cellStyle name="Outputs 2 2 3 4 2 4 2 3" xfId="50961"/>
    <cellStyle name="Table Head Aligned 2 2 3 4 2 4 2 3" xfId="50962"/>
    <cellStyle name="Title [Palat] 2 2 3 4 2 4 2 3" xfId="50963"/>
    <cellStyle name="Afjusted 3 5 2 4 2 3" xfId="50964"/>
    <cellStyle name="Style 45 3 3 2 4 2 3" xfId="50965"/>
    <cellStyle name="Style 51 3 3 2 4 2 3" xfId="50966"/>
    <cellStyle name="Style 44 2 3 2 4 2 3" xfId="50967"/>
    <cellStyle name="Style 45 2 3 2 4 2 3" xfId="50968"/>
    <cellStyle name="Style 49 2 3 2 4 2 3" xfId="50969"/>
    <cellStyle name="Border Thin 3 5 2 4 2 3" xfId="50970"/>
    <cellStyle name="ac 2 2 4 2 4 2 3" xfId="50971"/>
    <cellStyle name="Afjusted 2 2 5 2 4 2 3" xfId="50972"/>
    <cellStyle name="Bold/Border 2 2 4 2 4 2 3" xfId="50973"/>
    <cellStyle name="COL HEADINGS 2 2 4 2 4 2 3" xfId="50974"/>
    <cellStyle name="Date [mmm-yyyy] 2 2 4 2 4 2 3" xfId="50975"/>
    <cellStyle name="dp*NumberLine 2 2 4 2 4 2 3" xfId="50976"/>
    <cellStyle name="dp*NumberLineEPS 2 2 4 2 4 2 3" xfId="50977"/>
    <cellStyle name="dp*SheetSubTitle 2 2 4 2 4 2 3" xfId="50978"/>
    <cellStyle name="Heading [Palat] 2 2 4 2 4 2 3" xfId="50979"/>
    <cellStyle name="Outputs 2 2 4 2 4 2 3" xfId="50980"/>
    <cellStyle name="Magic 2 2 4 2 4 2 3" xfId="50981"/>
    <cellStyle name="Title [Helv] 2 2 4 2 4 2 3" xfId="50982"/>
    <cellStyle name="Title [Palat] 2 2 4 2 4 2 3" xfId="50983"/>
    <cellStyle name="Title [Palat] 2 2 3 3 2 4 2 3" xfId="50984"/>
    <cellStyle name="Title [Helv] 2 2 3 3 2 4 2 3" xfId="50985"/>
    <cellStyle name="Table Head Aligned 2 2 3 3 2 4 2 3" xfId="50986"/>
    <cellStyle name="Magic 2 2 3 3 2 4 2 3" xfId="50987"/>
    <cellStyle name="Heading [Helv] 2 2 3 3 2 4 2 3" xfId="50988"/>
    <cellStyle name="dp*NumberLineEPS 2 2 3 3 2 4 2 3" xfId="50989"/>
    <cellStyle name="COL HEADINGS 2 2 3 3 2 4 2 3" xfId="50990"/>
    <cellStyle name="ac 2 2 3 3 2 4 2 3" xfId="50991"/>
    <cellStyle name="Afjusted 4 3 3 2 4 2 3" xfId="50992"/>
    <cellStyle name="Border Thin 3 3 3 2 4 2 3" xfId="50993"/>
    <cellStyle name="PB Table Standard Row 3 3 3 2 4 2 3" xfId="50994"/>
    <cellStyle name="Style 44 4 3 3 2 4 2 3" xfId="50995"/>
    <cellStyle name="Style 51 4 3 3 2 4 2 3" xfId="50996"/>
    <cellStyle name="Afjusted 3 3 3 2 4 2 3" xfId="50997"/>
    <cellStyle name="Style 49 4 5 2 4 2 3" xfId="50998"/>
    <cellStyle name="Style 44 4 5 2 4 2 3" xfId="50999"/>
    <cellStyle name="P-Green Rule 3 5 2 4 2 3" xfId="51000"/>
    <cellStyle name="dp*SubTitle 3 5 2 4 2 3" xfId="51001"/>
    <cellStyle name="Afjusted 4 5 2 4 2 3" xfId="51002"/>
    <cellStyle name="ac 2 3 2 4 2 3" xfId="51003"/>
    <cellStyle name="Bold/Border 2 3 2 4 2 3" xfId="51004"/>
    <cellStyle name="COL HEADINGS 2 3 2 4 2 3" xfId="51005"/>
    <cellStyle name="Date [mmm-yyyy] 2 3 2 4 2 3" xfId="51006"/>
    <cellStyle name="dp*NumberLine 2 3 2 4 2 3" xfId="51007"/>
    <cellStyle name="dp*NumberLineEPS 2 3 2 4 2 3" xfId="51008"/>
    <cellStyle name="dp*SheetSubTitle 2 3 2 4 2 3" xfId="51009"/>
    <cellStyle name="Heading [Helv] 2 3 2 4 2 3" xfId="51010"/>
    <cellStyle name="Heading [Palat] 2 3 2 4 2 3" xfId="51011"/>
    <cellStyle name="Magic 2 3 2 4 2 3" xfId="51012"/>
    <cellStyle name="Outputs 2 3 2 4 2 3" xfId="51013"/>
    <cellStyle name="Date [mmm-yyyy] 2 2 3 3 2 4 2 3" xfId="51014"/>
    <cellStyle name="Afjusted 2 2 3 3 2 4 2 3" xfId="51015"/>
    <cellStyle name="dp*ThinLineBelow 3 3 3 2 4 2 3" xfId="51016"/>
    <cellStyle name="Style 49 4 3 3 2 4 2 3" xfId="51017"/>
    <cellStyle name="Outputs 2 2 3 3 2 4 2 3" xfId="51018"/>
    <cellStyle name="dp*NumberLine 2 2 3 3 2 4 2 3" xfId="51019"/>
    <cellStyle name="Bold/Border 2 2 3 3 2 4 2 3" xfId="51020"/>
    <cellStyle name="dp*SubTitle 3 3 3 2 4 2 3" xfId="51021"/>
    <cellStyle name="Style 45 4 3 3 2 4 2 3" xfId="51022"/>
    <cellStyle name="Table Head Aligned 2 3 2 4 2 3" xfId="51023"/>
    <cellStyle name="Table Head Green 2 3 2 4 2 3" xfId="51024"/>
    <cellStyle name="Title [Helv] 2 3 2 4 2 3" xfId="51025"/>
    <cellStyle name="Title [Palat] 2 3 2 4 2 3" xfId="51026"/>
    <cellStyle name="Style 45 4 3 4 2 4 2 3" xfId="51027"/>
    <cellStyle name="Style 51 4 3 4 2 4 2 3" xfId="51028"/>
    <cellStyle name="Afjusted 3 4 2 4 2 3" xfId="51029"/>
    <cellStyle name="P-Green Rule 3 3 4 2 4 2 3" xfId="51030"/>
    <cellStyle name="Border Thin 2 3 2 4 2 3" xfId="51031"/>
    <cellStyle name="Style 49 3 3 2 4 2 3" xfId="51032"/>
    <cellStyle name="Style 51 2 3 2 4 2 3" xfId="51033"/>
    <cellStyle name="Heading [Helv] 2 2 4 2 4 2 3" xfId="51034"/>
    <cellStyle name="Table Head Aligned 2 2 4 2 4 2 3" xfId="51035"/>
    <cellStyle name="Table Head Green 2 2 4 2 4 2 3" xfId="51036"/>
    <cellStyle name="Table Head Green 2 2 3 3 2 4 2 3" xfId="51037"/>
    <cellStyle name="Heading [Palat] 2 2 3 3 2 4 2 3" xfId="51038"/>
    <cellStyle name="dp*SheetSubTitle 2 2 3 3 2 4 2 3" xfId="51039"/>
    <cellStyle name="P-Green Rule 3 3 3 2 4 2 3" xfId="51040"/>
    <cellStyle name="Date [mm-d-yyyy] 3 3 3 2 4 2 3" xfId="51041"/>
    <cellStyle name="Date [mm-d-yyyy] 3 4 2 4 2 3" xfId="51042"/>
    <cellStyle name="Style 51 4 4 2 4 2 3" xfId="51043"/>
    <cellStyle name="Style 49 4 4 2 4 2 3" xfId="51044"/>
    <cellStyle name="Style 45 4 4 2 4 2 3" xfId="51045"/>
    <cellStyle name="Style 44 4 4 2 4 2 3" xfId="51046"/>
    <cellStyle name="dp*ThinLineBelow 3 3 4 2 4 2 3" xfId="51047"/>
    <cellStyle name="P-Green Rule 3 4 2 4 2 3" xfId="51048"/>
    <cellStyle name="PB Table Standard Row 3 4 2 3 2 3" xfId="51049"/>
    <cellStyle name="dp*ThinLineBelow 3 4 2 4 2 3" xfId="51050"/>
    <cellStyle name="dp*SubTitle 3 4 2 4 2 3" xfId="51051"/>
    <cellStyle name="dp*SubTitle 3 3 4 2 4 2 3" xfId="51052"/>
    <cellStyle name="Border Thin 3 4 2 4 2 3" xfId="51053"/>
    <cellStyle name="Border Thin 3 3 4 2 4 2 3" xfId="51054"/>
    <cellStyle name="Afjusted 4 4 2 4 2 3" xfId="51055"/>
    <cellStyle name="Afjusted 2 2 4 2 4 2 3" xfId="51056"/>
    <cellStyle name="Style 44 4 3 4 2 4 2 3" xfId="51057"/>
    <cellStyle name="PB Table Standard Row 3 3 4 2 4 2 3" xfId="51058"/>
    <cellStyle name="Title [Palat] 2 2 3 5 4 2 3" xfId="51059"/>
    <cellStyle name="Title [Helv] 2 2 3 5 4 2 3" xfId="51060"/>
    <cellStyle name="Table Head Green 2 2 3 5 4 2 3" xfId="51061"/>
    <cellStyle name="Table Head Aligned 2 2 3 5 4 2 3" xfId="51062"/>
    <cellStyle name="Outputs 2 2 3 5 4 2 3" xfId="51063"/>
    <cellStyle name="Magic 2 2 3 5 4 2 3" xfId="51064"/>
    <cellStyle name="Heading [Palat] 2 2 3 5 4 2 3" xfId="51065"/>
    <cellStyle name="Heading [Helv] 2 2 3 5 4 2 3" xfId="51066"/>
    <cellStyle name="dp*SheetSubTitle 2 2 3 5 4 2 3" xfId="51067"/>
    <cellStyle name="dp*NumberLineEPS 2 2 3 5 4 2 3" xfId="51068"/>
    <cellStyle name="dp*NumberLine 2 2 3 5 4 2 3" xfId="51069"/>
    <cellStyle name="Date [mmm-yyyy] 2 2 3 5 4 2 3" xfId="51070"/>
    <cellStyle name="COL HEADINGS 2 2 3 5 4 2 3" xfId="51071"/>
    <cellStyle name="Bold/Border 2 2 3 5 4 2 3" xfId="51072"/>
    <cellStyle name="Afjusted 2 2 3 5 4 2 3" xfId="51073"/>
    <cellStyle name="ac 2 2 3 5 4 2 3" xfId="51074"/>
    <cellStyle name="Afjusted 4 3 5 4 2 3" xfId="51075"/>
    <cellStyle name="Border Thin 3 3 5 4 2 3" xfId="51076"/>
    <cellStyle name="dp*SubTitle 3 3 5 4 2 3" xfId="51077"/>
    <cellStyle name="dp*ThinLineBelow 3 3 5 4 2 3" xfId="51078"/>
    <cellStyle name="PB Table Standard Row 3 3 5 4 2 3" xfId="51079"/>
    <cellStyle name="P-Green Rule 3 3 5 4 2 3" xfId="51080"/>
    <cellStyle name="Style 44 4 3 5 4 2 3" xfId="51081"/>
    <cellStyle name="Style 45 4 3 5 4 2 3" xfId="51082"/>
    <cellStyle name="Style 49 4 3 5 4 2 3" xfId="51083"/>
    <cellStyle name="Style 51 4 3 5 4 2 3" xfId="51084"/>
    <cellStyle name="Date [mm-d-yyyy] 3 3 5 4 2 3" xfId="51085"/>
    <cellStyle name="Afjusted 3 3 5 4 2 3" xfId="51086"/>
    <cellStyle name="Date [mm-d-yyyy] 2 2 4 4 2 3" xfId="51087"/>
    <cellStyle name="Afjusted 3 2 5 4 2 3" xfId="51088"/>
    <cellStyle name="Date [mm-d-yyyy] 3 2 5 4 2 3" xfId="51089"/>
    <cellStyle name="Style 51 4 2 5 4 2 3" xfId="51090"/>
    <cellStyle name="Style 49 4 2 5 4 2 3" xfId="51091"/>
    <cellStyle name="Style 45 4 2 5 4 2 3" xfId="51092"/>
    <cellStyle name="Style 44 4 2 5 4 2 3" xfId="51093"/>
    <cellStyle name="P-Green Rule 3 2 5 4 2 3" xfId="51094"/>
    <cellStyle name="PB Table Standard Row 3 2 5 3 2 3" xfId="51095"/>
    <cellStyle name="dp*ThinLineBelow 3 2 5 4 2 3" xfId="51096"/>
    <cellStyle name="dp*SubTitle 3 2 5 4 2 3" xfId="51097"/>
    <cellStyle name="Border Thin 3 2 5 4 2 3" xfId="51098"/>
    <cellStyle name="Afjusted 4 2 5 4 2 3" xfId="51099"/>
    <cellStyle name="ac 2 2 2 5 4 2 3" xfId="51100"/>
    <cellStyle name="Afjusted 2 2 2 5 4 2 3" xfId="51101"/>
    <cellStyle name="Bold/Border 2 2 2 5 4 2 3" xfId="51102"/>
    <cellStyle name="COL HEADINGS 2 2 2 5 4 2 3" xfId="51103"/>
    <cellStyle name="Date [mmm-yyyy] 2 2 2 5 4 2 3" xfId="51104"/>
    <cellStyle name="dp*NumberLine 2 2 2 5 4 2 3" xfId="51105"/>
    <cellStyle name="dp*NumberLineEPS 2 2 2 5 4 2 3" xfId="51106"/>
    <cellStyle name="dp*SheetSubTitle 2 2 2 5 4 2 3" xfId="51107"/>
    <cellStyle name="Heading [Helv] 2 2 2 5 4 2 3" xfId="51108"/>
    <cellStyle name="Heading [Palat] 2 2 2 5 4 2 3" xfId="51109"/>
    <cellStyle name="Magic 2 2 2 5 4 2 3" xfId="51110"/>
    <cellStyle name="Outputs 2 2 2 5 4 2 3" xfId="51111"/>
    <cellStyle name="Table Head Aligned 2 2 2 5 4 2 3" xfId="51112"/>
    <cellStyle name="Table Head Green 2 2 2 5 4 2 3" xfId="51113"/>
    <cellStyle name="Title [Helv] 2 2 2 5 4 2 3" xfId="51114"/>
    <cellStyle name="Title [Palat] 2 2 2 5 4 2 3" xfId="51115"/>
    <cellStyle name="Table Head Green 2 2 3 4 2 4 2 3" xfId="51116"/>
    <cellStyle name="Heading [Palat] 2 2 3 4 2 4 2 3" xfId="51117"/>
    <cellStyle name="PB Table Standard Row 2 3 2 4 2 3" xfId="51118"/>
    <cellStyle name="P-Green Rule 2 3 2 4 2 3" xfId="51119"/>
    <cellStyle name="Title [Palat] 2 2 3 2 2 4 2 3" xfId="51120"/>
    <cellStyle name="Title [Helv] 2 2 3 2 2 4 2 3" xfId="51121"/>
    <cellStyle name="Table Head Green 2 2 3 2 2 4 2 3" xfId="51122"/>
    <cellStyle name="Table Head Aligned 2 2 3 2 2 4 2 3" xfId="51123"/>
    <cellStyle name="Outputs 2 2 3 2 2 4 2 3" xfId="51124"/>
    <cellStyle name="Magic 2 2 3 2 2 4 2 3" xfId="51125"/>
    <cellStyle name="Heading [Palat] 2 2 3 2 2 4 2 3" xfId="51126"/>
    <cellStyle name="Heading [Helv] 2 2 3 2 2 4 2 3" xfId="51127"/>
    <cellStyle name="dp*SheetSubTitle 2 2 3 2 2 4 2 3" xfId="51128"/>
    <cellStyle name="dp*NumberLineEPS 2 2 3 2 2 4 2 3" xfId="51129"/>
    <cellStyle name="dp*NumberLine 2 2 3 2 2 4 2 3" xfId="51130"/>
    <cellStyle name="Date [mmm-yyyy] 2 2 3 2 2 4 2 3" xfId="51131"/>
    <cellStyle name="COL HEADINGS 2 2 3 2 2 4 2 3" xfId="51132"/>
    <cellStyle name="Bold/Border 2 2 3 2 2 4 2 3" xfId="51133"/>
    <cellStyle name="Afjusted 2 2 3 2 2 4 2 3" xfId="51134"/>
    <cellStyle name="ac 2 2 3 2 2 4 2 3" xfId="51135"/>
    <cellStyle name="Afjusted 4 3 2 2 4 2 3" xfId="51136"/>
    <cellStyle name="Border Thin 3 3 2 2 4 2 3" xfId="51137"/>
    <cellStyle name="dp*SubTitle 3 3 2 2 4 2 3" xfId="51138"/>
    <cellStyle name="dp*ThinLineBelow 3 3 2 2 4 2 3" xfId="51139"/>
    <cellStyle name="PB Table Standard Row 3 3 2 2 4 2 3" xfId="51140"/>
    <cellStyle name="P-Green Rule 3 3 2 2 4 2 3" xfId="51141"/>
    <cellStyle name="Style 44 4 3 2 2 4 2 3" xfId="51142"/>
    <cellStyle name="Style 45 4 3 2 2 4 2 3" xfId="51143"/>
    <cellStyle name="Style 49 4 3 2 2 4 2 3" xfId="51144"/>
    <cellStyle name="Style 51 4 3 2 2 4 2 3" xfId="51145"/>
    <cellStyle name="Date [mm-d-yyyy] 3 3 2 2 4 2 3" xfId="51146"/>
    <cellStyle name="Afjusted 3 3 2 2 4 2 3" xfId="51147"/>
    <cellStyle name="Date [mm-d-yyyy] 3 5 2 4 2 3" xfId="51148"/>
    <cellStyle name="dp*SubTitle 2 3 2 4 2 3" xfId="51149"/>
    <cellStyle name="Date [mm-d-yyyy] 2 2 2 2 4 2 3" xfId="51150"/>
    <cellStyle name="Afjusted 3 2 2 2 4 2 3" xfId="51151"/>
    <cellStyle name="PB Table Standard Row 3 5 2 4 2 3" xfId="51152"/>
    <cellStyle name="Date [mm-d-yyyy] 3 2 2 2 4 2 3" xfId="51153"/>
    <cellStyle name="Style 51 4 2 2 2 4 2 3" xfId="51154"/>
    <cellStyle name="Style 49 4 2 2 2 4 2 3" xfId="51155"/>
    <cellStyle name="Style 45 4 2 2 2 4 2 3" xfId="51156"/>
    <cellStyle name="Style 44 4 2 2 2 4 2 3" xfId="51157"/>
    <cellStyle name="Style 45 4 5 2 4 2 3" xfId="51158"/>
    <cellStyle name="P-Green Rule 3 2 2 2 4 2 3" xfId="51159"/>
    <cellStyle name="PB Table Standard Row 3 2 2 2 4 2 3" xfId="51160"/>
    <cellStyle name="dp*ThinLineBelow 3 2 2 2 4 2 3" xfId="51161"/>
    <cellStyle name="dp*SubTitle 3 2 2 2 4 2 3" xfId="51162"/>
    <cellStyle name="Style 51 4 5 2 4 2 3" xfId="51163"/>
    <cellStyle name="Border Thin 3 2 2 2 4 2 3" xfId="51164"/>
    <cellStyle name="Afjusted 4 2 2 2 4 2 3" xfId="51165"/>
    <cellStyle name="ac 2 2 2 2 2 4 2 3" xfId="51166"/>
    <cellStyle name="Afjusted 2 2 2 2 2 4 2 3" xfId="51167"/>
    <cellStyle name="Bold/Border 2 2 2 2 2 4 2 3" xfId="51168"/>
    <cellStyle name="COL HEADINGS 2 2 2 2 2 4 2 3" xfId="51169"/>
    <cellStyle name="Date [mmm-yyyy] 2 2 2 2 2 4 2 3" xfId="51170"/>
    <cellStyle name="dp*NumberLine 2 2 2 2 2 4 2 3" xfId="51171"/>
    <cellStyle name="dp*NumberLineEPS 2 2 2 2 2 4 2 3" xfId="51172"/>
    <cellStyle name="dp*SheetSubTitle 2 2 2 2 2 4 2 3" xfId="51173"/>
    <cellStyle name="Heading [Helv] 2 2 2 2 2 4 2 3" xfId="51174"/>
    <cellStyle name="Heading [Palat] 2 2 2 2 2 4 2 3" xfId="51175"/>
    <cellStyle name="Magic 2 2 2 2 2 4 2 3" xfId="51176"/>
    <cellStyle name="Outputs 2 2 2 2 2 4 2 3" xfId="51177"/>
    <cellStyle name="Table Head Aligned 2 2 2 2 2 4 2 3" xfId="51178"/>
    <cellStyle name="Table Head Green 2 2 2 2 2 4 2 3" xfId="51179"/>
    <cellStyle name="Title [Helv] 2 2 2 2 2 4 2 3" xfId="51180"/>
    <cellStyle name="Title [Palat] 2 2 2 2 2 4 2 3" xfId="51181"/>
    <cellStyle name="dp*ThinLineBelow 3 5 2 4 2 3" xfId="51182"/>
    <cellStyle name="Date [mm-d-yyyy] 2 2 3 2 4 2 3" xfId="51183"/>
    <cellStyle name="Afjusted 3 2 3 2 4 2 3" xfId="51184"/>
    <cellStyle name="Date [mm-d-yyyy] 3 2 3 2 4 2 3" xfId="51185"/>
    <cellStyle name="Style 51 4 2 3 2 4 2 3" xfId="51186"/>
    <cellStyle name="Style 49 4 2 3 2 4 2 3" xfId="51187"/>
    <cellStyle name="Style 45 4 2 3 2 4 2 3" xfId="51188"/>
    <cellStyle name="Style 44 4 2 3 2 4 2 3" xfId="51189"/>
    <cellStyle name="P-Green Rule 3 2 3 2 4 2 3" xfId="51190"/>
    <cellStyle name="PB Table Standard Row 3 2 3 2 4 2 3" xfId="51191"/>
    <cellStyle name="dp*ThinLineBelow 3 2 3 2 4 2 3" xfId="51192"/>
    <cellStyle name="dp*SubTitle 3 2 3 2 4 2 3" xfId="51193"/>
    <cellStyle name="Border Thin 3 2 3 2 4 2 3" xfId="51194"/>
    <cellStyle name="Afjusted 4 2 3 2 4 2 3" xfId="51195"/>
    <cellStyle name="ac 2 2 2 3 2 4 2 3" xfId="51196"/>
    <cellStyle name="Afjusted 2 2 2 3 2 4 2 3" xfId="51197"/>
    <cellStyle name="Bold/Border 2 2 2 3 2 4 2 3" xfId="51198"/>
    <cellStyle name="COL HEADINGS 2 2 2 3 2 4 2 3" xfId="51199"/>
    <cellStyle name="Date [mmm-yyyy] 2 2 2 3 2 4 2 3" xfId="51200"/>
    <cellStyle name="dp*NumberLine 2 2 2 3 2 4 2 3" xfId="51201"/>
    <cellStyle name="dp*NumberLineEPS 2 2 2 3 2 4 2 3" xfId="51202"/>
    <cellStyle name="dp*SheetSubTitle 2 2 2 3 2 4 2 3" xfId="51203"/>
    <cellStyle name="Heading [Helv] 2 2 2 3 2 4 2 3" xfId="51204"/>
    <cellStyle name="Heading [Palat] 2 2 2 3 2 4 2 3" xfId="51205"/>
    <cellStyle name="Magic 2 2 2 3 2 4 2 3" xfId="51206"/>
    <cellStyle name="Outputs 2 2 2 3 2 4 2 3" xfId="51207"/>
    <cellStyle name="Table Head Aligned 2 2 2 3 2 4 2 3" xfId="51208"/>
    <cellStyle name="Table Head Green 2 2 2 3 2 4 2 3" xfId="51209"/>
    <cellStyle name="Title [Helv] 2 2 2 3 2 4 2 3" xfId="51210"/>
    <cellStyle name="Title [Palat] 2 2 2 3 2 4 2 3" xfId="51211"/>
    <cellStyle name="Afjusted 3 2 4 2 4 2 3" xfId="51212"/>
    <cellStyle name="Date [mm-d-yyyy] 3 2 4 2 4 2 3" xfId="51213"/>
    <cellStyle name="Style 51 4 2 4 2 4 2 3" xfId="51214"/>
    <cellStyle name="Style 49 4 2 4 2 4 2 3" xfId="51215"/>
    <cellStyle name="Style 45 4 2 4 2 4 2 3" xfId="51216"/>
    <cellStyle name="Style 44 4 2 4 2 4 2 3" xfId="51217"/>
    <cellStyle name="P-Green Rule 3 2 4 2 4 2 3" xfId="51218"/>
    <cellStyle name="PB Table Standard Row 3 2 4 2 4 2 3" xfId="51219"/>
    <cellStyle name="dp*ThinLineBelow 3 2 4 2 4 2 3" xfId="51220"/>
    <cellStyle name="dp*SubTitle 3 2 4 2 4 2 3" xfId="51221"/>
    <cellStyle name="Border Thin 3 2 4 2 4 2 3" xfId="51222"/>
    <cellStyle name="Afjusted 4 2 4 2 4 2 3" xfId="51223"/>
    <cellStyle name="ac 2 2 2 4 2 4 2 3" xfId="51224"/>
    <cellStyle name="Afjusted 2 2 2 4 2 4 2 3" xfId="51225"/>
    <cellStyle name="Bold/Border 2 2 2 4 2 4 2 3" xfId="51226"/>
    <cellStyle name="COL HEADINGS 2 2 2 4 2 4 2 3" xfId="51227"/>
    <cellStyle name="Date [mmm-yyyy] 2 2 2 4 2 4 2 3" xfId="51228"/>
    <cellStyle name="dp*NumberLine 2 2 2 4 2 4 2 3" xfId="51229"/>
    <cellStyle name="dp*NumberLineEPS 2 2 2 4 2 4 2 3" xfId="51230"/>
    <cellStyle name="dp*SheetSubTitle 2 2 2 4 2 4 2 3" xfId="51231"/>
    <cellStyle name="Heading [Helv] 2 2 2 4 2 4 2 3" xfId="51232"/>
    <cellStyle name="Heading [Palat] 2 2 2 4 2 4 2 3" xfId="51233"/>
    <cellStyle name="Magic 2 2 2 4 2 4 2 3" xfId="51234"/>
    <cellStyle name="Outputs 2 2 2 4 2 4 2 3" xfId="51235"/>
    <cellStyle name="Table Head Aligned 2 2 2 4 2 4 2 3" xfId="51236"/>
    <cellStyle name="Table Head Green 2 2 2 4 2 4 2 3" xfId="51237"/>
    <cellStyle name="Title [Helv] 2 2 2 4 2 4 2 3" xfId="51238"/>
    <cellStyle name="Title [Palat] 2 2 2 4 2 4 2 3" xfId="51239"/>
    <cellStyle name="Border Thin 4 2 4 2 3" xfId="51240"/>
    <cellStyle name="Date [mm-d-yyyy] 4 2 4 2 3" xfId="51241"/>
    <cellStyle name="dp*SubTitle 4 2 4 2 3" xfId="51242"/>
    <cellStyle name="dp*ThinLineBelow 4 2 4 2 3" xfId="51243"/>
    <cellStyle name="PB Table Standard Row 4 2 4 2 3" xfId="51244"/>
    <cellStyle name="P-Green Rule 4 2 4 2 3" xfId="51245"/>
    <cellStyle name="Style 44 5 2 4 2 3" xfId="51246"/>
    <cellStyle name="Style 45 5 2 4 2 3" xfId="51247"/>
    <cellStyle name="Style 49 5 2 4 2 3" xfId="51248"/>
    <cellStyle name="Style 51 5 2 4 2 3" xfId="51249"/>
    <cellStyle name="Title [Palat] 3 2 4 2 3" xfId="51250"/>
    <cellStyle name="Title [Helv] 3 2 4 2 3" xfId="51251"/>
    <cellStyle name="Table Head Green 3 2 4 2 3" xfId="51252"/>
    <cellStyle name="Table Head Aligned 3 2 4 2 3" xfId="51253"/>
    <cellStyle name="Outputs 3 2 4 2 3" xfId="51254"/>
    <cellStyle name="Magic 3 2 4 2 3" xfId="51255"/>
    <cellStyle name="Heading [Palat] 3 2 4 2 3" xfId="51256"/>
    <cellStyle name="Heading [Helv] 3 2 4 2 3" xfId="51257"/>
    <cellStyle name="dp*SheetSubTitle 3 2 4 2 3" xfId="51258"/>
    <cellStyle name="dp*NumberLineEPS 3 2 4 2 3" xfId="51259"/>
    <cellStyle name="dp*NumberLine 3 2 4 2 3" xfId="51260"/>
    <cellStyle name="COL HEADINGS 3 2 4 2 3" xfId="51261"/>
    <cellStyle name="Bold/Border 3 2 4 2 3" xfId="51262"/>
    <cellStyle name="Afjusted 5 2 4 2 3" xfId="51263"/>
    <cellStyle name="ac 3 2 4 2 3" xfId="51264"/>
    <cellStyle name="Date [mmm-yyyy] 3 2 4 2 3" xfId="51265"/>
    <cellStyle name="ac 2 4 2 4 2 3" xfId="51266"/>
    <cellStyle name="Afjusted 2 3 2 4 2 3" xfId="51267"/>
    <cellStyle name="Bold/Border 2 4 2 4 2 3" xfId="51268"/>
    <cellStyle name="Border Thin 2 4 2 4 2 3" xfId="51269"/>
    <cellStyle name="COL HEADINGS 2 4 2 4 2 3" xfId="51270"/>
    <cellStyle name="Date [mmm-yyyy] 2 4 2 4 2 3" xfId="51271"/>
    <cellStyle name="dp*NumberLine 2 4 2 4 2 3" xfId="51272"/>
    <cellStyle name="dp*NumberLineEPS 2 4 2 4 2 3" xfId="51273"/>
    <cellStyle name="dp*SheetSubTitle 2 4 2 4 2 3" xfId="51274"/>
    <cellStyle name="dp*SubTitle 2 4 2 4 2 3" xfId="51275"/>
    <cellStyle name="dp*ThinLineBelow 2 4 2 4 2 3" xfId="51276"/>
    <cellStyle name="Heading [Helv] 2 4 2 4 2 3" xfId="51277"/>
    <cellStyle name="Heading [Palat] 2 4 2 4 2 3" xfId="51278"/>
    <cellStyle name="Magic 2 4 2 4 2 3" xfId="51279"/>
    <cellStyle name="Outputs 2 4 2 4 2 3" xfId="51280"/>
    <cellStyle name="PB Table Standard Row 2 4 2 4 2 3" xfId="51281"/>
    <cellStyle name="P-Green Rule 2 4 2 4 2 3" xfId="51282"/>
    <cellStyle name="Style 44 3 4 2 4 2 3" xfId="51283"/>
    <cellStyle name="Style 45 3 4 2 4 2 3" xfId="51284"/>
    <cellStyle name="Style 49 3 4 2 4 2 3" xfId="51285"/>
    <cellStyle name="Style 51 3 4 2 4 2 3" xfId="51286"/>
    <cellStyle name="Style 44 2 4 2 4 2 3" xfId="51287"/>
    <cellStyle name="Style 45 2 4 2 4 2 3" xfId="51288"/>
    <cellStyle name="Style 49 2 4 2 4 2 3" xfId="51289"/>
    <cellStyle name="Style 51 2 4 2 4 2 3" xfId="51290"/>
    <cellStyle name="Table Head Aligned 2 4 2 4 2 3" xfId="51291"/>
    <cellStyle name="Table Head Green 2 4 2 4 2 3" xfId="51292"/>
    <cellStyle name="Title [Helv] 2 4 2 4 2 3" xfId="51293"/>
    <cellStyle name="Title [Palat] 2 4 2 4 2 3" xfId="51294"/>
    <cellStyle name="ac 4 2 4 2 3" xfId="51295"/>
    <cellStyle name="Bold/Border 4 2 4 2 3" xfId="51296"/>
    <cellStyle name="Border Thin 5 2 4 2 3" xfId="51297"/>
    <cellStyle name="COL HEADINGS 4 2 4 2 3" xfId="51298"/>
    <cellStyle name="Date [mm-d-yyyy] 5 2 4 2 3" xfId="51299"/>
    <cellStyle name="Heading [Helv] 4 2 4 2 3" xfId="51300"/>
    <cellStyle name="Heading [Palat] 4 2 4 2 3" xfId="51301"/>
    <cellStyle name="Outputs 4 2 4 2 3" xfId="51302"/>
    <cellStyle name="PB Table Standard Row 5 2 4 2 3" xfId="51303"/>
    <cellStyle name="P-Green Rule 5 2 4 2 3" xfId="51304"/>
    <cellStyle name="Style 44 6 2 4 2 3" xfId="51305"/>
    <cellStyle name="Style 45 6 2 4 2 3" xfId="51306"/>
    <cellStyle name="Style 49 6 2 4 2 3" xfId="51307"/>
    <cellStyle name="Style 51 6 2 4 2 3" xfId="51308"/>
    <cellStyle name="Table Head Green 4 2 4 2 3" xfId="51309"/>
    <cellStyle name="Afjusted 6 2 4 2 3" xfId="51310"/>
    <cellStyle name="ac 2 5 2 4 2 3" xfId="51311"/>
    <cellStyle name="Afjusted 2 4 2 4 2 3" xfId="51312"/>
    <cellStyle name="Bold/Border 2 5 2 4 2 3" xfId="51313"/>
    <cellStyle name="Border Thin 2 5 2 4 2 3" xfId="51314"/>
    <cellStyle name="COL HEADINGS 2 5 2 4 2 3" xfId="51315"/>
    <cellStyle name="Date [mmm-yyyy] 2 5 2 4 2 3" xfId="51316"/>
    <cellStyle name="dp*NumberLine 2 5 2 4 2 3" xfId="51317"/>
    <cellStyle name="dp*NumberLineEPS 2 5 2 4 2 3" xfId="51318"/>
    <cellStyle name="dp*SheetSubTitle 2 5 2 4 2 3" xfId="51319"/>
    <cellStyle name="dp*SubTitle 2 5 2 4 2 3" xfId="51320"/>
    <cellStyle name="dp*ThinLineBelow 2 5 2 4 2 3" xfId="51321"/>
    <cellStyle name="Heading [Helv] 2 5 2 4 2 3" xfId="51322"/>
    <cellStyle name="Heading [Palat] 2 5 2 4 2 3" xfId="51323"/>
    <cellStyle name="Magic 2 5 2 4 2 3" xfId="51324"/>
    <cellStyle name="Outputs 2 5 2 4 2 3" xfId="51325"/>
    <cellStyle name="PB Table Standard Row 2 5 2 4 2 3" xfId="51326"/>
    <cellStyle name="P-Green Rule 2 5 2 4 2 3" xfId="51327"/>
    <cellStyle name="Style 44 3 5 2 4 2 3" xfId="51328"/>
    <cellStyle name="Style 45 3 5 2 4 2 3" xfId="51329"/>
    <cellStyle name="Style 49 3 5 2 4 2 3" xfId="51330"/>
    <cellStyle name="Style 51 3 5 2 4 2 3" xfId="51331"/>
    <cellStyle name="Style 44 2 5 2 4 2 3" xfId="51332"/>
    <cellStyle name="Style 45 2 5 2 4 2 3" xfId="51333"/>
    <cellStyle name="Style 49 2 5 2 4 2 3" xfId="51334"/>
    <cellStyle name="Style 51 2 5 2 4 2 3" xfId="51335"/>
    <cellStyle name="Table Head Aligned 2 5 2 4 2 3" xfId="51336"/>
    <cellStyle name="Table Head Green 2 5 2 4 2 3" xfId="51337"/>
    <cellStyle name="Title [Helv] 2 5 2 4 2 3" xfId="51338"/>
    <cellStyle name="Title [Palat] 2 5 2 4 2 3" xfId="51339"/>
    <cellStyle name="ac 5 2 4 2 3" xfId="51340"/>
    <cellStyle name="Bold/Border 5 2 4 2 3" xfId="51341"/>
    <cellStyle name="Border Thin 6 2 4 2 3" xfId="51342"/>
    <cellStyle name="COL HEADINGS 5 2 4 2 3" xfId="51343"/>
    <cellStyle name="Heading [Helv] 5 2 4 2 3" xfId="51344"/>
    <cellStyle name="Heading [Palat] 5 2 4 2 3" xfId="51345"/>
    <cellStyle name="Outputs 5 2 4 2 3" xfId="51346"/>
    <cellStyle name="PB Table Standard Row 6 2 4 2 3" xfId="51347"/>
    <cellStyle name="P-Green Rule 6 2 4 2 3" xfId="51348"/>
    <cellStyle name="Style 44 7 2 4 2 3" xfId="51349"/>
    <cellStyle name="Style 45 7 2 4 2 3" xfId="51350"/>
    <cellStyle name="Style 49 7 2 4 2 3" xfId="51351"/>
    <cellStyle name="Style 51 7 2 4 2 3" xfId="51352"/>
    <cellStyle name="Table Head Green 5 2 4 2 3" xfId="51353"/>
    <cellStyle name="Title [Palat] 4 2 4 2 3" xfId="51354"/>
    <cellStyle name="ac 2 6 2 4 2 3" xfId="51355"/>
    <cellStyle name="Bold/Border 2 6 2 4 2 3" xfId="51356"/>
    <cellStyle name="Border Thin 2 6 2 4 2 3" xfId="51357"/>
    <cellStyle name="COL HEADINGS 2 6 2 4 2 3" xfId="51358"/>
    <cellStyle name="Heading [Helv] 2 6 2 4 2 3" xfId="51359"/>
    <cellStyle name="Heading [Palat] 2 6 2 4 2 3" xfId="51360"/>
    <cellStyle name="Outputs 2 6 2 4 2 3" xfId="51361"/>
    <cellStyle name="PB Table Standard Row 2 6 2 4 2 3" xfId="51362"/>
    <cellStyle name="P-Green Rule 2 6 2 4 2 3" xfId="51363"/>
    <cellStyle name="Style 44 3 6 2 4 2 3" xfId="51364"/>
    <cellStyle name="Style 45 3 6 2 4 2 3" xfId="51365"/>
    <cellStyle name="Style 49 3 6 2 4 2 3" xfId="51366"/>
    <cellStyle name="Style 51 3 6 2 4 2 3" xfId="51367"/>
    <cellStyle name="Style 44 2 6 2 4 2 3" xfId="51368"/>
    <cellStyle name="Style 45 2 6 2 4 2 3" xfId="51369"/>
    <cellStyle name="Style 49 2 6 2 4 2 3" xfId="51370"/>
    <cellStyle name="Style 51 2 6 2 4 2 3" xfId="51371"/>
    <cellStyle name="Table Head Green 2 6 2 4 2 3" xfId="51372"/>
    <cellStyle name="Title [Palat] 2 6 2 4 2 3" xfId="51373"/>
    <cellStyle name="Title [Palat] 5 2 4 2 3" xfId="51374"/>
    <cellStyle name="Title [Helv] 4 2 4 2 3" xfId="51375"/>
    <cellStyle name="Table Head Green 6 2 4 2 3" xfId="51376"/>
    <cellStyle name="Table Head Aligned 4 2 4 2 3" xfId="51377"/>
    <cellStyle name="Style 51 9 2 4 2 3" xfId="51378"/>
    <cellStyle name="Style 49 9 2 4 2 3" xfId="51379"/>
    <cellStyle name="Style 45 9 2 4 2 3" xfId="51380"/>
    <cellStyle name="Style 44 9 2 4 2 3" xfId="51381"/>
    <cellStyle name="P-Green Rule 7 2 4 2 3" xfId="51382"/>
    <cellStyle name="PB Table Standard Row 7 2 4 2 3" xfId="51383"/>
    <cellStyle name="Outputs 6 2 4 2 3" xfId="51384"/>
    <cellStyle name="Magic 4 2 4 2 3" xfId="51385"/>
    <cellStyle name="Heading [Palat] 6 2 4 2 3" xfId="51386"/>
    <cellStyle name="Heading [Helv] 6 2 4 2 3" xfId="51387"/>
    <cellStyle name="dp*ThinLineBelow 5 2 4 2 3" xfId="51388"/>
    <cellStyle name="dp*SubTitle 5 2 4 2 3" xfId="51389"/>
    <cellStyle name="dp*SheetSubTitle 4 2 4 2 3" xfId="51390"/>
    <cellStyle name="dp*NumberLineEPS 4 2 4 2 3" xfId="51391"/>
    <cellStyle name="dp*NumberLine 4 2 4 2 3" xfId="51392"/>
    <cellStyle name="Date [mmm-yyyy] 4 2 4 2 3" xfId="51393"/>
    <cellStyle name="Date [mm-d-yyyy] 7 2 4 2 3" xfId="51394"/>
    <cellStyle name="COL HEADINGS 6 2 4 2 3" xfId="51395"/>
    <cellStyle name="Border Thin 7 2 4 2 3" xfId="51396"/>
    <cellStyle name="Bold/Border 6 2 4 2 3" xfId="51397"/>
    <cellStyle name="Afjusted 7 2 4 2 3" xfId="51398"/>
    <cellStyle name="ac 6 2 4 2 3" xfId="51399"/>
    <cellStyle name="Style 44 8 2 4 2 3" xfId="51400"/>
    <cellStyle name="Style 45 8 2 4 2 3" xfId="51401"/>
    <cellStyle name="Style 49 8 2 4 2 3" xfId="51402"/>
    <cellStyle name="Style 51 8 2 4 2 3" xfId="51403"/>
    <cellStyle name="Title [Palat] 6 2 4 2 3" xfId="51404"/>
    <cellStyle name="Title [Helv] 5 2 4 2 3" xfId="51405"/>
    <cellStyle name="Table Head Green 7 2 4 2 3" xfId="51406"/>
    <cellStyle name="Table Head Aligned 5 2 4 2 3" xfId="51407"/>
    <cellStyle name="Outputs 7 2 4 2 3" xfId="51408"/>
    <cellStyle name="Magic 5 2 4 2 3" xfId="51409"/>
    <cellStyle name="Heading [Palat] 7 2 4 2 3" xfId="51410"/>
    <cellStyle name="Heading [Helv] 7 2 4 2 3" xfId="51411"/>
    <cellStyle name="dp*SheetSubTitle 5 2 4 2 3" xfId="51412"/>
    <cellStyle name="dp*NumberLineEPS 5 2 4 2 3" xfId="51413"/>
    <cellStyle name="dp*NumberLine 5 2 4 2 3" xfId="51414"/>
    <cellStyle name="Date [mmm-yyyy] 5 2 4 2 3" xfId="51415"/>
    <cellStyle name="COL HEADINGS 7 2 4 2 3" xfId="51416"/>
    <cellStyle name="Bold/Border 7 2 4 2 3" xfId="51417"/>
    <cellStyle name="Afjusted 8 2 4 2 3" xfId="51418"/>
    <cellStyle name="ac 7 2 4 2 3" xfId="51419"/>
    <cellStyle name="Title [Palat] 7 2 4 2 3" xfId="51420"/>
    <cellStyle name="Title [Helv] 6 2 4 2 3" xfId="51421"/>
    <cellStyle name="Table Head Green 8 2 4 2 3" xfId="51422"/>
    <cellStyle name="Table Head Aligned 6 2 4 2 3" xfId="51423"/>
    <cellStyle name="Outputs 8 2 4 2 3" xfId="51424"/>
    <cellStyle name="Magic 6 2 4 2 3" xfId="51425"/>
    <cellStyle name="Heading [Palat] 8 2 4 2 3" xfId="51426"/>
    <cellStyle name="Heading [Helv] 8 2 4 2 3" xfId="51427"/>
    <cellStyle name="dp*SheetSubTitle 6 2 4 2 3" xfId="51428"/>
    <cellStyle name="dp*NumberLineEPS 6 2 4 2 3" xfId="51429"/>
    <cellStyle name="dp*NumberLine 6 2 4 2 3" xfId="51430"/>
    <cellStyle name="COL HEADINGS 8 2 4 2 3" xfId="51431"/>
    <cellStyle name="Bold/Border 8 2 4 2 3" xfId="51432"/>
    <cellStyle name="Afjusted 9 2 4 2 3" xfId="51433"/>
    <cellStyle name="ac 8 2 4 2 3" xfId="51434"/>
    <cellStyle name="Date [mmm-yyyy] 6 2 4 2 3" xfId="51435"/>
    <cellStyle name="Title [Palat] 8 2 4 2 3" xfId="51436"/>
    <cellStyle name="Title [Helv] 7 2 4 2 3" xfId="51437"/>
    <cellStyle name="Table Head Green 9 2 4 2 3" xfId="51438"/>
    <cellStyle name="Table Head Aligned 7 2 4 2 3" xfId="51439"/>
    <cellStyle name="Outputs 9 2 4 2 3" xfId="51440"/>
    <cellStyle name="Magic 7 2 4 2 3" xfId="51441"/>
    <cellStyle name="Heading [Palat] 9 2 4 2 3" xfId="51442"/>
    <cellStyle name="Heading [Helv] 9 2 4 2 3" xfId="51443"/>
    <cellStyle name="dp*SheetSubTitle 7 2 4 2 3" xfId="51444"/>
    <cellStyle name="dp*NumberLineEPS 7 2 4 2 3" xfId="51445"/>
    <cellStyle name="dp*NumberLine 7 2 4 2 3" xfId="51446"/>
    <cellStyle name="Date [mmm-yyyy] 7 2 4 2 3" xfId="51447"/>
    <cellStyle name="COL HEADINGS 9 2 4 2 3" xfId="51448"/>
    <cellStyle name="Bold/Border 9 2 4 2 3" xfId="51449"/>
    <cellStyle name="Afjusted 10 2 4 2 3" xfId="51450"/>
    <cellStyle name="ac 9 2 4 2 3" xfId="51451"/>
    <cellStyle name="Afjusted 3 8 3 3" xfId="51452"/>
    <cellStyle name="Bold/Border 2 2 2 2 4 3 3" xfId="51453"/>
    <cellStyle name="Outputs 2 9 3 3" xfId="51454"/>
    <cellStyle name="Table Head Green 2 2 3 2 4 3 3" xfId="51455"/>
    <cellStyle name="PB Table Standard Row 5 4 3 3" xfId="51456"/>
    <cellStyle name="Outputs 4 4 3 3" xfId="51457"/>
    <cellStyle name="Heading [Palat] 4 4 3 3" xfId="51458"/>
    <cellStyle name="Heading [Helv] 4 4 3 3" xfId="51459"/>
    <cellStyle name="COL HEADINGS 4 4 3 3" xfId="51460"/>
    <cellStyle name="Border Thin 5 4 3 3" xfId="51461"/>
    <cellStyle name="Title [Helv] 2 4 4 3 3" xfId="51462"/>
    <cellStyle name="Style 51 2 4 4 3 3" xfId="51463"/>
    <cellStyle name="ac 3 4 3 3" xfId="51464"/>
    <cellStyle name="Afjusted 5 4 3 3" xfId="51465"/>
    <cellStyle name="COL HEADINGS 3 4 3 3" xfId="51466"/>
    <cellStyle name="Arial6Bold 9 2 3" xfId="51467"/>
    <cellStyle name="Arial8Bold 9 2 3" xfId="51468"/>
    <cellStyle name="Arial8Italic 9 2 3" xfId="51469"/>
    <cellStyle name="ArialNormal 9 2 3" xfId="51470"/>
    <cellStyle name="Table Head Green 3 4 3 3" xfId="51471"/>
    <cellStyle name="Border 7 2 3" xfId="51472"/>
    <cellStyle name="Style 51 5 4 3 3" xfId="51473"/>
    <cellStyle name="Style 49 5 4 3 3" xfId="51474"/>
    <cellStyle name="Style 45 5 4 3 3" xfId="51475"/>
    <cellStyle name="Style 44 5 4 3 3" xfId="51476"/>
    <cellStyle name="dp*ThinLineBelow 4 4 3 3" xfId="51477"/>
    <cellStyle name="Title [Helv] 2 2 2 4 4 3 3" xfId="51478"/>
    <cellStyle name="Outputs 2 2 2 4 4 3 3" xfId="51479"/>
    <cellStyle name="Magic 2 2 2 4 4 3 3" xfId="51480"/>
    <cellStyle name="dp*NumberLine 2 2 2 4 4 3 3" xfId="51481"/>
    <cellStyle name="Bold/Border 2 2 2 4 4 3 3" xfId="51482"/>
    <cellStyle name="Afjusted 2 2 2 4 4 3 3" xfId="51483"/>
    <cellStyle name="Border Thin 3 2 4 4 3 3" xfId="51484"/>
    <cellStyle name="dp*SubTitle 3 2 4 4 3 3" xfId="51485"/>
    <cellStyle name="Style 45 4 2 4 4 3 3" xfId="51486"/>
    <cellStyle name="Style 49 4 2 4 4 3 3" xfId="51487"/>
    <cellStyle name="Style 51 4 2 4 4 3 3" xfId="51488"/>
    <cellStyle name="Title [Palat] 2 2 2 3 4 3 3" xfId="51489"/>
    <cellStyle name="Title [Helv] 2 2 2 3 4 3 3" xfId="51490"/>
    <cellStyle name="Table Head Green 2 2 2 3 4 3 3" xfId="51491"/>
    <cellStyle name="Outputs 2 2 2 3 4 3 3" xfId="51492"/>
    <cellStyle name="Heading [Helv] 2 2 2 3 4 3 3" xfId="51493"/>
    <cellStyle name="dp*NumberLine 2 2 2 3 4 3 3" xfId="51494"/>
    <cellStyle name="Bold/Border 2 2 2 3 4 3 3" xfId="51495"/>
    <cellStyle name="Afjusted 4 2 3 4 3 3" xfId="51496"/>
    <cellStyle name="dp*ThinLineBelow 3 2 3 4 3 3" xfId="51497"/>
    <cellStyle name="Style 44 4 2 3 4 3 3" xfId="51498"/>
    <cellStyle name="Style 51 4 2 3 4 3 3" xfId="51499"/>
    <cellStyle name="Date [mm-d-yyyy] 2 2 3 4 3 3" xfId="51500"/>
    <cellStyle name="dp*ThinLineBelow 3 5 4 3 3" xfId="51501"/>
    <cellStyle name="Table Head Green 2 2 2 2 4 3 3" xfId="51502"/>
    <cellStyle name="Table Head Aligned 2 2 2 2 4 3 3" xfId="51503"/>
    <cellStyle name="Outputs 2 2 2 2 4 3 3" xfId="51504"/>
    <cellStyle name="Magic 2 2 2 2 4 3 3" xfId="51505"/>
    <cellStyle name="dp*ThinLineBelow 3 2 2 4 3 3" xfId="51506"/>
    <cellStyle name="dp*SubTitle 3 3 2 4 3 3" xfId="51507"/>
    <cellStyle name="Afjusted 2 2 3 2 4 3 3" xfId="51508"/>
    <cellStyle name="dp*NumberLineEPS 2 2 2 7 3 3" xfId="51509"/>
    <cellStyle name="dp*NumberLine 2 2 2 7 3 3" xfId="51510"/>
    <cellStyle name="Date [mmm-yyyy] 2 2 2 7 3 3" xfId="51511"/>
    <cellStyle name="COL HEADINGS 2 2 2 7 3 3" xfId="51512"/>
    <cellStyle name="ac 2 2 2 7 3 3" xfId="51513"/>
    <cellStyle name="Afjusted 4 2 7 3 3" xfId="51514"/>
    <cellStyle name="Date [mm-d-yyyy] 3 2 7 3 3" xfId="51515"/>
    <cellStyle name="Afjusted 3 3 7 3 3" xfId="51516"/>
    <cellStyle name="Style 49 4 3 7 3 3" xfId="51517"/>
    <cellStyle name="P-Green Rule 3 3 7 3 3" xfId="51518"/>
    <cellStyle name="dp*SubTitle 3 3 7 3 3" xfId="51519"/>
    <cellStyle name="Border Thin 3 3 7 3 3" xfId="51520"/>
    <cellStyle name="Afjusted 2 2 3 7 3 3" xfId="51521"/>
    <cellStyle name="Date [mmm-yyyy] 2 2 3 7 3 3" xfId="51522"/>
    <cellStyle name="dp*NumberLine 2 2 3 7 3 3" xfId="51523"/>
    <cellStyle name="dp*NumberLineEPS 2 2 3 7 3 3" xfId="51524"/>
    <cellStyle name="dp*SheetSubTitle 2 2 3 7 3 3" xfId="51525"/>
    <cellStyle name="Heading [Helv] 2 2 3 7 3 3" xfId="51526"/>
    <cellStyle name="Heading [Palat] 2 2 3 7 3 3" xfId="51527"/>
    <cellStyle name="Magic 2 2 3 7 3 3" xfId="51528"/>
    <cellStyle name="Outputs 2 2 3 7 3 3" xfId="51529"/>
    <cellStyle name="Table Head Aligned 2 2 3 7 3 3" xfId="51530"/>
    <cellStyle name="Table Head Green 2 2 3 7 3 3" xfId="51531"/>
    <cellStyle name="PB Table Standard Row 3 3 4 4 3 3" xfId="51532"/>
    <cellStyle name="DateYearEstimate 9 2 3" xfId="51533"/>
    <cellStyle name="DateYearWholeEstimate 9 2 3" xfId="51534"/>
    <cellStyle name="Style 44 4 3 4 4 3 3" xfId="51535"/>
    <cellStyle name="Afjusted 4 4 4 3 3" xfId="51536"/>
    <cellStyle name="dp*SubTitle 3 3 4 4 3 3" xfId="51537"/>
    <cellStyle name="dp*ThinLineBelow 3 3 4 4 3 3" xfId="51538"/>
    <cellStyle name="Style 44 4 4 4 3 3" xfId="51539"/>
    <cellStyle name="Style 51 4 4 4 3 3" xfId="51540"/>
    <cellStyle name="Date [mm-d-yyyy] 3 4 4 3 3" xfId="51541"/>
    <cellStyle name="Date [mm-d-yyyy] 3 3 3 4 3 3" xfId="51542"/>
    <cellStyle name="P-Green Rule 3 3 3 4 3 3" xfId="51543"/>
    <cellStyle name="dp*SheetSubTitle 2 2 3 3 4 3 3" xfId="51544"/>
    <cellStyle name="Heading [Palat] 2 2 3 3 4 3 3" xfId="51545"/>
    <cellStyle name="Table Head Green 2 2 3 3 4 3 3" xfId="51546"/>
    <cellStyle name="Table Head Green 2 2 4 4 3 3" xfId="51547"/>
    <cellStyle name="Table Head Aligned 2 2 4 4 3 3" xfId="51548"/>
    <cellStyle name="Heading [Helv] 2 2 4 4 3 3" xfId="51549"/>
    <cellStyle name="Style 51 2 3 4 3 3" xfId="51550"/>
    <cellStyle name="Style 49 3 3 4 3 3" xfId="51551"/>
    <cellStyle name="Border Thin 2 3 4 3 3" xfId="51552"/>
    <cellStyle name="P-Green Rule 3 3 4 4 3 3" xfId="51553"/>
    <cellStyle name="Afjusted 3 4 4 3 3" xfId="51554"/>
    <cellStyle name="Style 51 4 3 4 4 3 3" xfId="51555"/>
    <cellStyle name="Table Head Aligned 2 3 4 3 3" xfId="51556"/>
    <cellStyle name="Outputs 2 3 4 3 3" xfId="51557"/>
    <cellStyle name="Magic 2 3 4 3 3" xfId="51558"/>
    <cellStyle name="Heading [Palat] 2 3 4 3 3" xfId="51559"/>
    <cellStyle name="Heading [Helv] 2 3 4 3 3" xfId="51560"/>
    <cellStyle name="dp*SheetSubTitle 2 3 4 3 3" xfId="51561"/>
    <cellStyle name="dp*Number%ItalicsLineAbove 7 2 3" xfId="51562"/>
    <cellStyle name="dp*NumberLineEPS 2 3 4 3 3" xfId="51563"/>
    <cellStyle name="dp*SubTitle 3 5 4 3 3" xfId="51564"/>
    <cellStyle name="P-Green Rule 3 5 4 3 3" xfId="51565"/>
    <cellStyle name="dp*ThinLineAbove 7 2 3" xfId="51566"/>
    <cellStyle name="Style 44 4 5 4 3 3" xfId="51567"/>
    <cellStyle name="Style 49 4 5 4 3 3" xfId="51568"/>
    <cellStyle name="Afjusted 3 3 3 4 3 3" xfId="51569"/>
    <cellStyle name="Draw lines around data in range 9 2 3" xfId="51570"/>
    <cellStyle name="Draw shadow and lines within range 9 2 3" xfId="51571"/>
    <cellStyle name="Style 51 4 3 3 4 3 3" xfId="51572"/>
    <cellStyle name="Style 44 4 3 3 4 3 3" xfId="51573"/>
    <cellStyle name="Afjusted 4 3 3 4 3 3" xfId="51574"/>
    <cellStyle name="dp*NumberLineEPS 2 2 3 3 4 3 3" xfId="51575"/>
    <cellStyle name="Table Head Aligned 2 2 3 3 4 3 3" xfId="51576"/>
    <cellStyle name="Title [Helv] 2 2 3 3 4 3 3" xfId="51577"/>
    <cellStyle name="Title [Palat] 2 2 3 3 4 3 3" xfId="51578"/>
    <cellStyle name="Magic 2 2 4 4 3 3" xfId="51579"/>
    <cellStyle name="dp*SheetSubTitle 2 2 4 4 3 3" xfId="51580"/>
    <cellStyle name="dp*NumberLineEPS 2 2 4 4 3 3" xfId="51581"/>
    <cellStyle name="dp*NumberLine 2 2 4 4 3 3" xfId="51582"/>
    <cellStyle name="Date [mmm-yyyy] 2 2 4 4 3 3" xfId="51583"/>
    <cellStyle name="COL HEADINGS 2 2 4 4 3 3" xfId="51584"/>
    <cellStyle name="Bold/Border 2 2 4 4 3 3" xfId="51585"/>
    <cellStyle name="Outputs 2 2 3 4 4 3 3" xfId="51586"/>
    <cellStyle name="Heading [Helv] 2 2 3 4 4 3 3" xfId="51587"/>
    <cellStyle name="dp*NumberLine 2 2 3 4 4 3 3" xfId="51588"/>
    <cellStyle name="Date [mmm-yyyy] 2 2 3 4 4 3 3" xfId="51589"/>
    <cellStyle name="Afjusted 2 2 3 4 4 3 3" xfId="51590"/>
    <cellStyle name="Date [mm-d-yyyy] 3 3 4 4 3 3" xfId="51591"/>
    <cellStyle name="Style 49 4 3 4 4 3 3" xfId="51592"/>
    <cellStyle name="dp*ThinLineBelow 2 3 4 3 3" xfId="51593"/>
    <cellStyle name="PB Table Standard Row 2 2 4 3 3" xfId="51594"/>
    <cellStyle name="Style 45 3 2 4 3 3" xfId="51595"/>
    <cellStyle name="Style 44 2 2 4 3 3" xfId="51596"/>
    <cellStyle name="Style 51 2 2 4 3 3" xfId="51597"/>
    <cellStyle name="Format a row of totals 9 2 3" xfId="51598"/>
    <cellStyle name="Format text as bold, black on yellow 9 2 3" xfId="51599"/>
    <cellStyle name="Border Thin 2 2 4 3 3" xfId="51600"/>
    <cellStyle name="dp*SubTitle 2 2 4 3 3" xfId="51601"/>
    <cellStyle name="Title [Palat] 2 2 7 3 3" xfId="51602"/>
    <cellStyle name="Outputs 2 2 7 3 3" xfId="51603"/>
    <cellStyle name="Magic 2 2 7 3 3" xfId="51604"/>
    <cellStyle name="dp*NumberLineEPS 2 2 7 3 3" xfId="51605"/>
    <cellStyle name="Date [mmm-yyyy] 2 2 7 3 3" xfId="51606"/>
    <cellStyle name="ItemTypeClass 9 2 3" xfId="51607"/>
    <cellStyle name="Main 8 2 3" xfId="51608"/>
    <cellStyle name="Title [Helv] 2 8 3 3" xfId="51609"/>
    <cellStyle name="Table Head Green 2 9 3 3" xfId="51610"/>
    <cellStyle name="Table Head Aligned 2 8 3 3" xfId="51611"/>
    <cellStyle name="SAPBEXaggData 6 2 3" xfId="51612"/>
    <cellStyle name="SAPBEXaggDataEmph 6 2 3" xfId="51613"/>
    <cellStyle name="SAPBEXaggItem 6 2 3" xfId="51614"/>
    <cellStyle name="SAPBEXaggItemX 8 2 3" xfId="51615"/>
    <cellStyle name="SAPBEXexcBad7 6 2 3" xfId="51616"/>
    <cellStyle name="SAPBEXexcBad8 6 2 3" xfId="51617"/>
    <cellStyle name="SAPBEXexcBad9 6 2 3" xfId="51618"/>
    <cellStyle name="SAPBEXexcCritical4 6 2 3" xfId="51619"/>
    <cellStyle name="SAPBEXexcCritical5 6 2 3" xfId="51620"/>
    <cellStyle name="SAPBEXexcCritical6 6 2 3" xfId="51621"/>
    <cellStyle name="SAPBEXexcGood1 6 2 3" xfId="51622"/>
    <cellStyle name="SAPBEXexcGood2 6 2 3" xfId="51623"/>
    <cellStyle name="SAPBEXexcGood3 6 2 3" xfId="51624"/>
    <cellStyle name="SAPBEXformats 6 2 3" xfId="51625"/>
    <cellStyle name="SAPBEXHLevel0 8 2 3" xfId="51626"/>
    <cellStyle name="SAPBEXHLevel0X 8 2 3" xfId="51627"/>
    <cellStyle name="SAPBEXHLevel1 8 2 3" xfId="51628"/>
    <cellStyle name="SAPBEXHLevel1X 8 2 3" xfId="51629"/>
    <cellStyle name="SAPBEXHLevel2 8 2 3" xfId="51630"/>
    <cellStyle name="SAPBEXHLevel2X 8 2 3" xfId="51631"/>
    <cellStyle name="SAPBEXHLevel3 8 2 3" xfId="51632"/>
    <cellStyle name="SAPBEXHLevel3X 8 2 3" xfId="51633"/>
    <cellStyle name="SAPBEXresData 6 2 3" xfId="51634"/>
    <cellStyle name="SAPBEXresDataEmph 6 2 3" xfId="51635"/>
    <cellStyle name="SAPBEXresItem 6 2 3" xfId="51636"/>
    <cellStyle name="SAPBEXresItemX 8 2 3" xfId="51637"/>
    <cellStyle name="SAPBEXstdData 6 2 3" xfId="51638"/>
    <cellStyle name="SAPBEXstdDataEmph 6 2 3" xfId="51639"/>
    <cellStyle name="SAPBEXstdItem 6 2 3" xfId="51640"/>
    <cellStyle name="SAPBEXstdItemX 8 2 3" xfId="51641"/>
    <cellStyle name="SAPBEXtitle 6 2 3" xfId="51642"/>
    <cellStyle name="SAPBEXundefined 6 2 3" xfId="51643"/>
    <cellStyle name="SSComma0 6 2 3" xfId="51644"/>
    <cellStyle name="SSComma2 6 2 3" xfId="51645"/>
    <cellStyle name="SSDecs3 6 2 3" xfId="51646"/>
    <cellStyle name="SSDfltPct 6 2 3" xfId="51647"/>
    <cellStyle name="SSDfltPct0 6 2 3" xfId="51648"/>
    <cellStyle name="SSFixed2 6 2 3" xfId="51649"/>
    <cellStyle name="Style 21 9 2 3" xfId="51650"/>
    <cellStyle name="Style 22 9 2 3" xfId="51651"/>
    <cellStyle name="Style 24 7 2 3" xfId="51652"/>
    <cellStyle name="Style 25 7 2 3" xfId="51653"/>
    <cellStyle name="Style 26 7 2 3" xfId="51654"/>
    <cellStyle name="Style 27 7 2 3" xfId="51655"/>
    <cellStyle name="Style 28 7 2 3" xfId="51656"/>
    <cellStyle name="Style 35 9 2 3" xfId="51657"/>
    <cellStyle name="Style 36 9 2 3" xfId="51658"/>
    <cellStyle name="Style 37 9 2 3" xfId="51659"/>
    <cellStyle name="Style 40 9 2 3" xfId="51660"/>
    <cellStyle name="Style 42 9 2 3" xfId="51661"/>
    <cellStyle name="Style 43 9 2 3" xfId="51662"/>
    <cellStyle name="Style 48 9 2 3" xfId="51663"/>
    <cellStyle name="Style 50 9 2 3" xfId="51664"/>
    <cellStyle name="Style 52 9 2 3" xfId="51665"/>
    <cellStyle name="Style 53 9 2 3" xfId="51666"/>
    <cellStyle name="SymbolBlue 9 2 3" xfId="51667"/>
    <cellStyle name="UNLOCKED 36 2 3" xfId="51668"/>
    <cellStyle name="WingdingsBlack 9 2 3" xfId="51669"/>
    <cellStyle name="WingdingsRed 9 2 3" xfId="51670"/>
    <cellStyle name="WingdingsWhite 9 2 3" xfId="51671"/>
    <cellStyle name="COL HEADINGS 2 9 3 3" xfId="51672"/>
    <cellStyle name="Table Head Aligned 2 2 3 2 4 3 3" xfId="51673"/>
    <cellStyle name="Magic 3 4 3 3" xfId="51674"/>
    <cellStyle name="Style 49 3 8 3 3" xfId="51675"/>
    <cellStyle name="Table Head Aligned 3 4 3 3" xfId="51676"/>
    <cellStyle name="Heading [Palat] 2 2 2 2 4 3 3" xfId="51677"/>
    <cellStyle name="dp*SubTitle 2 3 4 3 3" xfId="51678"/>
    <cellStyle name="Date [mm-d-yyyy] 2 2 6 3 3" xfId="51679"/>
    <cellStyle name="Title [Helv] 2 2 2 7 3 3" xfId="51680"/>
    <cellStyle name="Date [mm-d-yyyy] 2 4 3 3" xfId="51681"/>
    <cellStyle name="dp*NumberLine 2 8 3 3" xfId="51682"/>
    <cellStyle name="Afjusted 3 7 3 3" xfId="51683"/>
    <cellStyle name="ac 2 8 3 3" xfId="51684"/>
    <cellStyle name="Afjusted 2 6 3 3" xfId="51685"/>
    <cellStyle name="Bold/Border 2 8 3 3" xfId="51686"/>
    <cellStyle name="COL HEADINGS 2 8 3 3" xfId="51687"/>
    <cellStyle name="Border Thin 3 3 2 4 3 3" xfId="51688"/>
    <cellStyle name="Date [mmm-yyyy] 2 7 3 3" xfId="51689"/>
    <cellStyle name="Style 45 4 3 3 4 3 3" xfId="51690"/>
    <cellStyle name="dp*NumberLine 2 3 4 3 3" xfId="51691"/>
    <cellStyle name="dp*NumberLine 2 7 3 3" xfId="51692"/>
    <cellStyle name="dp*NumberLineEPS 2 7 3 3" xfId="51693"/>
    <cellStyle name="dp*SheetSubTitle 2 7 3 3" xfId="51694"/>
    <cellStyle name="Afjusted 4 5 4 3 3" xfId="51695"/>
    <cellStyle name="dp*ThinLineBelow 2 6 3 3" xfId="51696"/>
    <cellStyle name="Millions 3 2 2 3" xfId="51697"/>
    <cellStyle name="Global 2 2 2 3" xfId="51698"/>
    <cellStyle name="Header2 2 3 2 3" xfId="51699"/>
    <cellStyle name="Heading [Helv] 2 8 3 3" xfId="51700"/>
    <cellStyle name="Heading [Palat] 2 8 3 3" xfId="51701"/>
    <cellStyle name="Millions 4 2 2 3" xfId="51702"/>
    <cellStyle name="Magic 2 7 3 3" xfId="51703"/>
    <cellStyle name="Millions 2 2 2 3" xfId="51704"/>
    <cellStyle name="COL HEADINGS 2 3 4 3 3" xfId="51705"/>
    <cellStyle name="dp*NumberLine 2 2 3 3 4 3 3" xfId="51706"/>
    <cellStyle name="Outputs 2 8 3 3" xfId="51707"/>
    <cellStyle name="P-Green Rule 2 7 3 3" xfId="51708"/>
    <cellStyle name="Style 44 3 7 3 3" xfId="51709"/>
    <cellStyle name="Style 45 3 7 3 3" xfId="51710"/>
    <cellStyle name="Style 49 3 7 3 3" xfId="51711"/>
    <cellStyle name="Style 51 3 7 3 3" xfId="51712"/>
    <cellStyle name="Style 44 2 7 3 3" xfId="51713"/>
    <cellStyle name="Style 45 2 7 3 3" xfId="51714"/>
    <cellStyle name="Style 49 2 7 3 3" xfId="51715"/>
    <cellStyle name="Style 51 2 7 3 3" xfId="51716"/>
    <cellStyle name="Table Head Aligned 2 7 3 3" xfId="51717"/>
    <cellStyle name="Table Head Green 2 8 3 3" xfId="51718"/>
    <cellStyle name="Time Strip 2 2 2 3" xfId="51719"/>
    <cellStyle name="Title [Helv] 2 7 3 3" xfId="51720"/>
    <cellStyle name="Title [Palat] 2 8 3 3" xfId="51721"/>
    <cellStyle name="Magic 2 8 3 3" xfId="51722"/>
    <cellStyle name="Date [mmm-yyyy] 2 8 3 3" xfId="51723"/>
    <cellStyle name="Millions 5 2 2 3" xfId="51724"/>
    <cellStyle name="Magic 2 2 2 7 3 3" xfId="51725"/>
    <cellStyle name="Title [Palat] 2 2 3 2 4 3 3" xfId="51726"/>
    <cellStyle name="ac 2 9 3 3" xfId="51727"/>
    <cellStyle name="Heading [Palat] 2 2 2 7 3 3" xfId="51728"/>
    <cellStyle name="Arial6Bold 2 2 2 3" xfId="51729"/>
    <cellStyle name="Arial8Bold 2 2 2 3" xfId="51730"/>
    <cellStyle name="Arial8Italic 2 2 2 3" xfId="51731"/>
    <cellStyle name="ArialNormal 2 2 2 3" xfId="51732"/>
    <cellStyle name="Border 2 2 2 3" xfId="51733"/>
    <cellStyle name="DateYearEstimate 2 2 2 3" xfId="51734"/>
    <cellStyle name="DateYearWholeEstimate 2 2 2 3" xfId="51735"/>
    <cellStyle name="dp*Number%ItalicsLineAbove 2 2 2 3" xfId="51736"/>
    <cellStyle name="dp*ThinLineAbove 2 2 2 3" xfId="51737"/>
    <cellStyle name="Draw lines around data in range 2 2 2 3" xfId="51738"/>
    <cellStyle name="Draw shadow and lines within range 2 2 2 3" xfId="51739"/>
    <cellStyle name="FieldName 2 2 2 3" xfId="51740"/>
    <cellStyle name="Format a row of totals 2 2 2 3" xfId="51741"/>
    <cellStyle name="Format text as bold, black on yellow 2 2 2 3" xfId="51742"/>
    <cellStyle name="ItemTypeClass 2 2 2 3" xfId="51743"/>
    <cellStyle name="Main 2 2 2 3" xfId="51744"/>
    <cellStyle name="Millions 6 2 2 3" xfId="51745"/>
    <cellStyle name="SAPBEXaggData 2 2 2 3" xfId="51746"/>
    <cellStyle name="SAPBEXaggDataEmph 2 2 2 3" xfId="51747"/>
    <cellStyle name="SAPBEXaggItem 2 2 2 3" xfId="51748"/>
    <cellStyle name="SAPBEXaggItemX 2 2 2 3" xfId="51749"/>
    <cellStyle name="SAPBEXexcBad7 2 2 2 3" xfId="51750"/>
    <cellStyle name="SAPBEXexcBad8 2 2 2 3" xfId="51751"/>
    <cellStyle name="SAPBEXexcBad9 2 2 2 3" xfId="51752"/>
    <cellStyle name="SAPBEXexcCritical4 2 2 2 3" xfId="51753"/>
    <cellStyle name="SAPBEXexcCritical5 2 2 2 3" xfId="51754"/>
    <cellStyle name="SAPBEXexcCritical6 2 2 2 3" xfId="51755"/>
    <cellStyle name="SAPBEXexcGood1 2 2 2 3" xfId="51756"/>
    <cellStyle name="SAPBEXexcGood2 2 2 2 3" xfId="51757"/>
    <cellStyle name="SAPBEXexcGood3 2 2 2 3" xfId="51758"/>
    <cellStyle name="SAPBEXformats 2 2 2 3" xfId="51759"/>
    <cellStyle name="SAPBEXHLevel0 2 2 2 3" xfId="51760"/>
    <cellStyle name="SAPBEXHLevel0X 2 2 2 3" xfId="51761"/>
    <cellStyle name="SAPBEXHLevel1 2 2 2 3" xfId="51762"/>
    <cellStyle name="SAPBEXHLevel1X 2 2 2 3" xfId="51763"/>
    <cellStyle name="SAPBEXHLevel2 2 2 2 3" xfId="51764"/>
    <cellStyle name="SAPBEXHLevel2X 2 2 2 3" xfId="51765"/>
    <cellStyle name="SAPBEXHLevel3 2 2 2 3" xfId="51766"/>
    <cellStyle name="SAPBEXHLevel3X 2 2 2 3" xfId="51767"/>
    <cellStyle name="SAPBEXresData 2 2 2 3" xfId="51768"/>
    <cellStyle name="SAPBEXresDataEmph 2 2 2 3" xfId="51769"/>
    <cellStyle name="SAPBEXresItem 2 2 2 3" xfId="51770"/>
    <cellStyle name="SAPBEXresItemX 2 2 2 3" xfId="51771"/>
    <cellStyle name="SAPBEXstdData 2 2 2 3" xfId="51772"/>
    <cellStyle name="SAPBEXstdDataEmph 2 2 2 3" xfId="51773"/>
    <cellStyle name="SAPBEXstdItem 2 2 2 3" xfId="51774"/>
    <cellStyle name="SAPBEXstdItemX 2 2 2 3" xfId="51775"/>
    <cellStyle name="SAPBEXtitle 2 2 2 3" xfId="51776"/>
    <cellStyle name="SAPBEXundefined 2 2 2 3" xfId="51777"/>
    <cellStyle name="SSComma0 2 2 2 3" xfId="51778"/>
    <cellStyle name="SSComma2 2 2 2 3" xfId="51779"/>
    <cellStyle name="SSDecs3 2 2 2 3" xfId="51780"/>
    <cellStyle name="SSDfltPct 2 2 2 3" xfId="51781"/>
    <cellStyle name="SSDfltPct0 2 2 2 3" xfId="51782"/>
    <cellStyle name="SSFixed2 2 2 2 3" xfId="51783"/>
    <cellStyle name="Style 21 2 2 2 3" xfId="51784"/>
    <cellStyle name="Style 22 2 2 2 3" xfId="51785"/>
    <cellStyle name="Style 24 2 2 2 3" xfId="51786"/>
    <cellStyle name="Style 25 2 2 2 3" xfId="51787"/>
    <cellStyle name="Style 26 2 2 2 3" xfId="51788"/>
    <cellStyle name="Style 27 2 2 2 3" xfId="51789"/>
    <cellStyle name="Style 28 2 2 2 3" xfId="51790"/>
    <cellStyle name="Style 35 2 2 2 3" xfId="51791"/>
    <cellStyle name="Style 36 2 2 2 3" xfId="51792"/>
    <cellStyle name="Style 37 2 2 2 3" xfId="51793"/>
    <cellStyle name="Style 40 2 2 2 3" xfId="51794"/>
    <cellStyle name="Style 42 2 2 2 3" xfId="51795"/>
    <cellStyle name="Style 43 2 2 2 3" xfId="51796"/>
    <cellStyle name="Style 48 2 2 2 3" xfId="51797"/>
    <cellStyle name="Style 50 2 2 2 3" xfId="51798"/>
    <cellStyle name="Style 52 2 2 2 3" xfId="51799"/>
    <cellStyle name="Style 53 2 2 2 3" xfId="51800"/>
    <cellStyle name="SymbolBlue 2 2 2 3" xfId="51801"/>
    <cellStyle name="UNLOCKED 2 2 2 3" xfId="51802"/>
    <cellStyle name="WingdingsBlack 2 2 2 3" xfId="51803"/>
    <cellStyle name="WingdingsRed 2 2 2 3" xfId="51804"/>
    <cellStyle name="WingdingsWhite 2 2 2 3" xfId="51805"/>
    <cellStyle name="dp*SheetSubTitle 2 2 2 7 3 3" xfId="51806"/>
    <cellStyle name="ac 2 2 3 7 3 3" xfId="51807"/>
    <cellStyle name="UNLOCKED 4 2 2 3" xfId="51808"/>
    <cellStyle name="Millions 7 2 2 3" xfId="51809"/>
    <cellStyle name="dp*SubTitle 3 7 3 3" xfId="51810"/>
    <cellStyle name="Bold/Border 2 3 4 3 3" xfId="51811"/>
    <cellStyle name="Style 49 4 3 3 4 3 3" xfId="51812"/>
    <cellStyle name="Title [Palat] 2 3 4 3 3" xfId="51813"/>
    <cellStyle name="Border Thin 3 7 3 3" xfId="51814"/>
    <cellStyle name="UNLOCKED 3 2 2 3" xfId="51815"/>
    <cellStyle name="dp*SheetSubTitle 2 2 2 2 4 3 3" xfId="51816"/>
    <cellStyle name="dp*NumberLineEPS 2 2 2 2 4 3 3" xfId="51817"/>
    <cellStyle name="UNLOCKED 5 2 2 3" xfId="51818"/>
    <cellStyle name="Afjusted 4 7 3 3" xfId="51819"/>
    <cellStyle name="UNLOCKED 6 2 2 3" xfId="51820"/>
    <cellStyle name="Bold/Border 4 4 3 3" xfId="51821"/>
    <cellStyle name="ac 2 2 6 3 3" xfId="51822"/>
    <cellStyle name="Afjusted 2 2 7 3 3" xfId="51823"/>
    <cellStyle name="Bold/Border 2 2 6 3 3" xfId="51824"/>
    <cellStyle name="COL HEADINGS 2 2 6 3 3" xfId="51825"/>
    <cellStyle name="Date [mmm-yyyy] 2 2 6 3 3" xfId="51826"/>
    <cellStyle name="Style 45 4 3 4 4 3 3" xfId="51827"/>
    <cellStyle name="dp*SubTitle 3 3 3 4 3 3" xfId="51828"/>
    <cellStyle name="Date [mmm-yyyy] 2 3 4 3 3" xfId="51829"/>
    <cellStyle name="dp*NumberLine 2 2 6 3 3" xfId="51830"/>
    <cellStyle name="dp*NumberLineEPS 2 2 6 3 3" xfId="51831"/>
    <cellStyle name="dp*SheetSubTitle 2 2 6 3 3" xfId="51832"/>
    <cellStyle name="Heading [Helv] 2 2 6 3 3" xfId="51833"/>
    <cellStyle name="Heading [Palat] 2 2 6 3 3" xfId="51834"/>
    <cellStyle name="Magic 2 2 6 3 3" xfId="51835"/>
    <cellStyle name="Outputs 2 2 6 3 3" xfId="51836"/>
    <cellStyle name="Table Head Aligned 2 2 6 3 3" xfId="51837"/>
    <cellStyle name="Table Head Green 2 2 6 3 3" xfId="51838"/>
    <cellStyle name="Title [Helv] 2 2 6 3 3" xfId="51839"/>
    <cellStyle name="Title [Palat] 2 2 6 3 3" xfId="51840"/>
    <cellStyle name="Date [mmm-yyyy] 2 2 2 2 4 3 3" xfId="51841"/>
    <cellStyle name="COL HEADINGS 2 2 2 2 4 3 3" xfId="51842"/>
    <cellStyle name="dp*NumberLine 2 2 2 2 4 3 3" xfId="51843"/>
    <cellStyle name="Date [mm-d-yyyy] 2 5 3 3" xfId="51844"/>
    <cellStyle name="PB Table Standard Row 3 2 2 4 3 3" xfId="51845"/>
    <cellStyle name="Afjusted 2 2 2 2 4 3 3" xfId="51846"/>
    <cellStyle name="UNLOCKED 7 2 2 3" xfId="51847"/>
    <cellStyle name="ac 2 2 2 2 4 3 3" xfId="51848"/>
    <cellStyle name="UNLOCKED 8 2 2 3" xfId="51849"/>
    <cellStyle name="Afjusted 4 2 2 4 3 3" xfId="51850"/>
    <cellStyle name="Style 45 3 3 4 3 3" xfId="51851"/>
    <cellStyle name="Style 49 2 3 4 3 3" xfId="51852"/>
    <cellStyle name="Style 51 3 3 4 3 3" xfId="51853"/>
    <cellStyle name="Border Thin 3 5 4 3 3" xfId="51854"/>
    <cellStyle name="Afjusted 3 5 4 3 3" xfId="51855"/>
    <cellStyle name="EYCurrency 2 2 2 3" xfId="51856"/>
    <cellStyle name="Style 45 2 3 4 3 3" xfId="51857"/>
    <cellStyle name="EYColumnHeading 10 2 2 3" xfId="51858"/>
    <cellStyle name="Style 44 2 3 4 3 3" xfId="51859"/>
    <cellStyle name="Style 45 4 2 2 4 3 3" xfId="51860"/>
    <cellStyle name="dp*SubTitle 2 2 3 3 3" xfId="51861"/>
    <cellStyle name="Border Thin 2 2 3 3 3" xfId="51862"/>
    <cellStyle name="P-Green Rule 2 3 4 3 3" xfId="51863"/>
    <cellStyle name="Date [mm-d-yyyy] 2 2 2 4 3 3" xfId="51864"/>
    <cellStyle name="dp*ThinLineBelow 2 4 4 3 3" xfId="51865"/>
    <cellStyle name="dp*NumberLineEPS 2 4 4 3 3" xfId="51866"/>
    <cellStyle name="COL HEADINGS 2 4 4 3 3" xfId="51867"/>
    <cellStyle name="Afjusted 2 3 4 3 3" xfId="51868"/>
    <cellStyle name="Bold/Border 2 2 3 4 3 3 3" xfId="51869"/>
    <cellStyle name="Magic 2 2 3 4 3 3 3" xfId="51870"/>
    <cellStyle name="Title [Helv] 2 2 3 4 3 3 3" xfId="51871"/>
    <cellStyle name="Style 51 2 2 3 3 3" xfId="51872"/>
    <cellStyle name="Style 45 2 2 3 3 3" xfId="51873"/>
    <cellStyle name="Style 49 2 2 3 3 3" xfId="51874"/>
    <cellStyle name="Style 44 2 2 3 3 3" xfId="51875"/>
    <cellStyle name="Style 51 3 2 3 3 3" xfId="51876"/>
    <cellStyle name="Style 49 3 2 3 3 3" xfId="51877"/>
    <cellStyle name="Style 45 3 2 3 3 3" xfId="51878"/>
    <cellStyle name="Style 44 3 2 3 3 3" xfId="51879"/>
    <cellStyle name="P-Green Rule 2 2 3 3 3" xfId="51880"/>
    <cellStyle name="PB Table Standard Row 2 2 3 3 3" xfId="51881"/>
    <cellStyle name="dp*ThinLineBelow 2 2 3 3 3" xfId="51882"/>
    <cellStyle name="dp*ThinLineBelow 2 3 3 3 3" xfId="51883"/>
    <cellStyle name="Style 44 3 3 3 3 3" xfId="51884"/>
    <cellStyle name="COL HEADINGS 2 2 3 4 3 3 3" xfId="51885"/>
    <cellStyle name="Style 49 4 3 4 3 3 3" xfId="51886"/>
    <cellStyle name="Date [mm-d-yyyy] 3 2 2 4 3 3" xfId="51887"/>
    <cellStyle name="Afjusted 3 3 4 3 3 3" xfId="51888"/>
    <cellStyle name="Date [mm-d-yyyy] 3 3 4 3 3 3" xfId="51889"/>
    <cellStyle name="Afjusted 4 3 4 3 3 3" xfId="51890"/>
    <cellStyle name="ac 2 2 3 4 3 3 3" xfId="51891"/>
    <cellStyle name="Afjusted 2 2 3 4 3 3 3" xfId="51892"/>
    <cellStyle name="Date [mmm-yyyy] 2 2 3 4 3 3 3" xfId="51893"/>
    <cellStyle name="dp*NumberLine 2 2 3 4 3 3 3" xfId="51894"/>
    <cellStyle name="dp*NumberLineEPS 2 2 3 4 3 3 3" xfId="51895"/>
    <cellStyle name="dp*SheetSubTitle 2 2 3 4 3 3 3" xfId="51896"/>
    <cellStyle name="Heading [Helv] 2 2 3 4 3 3 3" xfId="51897"/>
    <cellStyle name="Outputs 2 2 3 4 3 3 3" xfId="51898"/>
    <cellStyle name="Table Head Aligned 2 2 3 4 3 3 3" xfId="51899"/>
    <cellStyle name="Title [Palat] 2 2 3 4 3 3 3" xfId="51900"/>
    <cellStyle name="UNLOCKED 12 2 2 3" xfId="51901"/>
    <cellStyle name="Afjusted 3 5 3 3 3" xfId="51902"/>
    <cellStyle name="Style 45 3 3 3 3 3" xfId="51903"/>
    <cellStyle name="Style 51 3 3 3 3 3" xfId="51904"/>
    <cellStyle name="Style 44 2 3 3 3 3" xfId="51905"/>
    <cellStyle name="Style 45 2 3 3 3 3" xfId="51906"/>
    <cellStyle name="Style 49 2 3 3 3 3" xfId="51907"/>
    <cellStyle name="Border Thin 3 5 3 3 3" xfId="51908"/>
    <cellStyle name="ac 2 2 4 3 3 3" xfId="51909"/>
    <cellStyle name="Afjusted 2 2 5 3 3 3" xfId="51910"/>
    <cellStyle name="Bold/Border 2 2 4 3 3 3" xfId="51911"/>
    <cellStyle name="COL HEADINGS 2 2 4 3 3 3" xfId="51912"/>
    <cellStyle name="Date [mmm-yyyy] 2 2 4 3 3 3" xfId="51913"/>
    <cellStyle name="dp*NumberLine 2 2 4 3 3 3" xfId="51914"/>
    <cellStyle name="dp*NumberLineEPS 2 2 4 3 3 3" xfId="51915"/>
    <cellStyle name="dp*SheetSubTitle 2 2 4 3 3 3" xfId="51916"/>
    <cellStyle name="Heading [Palat] 2 2 4 3 3 3" xfId="51917"/>
    <cellStyle name="Outputs 2 2 4 3 3 3" xfId="51918"/>
    <cellStyle name="Magic 2 2 4 3 3 3" xfId="51919"/>
    <cellStyle name="Title [Helv] 2 2 4 3 3 3" xfId="51920"/>
    <cellStyle name="Title [Palat] 2 2 4 3 3 3" xfId="51921"/>
    <cellStyle name="Title [Palat] 2 2 3 3 3 3 3" xfId="51922"/>
    <cellStyle name="Title [Helv] 2 2 3 3 3 3 3" xfId="51923"/>
    <cellStyle name="Table Head Aligned 2 2 3 3 3 3 3" xfId="51924"/>
    <cellStyle name="Magic 2 2 3 3 3 3 3" xfId="51925"/>
    <cellStyle name="Heading [Helv] 2 2 3 3 3 3 3" xfId="51926"/>
    <cellStyle name="dp*NumberLineEPS 2 2 3 3 3 3 3" xfId="51927"/>
    <cellStyle name="COL HEADINGS 2 2 3 3 3 3 3" xfId="51928"/>
    <cellStyle name="ac 2 2 3 3 3 3 3" xfId="51929"/>
    <cellStyle name="Afjusted 4 3 3 3 3 3" xfId="51930"/>
    <cellStyle name="Border Thin 3 3 3 3 3 3" xfId="51931"/>
    <cellStyle name="PB Table Standard Row 3 3 3 3 3 3" xfId="51932"/>
    <cellStyle name="Style 44 4 3 3 3 3 3" xfId="51933"/>
    <cellStyle name="Style 51 4 3 3 3 3 3" xfId="51934"/>
    <cellStyle name="Afjusted 3 3 3 3 3 3" xfId="51935"/>
    <cellStyle name="Style 49 4 5 3 3 3" xfId="51936"/>
    <cellStyle name="UNLOCKED 9 2 2 3" xfId="51937"/>
    <cellStyle name="Style 44 4 5 3 3 3" xfId="51938"/>
    <cellStyle name="P-Green Rule 3 5 3 3 3" xfId="51939"/>
    <cellStyle name="dp*SubTitle 3 5 3 3 3" xfId="51940"/>
    <cellStyle name="Afjusted 4 5 3 3 3" xfId="51941"/>
    <cellStyle name="dp*SheetSubTitle 2 8 3 3" xfId="51942"/>
    <cellStyle name="UNLOCKED 11 2 2 3" xfId="51943"/>
    <cellStyle name="ac 2 3 3 3 3" xfId="51944"/>
    <cellStyle name="Bold/Border 2 3 3 3 3" xfId="51945"/>
    <cellStyle name="COL HEADINGS 2 3 3 3 3" xfId="51946"/>
    <cellStyle name="Date [mmm-yyyy] 2 3 3 3 3" xfId="51947"/>
    <cellStyle name="dp*NumberLine 2 3 3 3 3" xfId="51948"/>
    <cellStyle name="dp*NumberLineEPS 2 3 3 3 3" xfId="51949"/>
    <cellStyle name="dp*SheetSubTitle 2 3 3 3 3" xfId="51950"/>
    <cellStyle name="Heading [Helv] 2 3 3 3 3" xfId="51951"/>
    <cellStyle name="Heading [Palat] 2 3 3 3 3" xfId="51952"/>
    <cellStyle name="Magic 2 3 3 3 3" xfId="51953"/>
    <cellStyle name="Outputs 2 3 3 3 3" xfId="51954"/>
    <cellStyle name="Date [mmm-yyyy] 2 2 3 3 3 3 3" xfId="51955"/>
    <cellStyle name="Afjusted 2 2 3 3 3 3 3" xfId="51956"/>
    <cellStyle name="dp*ThinLineBelow 3 3 3 3 3 3" xfId="51957"/>
    <cellStyle name="Style 49 4 3 3 3 3 3" xfId="51958"/>
    <cellStyle name="Outputs 2 2 3 3 3 3 3" xfId="51959"/>
    <cellStyle name="dp*NumberLine 2 2 3 3 3 3 3" xfId="51960"/>
    <cellStyle name="Bold/Border 2 2 3 3 3 3 3" xfId="51961"/>
    <cellStyle name="dp*SubTitle 3 3 3 3 3 3" xfId="51962"/>
    <cellStyle name="Style 45 4 3 3 3 3 3" xfId="51963"/>
    <cellStyle name="Table Head Aligned 2 3 3 3 3" xfId="51964"/>
    <cellStyle name="Table Head Green 2 3 3 3 3" xfId="51965"/>
    <cellStyle name="Title [Helv] 2 3 3 3 3" xfId="51966"/>
    <cellStyle name="Title [Palat] 2 3 3 3 3" xfId="51967"/>
    <cellStyle name="Style 45 4 3 4 3 3 3" xfId="51968"/>
    <cellStyle name="UNLOCKED 10 2 2 3" xfId="51969"/>
    <cellStyle name="Style 51 4 3 4 3 3 3" xfId="51970"/>
    <cellStyle name="Afjusted 3 4 3 3 3" xfId="51971"/>
    <cellStyle name="P-Green Rule 3 3 4 3 3 3" xfId="51972"/>
    <cellStyle name="Border Thin 2 3 3 3 3" xfId="51973"/>
    <cellStyle name="Style 49 3 3 3 3 3" xfId="51974"/>
    <cellStyle name="Style 51 2 3 3 3 3" xfId="51975"/>
    <cellStyle name="Heading [Helv] 2 2 4 3 3 3" xfId="51976"/>
    <cellStyle name="Table Head Aligned 2 2 4 3 3 3" xfId="51977"/>
    <cellStyle name="Table Head Green 2 2 4 3 3 3" xfId="51978"/>
    <cellStyle name="Table Head Green 2 2 3 3 3 3 3" xfId="51979"/>
    <cellStyle name="Heading [Palat] 2 2 3 3 3 3 3" xfId="51980"/>
    <cellStyle name="dp*SheetSubTitle 2 2 3 3 3 3 3" xfId="51981"/>
    <cellStyle name="P-Green Rule 3 3 3 3 3 3" xfId="51982"/>
    <cellStyle name="Date [mm-d-yyyy] 3 3 3 3 3 3" xfId="51983"/>
    <cellStyle name="Date [mm-d-yyyy] 3 4 3 3 3" xfId="51984"/>
    <cellStyle name="Style 51 4 4 3 3 3" xfId="51985"/>
    <cellStyle name="Style 49 4 4 3 3 3" xfId="51986"/>
    <cellStyle name="Style 45 4 4 3 3 3" xfId="51987"/>
    <cellStyle name="Style 44 4 4 3 3 3" xfId="51988"/>
    <cellStyle name="dp*ThinLineBelow 3 3 4 3 3 3" xfId="51989"/>
    <cellStyle name="P-Green Rule 3 4 3 3 3" xfId="51990"/>
    <cellStyle name="dp*ThinLineBelow 3 4 3 3 3" xfId="51991"/>
    <cellStyle name="dp*SubTitle 3 4 3 3 3" xfId="51992"/>
    <cellStyle name="dp*SubTitle 3 3 4 3 3 3" xfId="51993"/>
    <cellStyle name="Border Thin 3 4 3 3 3" xfId="51994"/>
    <cellStyle name="Border Thin 3 3 4 3 3 3" xfId="51995"/>
    <cellStyle name="Afjusted 4 4 3 3 3" xfId="51996"/>
    <cellStyle name="Afjusted 2 2 4 3 3 3" xfId="51997"/>
    <cellStyle name="Style 44 4 3 4 3 3 3" xfId="51998"/>
    <cellStyle name="PB Table Standard Row 3 3 4 3 3 3" xfId="51999"/>
    <cellStyle name="Title [Palat] 2 2 3 6 3 3" xfId="52000"/>
    <cellStyle name="Title [Helv] 2 2 3 6 3 3" xfId="52001"/>
    <cellStyle name="Table Head Green 2 2 3 6 3 3" xfId="52002"/>
    <cellStyle name="Table Head Aligned 2 2 3 6 3 3" xfId="52003"/>
    <cellStyle name="Outputs 2 2 3 6 3 3" xfId="52004"/>
    <cellStyle name="Magic 2 2 3 6 3 3" xfId="52005"/>
    <cellStyle name="Heading [Palat] 2 2 3 6 3 3" xfId="52006"/>
    <cellStyle name="Heading [Helv] 2 2 3 6 3 3" xfId="52007"/>
    <cellStyle name="dp*SheetSubTitle 2 2 3 6 3 3" xfId="52008"/>
    <cellStyle name="dp*NumberLineEPS 2 2 3 6 3 3" xfId="52009"/>
    <cellStyle name="dp*NumberLine 2 2 3 6 3 3" xfId="52010"/>
    <cellStyle name="Date [mmm-yyyy] 2 2 3 6 3 3" xfId="52011"/>
    <cellStyle name="COL HEADINGS 2 2 3 6 3 3" xfId="52012"/>
    <cellStyle name="Bold/Border 2 2 3 6 3 3" xfId="52013"/>
    <cellStyle name="Afjusted 2 2 3 6 3 3" xfId="52014"/>
    <cellStyle name="ac 2 2 3 6 3 3" xfId="52015"/>
    <cellStyle name="Afjusted 4 3 6 3 3" xfId="52016"/>
    <cellStyle name="Border Thin 3 3 6 3 3" xfId="52017"/>
    <cellStyle name="dp*SubTitle 3 3 6 3 3" xfId="52018"/>
    <cellStyle name="dp*ThinLineBelow 3 3 6 3 3" xfId="52019"/>
    <cellStyle name="PB Table Standard Row 3 3 6 3 3" xfId="52020"/>
    <cellStyle name="P-Green Rule 3 3 6 3 3" xfId="52021"/>
    <cellStyle name="Style 44 4 3 6 3 3" xfId="52022"/>
    <cellStyle name="Style 45 4 3 6 3 3" xfId="52023"/>
    <cellStyle name="Style 49 4 3 6 3 3" xfId="52024"/>
    <cellStyle name="Style 51 4 3 6 3 3" xfId="52025"/>
    <cellStyle name="Date [mm-d-yyyy] 3 3 6 3 3" xfId="52026"/>
    <cellStyle name="Title [Palat] 2 4 4 3 3" xfId="52027"/>
    <cellStyle name="Style 51 3 4 4 3 3" xfId="52028"/>
    <cellStyle name="Afjusted 3 3 6 3 3" xfId="52029"/>
    <cellStyle name="Border Thin 2 4 4 3 3" xfId="52030"/>
    <cellStyle name="Calculation 2 3 2 3" xfId="52031"/>
    <cellStyle name="Afjusted 4 2 4 4 3 3" xfId="52032"/>
    <cellStyle name="ac 2 2 4 4 3 3" xfId="52033"/>
    <cellStyle name="Input 2 3 2 3" xfId="52034"/>
    <cellStyle name="Note 2 3 3 3" xfId="52035"/>
    <cellStyle name="Date [mm-d-yyyy] 3 5 4 3 3" xfId="52036"/>
    <cellStyle name="Output 2 2 2 2 3" xfId="52037"/>
    <cellStyle name="Input 2 2 2 2 3" xfId="52038"/>
    <cellStyle name="Afjusted 3 3 2 4 3 3" xfId="52039"/>
    <cellStyle name="Total 2 2 2 2 3" xfId="52040"/>
    <cellStyle name="Calculation 2 2 2 2 3" xfId="52041"/>
    <cellStyle name="PB Table Standard Row 3 3 2 3 3 3" xfId="52042"/>
    <cellStyle name="P-Green Rule 3 3 2 4 3 3" xfId="52043"/>
    <cellStyle name="Date [mm-d-yyyy] 3 3 2 4 3 3" xfId="52044"/>
    <cellStyle name="ac 2 4 4 3 3" xfId="52045"/>
    <cellStyle name="Date [mm-d-yyyy] 2 2 5 3 3" xfId="52046"/>
    <cellStyle name="Afjusted 3 2 6 3 3" xfId="52047"/>
    <cellStyle name="dp*SubTitle 3 2 2 4 3 3" xfId="52048"/>
    <cellStyle name="Style 45 2 4 4 3 3" xfId="52049"/>
    <cellStyle name="P-Green Rule 2 4 4 3 3" xfId="52050"/>
    <cellStyle name="Style 51 4 5 4 3 3" xfId="52051"/>
    <cellStyle name="Date [mm-d-yyyy] 3 2 6 3 3" xfId="52052"/>
    <cellStyle name="Style 51 4 2 6 3 3" xfId="52053"/>
    <cellStyle name="Style 49 4 2 6 3 3" xfId="52054"/>
    <cellStyle name="Style 45 4 2 6 3 3" xfId="52055"/>
    <cellStyle name="Style 44 4 2 6 3 3" xfId="52056"/>
    <cellStyle name="Heading [Palat] 2 4 4 3 3" xfId="52057"/>
    <cellStyle name="P-Green Rule 3 2 6 3 3" xfId="52058"/>
    <cellStyle name="dp*ThinLineBelow 3 2 6 3 3" xfId="52059"/>
    <cellStyle name="dp*SubTitle 3 2 6 3 3" xfId="52060"/>
    <cellStyle name="dp*SubTitle 2 4 4 3 3" xfId="52061"/>
    <cellStyle name="Border Thin 3 2 6 3 3" xfId="52062"/>
    <cellStyle name="dp*NumberLine 2 4 4 3 3" xfId="52063"/>
    <cellStyle name="Afjusted 4 2 6 3 3" xfId="52064"/>
    <cellStyle name="ac 2 2 2 6 3 3" xfId="52065"/>
    <cellStyle name="Afjusted 2 2 2 6 3 3" xfId="52066"/>
    <cellStyle name="Bold/Border 2 2 2 6 3 3" xfId="52067"/>
    <cellStyle name="COL HEADINGS 2 2 2 6 3 3" xfId="52068"/>
    <cellStyle name="Date [mmm-yyyy] 2 2 2 6 3 3" xfId="52069"/>
    <cellStyle name="dp*NumberLine 2 2 2 6 3 3" xfId="52070"/>
    <cellStyle name="dp*NumberLineEPS 2 2 2 6 3 3" xfId="52071"/>
    <cellStyle name="dp*SheetSubTitle 2 2 2 6 3 3" xfId="52072"/>
    <cellStyle name="Heading [Helv] 2 2 2 6 3 3" xfId="52073"/>
    <cellStyle name="Heading [Palat] 2 2 2 6 3 3" xfId="52074"/>
    <cellStyle name="Magic 2 2 2 6 3 3" xfId="52075"/>
    <cellStyle name="Outputs 2 2 2 6 3 3" xfId="52076"/>
    <cellStyle name="Table Head Aligned 2 2 2 6 3 3" xfId="52077"/>
    <cellStyle name="Table Head Green 2 2 2 6 3 3" xfId="52078"/>
    <cellStyle name="Title [Helv] 2 2 2 6 3 3" xfId="52079"/>
    <cellStyle name="Title [Palat] 2 2 2 6 3 3" xfId="52080"/>
    <cellStyle name="Style 45 3 4 4 3 3" xfId="52081"/>
    <cellStyle name="Output 2 3 2 3" xfId="52082"/>
    <cellStyle name="Border Thin 3 2 2 4 3 3" xfId="52083"/>
    <cellStyle name="Outputs 2 4 4 3 3" xfId="52084"/>
    <cellStyle name="Total 2 3 2 3" xfId="52085"/>
    <cellStyle name="Style 51 4 3 2 4 3 3" xfId="52086"/>
    <cellStyle name="Style 45 4 3 2 4 3 3" xfId="52087"/>
    <cellStyle name="Style 49 4 3 2 4 3 3" xfId="52088"/>
    <cellStyle name="Style 44 4 3 2 4 3 3" xfId="52089"/>
    <cellStyle name="dp*ThinLineBelow 3 3 2 4 3 3" xfId="52090"/>
    <cellStyle name="Table Head Green 2 2 3 4 3 3 3" xfId="52091"/>
    <cellStyle name="Heading [Palat] 2 2 3 4 3 3 3" xfId="52092"/>
    <cellStyle name="P-Green Rule 2 3 3 3 3" xfId="52093"/>
    <cellStyle name="Title [Palat] 2 2 3 2 3 3 3" xfId="52094"/>
    <cellStyle name="Title [Helv] 2 2 3 2 3 3 3" xfId="52095"/>
    <cellStyle name="Table Head Green 2 2 3 2 3 3 3" xfId="52096"/>
    <cellStyle name="Table Head Aligned 2 2 3 2 3 3 3" xfId="52097"/>
    <cellStyle name="Outputs 2 2 3 2 3 3 3" xfId="52098"/>
    <cellStyle name="Magic 2 2 3 2 3 3 3" xfId="52099"/>
    <cellStyle name="Heading [Palat] 2 2 3 2 3 3 3" xfId="52100"/>
    <cellStyle name="Heading [Helv] 2 2 3 2 3 3 3" xfId="52101"/>
    <cellStyle name="dp*SheetSubTitle 2 2 3 2 3 3 3" xfId="52102"/>
    <cellStyle name="dp*NumberLineEPS 2 2 3 2 3 3 3" xfId="52103"/>
    <cellStyle name="dp*NumberLine 2 2 3 2 3 3 3" xfId="52104"/>
    <cellStyle name="Date [mmm-yyyy] 2 2 3 2 3 3 3" xfId="52105"/>
    <cellStyle name="COL HEADINGS 2 2 3 2 3 3 3" xfId="52106"/>
    <cellStyle name="Bold/Border 2 2 3 2 3 3 3" xfId="52107"/>
    <cellStyle name="Afjusted 2 2 3 2 3 3 3" xfId="52108"/>
    <cellStyle name="ac 2 2 3 2 3 3 3" xfId="52109"/>
    <cellStyle name="Afjusted 4 3 2 3 3 3" xfId="52110"/>
    <cellStyle name="Border Thin 3 3 2 3 3 3" xfId="52111"/>
    <cellStyle name="dp*SubTitle 3 3 2 3 3 3" xfId="52112"/>
    <cellStyle name="dp*ThinLineBelow 3 3 2 3 3 3" xfId="52113"/>
    <cellStyle name="P-Green Rule 3 3 2 3 3 3" xfId="52114"/>
    <cellStyle name="Style 44 4 3 2 3 3 3" xfId="52115"/>
    <cellStyle name="Style 45 4 3 2 3 3 3" xfId="52116"/>
    <cellStyle name="Style 49 4 3 2 3 3 3" xfId="52117"/>
    <cellStyle name="Style 51 4 3 2 3 3 3" xfId="52118"/>
    <cellStyle name="Date [mm-d-yyyy] 3 3 2 3 3 3" xfId="52119"/>
    <cellStyle name="Afjusted 3 3 2 3 3 3" xfId="52120"/>
    <cellStyle name="Date [mm-d-yyyy] 3 5 3 3 3" xfId="52121"/>
    <cellStyle name="dp*SubTitle 2 3 3 3 3" xfId="52122"/>
    <cellStyle name="Date [mm-d-yyyy] 2 2 2 3 3 3" xfId="52123"/>
    <cellStyle name="Afjusted 3 2 2 3 3 3" xfId="52124"/>
    <cellStyle name="PB Table Standard Row 3 5 3 3 3" xfId="52125"/>
    <cellStyle name="Date [mm-d-yyyy] 3 2 2 3 3 3" xfId="52126"/>
    <cellStyle name="Style 51 4 2 2 3 3 3" xfId="52127"/>
    <cellStyle name="Style 49 4 2 2 3 3 3" xfId="52128"/>
    <cellStyle name="Style 45 4 2 2 3 3 3" xfId="52129"/>
    <cellStyle name="Style 44 4 2 2 3 3 3" xfId="52130"/>
    <cellStyle name="Style 45 4 5 3 3 3" xfId="52131"/>
    <cellStyle name="P-Green Rule 3 2 2 3 3 3" xfId="52132"/>
    <cellStyle name="PB Table Standard Row 3 2 2 3 3 3" xfId="52133"/>
    <cellStyle name="dp*ThinLineBelow 3 2 2 3 3 3" xfId="52134"/>
    <cellStyle name="dp*SubTitle 3 2 2 3 3 3" xfId="52135"/>
    <cellStyle name="Style 51 4 5 3 3 3" xfId="52136"/>
    <cellStyle name="Border Thin 3 2 2 3 3 3" xfId="52137"/>
    <cellStyle name="Afjusted 4 2 2 3 3 3" xfId="52138"/>
    <cellStyle name="ac 2 2 2 2 3 3 3" xfId="52139"/>
    <cellStyle name="Afjusted 2 2 2 2 3 3 3" xfId="52140"/>
    <cellStyle name="Bold/Border 2 2 2 2 3 3 3" xfId="52141"/>
    <cellStyle name="COL HEADINGS 2 2 2 2 3 3 3" xfId="52142"/>
    <cellStyle name="Date [mmm-yyyy] 2 2 2 2 3 3 3" xfId="52143"/>
    <cellStyle name="dp*NumberLine 2 2 2 2 3 3 3" xfId="52144"/>
    <cellStyle name="dp*NumberLineEPS 2 2 2 2 3 3 3" xfId="52145"/>
    <cellStyle name="dp*SheetSubTitle 2 2 2 2 3 3 3" xfId="52146"/>
    <cellStyle name="Heading [Helv] 2 2 2 2 3 3 3" xfId="52147"/>
    <cellStyle name="Heading [Palat] 2 2 2 2 3 3 3" xfId="52148"/>
    <cellStyle name="Magic 2 2 2 2 3 3 3" xfId="52149"/>
    <cellStyle name="Outputs 2 2 2 2 3 3 3" xfId="52150"/>
    <cellStyle name="Table Head Aligned 2 2 2 2 3 3 3" xfId="52151"/>
    <cellStyle name="Table Head Green 2 2 2 2 3 3 3" xfId="52152"/>
    <cellStyle name="Title [Helv] 2 2 2 2 3 3 3" xfId="52153"/>
    <cellStyle name="Title [Palat] 2 2 2 2 3 3 3" xfId="52154"/>
    <cellStyle name="dp*ThinLineBelow 3 5 3 3 3" xfId="52155"/>
    <cellStyle name="Date [mm-d-yyyy] 2 2 3 3 3 3" xfId="52156"/>
    <cellStyle name="Afjusted 3 2 3 3 3 3" xfId="52157"/>
    <cellStyle name="Date [mm-d-yyyy] 3 2 3 3 3 3" xfId="52158"/>
    <cellStyle name="Style 51 4 2 3 3 3 3" xfId="52159"/>
    <cellStyle name="Style 49 4 2 3 3 3 3" xfId="52160"/>
    <cellStyle name="Style 45 4 2 3 3 3 3" xfId="52161"/>
    <cellStyle name="Style 44 4 2 3 3 3 3" xfId="52162"/>
    <cellStyle name="P-Green Rule 3 2 3 3 3 3" xfId="52163"/>
    <cellStyle name="PB Table Standard Row 3 2 3 3 3 3" xfId="52164"/>
    <cellStyle name="dp*ThinLineBelow 3 2 3 3 3 3" xfId="52165"/>
    <cellStyle name="dp*SubTitle 3 2 3 3 3 3" xfId="52166"/>
    <cellStyle name="Border Thin 3 2 3 3 3 3" xfId="52167"/>
    <cellStyle name="Afjusted 4 2 3 3 3 3" xfId="52168"/>
    <cellStyle name="ac 2 2 2 3 3 3 3" xfId="52169"/>
    <cellStyle name="Afjusted 2 2 2 3 3 3 3" xfId="52170"/>
    <cellStyle name="Bold/Border 2 2 2 3 3 3 3" xfId="52171"/>
    <cellStyle name="COL HEADINGS 2 2 2 3 3 3 3" xfId="52172"/>
    <cellStyle name="Date [mmm-yyyy] 2 2 2 3 3 3 3" xfId="52173"/>
    <cellStyle name="dp*NumberLine 2 2 2 3 3 3 3" xfId="52174"/>
    <cellStyle name="dp*NumberLineEPS 2 2 2 3 3 3 3" xfId="52175"/>
    <cellStyle name="dp*SheetSubTitle 2 2 2 3 3 3 3" xfId="52176"/>
    <cellStyle name="Heading [Helv] 2 2 2 3 3 3 3" xfId="52177"/>
    <cellStyle name="Heading [Palat] 2 2 2 3 3 3 3" xfId="52178"/>
    <cellStyle name="Magic 2 2 2 3 3 3 3" xfId="52179"/>
    <cellStyle name="Outputs 2 2 2 3 3 3 3" xfId="52180"/>
    <cellStyle name="Table Head Aligned 2 2 2 3 3 3 3" xfId="52181"/>
    <cellStyle name="Table Head Green 2 2 2 3 3 3 3" xfId="52182"/>
    <cellStyle name="Title [Helv] 2 2 2 3 3 3 3" xfId="52183"/>
    <cellStyle name="Title [Palat] 2 2 2 3 3 3 3" xfId="52184"/>
    <cellStyle name="Afjusted 3 2 4 3 3 3" xfId="52185"/>
    <cellStyle name="Date [mm-d-yyyy] 3 2 4 3 3 3" xfId="52186"/>
    <cellStyle name="Style 51 4 2 4 3 3 3" xfId="52187"/>
    <cellStyle name="Style 49 4 2 4 3 3 3" xfId="52188"/>
    <cellStyle name="Style 45 4 2 4 3 3 3" xfId="52189"/>
    <cellStyle name="Style 44 4 2 4 3 3 3" xfId="52190"/>
    <cellStyle name="P-Green Rule 3 2 4 3 3 3" xfId="52191"/>
    <cellStyle name="PB Table Standard Row 3 2 4 3 3 3" xfId="52192"/>
    <cellStyle name="dp*ThinLineBelow 3 2 4 3 3 3" xfId="52193"/>
    <cellStyle name="dp*SubTitle 3 2 4 3 3 3" xfId="52194"/>
    <cellStyle name="Border Thin 3 2 4 3 3 3" xfId="52195"/>
    <cellStyle name="Afjusted 4 2 4 3 3 3" xfId="52196"/>
    <cellStyle name="ac 2 2 2 4 3 3 3" xfId="52197"/>
    <cellStyle name="Afjusted 2 2 2 4 3 3 3" xfId="52198"/>
    <cellStyle name="Bold/Border 2 2 2 4 3 3 3" xfId="52199"/>
    <cellStyle name="COL HEADINGS 2 2 2 4 3 3 3" xfId="52200"/>
    <cellStyle name="Date [mmm-yyyy] 2 2 2 4 3 3 3" xfId="52201"/>
    <cellStyle name="dp*NumberLine 2 2 2 4 3 3 3" xfId="52202"/>
    <cellStyle name="dp*NumberLineEPS 2 2 2 4 3 3 3" xfId="52203"/>
    <cellStyle name="dp*SheetSubTitle 2 2 2 4 3 3 3" xfId="52204"/>
    <cellStyle name="Heading [Helv] 2 2 2 4 3 3 3" xfId="52205"/>
    <cellStyle name="Heading [Palat] 2 2 2 4 3 3 3" xfId="52206"/>
    <cellStyle name="Magic 2 2 2 4 3 3 3" xfId="52207"/>
    <cellStyle name="Outputs 2 2 2 4 3 3 3" xfId="52208"/>
    <cellStyle name="Table Head Aligned 2 2 2 4 3 3 3" xfId="52209"/>
    <cellStyle name="Table Head Green 2 2 2 4 3 3 3" xfId="52210"/>
    <cellStyle name="Title [Helv] 2 2 2 4 3 3 3" xfId="52211"/>
    <cellStyle name="Title [Palat] 2 2 2 4 3 3 3" xfId="52212"/>
    <cellStyle name="Bold/Border 2 2 3 2 4 3 3" xfId="52213"/>
    <cellStyle name="Border Thin 4 3 3 3" xfId="52214"/>
    <cellStyle name="Date [mm-d-yyyy] 4 3 3 3" xfId="52215"/>
    <cellStyle name="dp*SubTitle 4 3 3 3" xfId="52216"/>
    <cellStyle name="dp*ThinLineBelow 4 3 3 3" xfId="52217"/>
    <cellStyle name="PB Table Standard Row 4 3 3 3" xfId="52218"/>
    <cellStyle name="P-Green Rule 4 3 3 3" xfId="52219"/>
    <cellStyle name="Style 44 5 3 3 3" xfId="52220"/>
    <cellStyle name="Style 45 5 3 3 3" xfId="52221"/>
    <cellStyle name="Style 49 5 3 3 3" xfId="52222"/>
    <cellStyle name="Style 51 5 3 3 3" xfId="52223"/>
    <cellStyle name="UNLOCKED 13 2 2 3" xfId="52224"/>
    <cellStyle name="COL HEADINGS 2 2 3 2 4 3 3" xfId="52225"/>
    <cellStyle name="UNLOCKED 14 2 2 3" xfId="52226"/>
    <cellStyle name="ac 2 2 3 2 4 3 3" xfId="52227"/>
    <cellStyle name="Date [mmm-yyyy] 2 2 3 2 4 3 3" xfId="52228"/>
    <cellStyle name="FieldName 3 2 2 3" xfId="52229"/>
    <cellStyle name="WingdingsWhite 3 2 2 3" xfId="52230"/>
    <cellStyle name="WingdingsRed 3 2 2 3" xfId="52231"/>
    <cellStyle name="WingdingsBlack 3 2 2 3" xfId="52232"/>
    <cellStyle name="UNLOCKED 16 2 2 3" xfId="52233"/>
    <cellStyle name="Title [Palat] 3 3 3 3" xfId="52234"/>
    <cellStyle name="Title [Helv] 3 3 3 3" xfId="52235"/>
    <cellStyle name="Table Head Green 3 3 3 3" xfId="52236"/>
    <cellStyle name="Table Head Aligned 3 3 3 3" xfId="52237"/>
    <cellStyle name="SymbolBlue 3 2 2 3" xfId="52238"/>
    <cellStyle name="Style 53 3 2 2 3" xfId="52239"/>
    <cellStyle name="Style 52 3 2 2 3" xfId="52240"/>
    <cellStyle name="Style 50 3 2 2 3" xfId="52241"/>
    <cellStyle name="Style 48 3 2 2 3" xfId="52242"/>
    <cellStyle name="Style 43 3 2 2 3" xfId="52243"/>
    <cellStyle name="Style 42 3 2 2 3" xfId="52244"/>
    <cellStyle name="Style 40 3 2 2 3" xfId="52245"/>
    <cellStyle name="Style 37 3 2 2 3" xfId="52246"/>
    <cellStyle name="Style 36 3 2 2 3" xfId="52247"/>
    <cellStyle name="Style 35 3 2 2 3" xfId="52248"/>
    <cellStyle name="Style 28 3 2 2 3" xfId="52249"/>
    <cellStyle name="Style 25 3 2 2 3" xfId="52250"/>
    <cellStyle name="Style 27 3 2 2 3" xfId="52251"/>
    <cellStyle name="Style 26 3 2 2 3" xfId="52252"/>
    <cellStyle name="Style 24 3 2 2 3" xfId="52253"/>
    <cellStyle name="Style 22 3 2 2 3" xfId="52254"/>
    <cellStyle name="Style 21 3 2 2 3" xfId="52255"/>
    <cellStyle name="Outputs 3 3 3 3" xfId="52256"/>
    <cellStyle name="Millions 8 2 2 3" xfId="52257"/>
    <cellStyle name="Magic 3 3 3 3" xfId="52258"/>
    <cellStyle name="ItemTypeClass 3 2 2 3" xfId="52259"/>
    <cellStyle name="Heading [Palat] 3 3 3 3" xfId="52260"/>
    <cellStyle name="Heading [Helv] 3 3 3 3" xfId="52261"/>
    <cellStyle name="Format text as bold, black on yellow 3 2 2 3" xfId="52262"/>
    <cellStyle name="Format a row of totals 3 2 2 3" xfId="52263"/>
    <cellStyle name="Draw shadow and lines within range 3 2 2 3" xfId="52264"/>
    <cellStyle name="Draw lines around data in range 3 2 2 3" xfId="52265"/>
    <cellStyle name="dp*ThinLineAbove 3 2 2 3" xfId="52266"/>
    <cellStyle name="dp*SheetSubTitle 3 3 3 3" xfId="52267"/>
    <cellStyle name="dp*NumberLineEPS 3 3 3 3" xfId="52268"/>
    <cellStyle name="dp*NumberLine 3 3 3 3" xfId="52269"/>
    <cellStyle name="dp*Number%ItalicsLineAbove 3 2 2 3" xfId="52270"/>
    <cellStyle name="DateYearWholeEstimate 3 2 2 3" xfId="52271"/>
    <cellStyle name="DateYearEstimate 3 2 2 3" xfId="52272"/>
    <cellStyle name="COL HEADINGS 3 3 3 3" xfId="52273"/>
    <cellStyle name="Border 3 2 2 3" xfId="52274"/>
    <cellStyle name="Bold/Border 3 3 3 3" xfId="52275"/>
    <cellStyle name="ArialNormal 3 2 2 3" xfId="52276"/>
    <cellStyle name="Arial8Italic 3 2 2 3" xfId="52277"/>
    <cellStyle name="Arial8Bold 3 2 2 3" xfId="52278"/>
    <cellStyle name="Arial6Bold 3 2 2 3" xfId="52279"/>
    <cellStyle name="Afjusted 5 3 3 3" xfId="52280"/>
    <cellStyle name="ac 3 3 3 3" xfId="52281"/>
    <cellStyle name="UNLOCKED 15 2 2 3" xfId="52282"/>
    <cellStyle name="dp*NumberLine 2 2 3 2 4 3 3" xfId="52283"/>
    <cellStyle name="Date [mmm-yyyy] 3 3 3 3" xfId="52284"/>
    <cellStyle name="dp*NumberLineEPS 2 2 3 2 4 3 3" xfId="52285"/>
    <cellStyle name="UNLOCKED 17 2 2 3" xfId="52286"/>
    <cellStyle name="Heading [Palat] 2 9 3 3" xfId="52287"/>
    <cellStyle name="dp*SheetSubTitle 2 2 3 2 4 3 3" xfId="52288"/>
    <cellStyle name="UNLOCKED 18 2 2 3" xfId="52289"/>
    <cellStyle name="Table Head Aligned 2 2 7 3 3" xfId="52290"/>
    <cellStyle name="UNLOCKED 19 2 2 3" xfId="52291"/>
    <cellStyle name="ac 2 4 3 3 3" xfId="52292"/>
    <cellStyle name="Afjusted 2 3 3 3 3" xfId="52293"/>
    <cellStyle name="Bold/Border 2 4 3 3 3" xfId="52294"/>
    <cellStyle name="Border Thin 2 4 3 3 3" xfId="52295"/>
    <cellStyle name="COL HEADINGS 2 4 3 3 3" xfId="52296"/>
    <cellStyle name="Date [mmm-yyyy] 2 4 3 3 3" xfId="52297"/>
    <cellStyle name="dp*NumberLine 2 4 3 3 3" xfId="52298"/>
    <cellStyle name="dp*NumberLineEPS 2 4 3 3 3" xfId="52299"/>
    <cellStyle name="dp*SheetSubTitle 2 4 3 3 3" xfId="52300"/>
    <cellStyle name="dp*SubTitle 2 4 3 3 3" xfId="52301"/>
    <cellStyle name="dp*ThinLineBelow 2 4 3 3 3" xfId="52302"/>
    <cellStyle name="Heading [Helv] 2 4 3 3 3" xfId="52303"/>
    <cellStyle name="Heading [Palat] 2 4 3 3 3" xfId="52304"/>
    <cellStyle name="Magic 2 4 3 3 3" xfId="52305"/>
    <cellStyle name="Outputs 2 4 3 3 3" xfId="52306"/>
    <cellStyle name="PB Table Standard Row 2 4 3 3 3" xfId="52307"/>
    <cellStyle name="P-Green Rule 2 4 3 3 3" xfId="52308"/>
    <cellStyle name="Style 44 3 4 3 3 3" xfId="52309"/>
    <cellStyle name="Style 45 3 4 3 3 3" xfId="52310"/>
    <cellStyle name="Style 49 3 4 3 3 3" xfId="52311"/>
    <cellStyle name="Style 51 3 4 3 3 3" xfId="52312"/>
    <cellStyle name="Style 44 2 4 3 3 3" xfId="52313"/>
    <cellStyle name="Style 45 2 4 3 3 3" xfId="52314"/>
    <cellStyle name="Style 49 2 4 3 3 3" xfId="52315"/>
    <cellStyle name="Style 51 2 4 3 3 3" xfId="52316"/>
    <cellStyle name="Table Head Aligned 2 4 3 3 3" xfId="52317"/>
    <cellStyle name="Table Head Green 2 4 3 3 3" xfId="52318"/>
    <cellStyle name="Title [Helv] 2 4 3 3 3" xfId="52319"/>
    <cellStyle name="Title [Palat] 2 4 3 3 3" xfId="52320"/>
    <cellStyle name="Heading [Helv] 2 2 3 2 4 3 3" xfId="52321"/>
    <cellStyle name="UNLOCKED 20 2 2 3" xfId="52322"/>
    <cellStyle name="Heading [Palat] 2 2 3 2 4 3 3" xfId="52323"/>
    <cellStyle name="Table Head Green 2 4 4 3 3" xfId="52324"/>
    <cellStyle name="ac 4 3 3 3" xfId="52325"/>
    <cellStyle name="dp*SheetSubTitle 3 4 3 3" xfId="52326"/>
    <cellStyle name="dp*NumberLine 3 4 3 3" xfId="52327"/>
    <cellStyle name="Arial6Bold 4 2 2 3" xfId="52328"/>
    <cellStyle name="Arial8Bold 4 2 2 3" xfId="52329"/>
    <cellStyle name="Arial8Italic 4 2 2 3" xfId="52330"/>
    <cellStyle name="ArialNormal 4 2 2 3" xfId="52331"/>
    <cellStyle name="Outputs 3 4 3 3" xfId="52332"/>
    <cellStyle name="Title [Helv] 3 4 3 3" xfId="52333"/>
    <cellStyle name="Bold/Border 4 3 3 3" xfId="52334"/>
    <cellStyle name="Border Thin 5 3 3 3" xfId="52335"/>
    <cellStyle name="P-Green Rule 4 4 3 3" xfId="52336"/>
    <cellStyle name="dp*SubTitle 4 4 3 3" xfId="52337"/>
    <cellStyle name="Table Head Green 2 2 2 4 4 3 3" xfId="52338"/>
    <cellStyle name="Heading [Palat] 2 2 2 4 4 3 3" xfId="52339"/>
    <cellStyle name="Date [mmm-yyyy] 2 2 2 4 4 3 3" xfId="52340"/>
    <cellStyle name="P-Green Rule 3 2 4 4 3 3" xfId="52341"/>
    <cellStyle name="dp*ThinLineBelow 3 2 4 4 3 3" xfId="52342"/>
    <cellStyle name="COL HEADINGS 4 3 3 3" xfId="52343"/>
    <cellStyle name="Date [mm-d-yyyy] 3 2 4 4 3 3" xfId="52344"/>
    <cellStyle name="Magic 2 2 2 3 4 3 3" xfId="52345"/>
    <cellStyle name="dp*SheetSubTitle 2 2 2 3 4 3 3" xfId="52346"/>
    <cellStyle name="Date [mmm-yyyy] 2 2 2 3 4 3 3" xfId="52347"/>
    <cellStyle name="Afjusted 2 2 2 3 4 3 3" xfId="52348"/>
    <cellStyle name="Border Thin 3 2 3 4 3 3" xfId="52349"/>
    <cellStyle name="PB Table Standard Row 3 2 3 4 3 3" xfId="52350"/>
    <cellStyle name="Style 45 4 2 3 4 3 3" xfId="52351"/>
    <cellStyle name="Date [mm-d-yyyy] 3 2 3 4 3 3" xfId="52352"/>
    <cellStyle name="Title [Palat] 2 2 2 2 4 3 3" xfId="52353"/>
    <cellStyle name="Bold/Border 2 2 2 7 3 3" xfId="52354"/>
    <cellStyle name="Style 45 4 3 7 3 3" xfId="52355"/>
    <cellStyle name="PB Table Standard Row 3 3 7 3 3" xfId="52356"/>
    <cellStyle name="Date [mm-d-yyyy] 5 3 3 3" xfId="52357"/>
    <cellStyle name="Bold/Border 2 2 3 7 3 3" xfId="52358"/>
    <cellStyle name="Title [Helv] 2 2 3 7 3 3" xfId="52359"/>
    <cellStyle name="DateYearEstimate 4 2 2 3" xfId="52360"/>
    <cellStyle name="DateYearWholeEstimate 4 2 2 3" xfId="52361"/>
    <cellStyle name="Style 45 4 4 4 3 3" xfId="52362"/>
    <cellStyle name="dp*ThinLineBelow 3 3 3 4 3 3" xfId="52363"/>
    <cellStyle name="Draw lines around data in range 4 2 2 3" xfId="52364"/>
    <cellStyle name="Draw shadow and lines within range 4 2 2 3" xfId="52365"/>
    <cellStyle name="PB Table Standard Row 3 3 3 4 3 3" xfId="52366"/>
    <cellStyle name="ac 2 2 3 3 4 3 3" xfId="52367"/>
    <cellStyle name="Heading [Helv] 2 2 3 3 4 3 3" xfId="52368"/>
    <cellStyle name="Title [Palat] 2 2 4 4 3 3" xfId="52369"/>
    <cellStyle name="Outputs 2 2 4 4 3 3" xfId="52370"/>
    <cellStyle name="Title [Palat] 2 2 3 4 4 3 3" xfId="52371"/>
    <cellStyle name="dp*SheetSubTitle 2 2 3 4 4 3 3" xfId="52372"/>
    <cellStyle name="ac 2 2 3 4 4 3 3" xfId="52373"/>
    <cellStyle name="Afjusted 3 3 4 4 3 3" xfId="52374"/>
    <cellStyle name="COL HEADINGS 2 2 3 4 4 3 3" xfId="52375"/>
    <cellStyle name="P-Green Rule 2 2 4 3 3" xfId="52376"/>
    <cellStyle name="Style 49 3 2 4 3 3" xfId="52377"/>
    <cellStyle name="Style 49 2 2 4 3 3" xfId="52378"/>
    <cellStyle name="Title [Helv] 2 2 3 4 4 3 3" xfId="52379"/>
    <cellStyle name="Bold/Border 2 2 3 4 4 3 3" xfId="52380"/>
    <cellStyle name="Format a row of totals 4 2 2 3" xfId="52381"/>
    <cellStyle name="Format text as bold, black on yellow 4 2 2 3" xfId="52382"/>
    <cellStyle name="Heading [Helv] 4 3 3 3" xfId="52383"/>
    <cellStyle name="Heading [Palat] 4 3 3 3" xfId="52384"/>
    <cellStyle name="Title [Helv] 2 2 7 3 3" xfId="52385"/>
    <cellStyle name="Heading [Palat] 2 2 7 3 3" xfId="52386"/>
    <cellStyle name="COL HEADINGS 2 2 7 3 3" xfId="52387"/>
    <cellStyle name="ac 2 2 7 3 3" xfId="52388"/>
    <cellStyle name="ItemTypeClass 4 2 2 3" xfId="52389"/>
    <cellStyle name="Main 3 2 2 3" xfId="52390"/>
    <cellStyle name="Outputs 4 3 3 3" xfId="52391"/>
    <cellStyle name="PB Table Standard Row 5 3 3 3" xfId="52392"/>
    <cellStyle name="P-Green Rule 5 3 3 3" xfId="52393"/>
    <cellStyle name="SAPBEXaggItemX 3 2 2 3" xfId="52394"/>
    <cellStyle name="SAPBEXHLevel0 3 2 2 3" xfId="52395"/>
    <cellStyle name="SAPBEXHLevel0X 3 2 2 3" xfId="52396"/>
    <cellStyle name="SAPBEXHLevel1 3 2 2 3" xfId="52397"/>
    <cellStyle name="SAPBEXHLevel1X 3 2 2 3" xfId="52398"/>
    <cellStyle name="SAPBEXHLevel2 3 2 2 3" xfId="52399"/>
    <cellStyle name="SAPBEXHLevel2X 3 2 2 3" xfId="52400"/>
    <cellStyle name="SAPBEXHLevel3 3 2 2 3" xfId="52401"/>
    <cellStyle name="SAPBEXHLevel3X 3 2 2 3" xfId="52402"/>
    <cellStyle name="SAPBEXresItemX 3 2 2 3" xfId="52403"/>
    <cellStyle name="SAPBEXstdItemX 3 2 2 3" xfId="52404"/>
    <cellStyle name="Style 21 4 2 2 3" xfId="52405"/>
    <cellStyle name="Style 22 4 2 2 3" xfId="52406"/>
    <cellStyle name="Style 35 4 2 2 3" xfId="52407"/>
    <cellStyle name="Style 36 4 2 2 3" xfId="52408"/>
    <cellStyle name="Style 37 4 2 2 3" xfId="52409"/>
    <cellStyle name="Style 40 4 2 2 3" xfId="52410"/>
    <cellStyle name="Style 42 4 2 2 3" xfId="52411"/>
    <cellStyle name="Style 43 4 2 2 3" xfId="52412"/>
    <cellStyle name="Style 44 6 3 3 3" xfId="52413"/>
    <cellStyle name="Style 45 6 3 3 3" xfId="52414"/>
    <cellStyle name="Style 48 4 2 2 3" xfId="52415"/>
    <cellStyle name="Style 49 6 3 3 3" xfId="52416"/>
    <cellStyle name="Style 50 4 2 2 3" xfId="52417"/>
    <cellStyle name="Style 51 6 3 3 3" xfId="52418"/>
    <cellStyle name="Style 52 4 2 2 3" xfId="52419"/>
    <cellStyle name="Style 53 4 2 2 3" xfId="52420"/>
    <cellStyle name="SymbolBlue 4 2 2 3" xfId="52421"/>
    <cellStyle name="Table Head Green 4 3 3 3" xfId="52422"/>
    <cellStyle name="UNLOCKED 21 2 2 3" xfId="52423"/>
    <cellStyle name="WingdingsBlack 4 2 2 3" xfId="52424"/>
    <cellStyle name="WingdingsRed 4 2 2 3" xfId="52425"/>
    <cellStyle name="WingdingsWhite 4 2 2 3" xfId="52426"/>
    <cellStyle name="Heading [Helv] 2 9 3 3" xfId="52427"/>
    <cellStyle name="Afjusted 6 3 3 3" xfId="52428"/>
    <cellStyle name="UNLOCKED 22 2 2 3" xfId="52429"/>
    <cellStyle name="ac 2 5 3 3 3" xfId="52430"/>
    <cellStyle name="Afjusted 2 4 3 3 3" xfId="52431"/>
    <cellStyle name="Bold/Border 2 5 3 3 3" xfId="52432"/>
    <cellStyle name="Border Thin 2 5 3 3 3" xfId="52433"/>
    <cellStyle name="COL HEADINGS 2 5 3 3 3" xfId="52434"/>
    <cellStyle name="Date [mmm-yyyy] 2 5 3 3 3" xfId="52435"/>
    <cellStyle name="dp*NumberLine 2 5 3 3 3" xfId="52436"/>
    <cellStyle name="dp*NumberLineEPS 2 5 3 3 3" xfId="52437"/>
    <cellStyle name="dp*SheetSubTitle 2 5 3 3 3" xfId="52438"/>
    <cellStyle name="dp*SubTitle 2 5 3 3 3" xfId="52439"/>
    <cellStyle name="dp*ThinLineBelow 2 5 3 3 3" xfId="52440"/>
    <cellStyle name="Heading [Helv] 2 5 3 3 3" xfId="52441"/>
    <cellStyle name="Heading [Palat] 2 5 3 3 3" xfId="52442"/>
    <cellStyle name="Magic 2 5 3 3 3" xfId="52443"/>
    <cellStyle name="Outputs 2 5 3 3 3" xfId="52444"/>
    <cellStyle name="PB Table Standard Row 2 5 3 3 3" xfId="52445"/>
    <cellStyle name="P-Green Rule 2 5 3 3 3" xfId="52446"/>
    <cellStyle name="Style 44 3 5 3 3 3" xfId="52447"/>
    <cellStyle name="Style 45 3 5 3 3 3" xfId="52448"/>
    <cellStyle name="Style 49 3 5 3 3 3" xfId="52449"/>
    <cellStyle name="Style 51 3 5 3 3 3" xfId="52450"/>
    <cellStyle name="Style 44 2 5 3 3 3" xfId="52451"/>
    <cellStyle name="Style 45 2 5 3 3 3" xfId="52452"/>
    <cellStyle name="Style 49 2 5 3 3 3" xfId="52453"/>
    <cellStyle name="Style 51 2 5 3 3 3" xfId="52454"/>
    <cellStyle name="Table Head Aligned 2 5 3 3 3" xfId="52455"/>
    <cellStyle name="Table Head Green 2 5 3 3 3" xfId="52456"/>
    <cellStyle name="Title [Helv] 2 5 3 3 3" xfId="52457"/>
    <cellStyle name="Title [Palat] 2 5 3 3 3" xfId="52458"/>
    <cellStyle name="Magic 2 2 3 2 4 3 3" xfId="52459"/>
    <cellStyle name="Table Head Green 2 3 4 3 3" xfId="52460"/>
    <cellStyle name="Outputs 2 2 3 2 4 3 3" xfId="52461"/>
    <cellStyle name="UNLOCKED 23 2 2 3" xfId="52462"/>
    <cellStyle name="Heading [Palat] 2 2 3 4 4 3 3" xfId="52463"/>
    <cellStyle name="UNLOCKED 24 2 2 3" xfId="52464"/>
    <cellStyle name="P-Green Rule 5 4 3 3" xfId="52465"/>
    <cellStyle name="Date [mm-d-yyyy] 5 4 3 3" xfId="52466"/>
    <cellStyle name="ac 4 4 3 3" xfId="52467"/>
    <cellStyle name="Table Head Aligned 2 4 4 3 3" xfId="52468"/>
    <cellStyle name="ac 5 3 3 3" xfId="52469"/>
    <cellStyle name="Bold/Border 3 4 3 3" xfId="52470"/>
    <cellStyle name="dp*NumberLineEPS 3 4 3 3" xfId="52471"/>
    <cellStyle name="Arial6Bold 5 2 2 3" xfId="52472"/>
    <cellStyle name="Arial8Bold 5 2 2 3" xfId="52473"/>
    <cellStyle name="Arial8Italic 5 2 2 3" xfId="52474"/>
    <cellStyle name="ArialNormal 5 2 2 3" xfId="52475"/>
    <cellStyle name="Heading [Helv] 3 4 3 3" xfId="52476"/>
    <cellStyle name="Title [Palat] 3 4 3 3" xfId="52477"/>
    <cellStyle name="Bold/Border 5 3 3 3" xfId="52478"/>
    <cellStyle name="Border Thin 6 3 3 3" xfId="52479"/>
    <cellStyle name="PB Table Standard Row 4 4 3 3" xfId="52480"/>
    <cellStyle name="Date [mm-d-yyyy] 4 4 3 3" xfId="52481"/>
    <cellStyle name="Title [Palat] 2 2 2 4 4 3 3" xfId="52482"/>
    <cellStyle name="Table Head Aligned 2 2 2 4 4 3 3" xfId="52483"/>
    <cellStyle name="Heading [Helv] 2 2 2 4 4 3 3" xfId="52484"/>
    <cellStyle name="COL HEADINGS 2 2 2 4 4 3 3" xfId="52485"/>
    <cellStyle name="Style 44 4 2 4 4 3 3" xfId="52486"/>
    <cellStyle name="PB Table Standard Row 3 2 4 4 3 3" xfId="52487"/>
    <cellStyle name="COL HEADINGS 5 3 3 3" xfId="52488"/>
    <cellStyle name="Afjusted 3 2 4 4 3 3" xfId="52489"/>
    <cellStyle name="Heading [Palat] 2 2 2 3 4 3 3" xfId="52490"/>
    <cellStyle name="dp*NumberLineEPS 2 2 2 3 4 3 3" xfId="52491"/>
    <cellStyle name="COL HEADINGS 2 2 2 3 4 3 3" xfId="52492"/>
    <cellStyle name="ac 2 2 2 3 4 3 3" xfId="52493"/>
    <cellStyle name="dp*SubTitle 3 2 3 4 3 3" xfId="52494"/>
    <cellStyle name="P-Green Rule 3 2 3 4 3 3" xfId="52495"/>
    <cellStyle name="Style 49 4 2 3 4 3 3" xfId="52496"/>
    <cellStyle name="Afjusted 3 2 3 4 3 3" xfId="52497"/>
    <cellStyle name="Title [Helv] 2 2 2 2 4 3 3" xfId="52498"/>
    <cellStyle name="Afjusted 2 2 2 7 3 3" xfId="52499"/>
    <cellStyle name="Date [mm-d-yyyy] 3 3 7 3 3" xfId="52500"/>
    <cellStyle name="Style 51 4 3 7 3 3" xfId="52501"/>
    <cellStyle name="Style 44 4 3 7 3 3" xfId="52502"/>
    <cellStyle name="dp*ThinLineBelow 3 3 7 3 3" xfId="52503"/>
    <cellStyle name="Afjusted 4 3 7 3 3" xfId="52504"/>
    <cellStyle name="Date [mm-d-yyyy] 6 2 3 3" xfId="52505"/>
    <cellStyle name="COL HEADINGS 2 2 3 7 3 3" xfId="52506"/>
    <cellStyle name="Title [Palat] 2 2 3 7 3 3" xfId="52507"/>
    <cellStyle name="DateYearEstimate 5 2 2 3" xfId="52508"/>
    <cellStyle name="DateYearWholeEstimate 5 2 2 3" xfId="52509"/>
    <cellStyle name="Afjusted 2 2 4 4 3 3" xfId="52510"/>
    <cellStyle name="Border Thin 3 3 4 4 3 3" xfId="52511"/>
    <cellStyle name="Style 49 4 4 4 3 3" xfId="52512"/>
    <cellStyle name="Afjusted 2 2 3 3 4 3 3" xfId="52513"/>
    <cellStyle name="Draw lines around data in range 5 2 2 3" xfId="52514"/>
    <cellStyle name="Draw shadow and lines within range 5 2 2 3" xfId="52515"/>
    <cellStyle name="Border Thin 3 3 3 4 3 3" xfId="52516"/>
    <cellStyle name="COL HEADINGS 2 2 3 3 4 3 3" xfId="52517"/>
    <cellStyle name="Magic 2 2 3 3 4 3 3" xfId="52518"/>
    <cellStyle name="Title [Helv] 2 2 4 4 3 3" xfId="52519"/>
    <cellStyle name="Heading [Palat] 2 2 4 4 3 3" xfId="52520"/>
    <cellStyle name="Table Head Aligned 2 2 3 4 4 3 3" xfId="52521"/>
    <cellStyle name="dp*NumberLineEPS 2 2 3 4 4 3 3" xfId="52522"/>
    <cellStyle name="Afjusted 4 3 4 4 3 3" xfId="52523"/>
    <cellStyle name="Style 44 3 3 4 3 3" xfId="52524"/>
    <cellStyle name="dp*ThinLineBelow 2 2 4 3 3" xfId="52525"/>
    <cellStyle name="Style 44 3 2 4 3 3" xfId="52526"/>
    <cellStyle name="Style 51 3 2 4 3 3" xfId="52527"/>
    <cellStyle name="Style 45 2 2 4 3 3" xfId="52528"/>
    <cellStyle name="Magic 2 2 3 4 4 3 3" xfId="52529"/>
    <cellStyle name="Format a row of totals 5 2 2 3" xfId="52530"/>
    <cellStyle name="Format text as bold, black on yellow 5 2 2 3" xfId="52531"/>
    <cellStyle name="Heading [Helv] 5 3 3 3" xfId="52532"/>
    <cellStyle name="Heading [Palat] 5 3 3 3" xfId="52533"/>
    <cellStyle name="Table Head Green 2 2 7 3 3" xfId="52534"/>
    <cellStyle name="Heading [Helv] 2 2 7 3 3" xfId="52535"/>
    <cellStyle name="Bold/Border 2 2 7 3 3" xfId="52536"/>
    <cellStyle name="ItemTypeClass 5 2 2 3" xfId="52537"/>
    <cellStyle name="Main 4 2 2 3" xfId="52538"/>
    <cellStyle name="Style 49 2 8 3 3" xfId="52539"/>
    <cellStyle name="Outputs 5 3 3 3" xfId="52540"/>
    <cellStyle name="PB Table Standard Row 6 3 3 3" xfId="52541"/>
    <cellStyle name="P-Green Rule 6 3 3 3" xfId="52542"/>
    <cellStyle name="SAPBEXaggItemX 4 2 2 3" xfId="52543"/>
    <cellStyle name="SAPBEXHLevel0 4 2 2 3" xfId="52544"/>
    <cellStyle name="SAPBEXHLevel0X 4 2 2 3" xfId="52545"/>
    <cellStyle name="SAPBEXHLevel1 4 2 2 3" xfId="52546"/>
    <cellStyle name="SAPBEXHLevel1X 4 2 2 3" xfId="52547"/>
    <cellStyle name="SAPBEXHLevel2 4 2 2 3" xfId="52548"/>
    <cellStyle name="SAPBEXHLevel2X 4 2 2 3" xfId="52549"/>
    <cellStyle name="SAPBEXHLevel3 4 2 2 3" xfId="52550"/>
    <cellStyle name="SAPBEXHLevel3X 4 2 2 3" xfId="52551"/>
    <cellStyle name="SAPBEXresItemX 4 2 2 3" xfId="52552"/>
    <cellStyle name="SAPBEXstdItemX 4 2 2 3" xfId="52553"/>
    <cellStyle name="Style 21 5 2 2 3" xfId="52554"/>
    <cellStyle name="Style 22 5 2 2 3" xfId="52555"/>
    <cellStyle name="Style 35 5 2 2 3" xfId="52556"/>
    <cellStyle name="Style 36 5 2 2 3" xfId="52557"/>
    <cellStyle name="Style 37 5 2 2 3" xfId="52558"/>
    <cellStyle name="Style 40 5 2 2 3" xfId="52559"/>
    <cellStyle name="Style 42 5 2 2 3" xfId="52560"/>
    <cellStyle name="Style 43 5 2 2 3" xfId="52561"/>
    <cellStyle name="Style 44 7 3 3 3" xfId="52562"/>
    <cellStyle name="Style 45 7 3 3 3" xfId="52563"/>
    <cellStyle name="Style 48 5 2 2 3" xfId="52564"/>
    <cellStyle name="Style 49 7 3 3 3" xfId="52565"/>
    <cellStyle name="Style 50 5 2 2 3" xfId="52566"/>
    <cellStyle name="Style 51 7 3 3 3" xfId="52567"/>
    <cellStyle name="Style 52 5 2 2 3" xfId="52568"/>
    <cellStyle name="Style 53 5 2 2 3" xfId="52569"/>
    <cellStyle name="SymbolBlue 5 2 2 3" xfId="52570"/>
    <cellStyle name="Table Head Green 5 3 3 3" xfId="52571"/>
    <cellStyle name="Title [Palat] 4 3 3 3" xfId="52572"/>
    <cellStyle name="UNLOCKED 25 2 2 3" xfId="52573"/>
    <cellStyle name="WingdingsBlack 5 2 2 3" xfId="52574"/>
    <cellStyle name="WingdingsRed 5 2 2 3" xfId="52575"/>
    <cellStyle name="WingdingsWhite 5 2 2 3" xfId="52576"/>
    <cellStyle name="ac 2 6 3 3 3" xfId="52577"/>
    <cellStyle name="Bold/Border 2 6 3 3 3" xfId="52578"/>
    <cellStyle name="Border Thin 2 6 3 3 3" xfId="52579"/>
    <cellStyle name="COL HEADINGS 2 6 3 3 3" xfId="52580"/>
    <cellStyle name="Date [mm-d-yyyy] 2 3 2 3 3" xfId="52581"/>
    <cellStyle name="Bold/Border 2 2 3 3 4 3 3" xfId="52582"/>
    <cellStyle name="Header2 2 2 2 2 3" xfId="52583"/>
    <cellStyle name="Heading [Helv] 2 6 3 3 3" xfId="52584"/>
    <cellStyle name="Heading [Palat] 2 6 3 3 3" xfId="52585"/>
    <cellStyle name="Outputs 2 2 3 3 4 3 3" xfId="52586"/>
    <cellStyle name="Outputs 2 6 3 3 3" xfId="52587"/>
    <cellStyle name="PB Table Standard Row 2 6 3 3 3" xfId="52588"/>
    <cellStyle name="P-Green Rule 2 6 3 3 3" xfId="52589"/>
    <cellStyle name="Style 44 3 6 3 3 3" xfId="52590"/>
    <cellStyle name="Style 45 3 6 3 3 3" xfId="52591"/>
    <cellStyle name="Style 49 3 6 3 3 3" xfId="52592"/>
    <cellStyle name="Style 51 3 6 3 3 3" xfId="52593"/>
    <cellStyle name="Style 44 2 6 3 3 3" xfId="52594"/>
    <cellStyle name="Style 45 2 6 3 3 3" xfId="52595"/>
    <cellStyle name="Style 49 2 6 3 3 3" xfId="52596"/>
    <cellStyle name="Style 51 2 6 3 3 3" xfId="52597"/>
    <cellStyle name="Table Head Green 2 6 3 3 3" xfId="52598"/>
    <cellStyle name="Title [Palat] 2 6 3 3 3" xfId="52599"/>
    <cellStyle name="Table Head Green 2 2 3 4 4 3 3" xfId="52600"/>
    <cellStyle name="UNLOCKED 26 2 2 3" xfId="52601"/>
    <cellStyle name="Table Head Green 2 2 2 7 3 3" xfId="52602"/>
    <cellStyle name="Outputs 2 2 2 7 3 3" xfId="52603"/>
    <cellStyle name="Title [Helv] 2 2 3 2 4 3 3" xfId="52604"/>
    <cellStyle name="PB Table Standard Row 3 5 4 3 3" xfId="52605"/>
    <cellStyle name="P-Green Rule 3 2 2 4 3 3" xfId="52606"/>
    <cellStyle name="Style 49 4 2 2 4 3 3" xfId="52607"/>
    <cellStyle name="dp*NumberLineEPS 2 8 3 3" xfId="52608"/>
    <cellStyle name="Heading [Helv] 2 2 2 7 3 3" xfId="52609"/>
    <cellStyle name="FieldName 4 2 2 3" xfId="52610"/>
    <cellStyle name="WingdingsWhite 6 2 2 3" xfId="52611"/>
    <cellStyle name="WingdingsRed 6 2 2 3" xfId="52612"/>
    <cellStyle name="WingdingsBlack 6 2 2 3" xfId="52613"/>
    <cellStyle name="UNLOCKED 28 2 2 3" xfId="52614"/>
    <cellStyle name="Title [Palat] 5 3 3 3" xfId="52615"/>
    <cellStyle name="Title [Helv] 4 3 3 3" xfId="52616"/>
    <cellStyle name="Table Head Green 6 3 3 3" xfId="52617"/>
    <cellStyle name="Table Head Aligned 4 3 3 3" xfId="52618"/>
    <cellStyle name="SymbolBlue 6 2 2 3" xfId="52619"/>
    <cellStyle name="Style 53 6 2 2 3" xfId="52620"/>
    <cellStyle name="Style 52 6 2 2 3" xfId="52621"/>
    <cellStyle name="Style 50 6 2 2 3" xfId="52622"/>
    <cellStyle name="Style 48 6 2 2 3" xfId="52623"/>
    <cellStyle name="Style 43 6 2 2 3" xfId="52624"/>
    <cellStyle name="Style 42 6 2 2 3" xfId="52625"/>
    <cellStyle name="Style 40 6 2 2 3" xfId="52626"/>
    <cellStyle name="Style 37 6 2 2 3" xfId="52627"/>
    <cellStyle name="Style 36 6 2 2 3" xfId="52628"/>
    <cellStyle name="Style 35 6 2 2 3" xfId="52629"/>
    <cellStyle name="Style 28 4 2 2 3" xfId="52630"/>
    <cellStyle name="Style 27 4 2 2 3" xfId="52631"/>
    <cellStyle name="Style 24 4 2 2 3" xfId="52632"/>
    <cellStyle name="Style 26 4 2 2 3" xfId="52633"/>
    <cellStyle name="Style 25 4 2 2 3" xfId="52634"/>
    <cellStyle name="Style 22 6 2 2 3" xfId="52635"/>
    <cellStyle name="Style 21 6 2 2 3" xfId="52636"/>
    <cellStyle name="SSFixed2 3 2 2 3" xfId="52637"/>
    <cellStyle name="SSDfltPct0 3 2 2 3" xfId="52638"/>
    <cellStyle name="SSDfltPct 3 2 2 3" xfId="52639"/>
    <cellStyle name="SSDecs3 3 2 2 3" xfId="52640"/>
    <cellStyle name="SSComma2 3 2 2 3" xfId="52641"/>
    <cellStyle name="SSComma0 3 2 2 3" xfId="52642"/>
    <cellStyle name="SAPBEXundefined 3 2 2 3" xfId="52643"/>
    <cellStyle name="SAPBEXtitle 3 2 2 3" xfId="52644"/>
    <cellStyle name="SAPBEXstdItemX 5 2 2 3" xfId="52645"/>
    <cellStyle name="SAPBEXstdItem 3 2 2 3" xfId="52646"/>
    <cellStyle name="SAPBEXstdDataEmph 3 2 2 3" xfId="52647"/>
    <cellStyle name="SAPBEXstdData 3 2 2 3" xfId="52648"/>
    <cellStyle name="SAPBEXresItemX 5 2 2 3" xfId="52649"/>
    <cellStyle name="SAPBEXresItem 3 2 2 3" xfId="52650"/>
    <cellStyle name="SAPBEXresDataEmph 3 2 2 3" xfId="52651"/>
    <cellStyle name="SAPBEXresData 3 2 2 3" xfId="52652"/>
    <cellStyle name="SAPBEXHLevel3X 5 2 2 3" xfId="52653"/>
    <cellStyle name="SAPBEXHLevel3 5 2 2 3" xfId="52654"/>
    <cellStyle name="SAPBEXHLevel2X 5 2 2 3" xfId="52655"/>
    <cellStyle name="SAPBEXHLevel2 5 2 2 3" xfId="52656"/>
    <cellStyle name="SAPBEXHLevel1X 5 2 2 3" xfId="52657"/>
    <cellStyle name="SAPBEXHLevel1 5 2 2 3" xfId="52658"/>
    <cellStyle name="SAPBEXHLevel0X 5 2 2 3" xfId="52659"/>
    <cellStyle name="SAPBEXHLevel0 5 2 2 3" xfId="52660"/>
    <cellStyle name="SAPBEXformats 3 2 2 3" xfId="52661"/>
    <cellStyle name="SAPBEXexcGood3 3 2 2 3" xfId="52662"/>
    <cellStyle name="SAPBEXexcGood2 3 2 2 3" xfId="52663"/>
    <cellStyle name="SAPBEXexcGood1 3 2 2 3" xfId="52664"/>
    <cellStyle name="SAPBEXexcCritical6 3 2 2 3" xfId="52665"/>
    <cellStyle name="SAPBEXexcCritical5 3 2 2 3" xfId="52666"/>
    <cellStyle name="SAPBEXexcCritical4 3 2 2 3" xfId="52667"/>
    <cellStyle name="SAPBEXexcBad9 3 2 2 3" xfId="52668"/>
    <cellStyle name="SAPBEXexcBad8 3 2 2 3" xfId="52669"/>
    <cellStyle name="SAPBEXexcBad7 3 2 2 3" xfId="52670"/>
    <cellStyle name="SAPBEXaggItemX 5 2 2 3" xfId="52671"/>
    <cellStyle name="SAPBEXaggItem 3 2 2 3" xfId="52672"/>
    <cellStyle name="SAPBEXaggDataEmph 3 2 2 3" xfId="52673"/>
    <cellStyle name="SAPBEXaggData 3 2 2 3" xfId="52674"/>
    <cellStyle name="Arial6Bold 7 2 2 3" xfId="52675"/>
    <cellStyle name="Arial8Bold 7 2 2 3" xfId="52676"/>
    <cellStyle name="Arial8Italic 7 2 2 3" xfId="52677"/>
    <cellStyle name="ArialNormal 7 2 2 3" xfId="52678"/>
    <cellStyle name="Border 5 2 2 3" xfId="52679"/>
    <cellStyle name="Outputs 6 3 3 3" xfId="52680"/>
    <cellStyle name="dp*Number%ItalicsLineAbove 5 2 2 3" xfId="52681"/>
    <cellStyle name="dp*ThinLineAbove 5 2 2 3" xfId="52682"/>
    <cellStyle name="Draw lines around data in range 7 2 2 3" xfId="52683"/>
    <cellStyle name="Draw shadow and lines within range 7 2 2 3" xfId="52684"/>
    <cellStyle name="Millions 9 2 2 3" xfId="52685"/>
    <cellStyle name="Main 5 2 2 3" xfId="52686"/>
    <cellStyle name="Magic 4 3 3 3" xfId="52687"/>
    <cellStyle name="ItemTypeClass 6 2 2 3" xfId="52688"/>
    <cellStyle name="Format a row of totals 7 2 2 3" xfId="52689"/>
    <cellStyle name="Format text as bold, black on yellow 7 2 2 3" xfId="52690"/>
    <cellStyle name="dp*NumberLine 2 2 7 3 3" xfId="52691"/>
    <cellStyle name="Heading [Palat] 6 3 3 3" xfId="52692"/>
    <cellStyle name="Heading [Helv] 6 3 3 3" xfId="52693"/>
    <cellStyle name="Format text as bold, black on yellow 6 2 2 3" xfId="52694"/>
    <cellStyle name="Format a row of totals 6 2 2 3" xfId="52695"/>
    <cellStyle name="ItemTypeClass 7 2 2 3" xfId="52696"/>
    <cellStyle name="Main 6 2 2 3" xfId="52697"/>
    <cellStyle name="Draw shadow and lines within range 6 2 2 3" xfId="52698"/>
    <cellStyle name="Draw lines around data in range 6 2 2 3" xfId="52699"/>
    <cellStyle name="dp*ThinLineBelow 5 3 3 3" xfId="52700"/>
    <cellStyle name="dp*ThinLineAbove 4 2 2 3" xfId="52701"/>
    <cellStyle name="dp*SubTitle 5 3 3 3" xfId="52702"/>
    <cellStyle name="dp*SheetSubTitle 4 3 3 3" xfId="52703"/>
    <cellStyle name="dp*NumberLineEPS 4 3 3 3" xfId="52704"/>
    <cellStyle name="dp*NumberLine 4 3 3 3" xfId="52705"/>
    <cellStyle name="ac 2 3 4 3 3" xfId="52706"/>
    <cellStyle name="dp*Number%ItalicsLineAbove 4 2 2 3" xfId="52707"/>
    <cellStyle name="Millions 10 2 2 3" xfId="52708"/>
    <cellStyle name="Date [mmm-yyyy] 2 2 3 3 4 3 3" xfId="52709"/>
    <cellStyle name="Title [Helv] 2 3 4 3 3" xfId="52710"/>
    <cellStyle name="DateYearWholeEstimate 6 2 2 3" xfId="52711"/>
    <cellStyle name="DateYearEstimate 6 2 2 3" xfId="52712"/>
    <cellStyle name="Date [mmm-yyyy] 4 3 3 3" xfId="52713"/>
    <cellStyle name="Date [mm-d-yyyy] 7 3 3 3" xfId="52714"/>
    <cellStyle name="COL HEADINGS 6 3 3 3" xfId="52715"/>
    <cellStyle name="dp*SheetSubTitle 2 2 2 4 4 3 3" xfId="52716"/>
    <cellStyle name="Border Thin 7 3 3 3" xfId="52717"/>
    <cellStyle name="Border 4 2 2 3" xfId="52718"/>
    <cellStyle name="Bold/Border 6 3 3 3" xfId="52719"/>
    <cellStyle name="ArialNormal 6 2 2 3" xfId="52720"/>
    <cellStyle name="Arial8Italic 6 2 2 3" xfId="52721"/>
    <cellStyle name="Arial8Bold 6 2 2 3" xfId="52722"/>
    <cellStyle name="Arial6Bold 6 2 2 3" xfId="52723"/>
    <cellStyle name="Afjusted 7 3 3 3" xfId="52724"/>
    <cellStyle name="ac 6 3 3 3" xfId="52725"/>
    <cellStyle name="SAPBEXaggData 4 2 2 3" xfId="52726"/>
    <cellStyle name="SAPBEXaggDataEmph 4 2 2 3" xfId="52727"/>
    <cellStyle name="SAPBEXaggItem 4 2 2 3" xfId="52728"/>
    <cellStyle name="SAPBEXaggItemX 6 2 2 3" xfId="52729"/>
    <cellStyle name="SAPBEXexcBad7 4 2 2 3" xfId="52730"/>
    <cellStyle name="SAPBEXexcBad8 4 2 2 3" xfId="52731"/>
    <cellStyle name="SAPBEXexcBad9 4 2 2 3" xfId="52732"/>
    <cellStyle name="SAPBEXexcCritical4 4 2 2 3" xfId="52733"/>
    <cellStyle name="SAPBEXexcCritical5 4 2 2 3" xfId="52734"/>
    <cellStyle name="SAPBEXexcCritical6 4 2 2 3" xfId="52735"/>
    <cellStyle name="SAPBEXexcGood2 4 2 2 3" xfId="52736"/>
    <cellStyle name="SAPBEXexcGood1 4 2 2 3" xfId="52737"/>
    <cellStyle name="SAPBEXexcGood3 4 2 2 3" xfId="52738"/>
    <cellStyle name="SAPBEXformats 4 2 2 3" xfId="52739"/>
    <cellStyle name="SAPBEXHLevel0 6 2 2 3" xfId="52740"/>
    <cellStyle name="SAPBEXHLevel0X 6 2 2 3" xfId="52741"/>
    <cellStyle name="SAPBEXHLevel1 6 2 2 3" xfId="52742"/>
    <cellStyle name="SAPBEXHLevel1X 6 2 2 3" xfId="52743"/>
    <cellStyle name="SAPBEXHLevel2 6 2 2 3" xfId="52744"/>
    <cellStyle name="SAPBEXHLevel2X 6 2 2 3" xfId="52745"/>
    <cellStyle name="SAPBEXHLevel3 6 2 2 3" xfId="52746"/>
    <cellStyle name="SAPBEXHLevel3X 6 2 2 3" xfId="52747"/>
    <cellStyle name="SAPBEXresData 4 2 2 3" xfId="52748"/>
    <cellStyle name="SAPBEXresDataEmph 4 2 2 3" xfId="52749"/>
    <cellStyle name="SAPBEXresItem 4 2 2 3" xfId="52750"/>
    <cellStyle name="SAPBEXresItemX 6 2 2 3" xfId="52751"/>
    <cellStyle name="SAPBEXstdData 4 2 2 3" xfId="52752"/>
    <cellStyle name="SAPBEXstdDataEmph 4 2 2 3" xfId="52753"/>
    <cellStyle name="SAPBEXstdItem 4 2 2 3" xfId="52754"/>
    <cellStyle name="SAPBEXstdItemX 6 2 2 3" xfId="52755"/>
    <cellStyle name="SAPBEXtitle 4 2 2 3" xfId="52756"/>
    <cellStyle name="SAPBEXundefined 4 2 2 3" xfId="52757"/>
    <cellStyle name="Style 44 8 3 3 3" xfId="52758"/>
    <cellStyle name="Style 45 8 3 3 3" xfId="52759"/>
    <cellStyle name="Style 49 8 3 3 3" xfId="52760"/>
    <cellStyle name="Style 51 8 3 3 3" xfId="52761"/>
    <cellStyle name="SSComma0 4 2 2 3" xfId="52762"/>
    <cellStyle name="SSComma2 4 2 2 3" xfId="52763"/>
    <cellStyle name="SSDecs3 4 2 2 3" xfId="52764"/>
    <cellStyle name="SSDfltPct 4 2 2 3" xfId="52765"/>
    <cellStyle name="SSDfltPct0 4 2 2 3" xfId="52766"/>
    <cellStyle name="SSFixed2 4 2 2 3" xfId="52767"/>
    <cellStyle name="Style 22 7 2 2 3" xfId="52768"/>
    <cellStyle name="Style 24 5 2 2 3" xfId="52769"/>
    <cellStyle name="Style 25 5 2 2 3" xfId="52770"/>
    <cellStyle name="Style 26 5 2 2 3" xfId="52771"/>
    <cellStyle name="Style 27 5 2 2 3" xfId="52772"/>
    <cellStyle name="Style 28 5 2 2 3" xfId="52773"/>
    <cellStyle name="Style 35 7 2 2 3" xfId="52774"/>
    <cellStyle name="Style 36 7 2 2 3" xfId="52775"/>
    <cellStyle name="Style 37 7 2 2 3" xfId="52776"/>
    <cellStyle name="Style 40 7 2 2 3" xfId="52777"/>
    <cellStyle name="Style 42 7 2 2 3" xfId="52778"/>
    <cellStyle name="Style 43 7 2 2 3" xfId="52779"/>
    <cellStyle name="Style 48 7 2 2 3" xfId="52780"/>
    <cellStyle name="Style 50 7 2 2 3" xfId="52781"/>
    <cellStyle name="Style 52 7 2 2 3" xfId="52782"/>
    <cellStyle name="Style 53 7 2 2 3" xfId="52783"/>
    <cellStyle name="UNLOCKED 27 2 2 3" xfId="52784"/>
    <cellStyle name="SymbolBlue 7 2 2 3" xfId="52785"/>
    <cellStyle name="Style 21 7 2 2 3" xfId="52786"/>
    <cellStyle name="Bold/Border 2 9 3 3" xfId="52787"/>
    <cellStyle name="Afjusted 3 2 2 4 3 3" xfId="52788"/>
    <cellStyle name="Style 44 4 2 2 4 3 3" xfId="52789"/>
    <cellStyle name="Heading [Helv] 2 2 2 2 4 3 3" xfId="52790"/>
    <cellStyle name="Style 45 4 5 4 3 3" xfId="52791"/>
    <cellStyle name="Afjusted 4 3 2 4 3 3" xfId="52792"/>
    <cellStyle name="PB Table Standard Row 2 3 3 3 3" xfId="52793"/>
    <cellStyle name="Style 51 4 2 2 4 3 3" xfId="52794"/>
    <cellStyle name="DateYearWholeEstimate 7 2 2 3" xfId="52795"/>
    <cellStyle name="DateYearEstimate 7 2 2 3" xfId="52796"/>
    <cellStyle name="UNLOCKED 29 2 2 3" xfId="52797"/>
    <cellStyle name="WingdingsBlack 7 2 2 3" xfId="52798"/>
    <cellStyle name="WingdingsRed 7 2 2 3" xfId="52799"/>
    <cellStyle name="WingdingsWhite 7 2 2 3" xfId="52800"/>
    <cellStyle name="UNLOCKED 31 2 2 3" xfId="52801"/>
    <cellStyle name="Title [Palat] 6 3 3 3" xfId="52802"/>
    <cellStyle name="Title [Helv] 5 3 3 3" xfId="52803"/>
    <cellStyle name="Table Head Green 7 3 3 3" xfId="52804"/>
    <cellStyle name="Table Head Aligned 5 3 3 3" xfId="52805"/>
    <cellStyle name="Outputs 7 3 3 3" xfId="52806"/>
    <cellStyle name="Millions 11 2 2 3" xfId="52807"/>
    <cellStyle name="Magic 5 3 3 3" xfId="52808"/>
    <cellStyle name="Heading [Palat] 7 3 3 3" xfId="52809"/>
    <cellStyle name="Heading [Helv] 7 3 3 3" xfId="52810"/>
    <cellStyle name="dp*SheetSubTitle 5 3 3 3" xfId="52811"/>
    <cellStyle name="dp*NumberLineEPS 5 3 3 3" xfId="52812"/>
    <cellStyle name="dp*NumberLine 5 3 3 3" xfId="52813"/>
    <cellStyle name="Date [mmm-yyyy] 5 3 3 3" xfId="52814"/>
    <cellStyle name="COL HEADINGS 7 3 3 3" xfId="52815"/>
    <cellStyle name="Bold/Border 7 3 3 3" xfId="52816"/>
    <cellStyle name="Afjusted 8 3 3 3" xfId="52817"/>
    <cellStyle name="ac 7 3 3 3" xfId="52818"/>
    <cellStyle name="UNLOCKED 30 2 2 3" xfId="52819"/>
    <cellStyle name="FieldName 5 2 2 3" xfId="52820"/>
    <cellStyle name="WingdingsWhite 8 2 2 3" xfId="52821"/>
    <cellStyle name="WingdingsRed 8 2 2 3" xfId="52822"/>
    <cellStyle name="WingdingsBlack 8 2 2 3" xfId="52823"/>
    <cellStyle name="UNLOCKED 33 2 2 3" xfId="52824"/>
    <cellStyle name="Title [Palat] 7 3 3 3" xfId="52825"/>
    <cellStyle name="Title [Helv] 6 3 3 3" xfId="52826"/>
    <cellStyle name="Table Head Green 8 3 3 3" xfId="52827"/>
    <cellStyle name="Table Head Aligned 6 3 3 3" xfId="52828"/>
    <cellStyle name="SymbolBlue 8 2 2 3" xfId="52829"/>
    <cellStyle name="Style 53 8 2 2 3" xfId="52830"/>
    <cellStyle name="Style 52 8 2 2 3" xfId="52831"/>
    <cellStyle name="Style 50 8 2 2 3" xfId="52832"/>
    <cellStyle name="Style 48 8 2 2 3" xfId="52833"/>
    <cellStyle name="Style 43 8 2 2 3" xfId="52834"/>
    <cellStyle name="Style 42 8 2 2 3" xfId="52835"/>
    <cellStyle name="Style 40 8 2 2 3" xfId="52836"/>
    <cellStyle name="Style 37 8 2 2 3" xfId="52837"/>
    <cellStyle name="Style 36 8 2 2 3" xfId="52838"/>
    <cellStyle name="Style 35 8 2 2 3" xfId="52839"/>
    <cellStyle name="Style 28 6 2 2 3" xfId="52840"/>
    <cellStyle name="Style 26 6 2 2 3" xfId="52841"/>
    <cellStyle name="Style 27 6 2 2 3" xfId="52842"/>
    <cellStyle name="Style 25 6 2 2 3" xfId="52843"/>
    <cellStyle name="Style 24 6 2 2 3" xfId="52844"/>
    <cellStyle name="Style 22 8 2 2 3" xfId="52845"/>
    <cellStyle name="Style 21 8 2 2 3" xfId="52846"/>
    <cellStyle name="SSFixed2 5 2 2 3" xfId="52847"/>
    <cellStyle name="SSDfltPct0 5 2 2 3" xfId="52848"/>
    <cellStyle name="SSDfltPct 5 2 2 3" xfId="52849"/>
    <cellStyle name="SSDecs3 5 2 2 3" xfId="52850"/>
    <cellStyle name="SSComma2 5 2 2 3" xfId="52851"/>
    <cellStyle name="SSComma0 5 2 2 3" xfId="52852"/>
    <cellStyle name="SAPBEXundefined 5 2 2 3" xfId="52853"/>
    <cellStyle name="SAPBEXtitle 5 2 2 3" xfId="52854"/>
    <cellStyle name="SAPBEXstdItemX 7 2 2 3" xfId="52855"/>
    <cellStyle name="SAPBEXstdItem 5 2 2 3" xfId="52856"/>
    <cellStyle name="SAPBEXstdDataEmph 5 2 2 3" xfId="52857"/>
    <cellStyle name="SAPBEXstdData 5 2 2 3" xfId="52858"/>
    <cellStyle name="SAPBEXresItemX 7 2 2 3" xfId="52859"/>
    <cellStyle name="SAPBEXresItem 5 2 2 3" xfId="52860"/>
    <cellStyle name="SAPBEXresDataEmph 5 2 2 3" xfId="52861"/>
    <cellStyle name="SAPBEXresData 5 2 2 3" xfId="52862"/>
    <cellStyle name="SAPBEXHLevel3X 7 2 2 3" xfId="52863"/>
    <cellStyle name="SAPBEXHLevel3 7 2 2 3" xfId="52864"/>
    <cellStyle name="SAPBEXHLevel2X 7 2 2 3" xfId="52865"/>
    <cellStyle name="SAPBEXHLevel2 7 2 2 3" xfId="52866"/>
    <cellStyle name="SAPBEXHLevel1X 7 2 2 3" xfId="52867"/>
    <cellStyle name="SAPBEXHLevel1 7 2 2 3" xfId="52868"/>
    <cellStyle name="SAPBEXHLevel0X 7 2 2 3" xfId="52869"/>
    <cellStyle name="SAPBEXHLevel0 7 2 2 3" xfId="52870"/>
    <cellStyle name="SAPBEXformats 5 2 2 3" xfId="52871"/>
    <cellStyle name="SAPBEXexcGood3 5 2 2 3" xfId="52872"/>
    <cellStyle name="SAPBEXexcGood2 5 2 2 3" xfId="52873"/>
    <cellStyle name="SAPBEXexcGood1 5 2 2 3" xfId="52874"/>
    <cellStyle name="SAPBEXexcCritical6 5 2 2 3" xfId="52875"/>
    <cellStyle name="SAPBEXexcCritical5 5 2 2 3" xfId="52876"/>
    <cellStyle name="SAPBEXexcCritical4 5 2 2 3" xfId="52877"/>
    <cellStyle name="SAPBEXexcBad9 5 2 2 3" xfId="52878"/>
    <cellStyle name="SAPBEXexcBad8 5 2 2 3" xfId="52879"/>
    <cellStyle name="SAPBEXexcBad7 5 2 2 3" xfId="52880"/>
    <cellStyle name="SAPBEXaggItemX 7 2 2 3" xfId="52881"/>
    <cellStyle name="SAPBEXaggItem 5 2 2 3" xfId="52882"/>
    <cellStyle name="SAPBEXaggDataEmph 5 2 2 3" xfId="52883"/>
    <cellStyle name="SAPBEXaggData 5 2 2 3" xfId="52884"/>
    <cellStyle name="Outputs 8 3 3 3" xfId="52885"/>
    <cellStyle name="Millions 12 2 2 3" xfId="52886"/>
    <cellStyle name="Main 7 2 2 3" xfId="52887"/>
    <cellStyle name="Magic 6 3 3 3" xfId="52888"/>
    <cellStyle name="ItemTypeClass 8 2 2 3" xfId="52889"/>
    <cellStyle name="Heading [Palat] 8 3 3 3" xfId="52890"/>
    <cellStyle name="Heading [Helv] 8 3 3 3" xfId="52891"/>
    <cellStyle name="Format text as bold, black on yellow 8 2 2 3" xfId="52892"/>
    <cellStyle name="Format a row of totals 8 2 2 3" xfId="52893"/>
    <cellStyle name="Draw shadow and lines within range 8 2 2 3" xfId="52894"/>
    <cellStyle name="Draw lines around data in range 8 2 2 3" xfId="52895"/>
    <cellStyle name="dp*ThinLineAbove 6 2 2 3" xfId="52896"/>
    <cellStyle name="dp*SheetSubTitle 6 3 3 3" xfId="52897"/>
    <cellStyle name="dp*NumberLineEPS 6 3 3 3" xfId="52898"/>
    <cellStyle name="dp*NumberLine 6 3 3 3" xfId="52899"/>
    <cellStyle name="dp*Number%ItalicsLineAbove 6 2 2 3" xfId="52900"/>
    <cellStyle name="DateYearWholeEstimate 8 2 2 3" xfId="52901"/>
    <cellStyle name="DateYearEstimate 8 2 2 3" xfId="52902"/>
    <cellStyle name="COL HEADINGS 8 3 3 3" xfId="52903"/>
    <cellStyle name="dp*NumberLineEPS 2 2 2 4 4 3 3" xfId="52904"/>
    <cellStyle name="Border 6 2 2 3" xfId="52905"/>
    <cellStyle name="Bold/Border 8 3 3 3" xfId="52906"/>
    <cellStyle name="ArialNormal 8 2 2 3" xfId="52907"/>
    <cellStyle name="Arial8Italic 8 2 2 3" xfId="52908"/>
    <cellStyle name="Arial8Bold 8 2 2 3" xfId="52909"/>
    <cellStyle name="Arial6Bold 8 2 2 3" xfId="52910"/>
    <cellStyle name="Afjusted 9 3 3 3" xfId="52911"/>
    <cellStyle name="ac 8 3 3 3" xfId="52912"/>
    <cellStyle name="UNLOCKED 32 2 2 3" xfId="52913"/>
    <cellStyle name="Date [mmm-yyyy] 6 3 3 3" xfId="52914"/>
    <cellStyle name="UNLOCKED 37 2 3" xfId="52915"/>
    <cellStyle name="UNLOCKED 35 2 2 3" xfId="52916"/>
    <cellStyle name="Title [Palat] 8 3 3 3" xfId="52917"/>
    <cellStyle name="Title [Helv] 7 3 3 3" xfId="52918"/>
    <cellStyle name="Table Head Green 9 3 3 3" xfId="52919"/>
    <cellStyle name="Table Head Aligned 7 3 3 3" xfId="52920"/>
    <cellStyle name="Outputs 9 3 3 3" xfId="52921"/>
    <cellStyle name="Millions 13 2 2 3" xfId="52922"/>
    <cellStyle name="Magic 7 3 3 3" xfId="52923"/>
    <cellStyle name="Heading [Palat] 9 3 3 3" xfId="52924"/>
    <cellStyle name="Heading [Helv] 9 3 3 3" xfId="52925"/>
    <cellStyle name="dp*SheetSubTitle 7 3 3 3" xfId="52926"/>
    <cellStyle name="dp*NumberLineEPS 7 3 3 3" xfId="52927"/>
    <cellStyle name="dp*NumberLine 7 3 3 3" xfId="52928"/>
    <cellStyle name="Date [mmm-yyyy] 7 3 3 3" xfId="52929"/>
    <cellStyle name="COL HEADINGS 9 3 3 3" xfId="52930"/>
    <cellStyle name="Bold/Border 9 3 3 3" xfId="52931"/>
    <cellStyle name="Afjusted 10 3 3 3" xfId="52932"/>
    <cellStyle name="ac 9 3 3 3" xfId="52933"/>
    <cellStyle name="UNLOCKED 34 2 2 3" xfId="52934"/>
    <cellStyle name="Title [Palat] 2 2 2 7 3 3" xfId="52935"/>
    <cellStyle name="Heading [Palat] 3 4 3 3" xfId="52936"/>
    <cellStyle name="Afjusted 3 2 7 3 3" xfId="52937"/>
    <cellStyle name="Afjusted 3 6 2 3 3" xfId="52938"/>
    <cellStyle name="ac 2 7 2 3 3" xfId="52939"/>
    <cellStyle name="Afjusted 2 5 2 3 3" xfId="52940"/>
    <cellStyle name="Bold/Border 2 7 2 3 3" xfId="52941"/>
    <cellStyle name="COL HEADINGS 2 7 2 3 3" xfId="52942"/>
    <cellStyle name="Date [mmm-yyyy] 2 6 2 3 3" xfId="52943"/>
    <cellStyle name="dp*NumberLine 2 6 2 3 3" xfId="52944"/>
    <cellStyle name="dp*NumberLineEPS 2 6 2 3 3" xfId="52945"/>
    <cellStyle name="dp*SheetSubTitle 2 6 2 3 3" xfId="52946"/>
    <cellStyle name="Heading [Helv] 2 7 2 3 3" xfId="52947"/>
    <cellStyle name="Heading [Palat] 2 7 2 3 3" xfId="52948"/>
    <cellStyle name="Magic 2 6 2 3 3" xfId="52949"/>
    <cellStyle name="Outputs 2 7 2 3 3" xfId="52950"/>
    <cellStyle name="Table Head Aligned 2 6 2 3 3" xfId="52951"/>
    <cellStyle name="Table Head Green 2 7 2 3 3" xfId="52952"/>
    <cellStyle name="Title [Helv] 2 6 2 3 3" xfId="52953"/>
    <cellStyle name="Title [Palat] 2 7 2 3 3" xfId="52954"/>
    <cellStyle name="Date [mm-d-yyyy] 3 6 2 3 3" xfId="52955"/>
    <cellStyle name="Style 51 4 6 2 3 3" xfId="52956"/>
    <cellStyle name="Style 49 4 6 2 3 3" xfId="52957"/>
    <cellStyle name="Style 45 4 6 2 3 3" xfId="52958"/>
    <cellStyle name="Style 44 4 6 2 3 3" xfId="52959"/>
    <cellStyle name="P-Green Rule 3 6 2 3 3" xfId="52960"/>
    <cellStyle name="PB Table Standard Row 3 6 2 3 3" xfId="52961"/>
    <cellStyle name="dp*ThinLineBelow 3 6 2 3 3" xfId="52962"/>
    <cellStyle name="dp*SubTitle 3 6 2 3 3" xfId="52963"/>
    <cellStyle name="Border Thin 3 6 2 3 3" xfId="52964"/>
    <cellStyle name="Afjusted 4 6 2 3 3" xfId="52965"/>
    <cellStyle name="ac 2 2 5 2 3 3" xfId="52966"/>
    <cellStyle name="Afjusted 2 2 6 2 3 3" xfId="52967"/>
    <cellStyle name="Bold/Border 2 2 5 2 3 3" xfId="52968"/>
    <cellStyle name="COL HEADINGS 2 2 5 2 3 3" xfId="52969"/>
    <cellStyle name="Date [mmm-yyyy] 2 2 5 2 3 3" xfId="52970"/>
    <cellStyle name="dp*NumberLine 2 2 5 2 3 3" xfId="52971"/>
    <cellStyle name="dp*NumberLineEPS 2 2 5 2 3 3" xfId="52972"/>
    <cellStyle name="dp*SheetSubTitle 2 2 5 2 3 3" xfId="52973"/>
    <cellStyle name="Heading [Helv] 2 2 5 2 3 3" xfId="52974"/>
    <cellStyle name="Heading [Palat] 2 2 5 2 3 3" xfId="52975"/>
    <cellStyle name="Magic 2 2 5 2 3 3" xfId="52976"/>
    <cellStyle name="Outputs 2 2 5 2 3 3" xfId="52977"/>
    <cellStyle name="Table Head Aligned 2 2 5 2 3 3" xfId="52978"/>
    <cellStyle name="Table Head Green 2 2 5 2 3 3" xfId="52979"/>
    <cellStyle name="Title [Helv] 2 2 5 2 3 3" xfId="52980"/>
    <cellStyle name="Title [Palat] 2 2 5 2 3 3" xfId="52981"/>
    <cellStyle name="dp*SubTitle 2 2 2 2 3 3" xfId="52982"/>
    <cellStyle name="Border Thin 2 2 2 2 3 3" xfId="52983"/>
    <cellStyle name="Bold/Border 2 2 3 4 2 2 3 3" xfId="52984"/>
    <cellStyle name="Magic 2 2 3 4 2 2 3 3" xfId="52985"/>
    <cellStyle name="Title [Helv] 2 2 3 4 2 2 3 3" xfId="52986"/>
    <cellStyle name="Style 51 2 2 2 2 3 3" xfId="52987"/>
    <cellStyle name="Style 45 2 2 2 2 3 3" xfId="52988"/>
    <cellStyle name="Style 49 2 2 2 2 3 3" xfId="52989"/>
    <cellStyle name="Style 44 2 2 2 2 3 3" xfId="52990"/>
    <cellStyle name="Style 51 3 2 2 2 3 3" xfId="52991"/>
    <cellStyle name="Style 49 3 2 2 2 3 3" xfId="52992"/>
    <cellStyle name="Style 45 3 2 2 2 3 3" xfId="52993"/>
    <cellStyle name="Style 44 3 2 2 2 3 3" xfId="52994"/>
    <cellStyle name="P-Green Rule 2 2 2 2 3 3" xfId="52995"/>
    <cellStyle name="PB Table Standard Row 2 2 2 2 3 3" xfId="52996"/>
    <cellStyle name="dp*ThinLineBelow 2 2 2 2 3 3" xfId="52997"/>
    <cellStyle name="dp*ThinLineBelow 2 3 2 2 3 3" xfId="52998"/>
    <cellStyle name="Style 44 3 3 2 2 3 3" xfId="52999"/>
    <cellStyle name="COL HEADINGS 2 2 3 4 2 2 3 3" xfId="53000"/>
    <cellStyle name="Style 49 4 3 4 2 2 3 3" xfId="53001"/>
    <cellStyle name="Afjusted 3 3 4 2 2 3 3" xfId="53002"/>
    <cellStyle name="Date [mm-d-yyyy] 3 3 4 2 2 3 3" xfId="53003"/>
    <cellStyle name="Afjusted 4 3 4 2 2 3 3" xfId="53004"/>
    <cellStyle name="ac 2 2 3 4 2 2 3 3" xfId="53005"/>
    <cellStyle name="Afjusted 2 2 3 4 2 2 3 3" xfId="53006"/>
    <cellStyle name="Date [mmm-yyyy] 2 2 3 4 2 2 3 3" xfId="53007"/>
    <cellStyle name="dp*NumberLine 2 2 3 4 2 2 3 3" xfId="53008"/>
    <cellStyle name="dp*NumberLineEPS 2 2 3 4 2 2 3 3" xfId="53009"/>
    <cellStyle name="dp*SheetSubTitle 2 2 3 4 2 2 3 3" xfId="53010"/>
    <cellStyle name="Heading [Helv] 2 2 3 4 2 2 3 3" xfId="53011"/>
    <cellStyle name="Outputs 2 2 3 4 2 2 3 3" xfId="53012"/>
    <cellStyle name="Table Head Aligned 2 2 3 4 2 2 3 3" xfId="53013"/>
    <cellStyle name="Title [Palat] 2 2 3 4 2 2 3 3" xfId="53014"/>
    <cellStyle name="Afjusted 3 5 2 2 3 3" xfId="53015"/>
    <cellStyle name="Style 45 3 3 2 2 3 3" xfId="53016"/>
    <cellStyle name="Style 51 3 3 2 2 3 3" xfId="53017"/>
    <cellStyle name="Style 44 2 3 2 2 3 3" xfId="53018"/>
    <cellStyle name="Style 45 2 3 2 2 3 3" xfId="53019"/>
    <cellStyle name="Style 49 2 3 2 2 3 3" xfId="53020"/>
    <cellStyle name="Border Thin 3 5 2 2 3 3" xfId="53021"/>
    <cellStyle name="ac 2 2 4 2 2 3 3" xfId="53022"/>
    <cellStyle name="Afjusted 2 2 5 2 2 3 3" xfId="53023"/>
    <cellStyle name="Bold/Border 2 2 4 2 2 3 3" xfId="53024"/>
    <cellStyle name="COL HEADINGS 2 2 4 2 2 3 3" xfId="53025"/>
    <cellStyle name="Date [mmm-yyyy] 2 2 4 2 2 3 3" xfId="53026"/>
    <cellStyle name="dp*NumberLine 2 2 4 2 2 3 3" xfId="53027"/>
    <cellStyle name="dp*NumberLineEPS 2 2 4 2 2 3 3" xfId="53028"/>
    <cellStyle name="dp*SheetSubTitle 2 2 4 2 2 3 3" xfId="53029"/>
    <cellStyle name="Heading [Palat] 2 2 4 2 2 3 3" xfId="53030"/>
    <cellStyle name="Outputs 2 2 4 2 2 3 3" xfId="53031"/>
    <cellStyle name="Magic 2 2 4 2 2 3 3" xfId="53032"/>
    <cellStyle name="Title [Helv] 2 2 4 2 2 3 3" xfId="53033"/>
    <cellStyle name="Title [Palat] 2 2 4 2 2 3 3" xfId="53034"/>
    <cellStyle name="Title [Palat] 2 2 3 3 2 2 3 3" xfId="53035"/>
    <cellStyle name="Title [Helv] 2 2 3 3 2 2 3 3" xfId="53036"/>
    <cellStyle name="Table Head Aligned 2 2 3 3 2 2 3 3" xfId="53037"/>
    <cellStyle name="Magic 2 2 3 3 2 2 3 3" xfId="53038"/>
    <cellStyle name="Heading [Helv] 2 2 3 3 2 2 3 3" xfId="53039"/>
    <cellStyle name="dp*NumberLineEPS 2 2 3 3 2 2 3 3" xfId="53040"/>
    <cellStyle name="COL HEADINGS 2 2 3 3 2 2 3 3" xfId="53041"/>
    <cellStyle name="ac 2 2 3 3 2 2 3 3" xfId="53042"/>
    <cellStyle name="Afjusted 4 3 3 2 2 3 3" xfId="53043"/>
    <cellStyle name="Border Thin 3 3 3 2 2 3 3" xfId="53044"/>
    <cellStyle name="PB Table Standard Row 3 3 3 2 2 3 3" xfId="53045"/>
    <cellStyle name="Style 44 4 3 3 2 2 3 3" xfId="53046"/>
    <cellStyle name="Style 51 4 3 3 2 2 3 3" xfId="53047"/>
    <cellStyle name="Afjusted 3 3 3 2 2 3 3" xfId="53048"/>
    <cellStyle name="Style 49 4 5 2 2 3 3" xfId="53049"/>
    <cellStyle name="Style 44 4 5 2 2 3 3" xfId="53050"/>
    <cellStyle name="P-Green Rule 3 5 2 2 3 3" xfId="53051"/>
    <cellStyle name="dp*SubTitle 3 5 2 2 3 3" xfId="53052"/>
    <cellStyle name="Afjusted 4 5 2 2 3 3" xfId="53053"/>
    <cellStyle name="ac 2 3 2 2 3 3" xfId="53054"/>
    <cellStyle name="Bold/Border 2 3 2 2 3 3" xfId="53055"/>
    <cellStyle name="COL HEADINGS 2 3 2 2 3 3" xfId="53056"/>
    <cellStyle name="Date [mmm-yyyy] 2 3 2 2 3 3" xfId="53057"/>
    <cellStyle name="dp*NumberLine 2 3 2 2 3 3" xfId="53058"/>
    <cellStyle name="dp*NumberLineEPS 2 3 2 2 3 3" xfId="53059"/>
    <cellStyle name="dp*SheetSubTitle 2 3 2 2 3 3" xfId="53060"/>
    <cellStyle name="Heading [Helv] 2 3 2 2 3 3" xfId="53061"/>
    <cellStyle name="Heading [Palat] 2 3 2 2 3 3" xfId="53062"/>
    <cellStyle name="Magic 2 3 2 2 3 3" xfId="53063"/>
    <cellStyle name="Outputs 2 3 2 2 3 3" xfId="53064"/>
    <cellStyle name="Date [mmm-yyyy] 2 2 3 3 2 2 3 3" xfId="53065"/>
    <cellStyle name="Afjusted 2 2 3 3 2 2 3 3" xfId="53066"/>
    <cellStyle name="dp*ThinLineBelow 3 3 3 2 2 3 3" xfId="53067"/>
    <cellStyle name="Style 49 4 3 3 2 2 3 3" xfId="53068"/>
    <cellStyle name="Outputs 2 2 3 3 2 2 3 3" xfId="53069"/>
    <cellStyle name="dp*NumberLine 2 2 3 3 2 2 3 3" xfId="53070"/>
    <cellStyle name="Bold/Border 2 2 3 3 2 2 3 3" xfId="53071"/>
    <cellStyle name="dp*SubTitle 3 3 3 2 2 3 3" xfId="53072"/>
    <cellStyle name="Style 45 4 3 3 2 2 3 3" xfId="53073"/>
    <cellStyle name="Table Head Aligned 2 3 2 2 3 3" xfId="53074"/>
    <cellStyle name="Table Head Green 2 3 2 2 3 3" xfId="53075"/>
    <cellStyle name="Title [Helv] 2 3 2 2 3 3" xfId="53076"/>
    <cellStyle name="Title [Palat] 2 3 2 2 3 3" xfId="53077"/>
    <cellStyle name="Style 45 4 3 4 2 2 3 3" xfId="53078"/>
    <cellStyle name="Style 51 4 3 4 2 2 3 3" xfId="53079"/>
    <cellStyle name="Afjusted 3 4 2 2 3 3" xfId="53080"/>
    <cellStyle name="P-Green Rule 3 3 4 2 2 3 3" xfId="53081"/>
    <cellStyle name="Border Thin 2 3 2 2 3 3" xfId="53082"/>
    <cellStyle name="Style 49 3 3 2 2 3 3" xfId="53083"/>
    <cellStyle name="Style 51 2 3 2 2 3 3" xfId="53084"/>
    <cellStyle name="Heading [Helv] 2 2 4 2 2 3 3" xfId="53085"/>
    <cellStyle name="Table Head Aligned 2 2 4 2 2 3 3" xfId="53086"/>
    <cellStyle name="Table Head Green 2 2 4 2 2 3 3" xfId="53087"/>
    <cellStyle name="Table Head Green 2 2 3 3 2 2 3 3" xfId="53088"/>
    <cellStyle name="Heading [Palat] 2 2 3 3 2 2 3 3" xfId="53089"/>
    <cellStyle name="dp*SheetSubTitle 2 2 3 3 2 2 3 3" xfId="53090"/>
    <cellStyle name="P-Green Rule 3 3 3 2 2 3 3" xfId="53091"/>
    <cellStyle name="Date [mm-d-yyyy] 3 3 3 2 2 3 3" xfId="53092"/>
    <cellStyle name="Date [mm-d-yyyy] 3 4 2 2 3 3" xfId="53093"/>
    <cellStyle name="Style 51 4 4 2 2 3 3" xfId="53094"/>
    <cellStyle name="Style 49 4 4 2 2 3 3" xfId="53095"/>
    <cellStyle name="Style 45 4 4 2 2 3 3" xfId="53096"/>
    <cellStyle name="Style 44 4 4 2 2 3 3" xfId="53097"/>
    <cellStyle name="dp*ThinLineBelow 3 3 4 2 2 3 3" xfId="53098"/>
    <cellStyle name="P-Green Rule 3 4 2 2 3 3" xfId="53099"/>
    <cellStyle name="dp*ThinLineBelow 3 4 2 2 3 3" xfId="53100"/>
    <cellStyle name="dp*SubTitle 3 4 2 2 3 3" xfId="53101"/>
    <cellStyle name="dp*SubTitle 3 3 4 2 2 3 3" xfId="53102"/>
    <cellStyle name="Border Thin 3 4 2 2 3 3" xfId="53103"/>
    <cellStyle name="Border Thin 3 3 4 2 2 3 3" xfId="53104"/>
    <cellStyle name="Afjusted 4 4 2 2 3 3" xfId="53105"/>
    <cellStyle name="Afjusted 2 2 4 2 2 3 3" xfId="53106"/>
    <cellStyle name="Style 44 4 3 4 2 2 3 3" xfId="53107"/>
    <cellStyle name="PB Table Standard Row 3 3 4 2 2 3 3" xfId="53108"/>
    <cellStyle name="Title [Palat] 2 2 3 5 2 3 3" xfId="53109"/>
    <cellStyle name="Title [Helv] 2 2 3 5 2 3 3" xfId="53110"/>
    <cellStyle name="Table Head Green 2 2 3 5 2 3 3" xfId="53111"/>
    <cellStyle name="Table Head Aligned 2 2 3 5 2 3 3" xfId="53112"/>
    <cellStyle name="Outputs 2 2 3 5 2 3 3" xfId="53113"/>
    <cellStyle name="Magic 2 2 3 5 2 3 3" xfId="53114"/>
    <cellStyle name="Heading [Palat] 2 2 3 5 2 3 3" xfId="53115"/>
    <cellStyle name="Heading [Helv] 2 2 3 5 2 3 3" xfId="53116"/>
    <cellStyle name="dp*SheetSubTitle 2 2 3 5 2 3 3" xfId="53117"/>
    <cellStyle name="dp*NumberLineEPS 2 2 3 5 2 3 3" xfId="53118"/>
    <cellStyle name="dp*NumberLine 2 2 3 5 2 3 3" xfId="53119"/>
    <cellStyle name="Date [mmm-yyyy] 2 2 3 5 2 3 3" xfId="53120"/>
    <cellStyle name="COL HEADINGS 2 2 3 5 2 3 3" xfId="53121"/>
    <cellStyle name="Bold/Border 2 2 3 5 2 3 3" xfId="53122"/>
    <cellStyle name="Afjusted 2 2 3 5 2 3 3" xfId="53123"/>
    <cellStyle name="ac 2 2 3 5 2 3 3" xfId="53124"/>
    <cellStyle name="Afjusted 4 3 5 2 3 3" xfId="53125"/>
    <cellStyle name="Border Thin 3 3 5 2 3 3" xfId="53126"/>
    <cellStyle name="dp*SubTitle 3 3 5 2 3 3" xfId="53127"/>
    <cellStyle name="dp*ThinLineBelow 3 3 5 2 3 3" xfId="53128"/>
    <cellStyle name="PB Table Standard Row 3 3 5 2 3 3" xfId="53129"/>
    <cellStyle name="P-Green Rule 3 3 5 2 3 3" xfId="53130"/>
    <cellStyle name="Style 44 4 3 5 2 3 3" xfId="53131"/>
    <cellStyle name="Style 45 4 3 5 2 3 3" xfId="53132"/>
    <cellStyle name="Style 49 4 3 5 2 3 3" xfId="53133"/>
    <cellStyle name="Style 51 4 3 5 2 3 3" xfId="53134"/>
    <cellStyle name="Date [mm-d-yyyy] 3 3 5 2 3 3" xfId="53135"/>
    <cellStyle name="Afjusted 3 3 5 2 3 3" xfId="53136"/>
    <cellStyle name="Date [mm-d-yyyy] 2 2 4 2 3 3" xfId="53137"/>
    <cellStyle name="Afjusted 3 2 5 2 3 3" xfId="53138"/>
    <cellStyle name="Date [mm-d-yyyy] 3 2 5 2 3 3" xfId="53139"/>
    <cellStyle name="Style 51 4 2 5 2 3 3" xfId="53140"/>
    <cellStyle name="Style 49 4 2 5 2 3 3" xfId="53141"/>
    <cellStyle name="Style 45 4 2 5 2 3 3" xfId="53142"/>
    <cellStyle name="Style 44 4 2 5 2 3 3" xfId="53143"/>
    <cellStyle name="P-Green Rule 3 2 5 2 3 3" xfId="53144"/>
    <cellStyle name="dp*ThinLineBelow 3 2 5 2 3 3" xfId="53145"/>
    <cellStyle name="dp*SubTitle 3 2 5 2 3 3" xfId="53146"/>
    <cellStyle name="Border Thin 3 2 5 2 3 3" xfId="53147"/>
    <cellStyle name="Afjusted 4 2 5 2 3 3" xfId="53148"/>
    <cellStyle name="ac 2 2 2 5 2 3 3" xfId="53149"/>
    <cellStyle name="Afjusted 2 2 2 5 2 3 3" xfId="53150"/>
    <cellStyle name="Bold/Border 2 2 2 5 2 3 3" xfId="53151"/>
    <cellStyle name="COL HEADINGS 2 2 2 5 2 3 3" xfId="53152"/>
    <cellStyle name="Date [mmm-yyyy] 2 2 2 5 2 3 3" xfId="53153"/>
    <cellStyle name="dp*NumberLine 2 2 2 5 2 3 3" xfId="53154"/>
    <cellStyle name="dp*NumberLineEPS 2 2 2 5 2 3 3" xfId="53155"/>
    <cellStyle name="dp*SheetSubTitle 2 2 2 5 2 3 3" xfId="53156"/>
    <cellStyle name="Heading [Helv] 2 2 2 5 2 3 3" xfId="53157"/>
    <cellStyle name="Heading [Palat] 2 2 2 5 2 3 3" xfId="53158"/>
    <cellStyle name="Magic 2 2 2 5 2 3 3" xfId="53159"/>
    <cellStyle name="Outputs 2 2 2 5 2 3 3" xfId="53160"/>
    <cellStyle name="Table Head Aligned 2 2 2 5 2 3 3" xfId="53161"/>
    <cellStyle name="Table Head Green 2 2 2 5 2 3 3" xfId="53162"/>
    <cellStyle name="Title [Helv] 2 2 2 5 2 3 3" xfId="53163"/>
    <cellStyle name="Title [Palat] 2 2 2 5 2 3 3" xfId="53164"/>
    <cellStyle name="Table Head Green 2 2 3 4 2 2 3 3" xfId="53165"/>
    <cellStyle name="Heading [Palat] 2 2 3 4 2 2 3 3" xfId="53166"/>
    <cellStyle name="PB Table Standard Row 2 3 2 2 3 3" xfId="53167"/>
    <cellStyle name="P-Green Rule 2 3 2 2 3 3" xfId="53168"/>
    <cellStyle name="Title [Palat] 2 2 3 2 2 2 3 3" xfId="53169"/>
    <cellStyle name="Title [Helv] 2 2 3 2 2 2 3 3" xfId="53170"/>
    <cellStyle name="Table Head Green 2 2 3 2 2 2 3 3" xfId="53171"/>
    <cellStyle name="Table Head Aligned 2 2 3 2 2 2 3 3" xfId="53172"/>
    <cellStyle name="Outputs 2 2 3 2 2 2 3 3" xfId="53173"/>
    <cellStyle name="Magic 2 2 3 2 2 2 3 3" xfId="53174"/>
    <cellStyle name="Heading [Palat] 2 2 3 2 2 2 3 3" xfId="53175"/>
    <cellStyle name="Heading [Helv] 2 2 3 2 2 2 3 3" xfId="53176"/>
    <cellStyle name="dp*SheetSubTitle 2 2 3 2 2 2 3 3" xfId="53177"/>
    <cellStyle name="dp*NumberLineEPS 2 2 3 2 2 2 3 3" xfId="53178"/>
    <cellStyle name="dp*NumberLine 2 2 3 2 2 2 3 3" xfId="53179"/>
    <cellStyle name="Date [mmm-yyyy] 2 2 3 2 2 2 3 3" xfId="53180"/>
    <cellStyle name="COL HEADINGS 2 2 3 2 2 2 3 3" xfId="53181"/>
    <cellStyle name="Bold/Border 2 2 3 2 2 2 3 3" xfId="53182"/>
    <cellStyle name="Afjusted 2 2 3 2 2 2 3 3" xfId="53183"/>
    <cellStyle name="ac 2 2 3 2 2 2 3 3" xfId="53184"/>
    <cellStyle name="Afjusted 4 3 2 2 2 3 3" xfId="53185"/>
    <cellStyle name="Border Thin 3 3 2 2 2 3 3" xfId="53186"/>
    <cellStyle name="dp*SubTitle 3 3 2 2 2 3 3" xfId="53187"/>
    <cellStyle name="dp*ThinLineBelow 3 3 2 2 2 3 3" xfId="53188"/>
    <cellStyle name="PB Table Standard Row 3 3 2 2 2 3 3" xfId="53189"/>
    <cellStyle name="P-Green Rule 3 3 2 2 2 3 3" xfId="53190"/>
    <cellStyle name="Style 44 4 3 2 2 2 3 3" xfId="53191"/>
    <cellStyle name="Style 45 4 3 2 2 2 3 3" xfId="53192"/>
    <cellStyle name="Style 49 4 3 2 2 2 3 3" xfId="53193"/>
    <cellStyle name="Style 51 4 3 2 2 2 3 3" xfId="53194"/>
    <cellStyle name="Date [mm-d-yyyy] 3 3 2 2 2 3 3" xfId="53195"/>
    <cellStyle name="Afjusted 3 3 2 2 2 3 3" xfId="53196"/>
    <cellStyle name="Date [mm-d-yyyy] 3 5 2 2 3 3" xfId="53197"/>
    <cellStyle name="dp*SubTitle 2 3 2 2 3 3" xfId="53198"/>
    <cellStyle name="Date [mm-d-yyyy] 2 2 2 2 2 3 3" xfId="53199"/>
    <cellStyle name="Afjusted 3 2 2 2 2 3 3" xfId="53200"/>
    <cellStyle name="PB Table Standard Row 3 5 2 2 3 3" xfId="53201"/>
    <cellStyle name="Date [mm-d-yyyy] 3 2 2 2 2 3 3" xfId="53202"/>
    <cellStyle name="Style 51 4 2 2 2 2 3 3" xfId="53203"/>
    <cellStyle name="Style 49 4 2 2 2 2 3 3" xfId="53204"/>
    <cellStyle name="Style 45 4 2 2 2 2 3 3" xfId="53205"/>
    <cellStyle name="Style 44 4 2 2 2 2 3 3" xfId="53206"/>
    <cellStyle name="Style 45 4 5 2 2 3 3" xfId="53207"/>
    <cellStyle name="P-Green Rule 3 2 2 2 2 3 3" xfId="53208"/>
    <cellStyle name="PB Table Standard Row 3 2 2 2 2 3 3" xfId="53209"/>
    <cellStyle name="dp*ThinLineBelow 3 2 2 2 2 3 3" xfId="53210"/>
    <cellStyle name="dp*SubTitle 3 2 2 2 2 3 3" xfId="53211"/>
    <cellStyle name="Style 51 4 5 2 2 3 3" xfId="53212"/>
    <cellStyle name="Border Thin 3 2 2 2 2 3 3" xfId="53213"/>
    <cellStyle name="Afjusted 4 2 2 2 2 3 3" xfId="53214"/>
    <cellStyle name="ac 2 2 2 2 2 2 3 3" xfId="53215"/>
    <cellStyle name="Afjusted 2 2 2 2 2 2 3 3" xfId="53216"/>
    <cellStyle name="Bold/Border 2 2 2 2 2 2 3 3" xfId="53217"/>
    <cellStyle name="COL HEADINGS 2 2 2 2 2 2 3 3" xfId="53218"/>
    <cellStyle name="Date [mmm-yyyy] 2 2 2 2 2 2 3 3" xfId="53219"/>
    <cellStyle name="dp*NumberLine 2 2 2 2 2 2 3 3" xfId="53220"/>
    <cellStyle name="dp*NumberLineEPS 2 2 2 2 2 2 3 3" xfId="53221"/>
    <cellStyle name="dp*SheetSubTitle 2 2 2 2 2 2 3 3" xfId="53222"/>
    <cellStyle name="Heading [Helv] 2 2 2 2 2 2 3 3" xfId="53223"/>
    <cellStyle name="Heading [Palat] 2 2 2 2 2 2 3 3" xfId="53224"/>
    <cellStyle name="Magic 2 2 2 2 2 2 3 3" xfId="53225"/>
    <cellStyle name="Outputs 2 2 2 2 2 2 3 3" xfId="53226"/>
    <cellStyle name="Table Head Aligned 2 2 2 2 2 2 3 3" xfId="53227"/>
    <cellStyle name="Table Head Green 2 2 2 2 2 2 3 3" xfId="53228"/>
    <cellStyle name="Title [Helv] 2 2 2 2 2 2 3 3" xfId="53229"/>
    <cellStyle name="Title [Palat] 2 2 2 2 2 2 3 3" xfId="53230"/>
    <cellStyle name="dp*ThinLineBelow 3 5 2 2 3 3" xfId="53231"/>
    <cellStyle name="Date [mm-d-yyyy] 2 2 3 2 2 3 3" xfId="53232"/>
    <cellStyle name="Afjusted 3 2 3 2 2 3 3" xfId="53233"/>
    <cellStyle name="Date [mm-d-yyyy] 3 2 3 2 2 3 3" xfId="53234"/>
    <cellStyle name="Style 51 4 2 3 2 2 3 3" xfId="53235"/>
    <cellStyle name="Style 49 4 2 3 2 2 3 3" xfId="53236"/>
    <cellStyle name="Style 45 4 2 3 2 2 3 3" xfId="53237"/>
    <cellStyle name="Style 44 4 2 3 2 2 3 3" xfId="53238"/>
    <cellStyle name="P-Green Rule 3 2 3 2 2 3 3" xfId="53239"/>
    <cellStyle name="PB Table Standard Row 3 2 3 2 2 3 3" xfId="53240"/>
    <cellStyle name="dp*ThinLineBelow 3 2 3 2 2 3 3" xfId="53241"/>
    <cellStyle name="dp*SubTitle 3 2 3 2 2 3 3" xfId="53242"/>
    <cellStyle name="Border Thin 3 2 3 2 2 3 3" xfId="53243"/>
    <cellStyle name="Afjusted 4 2 3 2 2 3 3" xfId="53244"/>
    <cellStyle name="ac 2 2 2 3 2 2 3 3" xfId="53245"/>
    <cellStyle name="Afjusted 2 2 2 3 2 2 3 3" xfId="53246"/>
    <cellStyle name="Bold/Border 2 2 2 3 2 2 3 3" xfId="53247"/>
    <cellStyle name="COL HEADINGS 2 2 2 3 2 2 3 3" xfId="53248"/>
    <cellStyle name="Date [mmm-yyyy] 2 2 2 3 2 2 3 3" xfId="53249"/>
    <cellStyle name="dp*NumberLine 2 2 2 3 2 2 3 3" xfId="53250"/>
    <cellStyle name="dp*NumberLineEPS 2 2 2 3 2 2 3 3" xfId="53251"/>
    <cellStyle name="dp*SheetSubTitle 2 2 2 3 2 2 3 3" xfId="53252"/>
    <cellStyle name="Heading [Helv] 2 2 2 3 2 2 3 3" xfId="53253"/>
    <cellStyle name="Heading [Palat] 2 2 2 3 2 2 3 3" xfId="53254"/>
    <cellStyle name="Magic 2 2 2 3 2 2 3 3" xfId="53255"/>
    <cellStyle name="Outputs 2 2 2 3 2 2 3 3" xfId="53256"/>
    <cellStyle name="Table Head Aligned 2 2 2 3 2 2 3 3" xfId="53257"/>
    <cellStyle name="Table Head Green 2 2 2 3 2 2 3 3" xfId="53258"/>
    <cellStyle name="Title [Helv] 2 2 2 3 2 2 3 3" xfId="53259"/>
    <cellStyle name="Title [Palat] 2 2 2 3 2 2 3 3" xfId="53260"/>
    <cellStyle name="Afjusted 3 2 4 2 2 3 3" xfId="53261"/>
    <cellStyle name="Date [mm-d-yyyy] 3 2 4 2 2 3 3" xfId="53262"/>
    <cellStyle name="Style 51 4 2 4 2 2 3 3" xfId="53263"/>
    <cellStyle name="Style 49 4 2 4 2 2 3 3" xfId="53264"/>
    <cellStyle name="Style 45 4 2 4 2 2 3 3" xfId="53265"/>
    <cellStyle name="Style 44 4 2 4 2 2 3 3" xfId="53266"/>
    <cellStyle name="P-Green Rule 3 2 4 2 2 3 3" xfId="53267"/>
    <cellStyle name="PB Table Standard Row 3 2 4 2 2 3 3" xfId="53268"/>
    <cellStyle name="dp*ThinLineBelow 3 2 4 2 2 3 3" xfId="53269"/>
    <cellStyle name="dp*SubTitle 3 2 4 2 2 3 3" xfId="53270"/>
    <cellStyle name="Border Thin 3 2 4 2 2 3 3" xfId="53271"/>
    <cellStyle name="Afjusted 4 2 4 2 2 3 3" xfId="53272"/>
    <cellStyle name="ac 2 2 2 4 2 2 3 3" xfId="53273"/>
    <cellStyle name="Afjusted 2 2 2 4 2 2 3 3" xfId="53274"/>
    <cellStyle name="Bold/Border 2 2 2 4 2 2 3 3" xfId="53275"/>
    <cellStyle name="COL HEADINGS 2 2 2 4 2 2 3 3" xfId="53276"/>
    <cellStyle name="Date [mmm-yyyy] 2 2 2 4 2 2 3 3" xfId="53277"/>
    <cellStyle name="dp*NumberLine 2 2 2 4 2 2 3 3" xfId="53278"/>
    <cellStyle name="dp*NumberLineEPS 2 2 2 4 2 2 3 3" xfId="53279"/>
    <cellStyle name="dp*SheetSubTitle 2 2 2 4 2 2 3 3" xfId="53280"/>
    <cellStyle name="Heading [Helv] 2 2 2 4 2 2 3 3" xfId="53281"/>
    <cellStyle name="Heading [Palat] 2 2 2 4 2 2 3 3" xfId="53282"/>
    <cellStyle name="Magic 2 2 2 4 2 2 3 3" xfId="53283"/>
    <cellStyle name="Outputs 2 2 2 4 2 2 3 3" xfId="53284"/>
    <cellStyle name="Table Head Aligned 2 2 2 4 2 2 3 3" xfId="53285"/>
    <cellStyle name="Table Head Green 2 2 2 4 2 2 3 3" xfId="53286"/>
    <cellStyle name="Title [Helv] 2 2 2 4 2 2 3 3" xfId="53287"/>
    <cellStyle name="Title [Palat] 2 2 2 4 2 2 3 3" xfId="53288"/>
    <cellStyle name="Border Thin 4 2 2 3 3" xfId="53289"/>
    <cellStyle name="Date [mm-d-yyyy] 4 2 2 3 3" xfId="53290"/>
    <cellStyle name="dp*SubTitle 4 2 2 3 3" xfId="53291"/>
    <cellStyle name="dp*ThinLineBelow 4 2 2 3 3" xfId="53292"/>
    <cellStyle name="PB Table Standard Row 4 2 2 3 3" xfId="53293"/>
    <cellStyle name="P-Green Rule 4 2 2 3 3" xfId="53294"/>
    <cellStyle name="Style 44 5 2 2 3 3" xfId="53295"/>
    <cellStyle name="Style 45 5 2 2 3 3" xfId="53296"/>
    <cellStyle name="Style 49 5 2 2 3 3" xfId="53297"/>
    <cellStyle name="Style 51 5 2 2 3 3" xfId="53298"/>
    <cellStyle name="Title [Palat] 3 2 2 3 3" xfId="53299"/>
    <cellStyle name="Title [Helv] 3 2 2 3 3" xfId="53300"/>
    <cellStyle name="Table Head Green 3 2 2 3 3" xfId="53301"/>
    <cellStyle name="Table Head Aligned 3 2 2 3 3" xfId="53302"/>
    <cellStyle name="Outputs 3 2 2 3 3" xfId="53303"/>
    <cellStyle name="Magic 3 2 2 3 3" xfId="53304"/>
    <cellStyle name="Heading [Palat] 3 2 2 3 3" xfId="53305"/>
    <cellStyle name="Heading [Helv] 3 2 2 3 3" xfId="53306"/>
    <cellStyle name="dp*SheetSubTitle 3 2 2 3 3" xfId="53307"/>
    <cellStyle name="dp*NumberLineEPS 3 2 2 3 3" xfId="53308"/>
    <cellStyle name="dp*NumberLine 3 2 2 3 3" xfId="53309"/>
    <cellStyle name="COL HEADINGS 3 2 2 3 3" xfId="53310"/>
    <cellStyle name="Bold/Border 3 2 2 3 3" xfId="53311"/>
    <cellStyle name="Afjusted 5 2 2 3 3" xfId="53312"/>
    <cellStyle name="ac 3 2 2 3 3" xfId="53313"/>
    <cellStyle name="Date [mmm-yyyy] 3 2 2 3 3" xfId="53314"/>
    <cellStyle name="ac 2 4 2 2 3 3" xfId="53315"/>
    <cellStyle name="Afjusted 2 3 2 2 3 3" xfId="53316"/>
    <cellStyle name="Bold/Border 2 4 2 2 3 3" xfId="53317"/>
    <cellStyle name="Border Thin 2 4 2 2 3 3" xfId="53318"/>
    <cellStyle name="COL HEADINGS 2 4 2 2 3 3" xfId="53319"/>
    <cellStyle name="Date [mmm-yyyy] 2 4 2 2 3 3" xfId="53320"/>
    <cellStyle name="dp*NumberLine 2 4 2 2 3 3" xfId="53321"/>
    <cellStyle name="dp*NumberLineEPS 2 4 2 2 3 3" xfId="53322"/>
    <cellStyle name="dp*SheetSubTitle 2 4 2 2 3 3" xfId="53323"/>
    <cellStyle name="dp*SubTitle 2 4 2 2 3 3" xfId="53324"/>
    <cellStyle name="dp*ThinLineBelow 2 4 2 2 3 3" xfId="53325"/>
    <cellStyle name="Heading [Helv] 2 4 2 2 3 3" xfId="53326"/>
    <cellStyle name="Heading [Palat] 2 4 2 2 3 3" xfId="53327"/>
    <cellStyle name="Magic 2 4 2 2 3 3" xfId="53328"/>
    <cellStyle name="Outputs 2 4 2 2 3 3" xfId="53329"/>
    <cellStyle name="PB Table Standard Row 2 4 2 2 3 3" xfId="53330"/>
    <cellStyle name="P-Green Rule 2 4 2 2 3 3" xfId="53331"/>
    <cellStyle name="Style 44 3 4 2 2 3 3" xfId="53332"/>
    <cellStyle name="Style 45 3 4 2 2 3 3" xfId="53333"/>
    <cellStyle name="Style 49 3 4 2 2 3 3" xfId="53334"/>
    <cellStyle name="Style 51 3 4 2 2 3 3" xfId="53335"/>
    <cellStyle name="Style 44 2 4 2 2 3 3" xfId="53336"/>
    <cellStyle name="Style 45 2 4 2 2 3 3" xfId="53337"/>
    <cellStyle name="Style 49 2 4 2 2 3 3" xfId="53338"/>
    <cellStyle name="Style 51 2 4 2 2 3 3" xfId="53339"/>
    <cellStyle name="Table Head Aligned 2 4 2 2 3 3" xfId="53340"/>
    <cellStyle name="Table Head Green 2 4 2 2 3 3" xfId="53341"/>
    <cellStyle name="Title [Helv] 2 4 2 2 3 3" xfId="53342"/>
    <cellStyle name="Title [Palat] 2 4 2 2 3 3" xfId="53343"/>
    <cellStyle name="ac 4 2 2 3 3" xfId="53344"/>
    <cellStyle name="Bold/Border 4 2 2 3 3" xfId="53345"/>
    <cellStyle name="Border Thin 5 2 2 3 3" xfId="53346"/>
    <cellStyle name="COL HEADINGS 4 2 2 3 3" xfId="53347"/>
    <cellStyle name="Date [mm-d-yyyy] 5 2 2 3 3" xfId="53348"/>
    <cellStyle name="Heading [Helv] 4 2 2 3 3" xfId="53349"/>
    <cellStyle name="Heading [Palat] 4 2 2 3 3" xfId="53350"/>
    <cellStyle name="Outputs 4 2 2 3 3" xfId="53351"/>
    <cellStyle name="PB Table Standard Row 5 2 2 3 3" xfId="53352"/>
    <cellStyle name="P-Green Rule 5 2 2 3 3" xfId="53353"/>
    <cellStyle name="Style 44 6 2 2 3 3" xfId="53354"/>
    <cellStyle name="Style 45 6 2 2 3 3" xfId="53355"/>
    <cellStyle name="Style 49 6 2 2 3 3" xfId="53356"/>
    <cellStyle name="Style 51 6 2 2 3 3" xfId="53357"/>
    <cellStyle name="Table Head Green 4 2 2 3 3" xfId="53358"/>
    <cellStyle name="Afjusted 6 2 2 3 3" xfId="53359"/>
    <cellStyle name="ac 2 5 2 2 3 3" xfId="53360"/>
    <cellStyle name="Afjusted 2 4 2 2 3 3" xfId="53361"/>
    <cellStyle name="Bold/Border 2 5 2 2 3 3" xfId="53362"/>
    <cellStyle name="Border Thin 2 5 2 2 3 3" xfId="53363"/>
    <cellStyle name="COL HEADINGS 2 5 2 2 3 3" xfId="53364"/>
    <cellStyle name="Date [mmm-yyyy] 2 5 2 2 3 3" xfId="53365"/>
    <cellStyle name="dp*NumberLine 2 5 2 2 3 3" xfId="53366"/>
    <cellStyle name="dp*NumberLineEPS 2 5 2 2 3 3" xfId="53367"/>
    <cellStyle name="dp*SheetSubTitle 2 5 2 2 3 3" xfId="53368"/>
    <cellStyle name="dp*SubTitle 2 5 2 2 3 3" xfId="53369"/>
    <cellStyle name="dp*ThinLineBelow 2 5 2 2 3 3" xfId="53370"/>
    <cellStyle name="Heading [Helv] 2 5 2 2 3 3" xfId="53371"/>
    <cellStyle name="Heading [Palat] 2 5 2 2 3 3" xfId="53372"/>
    <cellStyle name="Magic 2 5 2 2 3 3" xfId="53373"/>
    <cellStyle name="Outputs 2 5 2 2 3 3" xfId="53374"/>
    <cellStyle name="PB Table Standard Row 2 5 2 2 3 3" xfId="53375"/>
    <cellStyle name="P-Green Rule 2 5 2 2 3 3" xfId="53376"/>
    <cellStyle name="Style 44 3 5 2 2 3 3" xfId="53377"/>
    <cellStyle name="Style 45 3 5 2 2 3 3" xfId="53378"/>
    <cellStyle name="Style 49 3 5 2 2 3 3" xfId="53379"/>
    <cellStyle name="Style 51 3 5 2 2 3 3" xfId="53380"/>
    <cellStyle name="Style 44 2 5 2 2 3 3" xfId="53381"/>
    <cellStyle name="Style 45 2 5 2 2 3 3" xfId="53382"/>
    <cellStyle name="Style 49 2 5 2 2 3 3" xfId="53383"/>
    <cellStyle name="Style 51 2 5 2 2 3 3" xfId="53384"/>
    <cellStyle name="Table Head Aligned 2 5 2 2 3 3" xfId="53385"/>
    <cellStyle name="Table Head Green 2 5 2 2 3 3" xfId="53386"/>
    <cellStyle name="Title [Helv] 2 5 2 2 3 3" xfId="53387"/>
    <cellStyle name="Title [Palat] 2 5 2 2 3 3" xfId="53388"/>
    <cellStyle name="ac 5 2 2 3 3" xfId="53389"/>
    <cellStyle name="Bold/Border 5 2 2 3 3" xfId="53390"/>
    <cellStyle name="Border Thin 6 2 2 3 3" xfId="53391"/>
    <cellStyle name="COL HEADINGS 5 2 2 3 3" xfId="53392"/>
    <cellStyle name="Heading [Helv] 5 2 2 3 3" xfId="53393"/>
    <cellStyle name="Heading [Palat] 5 2 2 3 3" xfId="53394"/>
    <cellStyle name="Outputs 5 2 2 3 3" xfId="53395"/>
    <cellStyle name="PB Table Standard Row 6 2 2 3 3" xfId="53396"/>
    <cellStyle name="P-Green Rule 6 2 2 3 3" xfId="53397"/>
    <cellStyle name="Style 44 7 2 2 3 3" xfId="53398"/>
    <cellStyle name="Style 45 7 2 2 3 3" xfId="53399"/>
    <cellStyle name="Style 49 7 2 2 3 3" xfId="53400"/>
    <cellStyle name="Style 51 7 2 2 3 3" xfId="53401"/>
    <cellStyle name="Table Head Green 5 2 2 3 3" xfId="53402"/>
    <cellStyle name="Title [Palat] 4 2 2 3 3" xfId="53403"/>
    <cellStyle name="ac 2 6 2 2 3 3" xfId="53404"/>
    <cellStyle name="Bold/Border 2 6 2 2 3 3" xfId="53405"/>
    <cellStyle name="Border Thin 2 6 2 2 3 3" xfId="53406"/>
    <cellStyle name="COL HEADINGS 2 6 2 2 3 3" xfId="53407"/>
    <cellStyle name="Heading [Helv] 2 6 2 2 3 3" xfId="53408"/>
    <cellStyle name="Heading [Palat] 2 6 2 2 3 3" xfId="53409"/>
    <cellStyle name="Outputs 2 6 2 2 3 3" xfId="53410"/>
    <cellStyle name="PB Table Standard Row 2 6 2 2 3 3" xfId="53411"/>
    <cellStyle name="P-Green Rule 2 6 2 2 3 3" xfId="53412"/>
    <cellStyle name="Style 44 3 6 2 2 3 3" xfId="53413"/>
    <cellStyle name="Style 45 3 6 2 2 3 3" xfId="53414"/>
    <cellStyle name="Style 49 3 6 2 2 3 3" xfId="53415"/>
    <cellStyle name="Style 51 3 6 2 2 3 3" xfId="53416"/>
    <cellStyle name="Style 44 2 6 2 2 3 3" xfId="53417"/>
    <cellStyle name="Style 45 2 6 2 2 3 3" xfId="53418"/>
    <cellStyle name="Style 49 2 6 2 2 3 3" xfId="53419"/>
    <cellStyle name="Style 51 2 6 2 2 3 3" xfId="53420"/>
    <cellStyle name="Table Head Green 2 6 2 2 3 3" xfId="53421"/>
    <cellStyle name="Title [Palat] 2 6 2 2 3 3" xfId="53422"/>
    <cellStyle name="Title [Palat] 5 2 2 3 3" xfId="53423"/>
    <cellStyle name="Title [Helv] 4 2 2 3 3" xfId="53424"/>
    <cellStyle name="Table Head Green 6 2 2 3 3" xfId="53425"/>
    <cellStyle name="Table Head Aligned 4 2 2 3 3" xfId="53426"/>
    <cellStyle name="Style 51 9 2 2 3 3" xfId="53427"/>
    <cellStyle name="Style 49 9 2 2 3 3" xfId="53428"/>
    <cellStyle name="Style 45 9 2 2 3 3" xfId="53429"/>
    <cellStyle name="Style 44 9 2 2 3 3" xfId="53430"/>
    <cellStyle name="P-Green Rule 7 2 2 3 3" xfId="53431"/>
    <cellStyle name="PB Table Standard Row 7 2 2 3 3" xfId="53432"/>
    <cellStyle name="Outputs 6 2 2 3 3" xfId="53433"/>
    <cellStyle name="Magic 4 2 2 3 3" xfId="53434"/>
    <cellStyle name="Heading [Palat] 6 2 2 3 3" xfId="53435"/>
    <cellStyle name="Heading [Helv] 6 2 2 3 3" xfId="53436"/>
    <cellStyle name="dp*ThinLineBelow 5 2 2 3 3" xfId="53437"/>
    <cellStyle name="dp*SubTitle 5 2 2 3 3" xfId="53438"/>
    <cellStyle name="dp*SheetSubTitle 4 2 2 3 3" xfId="53439"/>
    <cellStyle name="dp*NumberLineEPS 4 2 2 3 3" xfId="53440"/>
    <cellStyle name="dp*NumberLine 4 2 2 3 3" xfId="53441"/>
    <cellStyle name="Date [mmm-yyyy] 4 2 2 3 3" xfId="53442"/>
    <cellStyle name="Date [mm-d-yyyy] 7 2 2 3 3" xfId="53443"/>
    <cellStyle name="COL HEADINGS 6 2 2 3 3" xfId="53444"/>
    <cellStyle name="Border Thin 7 2 2 3 3" xfId="53445"/>
    <cellStyle name="Bold/Border 6 2 2 3 3" xfId="53446"/>
    <cellStyle name="Afjusted 7 2 2 3 3" xfId="53447"/>
    <cellStyle name="ac 6 2 2 3 3" xfId="53448"/>
    <cellStyle name="Style 44 8 2 2 3 3" xfId="53449"/>
    <cellStyle name="Style 45 8 2 2 3 3" xfId="53450"/>
    <cellStyle name="Style 49 8 2 2 3 3" xfId="53451"/>
    <cellStyle name="Style 51 8 2 2 3 3" xfId="53452"/>
    <cellStyle name="Title [Palat] 6 2 2 3 3" xfId="53453"/>
    <cellStyle name="Title [Helv] 5 2 2 3 3" xfId="53454"/>
    <cellStyle name="Table Head Green 7 2 2 3 3" xfId="53455"/>
    <cellStyle name="Table Head Aligned 5 2 2 3 3" xfId="53456"/>
    <cellStyle name="Outputs 7 2 2 3 3" xfId="53457"/>
    <cellStyle name="Magic 5 2 2 3 3" xfId="53458"/>
    <cellStyle name="Heading [Palat] 7 2 2 3 3" xfId="53459"/>
    <cellStyle name="Heading [Helv] 7 2 2 3 3" xfId="53460"/>
    <cellStyle name="dp*SheetSubTitle 5 2 2 3 3" xfId="53461"/>
    <cellStyle name="dp*NumberLineEPS 5 2 2 3 3" xfId="53462"/>
    <cellStyle name="dp*NumberLine 5 2 2 3 3" xfId="53463"/>
    <cellStyle name="Date [mmm-yyyy] 5 2 2 3 3" xfId="53464"/>
    <cellStyle name="COL HEADINGS 7 2 2 3 3" xfId="53465"/>
    <cellStyle name="Bold/Border 7 2 2 3 3" xfId="53466"/>
    <cellStyle name="Afjusted 8 2 2 3 3" xfId="53467"/>
    <cellStyle name="ac 7 2 2 3 3" xfId="53468"/>
    <cellStyle name="Title [Palat] 7 2 2 3 3" xfId="53469"/>
    <cellStyle name="Title [Helv] 6 2 2 3 3" xfId="53470"/>
    <cellStyle name="Table Head Green 8 2 2 3 3" xfId="53471"/>
    <cellStyle name="Table Head Aligned 6 2 2 3 3" xfId="53472"/>
    <cellStyle name="Outputs 8 2 2 3 3" xfId="53473"/>
    <cellStyle name="Magic 6 2 2 3 3" xfId="53474"/>
    <cellStyle name="Heading [Palat] 8 2 2 3 3" xfId="53475"/>
    <cellStyle name="Heading [Helv] 8 2 2 3 3" xfId="53476"/>
    <cellStyle name="dp*SheetSubTitle 6 2 2 3 3" xfId="53477"/>
    <cellStyle name="dp*NumberLineEPS 6 2 2 3 3" xfId="53478"/>
    <cellStyle name="dp*NumberLine 6 2 2 3 3" xfId="53479"/>
    <cellStyle name="COL HEADINGS 8 2 2 3 3" xfId="53480"/>
    <cellStyle name="Bold/Border 8 2 2 3 3" xfId="53481"/>
    <cellStyle name="Afjusted 9 2 2 3 3" xfId="53482"/>
    <cellStyle name="ac 8 2 2 3 3" xfId="53483"/>
    <cellStyle name="Date [mmm-yyyy] 6 2 2 3 3" xfId="53484"/>
    <cellStyle name="Title [Palat] 8 2 2 3 3" xfId="53485"/>
    <cellStyle name="Title [Helv] 7 2 2 3 3" xfId="53486"/>
    <cellStyle name="Table Head Green 9 2 2 3 3" xfId="53487"/>
    <cellStyle name="Table Head Aligned 7 2 2 3 3" xfId="53488"/>
    <cellStyle name="Outputs 9 2 2 3 3" xfId="53489"/>
    <cellStyle name="Magic 7 2 2 3 3" xfId="53490"/>
    <cellStyle name="Heading [Palat] 9 2 2 3 3" xfId="53491"/>
    <cellStyle name="Heading [Helv] 9 2 2 3 3" xfId="53492"/>
    <cellStyle name="dp*SheetSubTitle 7 2 2 3 3" xfId="53493"/>
    <cellStyle name="dp*NumberLineEPS 7 2 2 3 3" xfId="53494"/>
    <cellStyle name="dp*NumberLine 7 2 2 3 3" xfId="53495"/>
    <cellStyle name="Date [mmm-yyyy] 7 2 2 3 3" xfId="53496"/>
    <cellStyle name="COL HEADINGS 9 2 2 3 3" xfId="53497"/>
    <cellStyle name="Bold/Border 9 2 2 3 3" xfId="53498"/>
    <cellStyle name="Afjusted 10 2 2 3 3" xfId="53499"/>
    <cellStyle name="ac 9 2 2 3 3" xfId="53500"/>
    <cellStyle name="Style 44 6 4 3 3" xfId="53501"/>
    <cellStyle name="Style 45 6 4 3 3" xfId="53502"/>
    <cellStyle name="Style 49 6 4 3 3" xfId="53503"/>
    <cellStyle name="Style 51 6 4 3 3" xfId="53504"/>
    <cellStyle name="Table Head Green 4 4 3 3" xfId="53505"/>
    <cellStyle name="Afjusted 6 4 3 3" xfId="53506"/>
    <cellStyle name="ac 2 5 4 3 3" xfId="53507"/>
    <cellStyle name="Afjusted 2 4 4 3 3" xfId="53508"/>
    <cellStyle name="Bold/Border 2 5 4 3 3" xfId="53509"/>
    <cellStyle name="Border Thin 2 5 4 3 3" xfId="53510"/>
    <cellStyle name="COL HEADINGS 2 5 4 3 3" xfId="53511"/>
    <cellStyle name="Date [mmm-yyyy] 2 5 4 3 3" xfId="53512"/>
    <cellStyle name="dp*NumberLine 2 5 4 3 3" xfId="53513"/>
    <cellStyle name="dp*NumberLineEPS 2 5 4 3 3" xfId="53514"/>
    <cellStyle name="dp*SheetSubTitle 2 5 4 3 3" xfId="53515"/>
    <cellStyle name="dp*SubTitle 2 5 4 3 3" xfId="53516"/>
    <cellStyle name="dp*ThinLineBelow 2 5 4 3 3" xfId="53517"/>
    <cellStyle name="Heading [Helv] 2 5 4 3 3" xfId="53518"/>
    <cellStyle name="Heading [Palat] 2 5 4 3 3" xfId="53519"/>
    <cellStyle name="Magic 2 5 4 3 3" xfId="53520"/>
    <cellStyle name="Outputs 2 5 4 3 3" xfId="53521"/>
    <cellStyle name="PB Table Standard Row 2 5 4 3 3" xfId="53522"/>
    <cellStyle name="P-Green Rule 2 5 4 3 3" xfId="53523"/>
    <cellStyle name="Style 44 3 5 4 3 3" xfId="53524"/>
    <cellStyle name="Style 45 3 5 4 3 3" xfId="53525"/>
    <cellStyle name="Style 49 3 5 4 3 3" xfId="53526"/>
    <cellStyle name="Style 51 3 5 4 3 3" xfId="53527"/>
    <cellStyle name="Style 44 2 5 4 3 3" xfId="53528"/>
    <cellStyle name="Style 45 2 5 4 3 3" xfId="53529"/>
    <cellStyle name="Style 49 2 5 4 3 3" xfId="53530"/>
    <cellStyle name="Style 51 2 5 4 3 3" xfId="53531"/>
    <cellStyle name="Table Head Aligned 2 5 4 3 3" xfId="53532"/>
    <cellStyle name="Table Head Green 2 5 4 3 3" xfId="53533"/>
    <cellStyle name="Title [Helv] 2 5 4 3 3" xfId="53534"/>
    <cellStyle name="Title [Palat] 2 5 4 3 3" xfId="53535"/>
    <cellStyle name="ac 5 4 3 3" xfId="53536"/>
    <cellStyle name="Bold/Border 5 4 3 3" xfId="53537"/>
    <cellStyle name="Border Thin 6 4 3 3" xfId="53538"/>
    <cellStyle name="COL HEADINGS 5 4 3 3" xfId="53539"/>
    <cellStyle name="Date [mm-d-yyyy] 6 3 3 3" xfId="53540"/>
    <cellStyle name="Heading [Helv] 5 4 3 3" xfId="53541"/>
    <cellStyle name="Heading [Palat] 5 4 3 3" xfId="53542"/>
    <cellStyle name="Outputs 5 4 3 3" xfId="53543"/>
    <cellStyle name="PB Table Standard Row 6 4 3 3" xfId="53544"/>
    <cellStyle name="P-Green Rule 6 4 3 3" xfId="53545"/>
    <cellStyle name="Style 44 7 4 3 3" xfId="53546"/>
    <cellStyle name="Style 45 7 4 3 3" xfId="53547"/>
    <cellStyle name="Style 49 7 4 3 3" xfId="53548"/>
    <cellStyle name="Style 51 7 4 3 3" xfId="53549"/>
    <cellStyle name="Table Head Green 5 4 3 3" xfId="53550"/>
    <cellStyle name="Title [Palat] 4 4 3 3" xfId="53551"/>
    <cellStyle name="ac 2 6 4 3 3" xfId="53552"/>
    <cellStyle name="Bold/Border 2 6 4 3 3" xfId="53553"/>
    <cellStyle name="Border Thin 2 6 4 3 3" xfId="53554"/>
    <cellStyle name="COL HEADINGS 2 6 4 3 3" xfId="53555"/>
    <cellStyle name="Date [mm-d-yyyy] 2 3 3 3 3" xfId="53556"/>
    <cellStyle name="Heading [Helv] 2 6 4 3 3" xfId="53557"/>
    <cellStyle name="Heading [Palat] 2 6 4 3 3" xfId="53558"/>
    <cellStyle name="Outputs 2 6 4 3 3" xfId="53559"/>
    <cellStyle name="PB Table Standard Row 2 6 4 3 3" xfId="53560"/>
    <cellStyle name="P-Green Rule 2 6 4 3 3" xfId="53561"/>
    <cellStyle name="Style 44 3 6 4 3 3" xfId="53562"/>
    <cellStyle name="Style 45 3 6 4 3 3" xfId="53563"/>
    <cellStyle name="Style 49 3 6 4 3 3" xfId="53564"/>
    <cellStyle name="Style 51 3 6 4 3 3" xfId="53565"/>
    <cellStyle name="Style 44 2 6 4 3 3" xfId="53566"/>
    <cellStyle name="Style 45 2 6 4 3 3" xfId="53567"/>
    <cellStyle name="Style 49 2 6 4 3 3" xfId="53568"/>
    <cellStyle name="Style 51 2 6 4 3 3" xfId="53569"/>
    <cellStyle name="Table Head Green 2 6 4 3 3" xfId="53570"/>
    <cellStyle name="Title [Palat] 2 6 4 3 3" xfId="53571"/>
    <cellStyle name="Title [Palat] 5 4 3 3" xfId="53572"/>
    <cellStyle name="Title [Helv] 4 4 3 3" xfId="53573"/>
    <cellStyle name="Table Head Green 6 4 3 3" xfId="53574"/>
    <cellStyle name="Table Head Aligned 4 4 3 3" xfId="53575"/>
    <cellStyle name="Style 51 9 3 3 3" xfId="53576"/>
    <cellStyle name="Style 49 9 3 3 3" xfId="53577"/>
    <cellStyle name="Style 45 9 3 3 3" xfId="53578"/>
    <cellStyle name="Style 44 9 3 3 3" xfId="53579"/>
    <cellStyle name="P-Green Rule 7 3 3 3" xfId="53580"/>
    <cellStyle name="PB Table Standard Row 7 3 3 3" xfId="53581"/>
    <cellStyle name="Outputs 6 4 3 3" xfId="53582"/>
    <cellStyle name="Magic 4 4 3 3" xfId="53583"/>
    <cellStyle name="Heading [Palat] 6 4 3 3" xfId="53584"/>
    <cellStyle name="Heading [Helv] 6 4 3 3" xfId="53585"/>
    <cellStyle name="dp*ThinLineBelow 5 4 3 3" xfId="53586"/>
    <cellStyle name="dp*SubTitle 5 4 3 3" xfId="53587"/>
    <cellStyle name="dp*SheetSubTitle 4 4 3 3" xfId="53588"/>
    <cellStyle name="dp*NumberLineEPS 4 4 3 3" xfId="53589"/>
    <cellStyle name="dp*NumberLine 4 4 3 3" xfId="53590"/>
    <cellStyle name="Date [mmm-yyyy] 4 4 3 3" xfId="53591"/>
    <cellStyle name="Date [mm-d-yyyy] 7 4 3 3" xfId="53592"/>
    <cellStyle name="COL HEADINGS 6 4 3 3" xfId="53593"/>
    <cellStyle name="Border Thin 7 4 3 3" xfId="53594"/>
    <cellStyle name="Bold/Border 6 4 3 3" xfId="53595"/>
    <cellStyle name="Afjusted 7 4 3 3" xfId="53596"/>
    <cellStyle name="ac 6 4 3 3" xfId="53597"/>
    <cellStyle name="Style 44 8 4 3 3" xfId="53598"/>
    <cellStyle name="Style 45 8 4 3 3" xfId="53599"/>
    <cellStyle name="Style 49 8 4 3 3" xfId="53600"/>
    <cellStyle name="Style 51 8 4 3 3" xfId="53601"/>
    <cellStyle name="Title [Palat] 6 4 3 3" xfId="53602"/>
    <cellStyle name="Title [Helv] 5 4 3 3" xfId="53603"/>
    <cellStyle name="Table Head Green 7 4 3 3" xfId="53604"/>
    <cellStyle name="Table Head Aligned 5 4 3 3" xfId="53605"/>
    <cellStyle name="Outputs 7 4 3 3" xfId="53606"/>
    <cellStyle name="Magic 5 4 3 3" xfId="53607"/>
    <cellStyle name="Heading [Palat] 7 4 3 3" xfId="53608"/>
    <cellStyle name="Heading [Helv] 7 4 3 3" xfId="53609"/>
    <cellStyle name="dp*SheetSubTitle 5 4 3 3" xfId="53610"/>
    <cellStyle name="dp*NumberLineEPS 5 4 3 3" xfId="53611"/>
    <cellStyle name="dp*NumberLine 5 4 3 3" xfId="53612"/>
    <cellStyle name="Date [mmm-yyyy] 5 4 3 3" xfId="53613"/>
    <cellStyle name="COL HEADINGS 7 4 3 3" xfId="53614"/>
    <cellStyle name="Bold/Border 7 4 3 3" xfId="53615"/>
    <cellStyle name="Afjusted 8 4 3 3" xfId="53616"/>
    <cellStyle name="ac 7 4 3 3" xfId="53617"/>
    <cellStyle name="Title [Palat] 7 4 3 3" xfId="53618"/>
    <cellStyle name="Title [Helv] 6 4 3 3" xfId="53619"/>
    <cellStyle name="Table Head Green 8 4 3 3" xfId="53620"/>
    <cellStyle name="Table Head Aligned 6 4 3 3" xfId="53621"/>
    <cellStyle name="Outputs 8 4 3 3" xfId="53622"/>
    <cellStyle name="Magic 6 4 3 3" xfId="53623"/>
    <cellStyle name="Heading [Palat] 8 4 3 3" xfId="53624"/>
    <cellStyle name="Heading [Helv] 8 4 3 3" xfId="53625"/>
    <cellStyle name="dp*SheetSubTitle 6 4 3 3" xfId="53626"/>
    <cellStyle name="dp*NumberLineEPS 6 4 3 3" xfId="53627"/>
    <cellStyle name="dp*NumberLine 6 4 3 3" xfId="53628"/>
    <cellStyle name="COL HEADINGS 8 4 3 3" xfId="53629"/>
    <cellStyle name="Bold/Border 8 4 3 3" xfId="53630"/>
    <cellStyle name="Afjusted 9 4 3 3" xfId="53631"/>
    <cellStyle name="ac 8 4 3 3" xfId="53632"/>
    <cellStyle name="Date [mmm-yyyy] 6 4 3 3" xfId="53633"/>
    <cellStyle name="Title [Palat] 8 4 3 3" xfId="53634"/>
    <cellStyle name="Title [Helv] 7 4 3 3" xfId="53635"/>
    <cellStyle name="Table Head Green 9 4 3 3" xfId="53636"/>
    <cellStyle name="Table Head Aligned 7 4 3 3" xfId="53637"/>
    <cellStyle name="Outputs 9 4 3 3" xfId="53638"/>
    <cellStyle name="Magic 7 4 3 3" xfId="53639"/>
    <cellStyle name="Heading [Palat] 9 4 3 3" xfId="53640"/>
    <cellStyle name="Heading [Helv] 9 4 3 3" xfId="53641"/>
    <cellStyle name="dp*SheetSubTitle 7 4 3 3" xfId="53642"/>
    <cellStyle name="dp*NumberLineEPS 7 4 3 3" xfId="53643"/>
    <cellStyle name="dp*NumberLine 7 4 3 3" xfId="53644"/>
    <cellStyle name="Date [mmm-yyyy] 7 4 3 3" xfId="53645"/>
    <cellStyle name="COL HEADINGS 9 4 3 3" xfId="53646"/>
    <cellStyle name="Bold/Border 9 4 3 3" xfId="53647"/>
    <cellStyle name="Afjusted 10 4 3 3" xfId="53648"/>
    <cellStyle name="ac 9 4 3 3" xfId="53649"/>
    <cellStyle name="Afjusted 3 6 3 3 3" xfId="53650"/>
    <cellStyle name="ac 2 7 3 3 3" xfId="53651"/>
    <cellStyle name="Afjusted 2 5 3 3 3" xfId="53652"/>
    <cellStyle name="Bold/Border 2 7 3 3 3" xfId="53653"/>
    <cellStyle name="COL HEADINGS 2 7 3 3 3" xfId="53654"/>
    <cellStyle name="Date [mmm-yyyy] 2 6 3 3 3" xfId="53655"/>
    <cellStyle name="dp*NumberLine 2 6 3 3 3" xfId="53656"/>
    <cellStyle name="dp*NumberLineEPS 2 6 3 3 3" xfId="53657"/>
    <cellStyle name="dp*SheetSubTitle 2 6 3 3 3" xfId="53658"/>
    <cellStyle name="Heading [Helv] 2 7 3 3 3" xfId="53659"/>
    <cellStyle name="Heading [Palat] 2 7 3 3 3" xfId="53660"/>
    <cellStyle name="Magic 2 6 3 3 3" xfId="53661"/>
    <cellStyle name="Outputs 2 7 3 3 3" xfId="53662"/>
    <cellStyle name="Table Head Aligned 2 6 3 3 3" xfId="53663"/>
    <cellStyle name="Table Head Green 2 7 3 3 3" xfId="53664"/>
    <cellStyle name="Title [Helv] 2 6 3 3 3" xfId="53665"/>
    <cellStyle name="Title [Palat] 2 7 3 3 3" xfId="53666"/>
    <cellStyle name="Date [mm-d-yyyy] 3 6 3 3 3" xfId="53667"/>
    <cellStyle name="Style 51 4 6 3 3 3" xfId="53668"/>
    <cellStyle name="Style 49 4 6 3 3 3" xfId="53669"/>
    <cellStyle name="Style 45 4 6 3 3 3" xfId="53670"/>
    <cellStyle name="Style 44 4 6 3 3 3" xfId="53671"/>
    <cellStyle name="P-Green Rule 3 6 3 3 3" xfId="53672"/>
    <cellStyle name="PB Table Standard Row 3 6 3 3 3" xfId="53673"/>
    <cellStyle name="dp*ThinLineBelow 3 6 3 3 3" xfId="53674"/>
    <cellStyle name="dp*SubTitle 3 6 3 3 3" xfId="53675"/>
    <cellStyle name="Border Thin 3 6 3 3 3" xfId="53676"/>
    <cellStyle name="Afjusted 4 6 3 3 3" xfId="53677"/>
    <cellStyle name="ac 2 2 5 3 3 3" xfId="53678"/>
    <cellStyle name="Afjusted 2 2 6 3 3 3" xfId="53679"/>
    <cellStyle name="Bold/Border 2 2 5 3 3 3" xfId="53680"/>
    <cellStyle name="COL HEADINGS 2 2 5 3 3 3" xfId="53681"/>
    <cellStyle name="Date [mmm-yyyy] 2 2 5 3 3 3" xfId="53682"/>
    <cellStyle name="dp*NumberLine 2 2 5 3 3 3" xfId="53683"/>
    <cellStyle name="dp*NumberLineEPS 2 2 5 3 3 3" xfId="53684"/>
    <cellStyle name="dp*SheetSubTitle 2 2 5 3 3 3" xfId="53685"/>
    <cellStyle name="Heading [Helv] 2 2 5 3 3 3" xfId="53686"/>
    <cellStyle name="Heading [Palat] 2 2 5 3 3 3" xfId="53687"/>
    <cellStyle name="Magic 2 2 5 3 3 3" xfId="53688"/>
    <cellStyle name="Outputs 2 2 5 3 3 3" xfId="53689"/>
    <cellStyle name="Table Head Aligned 2 2 5 3 3 3" xfId="53690"/>
    <cellStyle name="Table Head Green 2 2 5 3 3 3" xfId="53691"/>
    <cellStyle name="Title [Helv] 2 2 5 3 3 3" xfId="53692"/>
    <cellStyle name="Title [Palat] 2 2 5 3 3 3" xfId="53693"/>
    <cellStyle name="dp*SubTitle 2 2 2 3 3 3" xfId="53694"/>
    <cellStyle name="Border Thin 2 2 2 3 3 3" xfId="53695"/>
    <cellStyle name="Bold/Border 2 2 3 4 2 3 3 3" xfId="53696"/>
    <cellStyle name="Magic 2 2 3 4 2 3 3 3" xfId="53697"/>
    <cellStyle name="Title [Helv] 2 2 3 4 2 3 3 3" xfId="53698"/>
    <cellStyle name="Style 51 2 2 2 3 3 3" xfId="53699"/>
    <cellStyle name="Style 45 2 2 2 3 3 3" xfId="53700"/>
    <cellStyle name="Style 49 2 2 2 3 3 3" xfId="53701"/>
    <cellStyle name="Style 44 2 2 2 3 3 3" xfId="53702"/>
    <cellStyle name="Style 51 3 2 2 3 3 3" xfId="53703"/>
    <cellStyle name="Style 49 3 2 2 3 3 3" xfId="53704"/>
    <cellStyle name="Style 45 3 2 2 3 3 3" xfId="53705"/>
    <cellStyle name="Style 44 3 2 2 3 3 3" xfId="53706"/>
    <cellStyle name="P-Green Rule 2 2 2 3 3 3" xfId="53707"/>
    <cellStyle name="PB Table Standard Row 2 2 2 3 3 3" xfId="53708"/>
    <cellStyle name="dp*ThinLineBelow 2 2 2 3 3 3" xfId="53709"/>
    <cellStyle name="dp*ThinLineBelow 2 3 2 3 3 3" xfId="53710"/>
    <cellStyle name="Style 44 3 3 2 3 3 3" xfId="53711"/>
    <cellStyle name="COL HEADINGS 2 2 3 4 2 3 3 3" xfId="53712"/>
    <cellStyle name="Style 49 4 3 4 2 3 3 3" xfId="53713"/>
    <cellStyle name="Afjusted 3 3 4 2 3 3 3" xfId="53714"/>
    <cellStyle name="Date [mm-d-yyyy] 3 3 4 2 3 3 3" xfId="53715"/>
    <cellStyle name="Afjusted 4 3 4 2 3 3 3" xfId="53716"/>
    <cellStyle name="ac 2 2 3 4 2 3 3 3" xfId="53717"/>
    <cellStyle name="Afjusted 2 2 3 4 2 3 3 3" xfId="53718"/>
    <cellStyle name="Date [mmm-yyyy] 2 2 3 4 2 3 3 3" xfId="53719"/>
    <cellStyle name="dp*NumberLine 2 2 3 4 2 3 3 3" xfId="53720"/>
    <cellStyle name="dp*NumberLineEPS 2 2 3 4 2 3 3 3" xfId="53721"/>
    <cellStyle name="dp*SheetSubTitle 2 2 3 4 2 3 3 3" xfId="53722"/>
    <cellStyle name="Heading [Helv] 2 2 3 4 2 3 3 3" xfId="53723"/>
    <cellStyle name="Outputs 2 2 3 4 2 3 3 3" xfId="53724"/>
    <cellStyle name="Table Head Aligned 2 2 3 4 2 3 3 3" xfId="53725"/>
    <cellStyle name="Title [Palat] 2 2 3 4 2 3 3 3" xfId="53726"/>
    <cellStyle name="Afjusted 3 5 2 3 3 3" xfId="53727"/>
    <cellStyle name="Style 45 3 3 2 3 3 3" xfId="53728"/>
    <cellStyle name="Style 51 3 3 2 3 3 3" xfId="53729"/>
    <cellStyle name="Style 44 2 3 2 3 3 3" xfId="53730"/>
    <cellStyle name="Style 45 2 3 2 3 3 3" xfId="53731"/>
    <cellStyle name="Style 49 2 3 2 3 3 3" xfId="53732"/>
    <cellStyle name="Border Thin 3 5 2 3 3 3" xfId="53733"/>
    <cellStyle name="ac 2 2 4 2 3 3 3" xfId="53734"/>
    <cellStyle name="Afjusted 2 2 5 2 3 3 3" xfId="53735"/>
    <cellStyle name="Bold/Border 2 2 4 2 3 3 3" xfId="53736"/>
    <cellStyle name="COL HEADINGS 2 2 4 2 3 3 3" xfId="53737"/>
    <cellStyle name="Date [mmm-yyyy] 2 2 4 2 3 3 3" xfId="53738"/>
    <cellStyle name="dp*NumberLine 2 2 4 2 3 3 3" xfId="53739"/>
    <cellStyle name="dp*NumberLineEPS 2 2 4 2 3 3 3" xfId="53740"/>
    <cellStyle name="dp*SheetSubTitle 2 2 4 2 3 3 3" xfId="53741"/>
    <cellStyle name="Heading [Palat] 2 2 4 2 3 3 3" xfId="53742"/>
    <cellStyle name="Outputs 2 2 4 2 3 3 3" xfId="53743"/>
    <cellStyle name="Magic 2 2 4 2 3 3 3" xfId="53744"/>
    <cellStyle name="Title [Helv] 2 2 4 2 3 3 3" xfId="53745"/>
    <cellStyle name="Title [Palat] 2 2 4 2 3 3 3" xfId="53746"/>
    <cellStyle name="Title [Palat] 2 2 3 3 2 3 3 3" xfId="53747"/>
    <cellStyle name="Title [Helv] 2 2 3 3 2 3 3 3" xfId="53748"/>
    <cellStyle name="Table Head Aligned 2 2 3 3 2 3 3 3" xfId="53749"/>
    <cellStyle name="Magic 2 2 3 3 2 3 3 3" xfId="53750"/>
    <cellStyle name="Heading [Helv] 2 2 3 3 2 3 3 3" xfId="53751"/>
    <cellStyle name="dp*NumberLineEPS 2 2 3 3 2 3 3 3" xfId="53752"/>
    <cellStyle name="COL HEADINGS 2 2 3 3 2 3 3 3" xfId="53753"/>
    <cellStyle name="ac 2 2 3 3 2 3 3 3" xfId="53754"/>
    <cellStyle name="Afjusted 4 3 3 2 3 3 3" xfId="53755"/>
    <cellStyle name="Border Thin 3 3 3 2 3 3 3" xfId="53756"/>
    <cellStyle name="PB Table Standard Row 3 3 3 2 3 3 3" xfId="53757"/>
    <cellStyle name="Style 44 4 3 3 2 3 3 3" xfId="53758"/>
    <cellStyle name="Style 51 4 3 3 2 3 3 3" xfId="53759"/>
    <cellStyle name="Afjusted 3 3 3 2 3 3 3" xfId="53760"/>
    <cellStyle name="Style 49 4 5 2 3 3 3" xfId="53761"/>
    <cellStyle name="Style 44 4 5 2 3 3 3" xfId="53762"/>
    <cellStyle name="P-Green Rule 3 5 2 3 3 3" xfId="53763"/>
    <cellStyle name="dp*SubTitle 3 5 2 3 3 3" xfId="53764"/>
    <cellStyle name="Afjusted 4 5 2 3 3 3" xfId="53765"/>
    <cellStyle name="ac 2 3 2 3 3 3" xfId="53766"/>
    <cellStyle name="Bold/Border 2 3 2 3 3 3" xfId="53767"/>
    <cellStyle name="COL HEADINGS 2 3 2 3 3 3" xfId="53768"/>
    <cellStyle name="Date [mmm-yyyy] 2 3 2 3 3 3" xfId="53769"/>
    <cellStyle name="dp*NumberLine 2 3 2 3 3 3" xfId="53770"/>
    <cellStyle name="dp*NumberLineEPS 2 3 2 3 3 3" xfId="53771"/>
    <cellStyle name="dp*SheetSubTitle 2 3 2 3 3 3" xfId="53772"/>
    <cellStyle name="Heading [Helv] 2 3 2 3 3 3" xfId="53773"/>
    <cellStyle name="Heading [Palat] 2 3 2 3 3 3" xfId="53774"/>
    <cellStyle name="Magic 2 3 2 3 3 3" xfId="53775"/>
    <cellStyle name="Outputs 2 3 2 3 3 3" xfId="53776"/>
    <cellStyle name="Date [mmm-yyyy] 2 2 3 3 2 3 3 3" xfId="53777"/>
    <cellStyle name="Afjusted 2 2 3 3 2 3 3 3" xfId="53778"/>
    <cellStyle name="dp*ThinLineBelow 3 3 3 2 3 3 3" xfId="53779"/>
    <cellStyle name="Style 49 4 3 3 2 3 3 3" xfId="53780"/>
    <cellStyle name="Outputs 2 2 3 3 2 3 3 3" xfId="53781"/>
    <cellStyle name="dp*NumberLine 2 2 3 3 2 3 3 3" xfId="53782"/>
    <cellStyle name="Bold/Border 2 2 3 3 2 3 3 3" xfId="53783"/>
    <cellStyle name="dp*SubTitle 3 3 3 2 3 3 3" xfId="53784"/>
    <cellStyle name="Style 45 4 3 3 2 3 3 3" xfId="53785"/>
    <cellStyle name="Table Head Aligned 2 3 2 3 3 3" xfId="53786"/>
    <cellStyle name="Table Head Green 2 3 2 3 3 3" xfId="53787"/>
    <cellStyle name="Title [Helv] 2 3 2 3 3 3" xfId="53788"/>
    <cellStyle name="Title [Palat] 2 3 2 3 3 3" xfId="53789"/>
    <cellStyle name="Style 45 4 3 4 2 3 3 3" xfId="53790"/>
    <cellStyle name="Style 51 4 3 4 2 3 3 3" xfId="53791"/>
    <cellStyle name="Afjusted 3 4 2 3 3 3" xfId="53792"/>
    <cellStyle name="P-Green Rule 3 3 4 2 3 3 3" xfId="53793"/>
    <cellStyle name="Border Thin 2 3 2 3 3 3" xfId="53794"/>
    <cellStyle name="Style 49 3 3 2 3 3 3" xfId="53795"/>
    <cellStyle name="Style 51 2 3 2 3 3 3" xfId="53796"/>
    <cellStyle name="Heading [Helv] 2 2 4 2 3 3 3" xfId="53797"/>
    <cellStyle name="Table Head Aligned 2 2 4 2 3 3 3" xfId="53798"/>
    <cellStyle name="Table Head Green 2 2 4 2 3 3 3" xfId="53799"/>
    <cellStyle name="Table Head Green 2 2 3 3 2 3 3 3" xfId="53800"/>
    <cellStyle name="Heading [Palat] 2 2 3 3 2 3 3 3" xfId="53801"/>
    <cellStyle name="dp*SheetSubTitle 2 2 3 3 2 3 3 3" xfId="53802"/>
    <cellStyle name="P-Green Rule 3 3 3 2 3 3 3" xfId="53803"/>
    <cellStyle name="Date [mm-d-yyyy] 3 3 3 2 3 3 3" xfId="53804"/>
    <cellStyle name="Date [mm-d-yyyy] 3 4 2 3 3 3" xfId="53805"/>
    <cellStyle name="Style 51 4 4 2 3 3 3" xfId="53806"/>
    <cellStyle name="Style 49 4 4 2 3 3 3" xfId="53807"/>
    <cellStyle name="Style 45 4 4 2 3 3 3" xfId="53808"/>
    <cellStyle name="Style 44 4 4 2 3 3 3" xfId="53809"/>
    <cellStyle name="dp*ThinLineBelow 3 3 4 2 3 3 3" xfId="53810"/>
    <cellStyle name="P-Green Rule 3 4 2 3 3 3" xfId="53811"/>
    <cellStyle name="PB Table Standard Row 3 4 2 2 3 3" xfId="53812"/>
    <cellStyle name="dp*ThinLineBelow 3 4 2 3 3 3" xfId="53813"/>
    <cellStyle name="dp*SubTitle 3 4 2 3 3 3" xfId="53814"/>
    <cellStyle name="dp*SubTitle 3 3 4 2 3 3 3" xfId="53815"/>
    <cellStyle name="Border Thin 3 4 2 3 3 3" xfId="53816"/>
    <cellStyle name="Border Thin 3 3 4 2 3 3 3" xfId="53817"/>
    <cellStyle name="Afjusted 4 4 2 3 3 3" xfId="53818"/>
    <cellStyle name="Afjusted 2 2 4 2 3 3 3" xfId="53819"/>
    <cellStyle name="Style 44 4 3 4 2 3 3 3" xfId="53820"/>
    <cellStyle name="PB Table Standard Row 3 3 4 2 3 3 3" xfId="53821"/>
    <cellStyle name="Title [Palat] 2 2 3 5 3 3 3" xfId="53822"/>
    <cellStyle name="Title [Helv] 2 2 3 5 3 3 3" xfId="53823"/>
    <cellStyle name="Table Head Green 2 2 3 5 3 3 3" xfId="53824"/>
    <cellStyle name="Table Head Aligned 2 2 3 5 3 3 3" xfId="53825"/>
    <cellStyle name="Outputs 2 2 3 5 3 3 3" xfId="53826"/>
    <cellStyle name="Magic 2 2 3 5 3 3 3" xfId="53827"/>
    <cellStyle name="Heading [Palat] 2 2 3 5 3 3 3" xfId="53828"/>
    <cellStyle name="Heading [Helv] 2 2 3 5 3 3 3" xfId="53829"/>
    <cellStyle name="dp*SheetSubTitle 2 2 3 5 3 3 3" xfId="53830"/>
    <cellStyle name="dp*NumberLineEPS 2 2 3 5 3 3 3" xfId="53831"/>
    <cellStyle name="dp*NumberLine 2 2 3 5 3 3 3" xfId="53832"/>
    <cellStyle name="Date [mmm-yyyy] 2 2 3 5 3 3 3" xfId="53833"/>
    <cellStyle name="COL HEADINGS 2 2 3 5 3 3 3" xfId="53834"/>
    <cellStyle name="Bold/Border 2 2 3 5 3 3 3" xfId="53835"/>
    <cellStyle name="Afjusted 2 2 3 5 3 3 3" xfId="53836"/>
    <cellStyle name="ac 2 2 3 5 3 3 3" xfId="53837"/>
    <cellStyle name="Afjusted 4 3 5 3 3 3" xfId="53838"/>
    <cellStyle name="Border Thin 3 3 5 3 3 3" xfId="53839"/>
    <cellStyle name="dp*SubTitle 3 3 5 3 3 3" xfId="53840"/>
    <cellStyle name="dp*ThinLineBelow 3 3 5 3 3 3" xfId="53841"/>
    <cellStyle name="PB Table Standard Row 3 3 5 3 3 3" xfId="53842"/>
    <cellStyle name="P-Green Rule 3 3 5 3 3 3" xfId="53843"/>
    <cellStyle name="Style 44 4 3 5 3 3 3" xfId="53844"/>
    <cellStyle name="Style 45 4 3 5 3 3 3" xfId="53845"/>
    <cellStyle name="Style 49 4 3 5 3 3 3" xfId="53846"/>
    <cellStyle name="Style 51 4 3 5 3 3 3" xfId="53847"/>
    <cellStyle name="Date [mm-d-yyyy] 3 3 5 3 3 3" xfId="53848"/>
    <cellStyle name="Afjusted 3 3 5 3 3 3" xfId="53849"/>
    <cellStyle name="Date [mm-d-yyyy] 2 2 4 3 3 3" xfId="53850"/>
    <cellStyle name="Afjusted 3 2 5 3 3 3" xfId="53851"/>
    <cellStyle name="Date [mm-d-yyyy] 3 2 5 3 3 3" xfId="53852"/>
    <cellStyle name="Style 51 4 2 5 3 3 3" xfId="53853"/>
    <cellStyle name="Style 49 4 2 5 3 3 3" xfId="53854"/>
    <cellStyle name="Style 45 4 2 5 3 3 3" xfId="53855"/>
    <cellStyle name="Style 44 4 2 5 3 3 3" xfId="53856"/>
    <cellStyle name="P-Green Rule 3 2 5 3 3 3" xfId="53857"/>
    <cellStyle name="PB Table Standard Row 3 2 5 2 3 3" xfId="53858"/>
    <cellStyle name="dp*ThinLineBelow 3 2 5 3 3 3" xfId="53859"/>
    <cellStyle name="dp*SubTitle 3 2 5 3 3 3" xfId="53860"/>
    <cellStyle name="Border Thin 3 2 5 3 3 3" xfId="53861"/>
    <cellStyle name="Afjusted 4 2 5 3 3 3" xfId="53862"/>
    <cellStyle name="ac 2 2 2 5 3 3 3" xfId="53863"/>
    <cellStyle name="Afjusted 2 2 2 5 3 3 3" xfId="53864"/>
    <cellStyle name="Bold/Border 2 2 2 5 3 3 3" xfId="53865"/>
    <cellStyle name="COL HEADINGS 2 2 2 5 3 3 3" xfId="53866"/>
    <cellStyle name="Date [mmm-yyyy] 2 2 2 5 3 3 3" xfId="53867"/>
    <cellStyle name="dp*NumberLine 2 2 2 5 3 3 3" xfId="53868"/>
    <cellStyle name="dp*NumberLineEPS 2 2 2 5 3 3 3" xfId="53869"/>
    <cellStyle name="dp*SheetSubTitle 2 2 2 5 3 3 3" xfId="53870"/>
    <cellStyle name="Heading [Helv] 2 2 2 5 3 3 3" xfId="53871"/>
    <cellStyle name="Heading [Palat] 2 2 2 5 3 3 3" xfId="53872"/>
    <cellStyle name="Magic 2 2 2 5 3 3 3" xfId="53873"/>
    <cellStyle name="Outputs 2 2 2 5 3 3 3" xfId="53874"/>
    <cellStyle name="Table Head Aligned 2 2 2 5 3 3 3" xfId="53875"/>
    <cellStyle name="Table Head Green 2 2 2 5 3 3 3" xfId="53876"/>
    <cellStyle name="Title [Helv] 2 2 2 5 3 3 3" xfId="53877"/>
    <cellStyle name="Title [Palat] 2 2 2 5 3 3 3" xfId="53878"/>
    <cellStyle name="Table Head Green 2 2 3 4 2 3 3 3" xfId="53879"/>
    <cellStyle name="Heading [Palat] 2 2 3 4 2 3 3 3" xfId="53880"/>
    <cellStyle name="PB Table Standard Row 2 3 2 3 3 3" xfId="53881"/>
    <cellStyle name="P-Green Rule 2 3 2 3 3 3" xfId="53882"/>
    <cellStyle name="Title [Palat] 2 2 3 2 2 3 3 3" xfId="53883"/>
    <cellStyle name="Title [Helv] 2 2 3 2 2 3 3 3" xfId="53884"/>
    <cellStyle name="Table Head Green 2 2 3 2 2 3 3 3" xfId="53885"/>
    <cellStyle name="Table Head Aligned 2 2 3 2 2 3 3 3" xfId="53886"/>
    <cellStyle name="Outputs 2 2 3 2 2 3 3 3" xfId="53887"/>
    <cellStyle name="Magic 2 2 3 2 2 3 3 3" xfId="53888"/>
    <cellStyle name="Heading [Palat] 2 2 3 2 2 3 3 3" xfId="53889"/>
    <cellStyle name="Heading [Helv] 2 2 3 2 2 3 3 3" xfId="53890"/>
    <cellStyle name="dp*SheetSubTitle 2 2 3 2 2 3 3 3" xfId="53891"/>
    <cellStyle name="dp*NumberLineEPS 2 2 3 2 2 3 3 3" xfId="53892"/>
    <cellStyle name="dp*NumberLine 2 2 3 2 2 3 3 3" xfId="53893"/>
    <cellStyle name="Date [mmm-yyyy] 2 2 3 2 2 3 3 3" xfId="53894"/>
    <cellStyle name="COL HEADINGS 2 2 3 2 2 3 3 3" xfId="53895"/>
    <cellStyle name="Bold/Border 2 2 3 2 2 3 3 3" xfId="53896"/>
    <cellStyle name="Afjusted 2 2 3 2 2 3 3 3" xfId="53897"/>
    <cellStyle name="ac 2 2 3 2 2 3 3 3" xfId="53898"/>
    <cellStyle name="Afjusted 4 3 2 2 3 3 3" xfId="53899"/>
    <cellStyle name="Border Thin 3 3 2 2 3 3 3" xfId="53900"/>
    <cellStyle name="dp*SubTitle 3 3 2 2 3 3 3" xfId="53901"/>
    <cellStyle name="dp*ThinLineBelow 3 3 2 2 3 3 3" xfId="53902"/>
    <cellStyle name="PB Table Standard Row 3 3 2 2 3 3 3" xfId="53903"/>
    <cellStyle name="P-Green Rule 3 3 2 2 3 3 3" xfId="53904"/>
    <cellStyle name="Style 44 4 3 2 2 3 3 3" xfId="53905"/>
    <cellStyle name="Style 45 4 3 2 2 3 3 3" xfId="53906"/>
    <cellStyle name="Style 49 4 3 2 2 3 3 3" xfId="53907"/>
    <cellStyle name="Style 51 4 3 2 2 3 3 3" xfId="53908"/>
    <cellStyle name="Date [mm-d-yyyy] 3 3 2 2 3 3 3" xfId="53909"/>
    <cellStyle name="Afjusted 3 3 2 2 3 3 3" xfId="53910"/>
    <cellStyle name="Date [mm-d-yyyy] 3 5 2 3 3 3" xfId="53911"/>
    <cellStyle name="dp*SubTitle 2 3 2 3 3 3" xfId="53912"/>
    <cellStyle name="Date [mm-d-yyyy] 2 2 2 2 3 3 3" xfId="53913"/>
    <cellStyle name="Afjusted 3 2 2 2 3 3 3" xfId="53914"/>
    <cellStyle name="PB Table Standard Row 3 5 2 3 3 3" xfId="53915"/>
    <cellStyle name="Date [mm-d-yyyy] 3 2 2 2 3 3 3" xfId="53916"/>
    <cellStyle name="Style 51 4 2 2 2 3 3 3" xfId="53917"/>
    <cellStyle name="Style 49 4 2 2 2 3 3 3" xfId="53918"/>
    <cellStyle name="Style 45 4 2 2 2 3 3 3" xfId="53919"/>
    <cellStyle name="Style 44 4 2 2 2 3 3 3" xfId="53920"/>
    <cellStyle name="Style 45 4 5 2 3 3 3" xfId="53921"/>
    <cellStyle name="P-Green Rule 3 2 2 2 3 3 3" xfId="53922"/>
    <cellStyle name="PB Table Standard Row 3 2 2 2 3 3 3" xfId="53923"/>
    <cellStyle name="dp*ThinLineBelow 3 2 2 2 3 3 3" xfId="53924"/>
    <cellStyle name="dp*SubTitle 3 2 2 2 3 3 3" xfId="53925"/>
    <cellStyle name="Style 51 4 5 2 3 3 3" xfId="53926"/>
    <cellStyle name="Border Thin 3 2 2 2 3 3 3" xfId="53927"/>
    <cellStyle name="Afjusted 4 2 2 2 3 3 3" xfId="53928"/>
    <cellStyle name="ac 2 2 2 2 2 3 3 3" xfId="53929"/>
    <cellStyle name="Afjusted 2 2 2 2 2 3 3 3" xfId="53930"/>
    <cellStyle name="Bold/Border 2 2 2 2 2 3 3 3" xfId="53931"/>
    <cellStyle name="COL HEADINGS 2 2 2 2 2 3 3 3" xfId="53932"/>
    <cellStyle name="Date [mmm-yyyy] 2 2 2 2 2 3 3 3" xfId="53933"/>
    <cellStyle name="dp*NumberLine 2 2 2 2 2 3 3 3" xfId="53934"/>
    <cellStyle name="dp*NumberLineEPS 2 2 2 2 2 3 3 3" xfId="53935"/>
    <cellStyle name="dp*SheetSubTitle 2 2 2 2 2 3 3 3" xfId="53936"/>
    <cellStyle name="Heading [Helv] 2 2 2 2 2 3 3 3" xfId="53937"/>
    <cellStyle name="Heading [Palat] 2 2 2 2 2 3 3 3" xfId="53938"/>
    <cellStyle name="Magic 2 2 2 2 2 3 3 3" xfId="53939"/>
    <cellStyle name="Outputs 2 2 2 2 2 3 3 3" xfId="53940"/>
    <cellStyle name="Table Head Aligned 2 2 2 2 2 3 3 3" xfId="53941"/>
    <cellStyle name="Table Head Green 2 2 2 2 2 3 3 3" xfId="53942"/>
    <cellStyle name="Title [Helv] 2 2 2 2 2 3 3 3" xfId="53943"/>
    <cellStyle name="Title [Palat] 2 2 2 2 2 3 3 3" xfId="53944"/>
    <cellStyle name="dp*ThinLineBelow 3 5 2 3 3 3" xfId="53945"/>
    <cellStyle name="Date [mm-d-yyyy] 2 2 3 2 3 3 3" xfId="53946"/>
    <cellStyle name="Afjusted 3 2 3 2 3 3 3" xfId="53947"/>
    <cellStyle name="Date [mm-d-yyyy] 3 2 3 2 3 3 3" xfId="53948"/>
    <cellStyle name="Style 51 4 2 3 2 3 3 3" xfId="53949"/>
    <cellStyle name="Style 49 4 2 3 2 3 3 3" xfId="53950"/>
    <cellStyle name="Style 45 4 2 3 2 3 3 3" xfId="53951"/>
    <cellStyle name="Style 44 4 2 3 2 3 3 3" xfId="53952"/>
    <cellStyle name="P-Green Rule 3 2 3 2 3 3 3" xfId="53953"/>
    <cellStyle name="PB Table Standard Row 3 2 3 2 3 3 3" xfId="53954"/>
    <cellStyle name="dp*ThinLineBelow 3 2 3 2 3 3 3" xfId="53955"/>
    <cellStyle name="dp*SubTitle 3 2 3 2 3 3 3" xfId="53956"/>
    <cellStyle name="Border Thin 3 2 3 2 3 3 3" xfId="53957"/>
    <cellStyle name="Afjusted 4 2 3 2 3 3 3" xfId="53958"/>
    <cellStyle name="ac 2 2 2 3 2 3 3 3" xfId="53959"/>
    <cellStyle name="Afjusted 2 2 2 3 2 3 3 3" xfId="53960"/>
    <cellStyle name="Bold/Border 2 2 2 3 2 3 3 3" xfId="53961"/>
    <cellStyle name="COL HEADINGS 2 2 2 3 2 3 3 3" xfId="53962"/>
    <cellStyle name="Date [mmm-yyyy] 2 2 2 3 2 3 3 3" xfId="53963"/>
    <cellStyle name="dp*NumberLine 2 2 2 3 2 3 3 3" xfId="53964"/>
    <cellStyle name="dp*NumberLineEPS 2 2 2 3 2 3 3 3" xfId="53965"/>
    <cellStyle name="dp*SheetSubTitle 2 2 2 3 2 3 3 3" xfId="53966"/>
    <cellStyle name="Heading [Helv] 2 2 2 3 2 3 3 3" xfId="53967"/>
    <cellStyle name="Heading [Palat] 2 2 2 3 2 3 3 3" xfId="53968"/>
    <cellStyle name="Magic 2 2 2 3 2 3 3 3" xfId="53969"/>
    <cellStyle name="Outputs 2 2 2 3 2 3 3 3" xfId="53970"/>
    <cellStyle name="Table Head Aligned 2 2 2 3 2 3 3 3" xfId="53971"/>
    <cellStyle name="Table Head Green 2 2 2 3 2 3 3 3" xfId="53972"/>
    <cellStyle name="Title [Helv] 2 2 2 3 2 3 3 3" xfId="53973"/>
    <cellStyle name="Title [Palat] 2 2 2 3 2 3 3 3" xfId="53974"/>
    <cellStyle name="Afjusted 3 2 4 2 3 3 3" xfId="53975"/>
    <cellStyle name="Date [mm-d-yyyy] 3 2 4 2 3 3 3" xfId="53976"/>
    <cellStyle name="Style 51 4 2 4 2 3 3 3" xfId="53977"/>
    <cellStyle name="Style 49 4 2 4 2 3 3 3" xfId="53978"/>
    <cellStyle name="Style 45 4 2 4 2 3 3 3" xfId="53979"/>
    <cellStyle name="Style 44 4 2 4 2 3 3 3" xfId="53980"/>
    <cellStyle name="P-Green Rule 3 2 4 2 3 3 3" xfId="53981"/>
    <cellStyle name="PB Table Standard Row 3 2 4 2 3 3 3" xfId="53982"/>
    <cellStyle name="dp*ThinLineBelow 3 2 4 2 3 3 3" xfId="53983"/>
    <cellStyle name="dp*SubTitle 3 2 4 2 3 3 3" xfId="53984"/>
    <cellStyle name="Border Thin 3 2 4 2 3 3 3" xfId="53985"/>
    <cellStyle name="Afjusted 4 2 4 2 3 3 3" xfId="53986"/>
    <cellStyle name="ac 2 2 2 4 2 3 3 3" xfId="53987"/>
    <cellStyle name="Afjusted 2 2 2 4 2 3 3 3" xfId="53988"/>
    <cellStyle name="Bold/Border 2 2 2 4 2 3 3 3" xfId="53989"/>
    <cellStyle name="COL HEADINGS 2 2 2 4 2 3 3 3" xfId="53990"/>
    <cellStyle name="Date [mmm-yyyy] 2 2 2 4 2 3 3 3" xfId="53991"/>
    <cellStyle name="dp*NumberLine 2 2 2 4 2 3 3 3" xfId="53992"/>
    <cellStyle name="dp*NumberLineEPS 2 2 2 4 2 3 3 3" xfId="53993"/>
    <cellStyle name="dp*SheetSubTitle 2 2 2 4 2 3 3 3" xfId="53994"/>
    <cellStyle name="Heading [Helv] 2 2 2 4 2 3 3 3" xfId="53995"/>
    <cellStyle name="Heading [Palat] 2 2 2 4 2 3 3 3" xfId="53996"/>
    <cellStyle name="Magic 2 2 2 4 2 3 3 3" xfId="53997"/>
    <cellStyle name="Outputs 2 2 2 4 2 3 3 3" xfId="53998"/>
    <cellStyle name="Table Head Aligned 2 2 2 4 2 3 3 3" xfId="53999"/>
    <cellStyle name="Table Head Green 2 2 2 4 2 3 3 3" xfId="54000"/>
    <cellStyle name="Title [Helv] 2 2 2 4 2 3 3 3" xfId="54001"/>
    <cellStyle name="Title [Palat] 2 2 2 4 2 3 3 3" xfId="54002"/>
    <cellStyle name="Border Thin 4 2 3 3 3" xfId="54003"/>
    <cellStyle name="Date [mm-d-yyyy] 4 2 3 3 3" xfId="54004"/>
    <cellStyle name="dp*SubTitle 4 2 3 3 3" xfId="54005"/>
    <cellStyle name="dp*ThinLineBelow 4 2 3 3 3" xfId="54006"/>
    <cellStyle name="PB Table Standard Row 4 2 3 3 3" xfId="54007"/>
    <cellStyle name="P-Green Rule 4 2 3 3 3" xfId="54008"/>
    <cellStyle name="Style 44 5 2 3 3 3" xfId="54009"/>
    <cellStyle name="Style 45 5 2 3 3 3" xfId="54010"/>
    <cellStyle name="Style 49 5 2 3 3 3" xfId="54011"/>
    <cellStyle name="Style 51 5 2 3 3 3" xfId="54012"/>
    <cellStyle name="Title [Palat] 3 2 3 3 3" xfId="54013"/>
    <cellStyle name="Title [Helv] 3 2 3 3 3" xfId="54014"/>
    <cellStyle name="Table Head Green 3 2 3 3 3" xfId="54015"/>
    <cellStyle name="Table Head Aligned 3 2 3 3 3" xfId="54016"/>
    <cellStyle name="Outputs 3 2 3 3 3" xfId="54017"/>
    <cellStyle name="Magic 3 2 3 3 3" xfId="54018"/>
    <cellStyle name="Heading [Palat] 3 2 3 3 3" xfId="54019"/>
    <cellStyle name="Heading [Helv] 3 2 3 3 3" xfId="54020"/>
    <cellStyle name="dp*SheetSubTitle 3 2 3 3 3" xfId="54021"/>
    <cellStyle name="dp*NumberLineEPS 3 2 3 3 3" xfId="54022"/>
    <cellStyle name="dp*NumberLine 3 2 3 3 3" xfId="54023"/>
    <cellStyle name="COL HEADINGS 3 2 3 3 3" xfId="54024"/>
    <cellStyle name="Bold/Border 3 2 3 3 3" xfId="54025"/>
    <cellStyle name="Afjusted 5 2 3 3 3" xfId="54026"/>
    <cellStyle name="ac 3 2 3 3 3" xfId="54027"/>
    <cellStyle name="Date [mmm-yyyy] 3 2 3 3 3" xfId="54028"/>
    <cellStyle name="ac 2 4 2 3 3 3" xfId="54029"/>
    <cellStyle name="Afjusted 2 3 2 3 3 3" xfId="54030"/>
    <cellStyle name="Bold/Border 2 4 2 3 3 3" xfId="54031"/>
    <cellStyle name="Border Thin 2 4 2 3 3 3" xfId="54032"/>
    <cellStyle name="COL HEADINGS 2 4 2 3 3 3" xfId="54033"/>
    <cellStyle name="Date [mmm-yyyy] 2 4 2 3 3 3" xfId="54034"/>
    <cellStyle name="dp*NumberLine 2 4 2 3 3 3" xfId="54035"/>
    <cellStyle name="dp*NumberLineEPS 2 4 2 3 3 3" xfId="54036"/>
    <cellStyle name="dp*SheetSubTitle 2 4 2 3 3 3" xfId="54037"/>
    <cellStyle name="dp*SubTitle 2 4 2 3 3 3" xfId="54038"/>
    <cellStyle name="dp*ThinLineBelow 2 4 2 3 3 3" xfId="54039"/>
    <cellStyle name="Heading [Helv] 2 4 2 3 3 3" xfId="54040"/>
    <cellStyle name="Heading [Palat] 2 4 2 3 3 3" xfId="54041"/>
    <cellStyle name="Magic 2 4 2 3 3 3" xfId="54042"/>
    <cellStyle name="Outputs 2 4 2 3 3 3" xfId="54043"/>
    <cellStyle name="PB Table Standard Row 2 4 2 3 3 3" xfId="54044"/>
    <cellStyle name="P-Green Rule 2 4 2 3 3 3" xfId="54045"/>
    <cellStyle name="Style 44 3 4 2 3 3 3" xfId="54046"/>
    <cellStyle name="Style 45 3 4 2 3 3 3" xfId="54047"/>
    <cellStyle name="Style 49 3 4 2 3 3 3" xfId="54048"/>
    <cellStyle name="Style 51 3 4 2 3 3 3" xfId="54049"/>
    <cellStyle name="Style 44 2 4 2 3 3 3" xfId="54050"/>
    <cellStyle name="Style 45 2 4 2 3 3 3" xfId="54051"/>
    <cellStyle name="Style 49 2 4 2 3 3 3" xfId="54052"/>
    <cellStyle name="Style 51 2 4 2 3 3 3" xfId="54053"/>
    <cellStyle name="Table Head Aligned 2 4 2 3 3 3" xfId="54054"/>
    <cellStyle name="Table Head Green 2 4 2 3 3 3" xfId="54055"/>
    <cellStyle name="Title [Helv] 2 4 2 3 3 3" xfId="54056"/>
    <cellStyle name="Title [Palat] 2 4 2 3 3 3" xfId="54057"/>
    <cellStyle name="ac 4 2 3 3 3" xfId="54058"/>
    <cellStyle name="Bold/Border 4 2 3 3 3" xfId="54059"/>
    <cellStyle name="Border Thin 5 2 3 3 3" xfId="54060"/>
    <cellStyle name="COL HEADINGS 4 2 3 3 3" xfId="54061"/>
    <cellStyle name="Date [mm-d-yyyy] 5 2 3 3 3" xfId="54062"/>
    <cellStyle name="Heading [Helv] 4 2 3 3 3" xfId="54063"/>
    <cellStyle name="Heading [Palat] 4 2 3 3 3" xfId="54064"/>
    <cellStyle name="Outputs 4 2 3 3 3" xfId="54065"/>
    <cellStyle name="PB Table Standard Row 5 2 3 3 3" xfId="54066"/>
    <cellStyle name="P-Green Rule 5 2 3 3 3" xfId="54067"/>
    <cellStyle name="Style 44 6 2 3 3 3" xfId="54068"/>
    <cellStyle name="Style 45 6 2 3 3 3" xfId="54069"/>
    <cellStyle name="Style 49 6 2 3 3 3" xfId="54070"/>
    <cellStyle name="Style 51 6 2 3 3 3" xfId="54071"/>
    <cellStyle name="Table Head Green 4 2 3 3 3" xfId="54072"/>
    <cellStyle name="Afjusted 6 2 3 3 3" xfId="54073"/>
    <cellStyle name="ac 2 5 2 3 3 3" xfId="54074"/>
    <cellStyle name="Afjusted 2 4 2 3 3 3" xfId="54075"/>
    <cellStyle name="Bold/Border 2 5 2 3 3 3" xfId="54076"/>
    <cellStyle name="Border Thin 2 5 2 3 3 3" xfId="54077"/>
    <cellStyle name="COL HEADINGS 2 5 2 3 3 3" xfId="54078"/>
    <cellStyle name="Date [mmm-yyyy] 2 5 2 3 3 3" xfId="54079"/>
    <cellStyle name="dp*NumberLine 2 5 2 3 3 3" xfId="54080"/>
    <cellStyle name="dp*NumberLineEPS 2 5 2 3 3 3" xfId="54081"/>
    <cellStyle name="dp*SheetSubTitle 2 5 2 3 3 3" xfId="54082"/>
    <cellStyle name="dp*SubTitle 2 5 2 3 3 3" xfId="54083"/>
    <cellStyle name="dp*ThinLineBelow 2 5 2 3 3 3" xfId="54084"/>
    <cellStyle name="Heading [Helv] 2 5 2 3 3 3" xfId="54085"/>
    <cellStyle name="Heading [Palat] 2 5 2 3 3 3" xfId="54086"/>
    <cellStyle name="Magic 2 5 2 3 3 3" xfId="54087"/>
    <cellStyle name="Outputs 2 5 2 3 3 3" xfId="54088"/>
    <cellStyle name="PB Table Standard Row 2 5 2 3 3 3" xfId="54089"/>
    <cellStyle name="P-Green Rule 2 5 2 3 3 3" xfId="54090"/>
    <cellStyle name="Style 44 3 5 2 3 3 3" xfId="54091"/>
    <cellStyle name="Style 45 3 5 2 3 3 3" xfId="54092"/>
    <cellStyle name="Style 49 3 5 2 3 3 3" xfId="54093"/>
    <cellStyle name="Style 51 3 5 2 3 3 3" xfId="54094"/>
    <cellStyle name="Style 44 2 5 2 3 3 3" xfId="54095"/>
    <cellStyle name="Style 45 2 5 2 3 3 3" xfId="54096"/>
    <cellStyle name="Style 49 2 5 2 3 3 3" xfId="54097"/>
    <cellStyle name="Style 51 2 5 2 3 3 3" xfId="54098"/>
    <cellStyle name="Table Head Aligned 2 5 2 3 3 3" xfId="54099"/>
    <cellStyle name="Table Head Green 2 5 2 3 3 3" xfId="54100"/>
    <cellStyle name="Title [Helv] 2 5 2 3 3 3" xfId="54101"/>
    <cellStyle name="Title [Palat] 2 5 2 3 3 3" xfId="54102"/>
    <cellStyle name="ac 5 2 3 3 3" xfId="54103"/>
    <cellStyle name="Bold/Border 5 2 3 3 3" xfId="54104"/>
    <cellStyle name="Border Thin 6 2 3 3 3" xfId="54105"/>
    <cellStyle name="COL HEADINGS 5 2 3 3 3" xfId="54106"/>
    <cellStyle name="Heading [Helv] 5 2 3 3 3" xfId="54107"/>
    <cellStyle name="Heading [Palat] 5 2 3 3 3" xfId="54108"/>
    <cellStyle name="Outputs 5 2 3 3 3" xfId="54109"/>
    <cellStyle name="PB Table Standard Row 6 2 3 3 3" xfId="54110"/>
    <cellStyle name="P-Green Rule 6 2 3 3 3" xfId="54111"/>
    <cellStyle name="Style 44 7 2 3 3 3" xfId="54112"/>
    <cellStyle name="Style 45 7 2 3 3 3" xfId="54113"/>
    <cellStyle name="Style 49 7 2 3 3 3" xfId="54114"/>
    <cellStyle name="Style 51 7 2 3 3 3" xfId="54115"/>
    <cellStyle name="Table Head Green 5 2 3 3 3" xfId="54116"/>
    <cellStyle name="Title [Palat] 4 2 3 3 3" xfId="54117"/>
    <cellStyle name="ac 2 6 2 3 3 3" xfId="54118"/>
    <cellStyle name="Bold/Border 2 6 2 3 3 3" xfId="54119"/>
    <cellStyle name="Border Thin 2 6 2 3 3 3" xfId="54120"/>
    <cellStyle name="COL HEADINGS 2 6 2 3 3 3" xfId="54121"/>
    <cellStyle name="Heading [Helv] 2 6 2 3 3 3" xfId="54122"/>
    <cellStyle name="Heading [Palat] 2 6 2 3 3 3" xfId="54123"/>
    <cellStyle name="Outputs 2 6 2 3 3 3" xfId="54124"/>
    <cellStyle name="PB Table Standard Row 2 6 2 3 3 3" xfId="54125"/>
    <cellStyle name="P-Green Rule 2 6 2 3 3 3" xfId="54126"/>
    <cellStyle name="Style 44 3 6 2 3 3 3" xfId="54127"/>
    <cellStyle name="Style 45 3 6 2 3 3 3" xfId="54128"/>
    <cellStyle name="Style 49 3 6 2 3 3 3" xfId="54129"/>
    <cellStyle name="Style 51 3 6 2 3 3 3" xfId="54130"/>
    <cellStyle name="Style 44 2 6 2 3 3 3" xfId="54131"/>
    <cellStyle name="Style 45 2 6 2 3 3 3" xfId="54132"/>
    <cellStyle name="Style 49 2 6 2 3 3 3" xfId="54133"/>
    <cellStyle name="Style 51 2 6 2 3 3 3" xfId="54134"/>
    <cellStyle name="Table Head Green 2 6 2 3 3 3" xfId="54135"/>
    <cellStyle name="Title [Palat] 2 6 2 3 3 3" xfId="54136"/>
    <cellStyle name="Title [Palat] 5 2 3 3 3" xfId="54137"/>
    <cellStyle name="Title [Helv] 4 2 3 3 3" xfId="54138"/>
    <cellStyle name="Table Head Green 6 2 3 3 3" xfId="54139"/>
    <cellStyle name="Table Head Aligned 4 2 3 3 3" xfId="54140"/>
    <cellStyle name="Style 51 9 2 3 3 3" xfId="54141"/>
    <cellStyle name="Style 49 9 2 3 3 3" xfId="54142"/>
    <cellStyle name="Style 45 9 2 3 3 3" xfId="54143"/>
    <cellStyle name="Style 44 9 2 3 3 3" xfId="54144"/>
    <cellStyle name="P-Green Rule 7 2 3 3 3" xfId="54145"/>
    <cellStyle name="PB Table Standard Row 7 2 3 3 3" xfId="54146"/>
    <cellStyle name="Outputs 6 2 3 3 3" xfId="54147"/>
    <cellStyle name="Magic 4 2 3 3 3" xfId="54148"/>
    <cellStyle name="Heading [Palat] 6 2 3 3 3" xfId="54149"/>
    <cellStyle name="Heading [Helv] 6 2 3 3 3" xfId="54150"/>
    <cellStyle name="dp*ThinLineBelow 5 2 3 3 3" xfId="54151"/>
    <cellStyle name="dp*SubTitle 5 2 3 3 3" xfId="54152"/>
    <cellStyle name="dp*SheetSubTitle 4 2 3 3 3" xfId="54153"/>
    <cellStyle name="dp*NumberLineEPS 4 2 3 3 3" xfId="54154"/>
    <cellStyle name="dp*NumberLine 4 2 3 3 3" xfId="54155"/>
    <cellStyle name="Date [mmm-yyyy] 4 2 3 3 3" xfId="54156"/>
    <cellStyle name="Date [mm-d-yyyy] 7 2 3 3 3" xfId="54157"/>
    <cellStyle name="COL HEADINGS 6 2 3 3 3" xfId="54158"/>
    <cellStyle name="Border Thin 7 2 3 3 3" xfId="54159"/>
    <cellStyle name="Bold/Border 6 2 3 3 3" xfId="54160"/>
    <cellStyle name="Afjusted 7 2 3 3 3" xfId="54161"/>
    <cellStyle name="ac 6 2 3 3 3" xfId="54162"/>
    <cellStyle name="Style 44 8 2 3 3 3" xfId="54163"/>
    <cellStyle name="Style 45 8 2 3 3 3" xfId="54164"/>
    <cellStyle name="Style 49 8 2 3 3 3" xfId="54165"/>
    <cellStyle name="Style 51 8 2 3 3 3" xfId="54166"/>
    <cellStyle name="Title [Palat] 6 2 3 3 3" xfId="54167"/>
    <cellStyle name="Title [Helv] 5 2 3 3 3" xfId="54168"/>
    <cellStyle name="Table Head Green 7 2 3 3 3" xfId="54169"/>
    <cellStyle name="Table Head Aligned 5 2 3 3 3" xfId="54170"/>
    <cellStyle name="Outputs 7 2 3 3 3" xfId="54171"/>
    <cellStyle name="Magic 5 2 3 3 3" xfId="54172"/>
    <cellStyle name="Heading [Palat] 7 2 3 3 3" xfId="54173"/>
    <cellStyle name="Heading [Helv] 7 2 3 3 3" xfId="54174"/>
    <cellStyle name="dp*SheetSubTitle 5 2 3 3 3" xfId="54175"/>
    <cellStyle name="dp*NumberLineEPS 5 2 3 3 3" xfId="54176"/>
    <cellStyle name="dp*NumberLine 5 2 3 3 3" xfId="54177"/>
    <cellStyle name="Date [mmm-yyyy] 5 2 3 3 3" xfId="54178"/>
    <cellStyle name="COL HEADINGS 7 2 3 3 3" xfId="54179"/>
    <cellStyle name="Bold/Border 7 2 3 3 3" xfId="54180"/>
    <cellStyle name="Afjusted 8 2 3 3 3" xfId="54181"/>
    <cellStyle name="ac 7 2 3 3 3" xfId="54182"/>
    <cellStyle name="Title [Palat] 7 2 3 3 3" xfId="54183"/>
    <cellStyle name="Title [Helv] 6 2 3 3 3" xfId="54184"/>
    <cellStyle name="Table Head Green 8 2 3 3 3" xfId="54185"/>
    <cellStyle name="Table Head Aligned 6 2 3 3 3" xfId="54186"/>
    <cellStyle name="Outputs 8 2 3 3 3" xfId="54187"/>
    <cellStyle name="Magic 6 2 3 3 3" xfId="54188"/>
    <cellStyle name="Heading [Palat] 8 2 3 3 3" xfId="54189"/>
    <cellStyle name="Heading [Helv] 8 2 3 3 3" xfId="54190"/>
    <cellStyle name="dp*SheetSubTitle 6 2 3 3 3" xfId="54191"/>
    <cellStyle name="dp*NumberLineEPS 6 2 3 3 3" xfId="54192"/>
    <cellStyle name="dp*NumberLine 6 2 3 3 3" xfId="54193"/>
    <cellStyle name="COL HEADINGS 8 2 3 3 3" xfId="54194"/>
    <cellStyle name="Bold/Border 8 2 3 3 3" xfId="54195"/>
    <cellStyle name="Afjusted 9 2 3 3 3" xfId="54196"/>
    <cellStyle name="ac 8 2 3 3 3" xfId="54197"/>
    <cellStyle name="Date [mmm-yyyy] 6 2 3 3 3" xfId="54198"/>
    <cellStyle name="Title [Palat] 8 2 3 3 3" xfId="54199"/>
    <cellStyle name="Title [Helv] 7 2 3 3 3" xfId="54200"/>
    <cellStyle name="Table Head Green 9 2 3 3 3" xfId="54201"/>
    <cellStyle name="Table Head Aligned 7 2 3 3 3" xfId="54202"/>
    <cellStyle name="Outputs 9 2 3 3 3" xfId="54203"/>
    <cellStyle name="Magic 7 2 3 3 3" xfId="54204"/>
    <cellStyle name="Heading [Palat] 9 2 3 3 3" xfId="54205"/>
    <cellStyle name="Heading [Helv] 9 2 3 3 3" xfId="54206"/>
    <cellStyle name="dp*SheetSubTitle 7 2 3 3 3" xfId="54207"/>
    <cellStyle name="dp*NumberLineEPS 7 2 3 3 3" xfId="54208"/>
    <cellStyle name="dp*NumberLine 7 2 3 3 3" xfId="54209"/>
    <cellStyle name="Date [mmm-yyyy] 7 2 3 3 3" xfId="54210"/>
    <cellStyle name="COL HEADINGS 9 2 3 3 3" xfId="54211"/>
    <cellStyle name="Bold/Border 9 2 3 3 3" xfId="54212"/>
    <cellStyle name="Afjusted 10 2 3 3 3" xfId="54213"/>
    <cellStyle name="ac 9 2 3 3 3" xfId="54214"/>
    <cellStyle name="Normal 2 13" xfId="54215"/>
    <cellStyle name="Normal 3 9" xfId="54216"/>
    <cellStyle name="Comma 59" xfId="54217"/>
    <cellStyle name="Percent 62" xfId="54218"/>
    <cellStyle name="Title 22" xfId="54219"/>
    <cellStyle name="Currency 2 9" xfId="54220"/>
    <cellStyle name="Normal 33 2" xfId="54221"/>
    <cellStyle name="Normal 35 2" xfId="54222"/>
    <cellStyle name="Normal 32 2" xfId="54223"/>
    <cellStyle name="Normal 2 6 2 2 2 2 2 2" xfId="54224"/>
    <cellStyle name="Normal 31 2" xfId="54225"/>
    <cellStyle name="Percent 3 6" xfId="54226"/>
    <cellStyle name="Normal 18 3" xfId="54227"/>
    <cellStyle name="Title 3 2" xfId="54228"/>
    <cellStyle name="Normal 3 2 6" xfId="54229"/>
    <cellStyle name="Currency 2 2 4" xfId="54230"/>
    <cellStyle name="Normal 4 4 3" xfId="54231"/>
    <cellStyle name="Title 2 2 2" xfId="54232"/>
    <cellStyle name="Comma 4 2 3" xfId="54233"/>
    <cellStyle name="Normal 5 7" xfId="54234"/>
    <cellStyle name="Normal 44 2" xfId="54235"/>
    <cellStyle name="Comma 2 2 2 3" xfId="54236"/>
    <cellStyle name="Comma 10 2" xfId="54237"/>
    <cellStyle name="Normal 5 2 4" xfId="54238"/>
    <cellStyle name="Comma 5 2 2" xfId="54239"/>
    <cellStyle name="Comma 6 3" xfId="54240"/>
    <cellStyle name="Percent 4 5" xfId="54241"/>
    <cellStyle name="Neutral 3 2" xfId="54242"/>
    <cellStyle name="60% - Accent1 3 2" xfId="54243"/>
    <cellStyle name="60% - Accent2 3 2" xfId="54244"/>
    <cellStyle name="60% - Accent3 3 2" xfId="54245"/>
    <cellStyle name="60% - Accent4 3 2" xfId="54246"/>
    <cellStyle name="60% - Accent5 3 2" xfId="54247"/>
    <cellStyle name="60% - Accent6 3 2" xfId="54248"/>
    <cellStyle name="Normal 6 2 7" xfId="54249"/>
  </cellStyles>
  <dxfs count="35"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9"/>
        <extend val="0"/>
      </font>
    </dxf>
    <dxf>
      <font>
        <b val="1"/>
        <condense val="0"/>
        <color indexed="10"/>
        <extend val="0"/>
      </font>
    </dxf>
    <dxf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  <dxf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  <dxf>
      <font>
        <b val="1"/>
        <color rgb="FF000000"/>
      </font>
    </dxf>
    <dxf>
      <font>
        <b val="1"/>
        <color rgb="FF000000"/>
      </font>
      <border>
        <bottom style="thin">
          <color rgb="FF95B3D7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8D8D8"/>
          <bgColor rgb="FFD8D8D8"/>
        </patternFill>
      </fill>
    </dxf>
    <dxf>
      <font>
        <b val="1"/>
        <color rgb="FF000000"/>
      </font>
      <fill>
        <patternFill patternType="solid">
          <fgColor rgb="FFDBE5F1"/>
          <bgColor rgb="FFDBE5F1"/>
        </patternFill>
      </fill>
      <border>
        <top style="thin">
          <color rgb="FF95B3D7"/>
        </top>
      </border>
    </dxf>
    <dxf>
      <font>
        <b val="1"/>
        <color rgb="FF000000"/>
      </font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</dxfs>
  <tableStyles count="2" defaultTableStyle="TableStyleMedium2" defaultPivotStyle="PivotStyleLight16">
    <tableStyle name="PivotStyleLight16 2" table="0" count="11">
      <tableStyleElement type="headerRow" dxfId="34"/>
      <tableStyleElement type="totalRow" dxfId="33"/>
      <tableStyleElement type="firstRowStripe" dxfId="32"/>
      <tableStyleElement type="firstColumnStripe" dxfId="31"/>
      <tableStyleElement type="firstSubtotalColumn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externalLink" Target="/xl/externalLinks/externalLink7.xml" Id="rId9"/><Relationship Type="http://schemas.openxmlformats.org/officeDocument/2006/relationships/externalLink" Target="/xl/externalLinks/externalLink8.xml" Id="rId10"/><Relationship Type="http://schemas.openxmlformats.org/officeDocument/2006/relationships/externalLink" Target="/xl/externalLinks/externalLink9.xml" Id="rId11"/><Relationship Type="http://schemas.openxmlformats.org/officeDocument/2006/relationships/externalLink" Target="/xl/externalLinks/externalLink10.xml" Id="rId12"/><Relationship Type="http://schemas.openxmlformats.org/officeDocument/2006/relationships/externalLink" Target="/xl/externalLinks/externalLink11.xml" Id="rId13"/><Relationship Type="http://schemas.openxmlformats.org/officeDocument/2006/relationships/externalLink" Target="/xl/externalLinks/externalLink12.xml" Id="rId14"/><Relationship Type="http://schemas.openxmlformats.org/officeDocument/2006/relationships/externalLink" Target="/xl/externalLinks/externalLink13.xml" Id="rId15"/><Relationship Type="http://schemas.openxmlformats.org/officeDocument/2006/relationships/externalLink" Target="/xl/externalLinks/externalLink14.xml" Id="rId16"/><Relationship Type="http://schemas.openxmlformats.org/officeDocument/2006/relationships/externalLink" Target="/xl/externalLinks/externalLink15.xml" Id="rId17"/><Relationship Type="http://schemas.openxmlformats.org/officeDocument/2006/relationships/externalLink" Target="/xl/externalLinks/externalLink16.xml" Id="rId18"/><Relationship Type="http://schemas.openxmlformats.org/officeDocument/2006/relationships/externalLink" Target="/xl/externalLinks/externalLink17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Glen Daci</author>
  </authors>
  <commentList>
    <comment ref="F9" authorId="0" shapeId="0">
      <text>
        <t>PennantPark: We will populate going forward.</t>
      </text>
    </comment>
    <comment ref="BD78" authorId="0" shapeId="0">
      <text>
        <t>Quarterly payments with 1M resets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R:\Nbarakat\statements\2001\October_2001\October-loans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R:\USERS\Nbarakat\statements\2000\apr-2000\Apr-loans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ff0564\Oppenheimer\AUGUSTA\Accounting\Annual\2003\ALPAUD03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Documents%20and%20Settings\aefrat.PENNANT\Local%20Settings\Temporary%20Internet%20Files\Content.Outlook\YLQXN4XZ\PNNT%202007%20Turnover2verison2%20(3)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C:\Documents%20and%20Settings\jskvarla\Application%20Data\Microsoft\Excel\Financials\Portfolio%20Turnover_Cost%20Roll%20Forward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S:\aefrat\Expenses\Expense%20Report%20Master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Users\smcilravy\AppData\Local\Microsoft\Windows\Temporary%20Internet%20Files\Content.Outlook\EZRYMNRX\Twin%20Brook%20Capital%20Funding%201_Cash%20Flow%20as%20of%2009%2024%2015%20(3).xlsx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C:\Documents%20and%20Settings\jskvarla\Local%20Settings\Temporary%20Internet%20Files\Content.Outlook\OIOAMF0S\63007Qb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C:\WRKSHEET\PRICING\METWEST\2312\DailyWork\MW20IOClosed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E:\aefrat\2010%20Financial%20Statements\201001%20Monthly%20Package\Geneva%20Conversion%20Testing\Geneva%20Conversion%20Tracking%20&amp;%20Knowledge%20Management%202.16.2010%20v1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C:\WRKSHEET\PRICING\Chapman\0727\MonthEnd\DE10monthendNovemberr2001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C:\Financials\FYE%20200909\200909%2010-K\September%2030%202009%20Financial%20Statements%20Draft.xlsx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E:\aefrat\2009%20Financial%20Statements\Form%2010-K\200909%2010-K\September%2030%202009%20Financial%20Statements%20Workpapers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C:\ff0564\Oppenheimer\AUGUSTA\Accounting\Annual\2002\ALPAUD02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C:\Client%20Work%20Papers\ABR\Phase%202-Documentation\RAs\LSE%20RA%20Investments_in_Securities0215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C:\FY%202008%20Financials\September%202008%20Financials.xlsx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C:\Documents%20and%20Settings\dalfalla.PENNANT\Desktop\PFLT%20Subsidiary%20Monitoring\PFRF%20I%20LLC%20Monthly%20FS%20Package%20201107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ates"/>
      <sheetName val="Sheet6"/>
      <sheetName val="1st union"/>
      <sheetName val="Sheet5"/>
      <sheetName val="Sheet2"/>
      <sheetName val="Sheet1"/>
      <sheetName val="summary1"/>
      <sheetName val="return "/>
      <sheetName val="detail"/>
      <sheetName val="amicus11-6"/>
      <sheetName val="GLjune"/>
      <sheetName val="bank summ"/>
      <sheetName val="FLOORS"/>
      <sheetName val="calc"/>
      <sheetName val="Oaktree"/>
      <sheetName val="cf Lender"/>
      <sheetName val="volume-rate"/>
      <sheetName val="volume-rate (2)"/>
      <sheetName val="Sheet4"/>
      <sheetName val="Sheet3"/>
      <sheetName val="Sheet7"/>
      <sheetName val="rate_vol_oct"/>
      <sheetName val="Rate_vol_YTD"/>
      <sheetName val="rate_vol-Proj"/>
      <sheetName val="rate_vol-00-01"/>
      <sheetName val="Aggregate Borrowing Base"/>
      <sheetName val="Schedules"/>
      <sheetName val="Tables"/>
      <sheetName val="GL Tape"/>
      <sheetName val="Risk Rating"/>
      <sheetName val="Caa_CCC"/>
      <sheetName val="Rating Database"/>
      <sheetName val="Moodys"/>
      <sheetName val="S&amp;P"/>
      <sheetName val="Fitch"/>
      <sheetName val="CLO 2017-1"/>
      <sheetName val="BENCH"/>
      <sheetName val="Estimated Payoffs "/>
      <sheetName val="Monthly Facility Detail Prod"/>
      <sheetName val="Holdco Loan Tape"/>
      <sheetName val="Concentration Limits"/>
      <sheetName val="BBC"/>
      <sheetName val="Trial Balance"/>
      <sheetName val="Trend"/>
      <sheetName val="Strat"/>
      <sheetName val="Pivot Table"/>
      <sheetName val="MPD Chart"/>
      <sheetName val="Sales&amp;Amort Requirements"/>
      <sheetName val="Mods"/>
      <sheetName val="Waived Exceptions"/>
      <sheetName val="Standard Loan List"/>
      <sheetName val="Borrowing Base Certificate"/>
      <sheetName val="Portfolio"/>
      <sheetName val="Collateral Quality Tests"/>
      <sheetName val="Foreign Exchange"/>
      <sheetName val="Effective Obligor"/>
      <sheetName val="Interest (Absent an EoD)"/>
      <sheetName val="Principal (Absent an EoD)"/>
      <sheetName val="Borrowing Base-Original"/>
      <sheetName val="Loan List"/>
      <sheetName val="WAR Calc"/>
      <sheetName val="DRR Inputs"/>
      <sheetName val="D-700 1042 S Info"/>
      <sheetName val="Form 8937"/>
      <sheetName val="D-85 Required Distribution Test"/>
      <sheetName val="D- 95 Distribution - Excise Tax"/>
      <sheetName val="D-75 ROCSOP"/>
      <sheetName val="D-76 Cumulative M-1s"/>
      <sheetName val="D-60 ES Payments"/>
      <sheetName val="D-100 Income Stmt"/>
      <sheetName val="D-110 871(k) Designation"/>
      <sheetName val="D-120 M-1 Summary "/>
      <sheetName val="D-121 Schedule M-1 - 1120 RIC"/>
      <sheetName val="D-125 Other Income"/>
      <sheetName val="D-175 Line 16"/>
      <sheetName val="D-140 Share Ownership"/>
      <sheetName val="D-141 Shareholder Register"/>
      <sheetName val="D-310 Flow Through Income"/>
      <sheetName val="D-430 Amort. of Org Costs"/>
      <sheetName val="D-500 Dividend Distributions"/>
      <sheetName val="D-700 Capital Loss Carryforward"/>
      <sheetName val="Instructions"/>
      <sheetName val="FINANCIALS ----&gt;"/>
      <sheetName val="BS Aggregate"/>
      <sheetName val="OPS Aggregate"/>
      <sheetName val="Members' Capital"/>
      <sheetName val="Cash Flow"/>
      <sheetName val="Port Co Activity"/>
      <sheetName val="Level III Roll"/>
      <sheetName val="LEDGER ----&gt;"/>
      <sheetName val="GL Summary"/>
      <sheetName val="SS TB Sleeve"/>
      <sheetName val="Prof Fees and Admin"/>
      <sheetName val="Cash"/>
      <sheetName val="OL"/>
      <sheetName val="Inv Cost Roll"/>
      <sheetName val="Inv Par Roll"/>
      <sheetName val="WSO Principal Tranx Rpt"/>
      <sheetName val="APAR"/>
      <sheetName val="OA"/>
      <sheetName val="Prepaid Expenses"/>
      <sheetName val="Unsettled - Liab"/>
      <sheetName val="Mgmt Fee Pay"/>
      <sheetName val="Deferred Debt Financing"/>
      <sheetName val="Deferred Offering"/>
      <sheetName val="Contr.Distr"/>
      <sheetName val="Distribution Payable"/>
      <sheetName val="Income"/>
      <sheetName val="Interest Exp"/>
      <sheetName val="Mgmt Fee Detail"/>
      <sheetName val="Incentive Fee Detail"/>
      <sheetName val="WSO BV Report"/>
      <sheetName val="WSO EIC Report"/>
      <sheetName val="WSO Misc Fees Report"/>
      <sheetName val="WSO EI Report"/>
      <sheetName val="Lookups"/>
      <sheetName val="Diversity Score Calculator"/>
      <sheetName val="synthgraph"/>
      <sheetName val="Map_Database"/>
      <sheetName val="Facility_Status"/>
      <sheetName val="EV_ClientList"/>
      <sheetName val="1st_union"/>
      <sheetName val="return_"/>
      <sheetName val="bank_summ"/>
      <sheetName val="cf_Lender"/>
      <sheetName val="volume-rate_(2)"/>
      <sheetName val="Aggregate_Borrowing_Base"/>
      <sheetName val="GL_Tape"/>
      <sheetName val="Risk_Rating"/>
      <sheetName val="Rating_Database"/>
      <sheetName val="CLO_2017-1"/>
      <sheetName val="Estimated_Payoffs_"/>
      <sheetName val="Monthly_Facility_Detail_Prod"/>
      <sheetName val="Holdco_Loan_Tape"/>
      <sheetName val="Concentration_Limits"/>
      <sheetName val="Trial_Balance"/>
      <sheetName val="Pivot_Table"/>
      <sheetName val="MPD_Chart"/>
      <sheetName val="Sales&amp;Amort_Requirements"/>
      <sheetName val="Waived_Exceptions"/>
      <sheetName val="Standard_Loan_List"/>
      <sheetName val="Borrowing_Base_Certificate"/>
      <sheetName val="Collateral_Quality_Tests"/>
      <sheetName val="Foreign_Exchange"/>
      <sheetName val="Effective_Obligor"/>
      <sheetName val="Interest_(Absent_an_EoD)"/>
      <sheetName val="Principal_(Absent_an_EoD)"/>
      <sheetName val="Borrowing_Base-Original"/>
      <sheetName val="Loan_List"/>
      <sheetName val="WAR_Calc"/>
      <sheetName val="DRR_Inputs"/>
      <sheetName val="D-700_1042_S_Info"/>
      <sheetName val="Form_8937"/>
      <sheetName val="D-85_Required_Distribution_Test"/>
      <sheetName val="D-_95_Distribution_-_Excise_Tax"/>
      <sheetName val="D-75_ROCSOP"/>
      <sheetName val="D-76_Cumulative_M-1s"/>
      <sheetName val="D-60_ES_Payments"/>
      <sheetName val="D-100_Income_Stmt"/>
      <sheetName val="D-110_871(k)_Designation"/>
      <sheetName val="D-120_M-1_Summary_"/>
      <sheetName val="D-121_Schedule_M-1_-_1120_RIC"/>
      <sheetName val="D-125_Other_Income"/>
      <sheetName val="D-175_Line_16"/>
      <sheetName val="D-140_Share_Ownership"/>
      <sheetName val="D-141_Shareholder_Register"/>
      <sheetName val="D-310_Flow_Through_Income"/>
      <sheetName val="D-430_Amort__of_Org_Costs"/>
      <sheetName val="D-500_Dividend_Distributions"/>
      <sheetName val="D-700_Capital_Loss_Carryforward"/>
      <sheetName val="FINANCIALS_----&gt;"/>
      <sheetName val="BS_Aggregate"/>
      <sheetName val="OPS_Aggregate"/>
      <sheetName val="Members'_Capital"/>
      <sheetName val="Cash_Flow"/>
      <sheetName val="Port_Co_Activity"/>
      <sheetName val="Level_III_Roll"/>
      <sheetName val="LEDGER_----&gt;"/>
      <sheetName val="GL_Summary"/>
      <sheetName val="SS_TB_Sleeve"/>
      <sheetName val="Prof_Fees_and_Admin"/>
      <sheetName val="Inv_Cost_Roll"/>
      <sheetName val="Inv_Par_Roll"/>
      <sheetName val="WSO_Principal_Tranx_Rpt"/>
      <sheetName val="Prepaid_Expenses"/>
      <sheetName val="Unsettled_-_Liab"/>
      <sheetName val="Mgmt_Fee_Pay"/>
      <sheetName val="Deferred_Debt_Financing"/>
      <sheetName val="Deferred_Offering"/>
      <sheetName val="Contr_Distr"/>
      <sheetName val="Distribution_Payable"/>
      <sheetName val="Interest_Exp"/>
      <sheetName val="Mgmt_Fee_Detail"/>
      <sheetName val="Incentive_Fee_Detail"/>
      <sheetName val="WSO_BV_Report"/>
      <sheetName val="WSO_EIC_Report"/>
      <sheetName val="WSO_Misc_Fees_Report"/>
      <sheetName val="WSO_EI_Report"/>
      <sheetName val="Diversity_Score_Calculator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cv"/>
      <sheetName val="1999 ACTUAL"/>
      <sheetName val="return full lvg"/>
      <sheetName val="return "/>
      <sheetName val="summary"/>
      <sheetName val="bank summ"/>
      <sheetName val="GL5-8"/>
      <sheetName val="detail 2-00"/>
      <sheetName val="cf Lender"/>
      <sheetName val="Oaktree"/>
      <sheetName val="Loans"/>
      <sheetName val="Borrowing"/>
      <sheetName val="entriesall"/>
      <sheetName val="AVG"/>
      <sheetName val="apr-entry"/>
      <sheetName val="volume-rate (2)"/>
      <sheetName val="volume-rate"/>
      <sheetName val="rates"/>
      <sheetName val="Tables"/>
      <sheetName val="GL Tape"/>
      <sheetName val="Risk Rating"/>
      <sheetName val="Caa_CCC"/>
      <sheetName val="Rating Database"/>
      <sheetName val="Moodys"/>
      <sheetName val="S&amp;P"/>
      <sheetName val="Fitch"/>
      <sheetName val="CLO 2017-1"/>
      <sheetName val="BENCH"/>
      <sheetName val="Estimated Payoffs "/>
      <sheetName val="Monthly Facility Detail Prod"/>
      <sheetName val="Holdco Loan Tape"/>
      <sheetName val="Borrowing Base Certificate"/>
      <sheetName val="Concentration Limits"/>
      <sheetName val="Portfolio"/>
      <sheetName val="Collateral Quality Tests"/>
      <sheetName val="Foreign Exchange"/>
      <sheetName val="Schedules"/>
      <sheetName val="Effective Obligor"/>
      <sheetName val="Interest (Absent an EoD)"/>
      <sheetName val="Principal (Absent an EoD)"/>
      <sheetName val="Sheet3"/>
      <sheetName val="D-700 1042 S Info"/>
      <sheetName val="Form 8937"/>
      <sheetName val="D-85 Required Distribution Test"/>
      <sheetName val="D- 95 Distribution - Excise Tax"/>
      <sheetName val="D-75 ROCSOP"/>
      <sheetName val="D-76 Cumulative M-1s"/>
      <sheetName val="D-60 ES Payments"/>
      <sheetName val="D-100 Income Stmt"/>
      <sheetName val="D-110 871(k) Designation"/>
      <sheetName val="D-120 M-1 Summary "/>
      <sheetName val="D-121 Schedule M-1 - 1120 RIC"/>
      <sheetName val="D-125 Other Income"/>
      <sheetName val="D-175 Line 16"/>
      <sheetName val="D-140 Share Ownership"/>
      <sheetName val="D-141 Shareholder Register"/>
      <sheetName val="D-310 Flow Through Income"/>
      <sheetName val="D-430 Amort. of Org Costs"/>
      <sheetName val="D-500 Dividend Distributions"/>
      <sheetName val="D-700 Capital Loss Carryforward"/>
      <sheetName val="Instructions"/>
      <sheetName val="FINANCIALS ----&gt;"/>
      <sheetName val="BS Aggregate"/>
      <sheetName val="OPS Aggregate"/>
      <sheetName val="Members' Capital"/>
      <sheetName val="Cash Flow"/>
      <sheetName val="Port Co Activity"/>
      <sheetName val="Level III Roll"/>
      <sheetName val="LEDGER ----&gt;"/>
      <sheetName val="GL Summary"/>
      <sheetName val="SS TB Sleeve"/>
      <sheetName val="Prof Fees and Admin"/>
      <sheetName val="Cash"/>
      <sheetName val="OL"/>
      <sheetName val="Inv Cost Roll"/>
      <sheetName val="Inv Par Roll"/>
      <sheetName val="WSO Principal Tranx Rpt"/>
      <sheetName val="APAR"/>
      <sheetName val="OA"/>
      <sheetName val="Prepaid Expenses"/>
      <sheetName val="Unsettled - Liab"/>
      <sheetName val="Mgmt Fee Pay"/>
      <sheetName val="Deferred Debt Financing"/>
      <sheetName val="Deferred Offering"/>
      <sheetName val="Contr.Distr"/>
      <sheetName val="Distribution Payable"/>
      <sheetName val="Income"/>
      <sheetName val="Interest Exp"/>
      <sheetName val="Mgmt Fee Detail"/>
      <sheetName val="Incentive Fee Detail"/>
      <sheetName val="WSO BV Report"/>
      <sheetName val="WSO EIC Report"/>
      <sheetName val="WSO Misc Fees Report"/>
      <sheetName val="WSO EI Report"/>
      <sheetName val="WSO AIC Report"/>
      <sheetName val="SS WSO Matrix"/>
      <sheetName val="FOR TAX -----&gt;"/>
      <sheetName val="Income by Location"/>
      <sheetName val="WSO SecMaster Report"/>
      <sheetName val="NOT USED ---&gt;"/>
      <sheetName val="Investor Allocations"/>
      <sheetName val="Capital Statements"/>
      <sheetName val="Accrued Income"/>
      <sheetName val="Unsettled - Recv"/>
      <sheetName val="Payable to WF"/>
      <sheetName val="Interest Payable"/>
      <sheetName val="Accruals Summary"/>
      <sheetName val="Delayed Comp"/>
      <sheetName val="Earned Income"/>
      <sheetName val="Dividends Recv &amp; Div Income"/>
      <sheetName val="Management Fee (5.31)"/>
      <sheetName val="Asset Account Int"/>
      <sheetName val="Mapping"/>
      <sheetName val="Portfolio Information"/>
      <sheetName val="Map_Database"/>
      <sheetName val="Facility_Status"/>
      <sheetName val="EV_ClientList"/>
      <sheetName val="1999_ACTUAL"/>
      <sheetName val="return_full_lvg"/>
      <sheetName val="return_"/>
      <sheetName val="bank_summ"/>
      <sheetName val="detail_2-00"/>
      <sheetName val="cf_Lender"/>
      <sheetName val="volume-rate_(2)"/>
      <sheetName val="GL_Tape"/>
      <sheetName val="Risk_Rating"/>
      <sheetName val="Rating_Database"/>
      <sheetName val="CLO_2017-1"/>
      <sheetName val="Estimated_Payoffs_"/>
      <sheetName val="Monthly_Facility_Detail_Prod"/>
      <sheetName val="Holdco_Loan_Tape"/>
      <sheetName val="Borrowing_Base_Certificate"/>
      <sheetName val="Concentration_Limits"/>
      <sheetName val="Collateral_Quality_Tests"/>
      <sheetName val="Foreign_Exchange"/>
      <sheetName val="Effective_Obligor"/>
      <sheetName val="Interest_(Absent_an_EoD)"/>
      <sheetName val="Principal_(Absent_an_EoD)"/>
      <sheetName val="D-700_1042_S_Info"/>
      <sheetName val="Form_8937"/>
      <sheetName val="D-85_Required_Distribution_Test"/>
      <sheetName val="D-_95_Distribution_-_Excise_Tax"/>
      <sheetName val="D-75_ROCSOP"/>
      <sheetName val="D-76_Cumulative_M-1s"/>
      <sheetName val="D-60_ES_Payments"/>
      <sheetName val="D-100_Income_Stmt"/>
      <sheetName val="D-110_871(k)_Designation"/>
      <sheetName val="D-120_M-1_Summary_"/>
      <sheetName val="D-121_Schedule_M-1_-_1120_RIC"/>
      <sheetName val="D-125_Other_Income"/>
      <sheetName val="D-175_Line_16"/>
      <sheetName val="D-140_Share_Ownership"/>
      <sheetName val="D-141_Shareholder_Register"/>
      <sheetName val="D-310_Flow_Through_Income"/>
      <sheetName val="D-430_Amort__of_Org_Costs"/>
      <sheetName val="D-500_Dividend_Distributions"/>
      <sheetName val="D-700_Capital_Loss_Carryforward"/>
      <sheetName val="FINANCIALS_----&gt;"/>
      <sheetName val="BS_Aggregate"/>
      <sheetName val="OPS_Aggregate"/>
      <sheetName val="Members'_Capital"/>
      <sheetName val="Cash_Flow"/>
      <sheetName val="Port_Co_Activity"/>
      <sheetName val="Level_III_Roll"/>
      <sheetName val="LEDGER_----&gt;"/>
      <sheetName val="GL_Summary"/>
      <sheetName val="SS_TB_Sleeve"/>
      <sheetName val="Prof_Fees_and_Admin"/>
      <sheetName val="Inv_Cost_Roll"/>
      <sheetName val="Inv_Par_Roll"/>
      <sheetName val="WSO_Principal_Tranx_Rpt"/>
      <sheetName val="Prepaid_Expenses"/>
      <sheetName val="Unsettled_-_Liab"/>
      <sheetName val="Mgmt_Fee_Pay"/>
      <sheetName val="Deferred_Debt_Financing"/>
      <sheetName val="Deferred_Offering"/>
      <sheetName val="Contr_Distr"/>
      <sheetName val="Distribution_Payable"/>
      <sheetName val="Interest_Exp"/>
      <sheetName val="Mgmt_Fee_Detail"/>
      <sheetName val="Incentive_Fee_Detail"/>
      <sheetName val="WSO_BV_Report"/>
      <sheetName val="WSO_EIC_Report"/>
      <sheetName val="WSO_Misc_Fees_Report"/>
      <sheetName val="WSO_EI_Report"/>
      <sheetName val="WSO_AIC_Report"/>
      <sheetName val="SS_WSO_Matrix"/>
      <sheetName val="FOR_TAX_-----&gt;"/>
      <sheetName val="Income_by_Location"/>
      <sheetName val="WSO_SecMaster_Report"/>
      <sheetName val="NOT_USED_---&gt;"/>
      <sheetName val="Investor_Allocations"/>
      <sheetName val="Capital_Statements"/>
      <sheetName val="Accrued_Income"/>
      <sheetName val="Unsettled_-_Recv"/>
      <sheetName val="Payable_to_WF"/>
      <sheetName val="Interest_Payable"/>
      <sheetName val="Accruals_Summary"/>
      <sheetName val="Delayed_Comp"/>
      <sheetName val="Earned_Income"/>
      <sheetName val="Dividends_Recv_&amp;_Div_Income"/>
      <sheetName val="Management_Fee_(5_31)"/>
      <sheetName val="Asset_Account_Int"/>
      <sheetName val="Portfolio_Infor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hklst"/>
      <sheetName val="JP GainsLosses"/>
      <sheetName val="JP CostRollForwd"/>
      <sheetName val="LT + ST Fiscal YTD -12"/>
      <sheetName val="Fiscal YTD - 12"/>
      <sheetName val="Fiscal YTD - 11"/>
      <sheetName val="Fiscal YTD - 10"/>
      <sheetName val="Fiscal YTD - 09"/>
      <sheetName val="Fiscal YTD - 08"/>
      <sheetName val="Fiscal YTD - 07"/>
      <sheetName val="Fiscal YTD - 06"/>
      <sheetName val="June only"/>
      <sheetName val="May only - FINAL"/>
      <sheetName val="May only"/>
      <sheetName val="April only"/>
      <sheetName val="Feb only"/>
      <sheetName val="Mar only"/>
      <sheetName val="LT vs ST gain-loss"/>
      <sheetName val="Total Gains Losses"/>
      <sheetName val="Cost Roll"/>
      <sheetName val="Purch - Written Options"/>
      <sheetName val="Purchased Options"/>
      <sheetName val="Written Options"/>
      <sheetName val="Port Turn"/>
      <sheetName val="Derivative"/>
      <sheetName val="Ratios"/>
      <sheetName val="Loan"/>
      <sheetName val="Net Gains Losses "/>
      <sheetName val="DRD"/>
      <sheetName val="Broker Commision"/>
      <sheetName val="UBTI "/>
      <sheetName val="UBTI"/>
      <sheetName val="Lt vs ST gains Losses"/>
    </sheetNames>
    <sheetDataSet>
      <sheetData sheetId="0">
        <row r="1">
          <cell r="A1" t="str">
            <v>ADVANTAGE ADVISERS AUGUSTA FUND, L.L.C.</v>
          </cell>
        </row>
        <row r="2">
          <cell r="A2" t="str">
            <v>AUDIT WORKPAPERS CHECKLIST</v>
          </cell>
        </row>
        <row r="4">
          <cell r="A4" t="str">
            <v>The following information should be included in the audit workpapers folder for each month-end:</v>
          </cell>
        </row>
        <row r="7">
          <cell r="A7" t="str">
            <v>Daily Schedules (as of last business day of month)</v>
          </cell>
        </row>
        <row r="8">
          <cell r="A8" t="str">
            <v>X</v>
          </cell>
          <cell r="C8" t="str">
            <v xml:space="preserve">Month-end IAS trial balance &amp; adjusted trial balance </v>
          </cell>
        </row>
        <row r="9">
          <cell r="C9" t="str">
            <v>Asset Coverage</v>
          </cell>
        </row>
        <row r="10">
          <cell r="A10" t="str">
            <v>X</v>
          </cell>
          <cell r="C10" t="str">
            <v>Portfolio Valuation (#25)</v>
          </cell>
        </row>
        <row r="11">
          <cell r="C11" t="str">
            <v>Interest &amp; Amortization (#12)</v>
          </cell>
        </row>
        <row r="12">
          <cell r="C12" t="str">
            <v>Dividend Receivable (#32)</v>
          </cell>
        </row>
        <row r="13">
          <cell r="A13" t="str">
            <v>X</v>
          </cell>
          <cell r="C13" t="str">
            <v>Expense Accrual Spreadsheet</v>
          </cell>
        </row>
        <row r="14">
          <cell r="A14" t="str">
            <v>X</v>
          </cell>
          <cell r="C14" t="str">
            <v>Loan Accrual Spreadsheet</v>
          </cell>
        </row>
        <row r="15">
          <cell r="C15" t="str">
            <v>Dividend Payable Accrual Spreadsheet</v>
          </cell>
        </row>
        <row r="16">
          <cell r="C16" t="str">
            <v>Credit Interest Accrual Spreadsheet</v>
          </cell>
        </row>
        <row r="18">
          <cell r="A18" t="str">
            <v>Quarterly Schedules</v>
          </cell>
        </row>
        <row r="19">
          <cell r="C19" t="str">
            <v>Broker Agency Commision Report</v>
          </cell>
        </row>
        <row r="20">
          <cell r="C20" t="str">
            <v>SOI &amp; Financial Statements</v>
          </cell>
        </row>
        <row r="21">
          <cell r="C21" t="str">
            <v>Foreign Bond Bifurcation Report (#058)</v>
          </cell>
        </row>
        <row r="22">
          <cell r="C22" t="str">
            <v>Audit Analysis Spreadsheets</v>
          </cell>
        </row>
        <row r="23">
          <cell r="C23" t="str">
            <v>Financial Ratios</v>
          </cell>
        </row>
        <row r="24">
          <cell r="C24" t="str">
            <v>Dividend Received Deduction</v>
          </cell>
        </row>
        <row r="26">
          <cell r="A26" t="str">
            <v>Year-end / Semi-annual Schedules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st Rollforward - PTO"/>
      <sheetName val="Gain Loss Check"/>
      <sheetName val="Cost Roll - Consolidated"/>
      <sheetName val="Gain Loss - Consolidated"/>
    </sheetNames>
    <sheetDataSet>
      <sheetData sheetId="0" refreshError="1">
        <row r="45">
          <cell r="C45">
            <v>37</v>
          </cell>
        </row>
        <row r="47">
          <cell r="G47">
            <v>273940678.05500001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st Roll"/>
      <sheetName val="Cost Rollforward - PTO"/>
      <sheetName val="Gain Loss Check"/>
      <sheetName val="Cost Roll - Consolidated"/>
      <sheetName val="Gain Loss - Consolidated"/>
    </sheetNames>
    <sheetDataSet>
      <sheetData sheetId="0">
        <row r="14">
          <cell r="C14">
            <v>22518750</v>
          </cell>
        </row>
        <row r="52">
          <cell r="C52">
            <v>172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echert"/>
      <sheetName val="Expense Report"/>
      <sheetName val="EntityLookup"/>
      <sheetName val="DealLookup NOT USED"/>
      <sheetName val="Sponsor Due Dillig Explan"/>
      <sheetName val="Deal_Expense Lookup"/>
      <sheetName val="Vendor Lookup"/>
      <sheetName val="GL Check"/>
      <sheetName val="Sheet1"/>
    </sheetNames>
    <sheetDataSet>
      <sheetData sheetId="0"/>
      <sheetData sheetId="1"/>
      <sheetData sheetId="2">
        <row r="3">
          <cell r="A3" t="str">
            <v>PP_CORP</v>
          </cell>
        </row>
        <row r="4">
          <cell r="A4" t="str">
            <v>PP_ADV</v>
          </cell>
        </row>
      </sheetData>
      <sheetData sheetId="3"/>
      <sheetData sheetId="4">
        <row r="4">
          <cell r="A4" t="str">
            <v>Sponsor = if this sponsor closes one deal we can recoup expenses</v>
          </cell>
        </row>
        <row r="6">
          <cell r="A6" t="str">
            <v>AEA</v>
          </cell>
        </row>
        <row r="7">
          <cell r="A7" t="str">
            <v>Apollo</v>
          </cell>
        </row>
        <row r="8">
          <cell r="A8" t="str">
            <v>Arsenal</v>
          </cell>
        </row>
        <row r="9">
          <cell r="A9" t="str">
            <v>Audax</v>
          </cell>
        </row>
        <row r="10">
          <cell r="A10" t="str">
            <v>Bank of New York</v>
          </cell>
        </row>
        <row r="11">
          <cell r="A11" t="str">
            <v>Behman</v>
          </cell>
        </row>
        <row r="12">
          <cell r="A12" t="str">
            <v>BlackStone</v>
          </cell>
        </row>
        <row r="13">
          <cell r="A13" t="str">
            <v>Citizens Bank</v>
          </cell>
        </row>
        <row r="14">
          <cell r="A14" t="str">
            <v>Deutsche Bank</v>
          </cell>
        </row>
        <row r="15">
          <cell r="A15" t="str">
            <v>Kohlberg</v>
          </cell>
        </row>
        <row r="16">
          <cell r="A16" t="str">
            <v>Lightyear Capital</v>
          </cell>
        </row>
        <row r="17">
          <cell r="A17" t="str">
            <v>Mid Ocean</v>
          </cell>
        </row>
        <row r="18">
          <cell r="A18" t="str">
            <v>North Castle (NCP)</v>
          </cell>
        </row>
        <row r="19">
          <cell r="A19" t="str">
            <v>Prime Mortgage Management</v>
          </cell>
        </row>
        <row r="20">
          <cell r="A20" t="str">
            <v>Sun Trust</v>
          </cell>
        </row>
        <row r="21">
          <cell r="A21" t="str">
            <v>TH Lee Capital</v>
          </cell>
        </row>
        <row r="22">
          <cell r="A22" t="str">
            <v>Trimaran</v>
          </cell>
        </row>
        <row r="23">
          <cell r="A23" t="str">
            <v>Wickes</v>
          </cell>
        </row>
        <row r="24">
          <cell r="A24" t="str">
            <v>Ulysses</v>
          </cell>
        </row>
        <row r="25">
          <cell r="A25" t="str">
            <v>Maple Stone Advisors</v>
          </cell>
        </row>
        <row r="26">
          <cell r="A26" t="str">
            <v>RBS</v>
          </cell>
        </row>
        <row r="27">
          <cell r="A27" t="str">
            <v>Estes</v>
          </cell>
        </row>
        <row r="28">
          <cell r="A28" t="str">
            <v>Nexos Capital Partners</v>
          </cell>
        </row>
        <row r="29">
          <cell r="A29" t="str">
            <v>Investcorp</v>
          </cell>
        </row>
        <row r="30">
          <cell r="A30" t="str">
            <v>Commonwealth</v>
          </cell>
        </row>
        <row r="34">
          <cell r="A34" t="str">
            <v>Deal = if this deal closes we can recoup expenses</v>
          </cell>
        </row>
        <row r="38">
          <cell r="A38" t="str">
            <v>Advanstar</v>
          </cell>
        </row>
        <row r="39">
          <cell r="A39" t="str">
            <v>AIS</v>
          </cell>
        </row>
        <row r="40">
          <cell r="A40" t="str">
            <v>BOC Edwards</v>
          </cell>
        </row>
        <row r="41">
          <cell r="A41" t="str">
            <v>Brady</v>
          </cell>
        </row>
        <row r="42">
          <cell r="A42" t="str">
            <v>Diagnostic Imaging</v>
          </cell>
        </row>
        <row r="43">
          <cell r="A43" t="str">
            <v>Educate</v>
          </cell>
        </row>
        <row r="44">
          <cell r="A44" t="str">
            <v>GSI</v>
          </cell>
        </row>
        <row r="45">
          <cell r="A45" t="str">
            <v>Performance Bicycles</v>
          </cell>
        </row>
        <row r="46">
          <cell r="A46" t="str">
            <v>Prime Management</v>
          </cell>
        </row>
        <row r="47">
          <cell r="A47" t="str">
            <v>Priority Solutions</v>
          </cell>
        </row>
        <row r="48">
          <cell r="A48" t="str">
            <v>Rath Gibson</v>
          </cell>
        </row>
        <row r="49">
          <cell r="A49" t="str">
            <v>RJ O'Brien</v>
          </cell>
        </row>
        <row r="50">
          <cell r="A50" t="str">
            <v>SafeNet</v>
          </cell>
        </row>
        <row r="51">
          <cell r="A51" t="str">
            <v>Thomson Learning</v>
          </cell>
        </row>
        <row r="52">
          <cell r="A52" t="str">
            <v>Weinstein - film translation</v>
          </cell>
        </row>
        <row r="53">
          <cell r="A53" t="str">
            <v>Pegasus</v>
          </cell>
        </row>
        <row r="54">
          <cell r="A54" t="str">
            <v>Financo</v>
          </cell>
        </row>
        <row r="55">
          <cell r="A55" t="str">
            <v>Advent</v>
          </cell>
        </row>
        <row r="56">
          <cell r="A56" t="str">
            <v>Swift</v>
          </cell>
        </row>
        <row r="57">
          <cell r="A57" t="str">
            <v>IRIX</v>
          </cell>
        </row>
        <row r="58">
          <cell r="A58" t="str">
            <v>Innovative Brand</v>
          </cell>
        </row>
        <row r="59">
          <cell r="A59" t="str">
            <v>Castle Harlem</v>
          </cell>
        </row>
        <row r="60">
          <cell r="A60" t="str">
            <v>InterDynamics</v>
          </cell>
        </row>
        <row r="61">
          <cell r="A61" t="str">
            <v>Imagine</v>
          </cell>
        </row>
      </sheetData>
      <sheetData sheetId="5">
        <row r="4">
          <cell r="A4" t="str">
            <v>NOTE: DO NOT MODIFY WORKBOOK W/O AVIV'S APPROVAL</v>
          </cell>
        </row>
        <row r="6">
          <cell r="A6" t="str">
            <v>Expenses/General Ledger:</v>
          </cell>
        </row>
        <row r="8">
          <cell r="A8" t="str">
            <v>Accounting/Tax/Reg Admin/38a-1</v>
          </cell>
        </row>
        <row r="9">
          <cell r="A9" t="str">
            <v>Admin Support - Amortize PP&amp;E (5 years)</v>
          </cell>
        </row>
        <row r="10">
          <cell r="A10" t="str">
            <v>Admin Support - Compensation</v>
          </cell>
        </row>
        <row r="11">
          <cell r="A11" t="str">
            <v>Admin Support - Compliance</v>
          </cell>
        </row>
        <row r="12">
          <cell r="A12" t="str">
            <v>Admin Support - Misc</v>
          </cell>
        </row>
        <row r="13">
          <cell r="A13" t="str">
            <v>Admin Support - Occupation</v>
          </cell>
        </row>
        <row r="14">
          <cell r="A14" t="str">
            <v>Admin Support - Office Supplies</v>
          </cell>
        </row>
        <row r="15">
          <cell r="A15" t="str">
            <v>Admin Support - Phone</v>
          </cell>
        </row>
        <row r="16">
          <cell r="A16" t="str">
            <v>Admin Support - Proxy</v>
          </cell>
        </row>
        <row r="17">
          <cell r="A17" t="str">
            <v>Admin Support - Technology</v>
          </cell>
        </row>
        <row r="18">
          <cell r="A18" t="str">
            <v>Advisory Reimbursement - Board</v>
          </cell>
        </row>
        <row r="19">
          <cell r="A19" t="str">
            <v>Advisory Reimbursement - Due Diligence</v>
          </cell>
        </row>
        <row r="20">
          <cell r="A20" t="str">
            <v>Advisory Reimbursement - Marketing</v>
          </cell>
        </row>
        <row r="21">
          <cell r="A21" t="str">
            <v>Board</v>
          </cell>
        </row>
        <row r="22">
          <cell r="A22" t="str">
            <v>Compliance</v>
          </cell>
        </row>
        <row r="23">
          <cell r="A23" t="str">
            <v>Consulting</v>
          </cell>
        </row>
        <row r="24">
          <cell r="A24" t="str">
            <v>Credit Facility - Organizational Costs</v>
          </cell>
        </row>
        <row r="25">
          <cell r="A25" t="str">
            <v>Custody</v>
          </cell>
        </row>
        <row r="26">
          <cell r="A26" t="str">
            <v>Independent Auditors/Tax</v>
          </cell>
        </row>
        <row r="27">
          <cell r="A27" t="str">
            <v>Insurance</v>
          </cell>
        </row>
        <row r="28">
          <cell r="A28" t="str">
            <v>IPO-Audit</v>
          </cell>
        </row>
        <row r="29">
          <cell r="A29" t="str">
            <v>IPO-Legal</v>
          </cell>
        </row>
        <row r="30">
          <cell r="A30" t="str">
            <v>IPO-Misc</v>
          </cell>
        </row>
        <row r="31">
          <cell r="A31" t="str">
            <v>IPO-NASDAQ</v>
          </cell>
        </row>
        <row r="32">
          <cell r="A32" t="str">
            <v>IPO-Printing</v>
          </cell>
        </row>
        <row r="33">
          <cell r="A33" t="str">
            <v>IPO-SEC</v>
          </cell>
        </row>
        <row r="34">
          <cell r="A34" t="str">
            <v>Prepaid - Offering Costs</v>
          </cell>
        </row>
        <row r="35">
          <cell r="A35" t="str">
            <v>Legal - General Corporate</v>
          </cell>
        </row>
        <row r="36">
          <cell r="A36" t="str">
            <v>Legal - Proxy</v>
          </cell>
        </row>
        <row r="37">
          <cell r="A37" t="str">
            <v>Legal - General Credit Facility</v>
          </cell>
        </row>
        <row r="38">
          <cell r="A38" t="str">
            <v>Legal - Permanent Credit Facility</v>
          </cell>
        </row>
        <row r="39">
          <cell r="A39" t="str">
            <v>Legal - SBIC</v>
          </cell>
        </row>
        <row r="40">
          <cell r="A40" t="str">
            <v>Legal - Follow-on</v>
          </cell>
        </row>
        <row r="41">
          <cell r="A41" t="str">
            <v>Audit - Follow-on</v>
          </cell>
        </row>
        <row r="42">
          <cell r="A42" t="str">
            <v>Printing - Follow-on</v>
          </cell>
        </row>
        <row r="43">
          <cell r="A43" t="str">
            <v>Other - Follow-on</v>
          </cell>
        </row>
        <row r="44">
          <cell r="A44" t="str">
            <v>Miscellaneous</v>
          </cell>
        </row>
        <row r="45">
          <cell r="A45" t="str">
            <v>NASDAQ Fee</v>
          </cell>
        </row>
        <row r="46">
          <cell r="A46" t="str">
            <v>Organization - Audit</v>
          </cell>
        </row>
        <row r="47">
          <cell r="A47" t="str">
            <v>Organization - Legal</v>
          </cell>
        </row>
        <row r="48">
          <cell r="A48" t="str">
            <v>Organizational - Other</v>
          </cell>
        </row>
        <row r="49">
          <cell r="A49" t="str">
            <v>Other - Press release</v>
          </cell>
        </row>
        <row r="50">
          <cell r="A50" t="str">
            <v>Other - Web</v>
          </cell>
        </row>
        <row r="51">
          <cell r="A51" t="str">
            <v>Printing</v>
          </cell>
        </row>
        <row r="52">
          <cell r="A52" t="str">
            <v>Proxy</v>
          </cell>
        </row>
        <row r="53">
          <cell r="A53" t="str">
            <v>SEC Fee</v>
          </cell>
        </row>
        <row r="54">
          <cell r="A54" t="str">
            <v>Technology</v>
          </cell>
        </row>
        <row r="55">
          <cell r="A55" t="str">
            <v>Transfer Agent</v>
          </cell>
        </row>
        <row r="56">
          <cell r="A56" t="str">
            <v>Valuation/Pricing</v>
          </cell>
        </row>
        <row r="57">
          <cell r="A57" t="str">
            <v>Website Development</v>
          </cell>
        </row>
        <row r="58">
          <cell r="A58" t="str">
            <v>SBIC - Compensation</v>
          </cell>
        </row>
        <row r="59">
          <cell r="A59" t="str">
            <v>SBIC - Compliance</v>
          </cell>
        </row>
        <row r="60">
          <cell r="A60" t="str">
            <v>SBIC - Misc</v>
          </cell>
        </row>
        <row r="61">
          <cell r="A61" t="str">
            <v>SBIC - Occupation</v>
          </cell>
        </row>
        <row r="62">
          <cell r="A62" t="str">
            <v>SBIC - Office Supplies</v>
          </cell>
        </row>
        <row r="63">
          <cell r="A63" t="str">
            <v>SBIC - Phone</v>
          </cell>
        </row>
        <row r="64">
          <cell r="A64" t="str">
            <v>SBIC - Technology</v>
          </cell>
        </row>
      </sheetData>
      <sheetData sheetId="6">
        <row r="2">
          <cell r="A2" t="str">
            <v>Adam Bernstein</v>
          </cell>
        </row>
        <row r="3">
          <cell r="A3" t="str">
            <v>Alaric Compliance</v>
          </cell>
        </row>
        <row r="4">
          <cell r="A4" t="str">
            <v>American Stock Transfer</v>
          </cell>
        </row>
        <row r="5">
          <cell r="A5" t="str">
            <v>AON</v>
          </cell>
        </row>
        <row r="6">
          <cell r="A6" t="str">
            <v>Art Penn</v>
          </cell>
        </row>
        <row r="7">
          <cell r="A7" t="str">
            <v>Artin Arts</v>
          </cell>
        </row>
        <row r="8">
          <cell r="A8" t="str">
            <v>Aviv Efrat</v>
          </cell>
        </row>
        <row r="9">
          <cell r="A9" t="str">
            <v>Broadridge</v>
          </cell>
        </row>
        <row r="10">
          <cell r="A10" t="str">
            <v>Checkers International</v>
          </cell>
        </row>
        <row r="11">
          <cell r="A11" t="str">
            <v>Dechert</v>
          </cell>
        </row>
        <row r="12">
          <cell r="A12" t="str">
            <v>Global Securitization Services</v>
          </cell>
        </row>
        <row r="13">
          <cell r="A13" t="str">
            <v>KPMG</v>
          </cell>
        </row>
        <row r="14">
          <cell r="A14" t="str">
            <v>Marketwire</v>
          </cell>
        </row>
        <row r="15">
          <cell r="A15" t="str">
            <v>NASDAQ</v>
          </cell>
        </row>
        <row r="16">
          <cell r="A16" t="str">
            <v>PennantPark Investment Advisers</v>
          </cell>
        </row>
        <row r="17">
          <cell r="A17" t="str">
            <v>PennantPark Investment Administration</v>
          </cell>
        </row>
        <row r="18">
          <cell r="A18" t="str">
            <v>PennantPark Investment Corporation</v>
          </cell>
        </row>
        <row r="19">
          <cell r="A19" t="str">
            <v>PFPC</v>
          </cell>
        </row>
        <row r="20">
          <cell r="A20" t="str">
            <v>RFA - Richard Fleischman &amp; Assoc</v>
          </cell>
        </row>
        <row r="21">
          <cell r="A21" t="str">
            <v>RR Donnelley</v>
          </cell>
        </row>
        <row r="22">
          <cell r="A22" t="str">
            <v>Stikeman Elliott</v>
          </cell>
        </row>
        <row r="23">
          <cell r="A23" t="str">
            <v>SEC</v>
          </cell>
        </row>
        <row r="24">
          <cell r="A24" t="str">
            <v>Venable</v>
          </cell>
        </row>
        <row r="25">
          <cell r="A25" t="str">
            <v>VRC</v>
          </cell>
        </row>
      </sheetData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Cash Flow"/>
      <sheetName val="PAR Settled"/>
      <sheetName val="Legend"/>
      <sheetName val="Unactualized Cash"/>
      <sheetName val="Sheet1"/>
      <sheetName val="Sheet2"/>
      <sheetName val="Lookups"/>
    </sheetNames>
    <sheetDataSet>
      <sheetData sheetId="0" refreshError="1"/>
      <sheetData sheetId="1" refreshError="1"/>
      <sheetData sheetId="2">
        <row r="1">
          <cell r="A1" t="str">
            <v>Issuer_Name</v>
          </cell>
          <cell r="B1" t="str">
            <v>Facility_Name</v>
          </cell>
        </row>
        <row r="2">
          <cell r="A2" t="str">
            <v>WSOe Management Position</v>
          </cell>
        </row>
        <row r="3">
          <cell r="A3" t="str">
            <v>Difference b/t CF and WSOe</v>
          </cell>
        </row>
        <row r="8">
          <cell r="A8" t="str">
            <v>Difference after adjustments</v>
          </cell>
        </row>
        <row r="10">
          <cell r="A10" t="str">
            <v>Total</v>
          </cell>
        </row>
        <row r="11">
          <cell r="A11" t="str">
            <v>Bestop Inc</v>
          </cell>
          <cell r="B11" t="str">
            <v>Term Loan</v>
          </cell>
        </row>
        <row r="12">
          <cell r="A12" t="str">
            <v>Double E Company LLC</v>
          </cell>
          <cell r="B12" t="str">
            <v>Term Loan</v>
          </cell>
        </row>
        <row r="13">
          <cell r="A13" t="str">
            <v>Frontstreem Holdings, LLC</v>
          </cell>
          <cell r="B13" t="str">
            <v>Term Loan</v>
          </cell>
        </row>
        <row r="14">
          <cell r="A14" t="str">
            <v xml:space="preserve">JSS Holding Inc </v>
          </cell>
          <cell r="B14" t="str">
            <v>Initial Term Loan</v>
          </cell>
        </row>
        <row r="15">
          <cell r="A15" t="str">
            <v xml:space="preserve">Oracle Elevator Company </v>
          </cell>
          <cell r="B15" t="str">
            <v>Term Loan</v>
          </cell>
        </row>
        <row r="16">
          <cell r="A16" t="str">
            <v>Peach State Labs LLC</v>
          </cell>
          <cell r="B16" t="str">
            <v>Closing Date Term Loan</v>
          </cell>
        </row>
        <row r="17">
          <cell r="A17" t="str">
            <v>Quality Solutions Inc</v>
          </cell>
          <cell r="B17" t="str">
            <v>Term A Loan</v>
          </cell>
        </row>
        <row r="18">
          <cell r="A18" t="str">
            <v xml:space="preserve">Tharpe Company Inc (The) </v>
          </cell>
          <cell r="B18" t="str">
            <v>Term A Loan</v>
          </cell>
        </row>
        <row r="19">
          <cell r="A19" t="str">
            <v>Accella Holdings LLC</v>
          </cell>
          <cell r="B19" t="str">
            <v>Term Loan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ress Release"/>
      <sheetName val="Results Narrative"/>
      <sheetName val="Stmt of Ops"/>
      <sheetName val="Balance Sheet"/>
      <sheetName val="Cash Flows"/>
      <sheetName val="TB Income_Expense"/>
      <sheetName val="Portfolio"/>
      <sheetName val="Cost Roll"/>
      <sheetName val="Loan Outstanding"/>
      <sheetName val="per share data"/>
      <sheetName val="Changes in Net Assets"/>
      <sheetName val="Org Expenses"/>
      <sheetName val="Industry talbe2"/>
      <sheetName val="Industry table"/>
      <sheetName val="custody to acct rec"/>
      <sheetName val="Unsettled Tr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4">
          <cell r="C24">
            <v>366526477.91000003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172953FQ9 paid off 2.26.03"/>
      <sheetName val="312915gc9paidoff"/>
      <sheetName val="3133tcz76 PAID OFF"/>
      <sheetName val="3133TKYZ7PaidOff"/>
      <sheetName val="3133t2wf3- paid off"/>
      <sheetName val="3133TGQG7 paid off"/>
      <sheetName val="3133TKAB6Sold Off"/>
      <sheetName val="3133TKT91Sold Off"/>
      <sheetName val="23322BFC7soldoff"/>
      <sheetName val="501773CG8sold"/>
      <sheetName val="23321PWC8- SOLD"/>
      <sheetName val="31359hct9 paid off"/>
      <sheetName val="863572G80 paid-off"/>
      <sheetName val="3837H4TN5 paid-off"/>
      <sheetName val="3133TKAQ3-SOLD"/>
      <sheetName val="3133TVRL2 - SOLD"/>
      <sheetName val="3133TV5J1 - SOLD"/>
      <sheetName val="655356DU4 PAID-OFF"/>
      <sheetName val="45254TBC7 PAID-OFF "/>
      <sheetName val="3837H25D7 - SOLD"/>
      <sheetName val="31392B3C8 PAID-OFF"/>
      <sheetName val="Sheet1"/>
      <sheetName val="23321PYU6paid-off"/>
      <sheetName val="23321PTZ1LOT2 PAID-OFF"/>
      <sheetName val="76110GTC5 PAID-OFF"/>
      <sheetName val="31392R3D1 PAID-OFF"/>
    </sheetNames>
    <sheetDataSet>
      <sheetData sheetId="0" refreshError="1"/>
      <sheetData sheetId="1">
        <row r="298">
          <cell r="A298">
            <v>36373.040816326531</v>
          </cell>
          <cell r="B298">
            <v>2252087.67</v>
          </cell>
          <cell r="C298">
            <v>2</v>
          </cell>
          <cell r="D298">
            <v>7.0000000000000007E-2</v>
          </cell>
          <cell r="F298">
            <v>847.56</v>
          </cell>
          <cell r="H298">
            <v>71836.020000000033</v>
          </cell>
          <cell r="J298">
            <v>0.1681</v>
          </cell>
          <cell r="L298">
            <v>64.92</v>
          </cell>
          <cell r="N298">
            <v>782.64</v>
          </cell>
          <cell r="P298">
            <v>847.55999999999949</v>
          </cell>
          <cell r="R298">
            <v>33604.289999999994</v>
          </cell>
          <cell r="T298">
            <v>310806.5199999999</v>
          </cell>
        </row>
        <row r="299">
          <cell r="A299">
            <v>36375.040816326531</v>
          </cell>
          <cell r="B299">
            <v>2252087.67</v>
          </cell>
          <cell r="C299">
            <v>1</v>
          </cell>
          <cell r="D299">
            <v>7.0000000000000007E-2</v>
          </cell>
          <cell r="F299">
            <v>423.78</v>
          </cell>
          <cell r="H299">
            <v>71053.380000000034</v>
          </cell>
          <cell r="J299">
            <v>0.1681</v>
          </cell>
          <cell r="L299">
            <v>32.11</v>
          </cell>
          <cell r="N299">
            <v>391.66999999999996</v>
          </cell>
          <cell r="P299">
            <v>1271.3399999999995</v>
          </cell>
          <cell r="R299">
            <v>33636.399999999994</v>
          </cell>
          <cell r="T299">
            <v>311198.18999999989</v>
          </cell>
        </row>
        <row r="300">
          <cell r="A300">
            <v>36376.040816326531</v>
          </cell>
          <cell r="B300">
            <v>2252087.67</v>
          </cell>
          <cell r="C300">
            <v>1</v>
          </cell>
          <cell r="D300">
            <v>7.0000000000000007E-2</v>
          </cell>
          <cell r="F300">
            <v>423.78</v>
          </cell>
          <cell r="H300">
            <v>70661.710000000036</v>
          </cell>
          <cell r="J300">
            <v>0.1681</v>
          </cell>
          <cell r="L300">
            <v>31.93</v>
          </cell>
          <cell r="N300">
            <v>391.84999999999997</v>
          </cell>
          <cell r="P300">
            <v>1695.1199999999994</v>
          </cell>
          <cell r="R300">
            <v>33668.329999999994</v>
          </cell>
          <cell r="T300">
            <v>311590.03999999986</v>
          </cell>
        </row>
        <row r="301">
          <cell r="A301">
            <v>36377.040816326531</v>
          </cell>
          <cell r="B301">
            <v>2252087.67</v>
          </cell>
          <cell r="C301">
            <v>1</v>
          </cell>
          <cell r="D301">
            <v>7.0000000000000007E-2</v>
          </cell>
          <cell r="F301">
            <v>423.78</v>
          </cell>
          <cell r="H301">
            <v>70269.86000000003</v>
          </cell>
          <cell r="J301">
            <v>0.1681</v>
          </cell>
          <cell r="L301">
            <v>31.75</v>
          </cell>
          <cell r="N301">
            <v>392.03</v>
          </cell>
          <cell r="P301">
            <v>2118.8999999999996</v>
          </cell>
          <cell r="R301">
            <v>33700.079999999994</v>
          </cell>
          <cell r="T301">
            <v>311982.06999999989</v>
          </cell>
        </row>
        <row r="302">
          <cell r="A302">
            <v>36378.040816326531</v>
          </cell>
          <cell r="B302">
            <v>2252087.67</v>
          </cell>
          <cell r="C302">
            <v>3</v>
          </cell>
          <cell r="D302">
            <v>7.0000000000000007E-2</v>
          </cell>
          <cell r="F302">
            <v>1271.3399999999999</v>
          </cell>
          <cell r="H302">
            <v>69877.830000000031</v>
          </cell>
          <cell r="J302">
            <v>0.1681</v>
          </cell>
          <cell r="L302">
            <v>94.73</v>
          </cell>
          <cell r="N302">
            <v>1176.6099999999999</v>
          </cell>
          <cell r="P302">
            <v>3390.24</v>
          </cell>
          <cell r="R302">
            <v>33794.81</v>
          </cell>
          <cell r="T302">
            <v>313158.67999999988</v>
          </cell>
        </row>
        <row r="303">
          <cell r="A303">
            <v>36381.040816326531</v>
          </cell>
          <cell r="B303">
            <v>2252087.67</v>
          </cell>
          <cell r="C303">
            <v>1</v>
          </cell>
          <cell r="D303">
            <v>7.0000000000000007E-2</v>
          </cell>
          <cell r="F303">
            <v>423.78</v>
          </cell>
          <cell r="H303">
            <v>68701.22000000003</v>
          </cell>
          <cell r="J303">
            <v>0.1681</v>
          </cell>
          <cell r="L303">
            <v>31.04</v>
          </cell>
          <cell r="N303">
            <v>392.73999999999995</v>
          </cell>
          <cell r="P303">
            <v>3814.0199999999995</v>
          </cell>
          <cell r="R303">
            <v>33825.85</v>
          </cell>
          <cell r="T303">
            <v>313551.41999999987</v>
          </cell>
        </row>
        <row r="304">
          <cell r="A304">
            <v>36382.040816326531</v>
          </cell>
          <cell r="B304">
            <v>2252087.67</v>
          </cell>
          <cell r="C304">
            <v>1</v>
          </cell>
          <cell r="D304">
            <v>7.0000000000000007E-2</v>
          </cell>
          <cell r="F304">
            <v>423.78</v>
          </cell>
          <cell r="H304">
            <v>68308.480000000025</v>
          </cell>
          <cell r="J304">
            <v>0.1681</v>
          </cell>
          <cell r="L304">
            <v>30.87</v>
          </cell>
          <cell r="N304">
            <v>392.90999999999997</v>
          </cell>
          <cell r="P304">
            <v>4237.7999999999993</v>
          </cell>
          <cell r="R304">
            <v>33856.720000000001</v>
          </cell>
          <cell r="T304">
            <v>313944.32999999984</v>
          </cell>
        </row>
        <row r="305">
          <cell r="A305">
            <v>36383.040816326531</v>
          </cell>
          <cell r="B305">
            <v>2252087.67</v>
          </cell>
          <cell r="C305">
            <v>1</v>
          </cell>
          <cell r="D305">
            <v>7.0000000000000007E-2</v>
          </cell>
          <cell r="F305">
            <v>423.78</v>
          </cell>
          <cell r="H305">
            <v>67915.570000000022</v>
          </cell>
          <cell r="J305">
            <v>0.1681</v>
          </cell>
          <cell r="L305">
            <v>30.69</v>
          </cell>
          <cell r="N305">
            <v>393.09</v>
          </cell>
          <cell r="P305">
            <v>4661.579999999999</v>
          </cell>
          <cell r="R305">
            <v>33887.410000000003</v>
          </cell>
          <cell r="T305">
            <v>314337.41999999987</v>
          </cell>
        </row>
        <row r="306">
          <cell r="A306">
            <v>36384.040816326531</v>
          </cell>
          <cell r="B306">
            <v>2252087.67</v>
          </cell>
          <cell r="C306">
            <v>1</v>
          </cell>
          <cell r="D306">
            <v>7.0000000000000007E-2</v>
          </cell>
          <cell r="F306">
            <v>423.78</v>
          </cell>
          <cell r="H306">
            <v>67522.480000000025</v>
          </cell>
          <cell r="J306">
            <v>0.1681</v>
          </cell>
          <cell r="L306">
            <v>30.51</v>
          </cell>
          <cell r="N306">
            <v>393.27</v>
          </cell>
          <cell r="P306">
            <v>5085.3599999999988</v>
          </cell>
          <cell r="R306">
            <v>33917.920000000006</v>
          </cell>
          <cell r="T306">
            <v>314730.68999999989</v>
          </cell>
        </row>
        <row r="307">
          <cell r="A307">
            <v>36385.040816326531</v>
          </cell>
          <cell r="B307">
            <v>2252087.67</v>
          </cell>
          <cell r="C307">
            <v>3</v>
          </cell>
          <cell r="D307">
            <v>7.0000000000000007E-2</v>
          </cell>
          <cell r="F307">
            <v>1271.3399999999999</v>
          </cell>
          <cell r="H307">
            <v>67129.210000000021</v>
          </cell>
          <cell r="J307">
            <v>0.1681</v>
          </cell>
          <cell r="L307">
            <v>91</v>
          </cell>
          <cell r="N307">
            <v>1180.3399999999999</v>
          </cell>
          <cell r="P307">
            <v>6356.6999999999989</v>
          </cell>
          <cell r="R307">
            <v>34008.920000000006</v>
          </cell>
          <cell r="T307">
            <v>315911.02999999991</v>
          </cell>
        </row>
        <row r="308">
          <cell r="A308">
            <v>36388.040816326531</v>
          </cell>
          <cell r="B308">
            <v>2252087.67</v>
          </cell>
          <cell r="C308">
            <v>1</v>
          </cell>
          <cell r="D308">
            <v>7.0000000000000007E-2</v>
          </cell>
          <cell r="F308">
            <v>423.78</v>
          </cell>
          <cell r="H308">
            <v>65948.870000000024</v>
          </cell>
          <cell r="J308">
            <v>0.1681</v>
          </cell>
          <cell r="L308">
            <v>29.8</v>
          </cell>
          <cell r="N308">
            <v>393.97999999999996</v>
          </cell>
          <cell r="P308">
            <v>6780.4799999999987</v>
          </cell>
          <cell r="R308">
            <v>34038.720000000008</v>
          </cell>
          <cell r="T308">
            <v>316305.00999999989</v>
          </cell>
        </row>
        <row r="309">
          <cell r="A309">
            <v>36389.040816326531</v>
          </cell>
          <cell r="B309">
            <v>2252087.67</v>
          </cell>
          <cell r="C309">
            <v>1</v>
          </cell>
          <cell r="D309">
            <v>7.0000000000000007E-2</v>
          </cell>
          <cell r="F309">
            <v>423.78</v>
          </cell>
          <cell r="H309">
            <v>65554.890000000029</v>
          </cell>
          <cell r="J309">
            <v>0.1681</v>
          </cell>
          <cell r="L309">
            <v>29.62</v>
          </cell>
          <cell r="N309">
            <v>394.15999999999997</v>
          </cell>
          <cell r="P309">
            <v>7204.2599999999984</v>
          </cell>
          <cell r="R309">
            <v>34068.340000000011</v>
          </cell>
          <cell r="T309">
            <v>316699.16999999987</v>
          </cell>
        </row>
        <row r="310">
          <cell r="A310">
            <v>36390.040816326531</v>
          </cell>
          <cell r="B310">
            <v>2252087.67</v>
          </cell>
          <cell r="C310">
            <v>1</v>
          </cell>
          <cell r="D310">
            <v>7.0000000000000007E-2</v>
          </cell>
          <cell r="F310">
            <v>423.78</v>
          </cell>
          <cell r="H310">
            <v>65160.730000000025</v>
          </cell>
          <cell r="J310">
            <v>0.1681</v>
          </cell>
          <cell r="L310">
            <v>29.44</v>
          </cell>
          <cell r="N310">
            <v>394.34</v>
          </cell>
          <cell r="P310">
            <v>7628.0399999999981</v>
          </cell>
          <cell r="R310">
            <v>34097.780000000013</v>
          </cell>
          <cell r="T310">
            <v>317093.50999999989</v>
          </cell>
        </row>
        <row r="311">
          <cell r="A311">
            <v>36391.040816326531</v>
          </cell>
          <cell r="B311">
            <v>2252087.67</v>
          </cell>
          <cell r="C311">
            <v>1</v>
          </cell>
          <cell r="D311">
            <v>7.0000000000000007E-2</v>
          </cell>
          <cell r="F311">
            <v>423.78</v>
          </cell>
          <cell r="H311">
            <v>64766.390000000029</v>
          </cell>
          <cell r="J311">
            <v>0.1681</v>
          </cell>
          <cell r="L311">
            <v>29.27</v>
          </cell>
          <cell r="N311">
            <v>394.51</v>
          </cell>
          <cell r="P311">
            <v>8051.8199999999979</v>
          </cell>
          <cell r="R311">
            <v>34127.05000000001</v>
          </cell>
          <cell r="T311">
            <v>317488.0199999999</v>
          </cell>
        </row>
        <row r="312">
          <cell r="A312">
            <v>36392.040816326531</v>
          </cell>
          <cell r="B312">
            <v>2252087.67</v>
          </cell>
          <cell r="C312">
            <v>3</v>
          </cell>
          <cell r="D312">
            <v>7.0000000000000007E-2</v>
          </cell>
          <cell r="F312">
            <v>1271.3399999999999</v>
          </cell>
          <cell r="H312">
            <v>64371.880000000026</v>
          </cell>
          <cell r="J312">
            <v>0.1681</v>
          </cell>
          <cell r="L312">
            <v>87.27</v>
          </cell>
          <cell r="N312">
            <v>1184.07</v>
          </cell>
          <cell r="P312">
            <v>9323.159999999998</v>
          </cell>
          <cell r="R312">
            <v>34214.320000000007</v>
          </cell>
          <cell r="T312">
            <v>318672.08999999991</v>
          </cell>
        </row>
        <row r="313">
          <cell r="A313">
            <v>36395.040816326531</v>
          </cell>
          <cell r="B313">
            <v>2252087.67</v>
          </cell>
          <cell r="C313">
            <v>1</v>
          </cell>
          <cell r="D313">
            <v>7.0000000000000007E-2</v>
          </cell>
          <cell r="F313">
            <v>423.78</v>
          </cell>
          <cell r="H313">
            <v>63187.810000000027</v>
          </cell>
          <cell r="J313">
            <v>0.1681</v>
          </cell>
          <cell r="L313">
            <v>28.55</v>
          </cell>
          <cell r="N313">
            <v>395.22999999999996</v>
          </cell>
          <cell r="P313">
            <v>9746.9399999999987</v>
          </cell>
          <cell r="R313">
            <v>34242.87000000001</v>
          </cell>
          <cell r="T313">
            <v>319067.31999999989</v>
          </cell>
        </row>
        <row r="314">
          <cell r="A314">
            <v>36396.040816326531</v>
          </cell>
          <cell r="B314">
            <v>2252087.67</v>
          </cell>
          <cell r="C314">
            <v>1</v>
          </cell>
          <cell r="D314">
            <v>7.0000000000000007E-2</v>
          </cell>
          <cell r="F314">
            <v>423.78</v>
          </cell>
          <cell r="H314">
            <v>62792.580000000024</v>
          </cell>
          <cell r="J314">
            <v>0.1681</v>
          </cell>
          <cell r="L314">
            <v>28.37</v>
          </cell>
          <cell r="N314">
            <v>395.40999999999997</v>
          </cell>
          <cell r="P314">
            <v>10170.719999999999</v>
          </cell>
          <cell r="R314">
            <v>34271.240000000013</v>
          </cell>
          <cell r="T314">
            <v>319462.72999999986</v>
          </cell>
        </row>
        <row r="315">
          <cell r="A315">
            <v>36397.040816326531</v>
          </cell>
          <cell r="B315">
            <v>2252087.67</v>
          </cell>
          <cell r="C315">
            <v>1</v>
          </cell>
          <cell r="D315">
            <v>7.0000000000000007E-2</v>
          </cell>
          <cell r="F315">
            <v>423.78</v>
          </cell>
          <cell r="H315">
            <v>62397.17000000002</v>
          </cell>
          <cell r="J315">
            <v>0.1681</v>
          </cell>
          <cell r="L315">
            <v>28.2</v>
          </cell>
          <cell r="N315">
            <v>395.58</v>
          </cell>
          <cell r="P315">
            <v>10594.5</v>
          </cell>
          <cell r="R315">
            <v>34299.44000000001</v>
          </cell>
          <cell r="T315">
            <v>319858.30999999988</v>
          </cell>
        </row>
        <row r="316">
          <cell r="A316">
            <v>36398.040816326531</v>
          </cell>
          <cell r="B316">
            <v>2252087.67</v>
          </cell>
          <cell r="C316">
            <v>1</v>
          </cell>
          <cell r="D316">
            <v>7.0000000000000007E-2</v>
          </cell>
          <cell r="F316">
            <v>423.78</v>
          </cell>
          <cell r="H316">
            <v>62001.590000000018</v>
          </cell>
          <cell r="J316">
            <v>0.1681</v>
          </cell>
          <cell r="L316">
            <v>28.02</v>
          </cell>
          <cell r="N316">
            <v>395.76</v>
          </cell>
          <cell r="P316">
            <v>11018.28</v>
          </cell>
          <cell r="R316">
            <v>34327.460000000006</v>
          </cell>
          <cell r="T316">
            <v>320254.06999999989</v>
          </cell>
        </row>
        <row r="317">
          <cell r="A317">
            <v>36399.040816326531</v>
          </cell>
          <cell r="B317">
            <v>2252087.67</v>
          </cell>
          <cell r="C317">
            <v>3</v>
          </cell>
          <cell r="D317">
            <v>7.0000000000000007E-2</v>
          </cell>
          <cell r="F317">
            <v>1271.3399999999999</v>
          </cell>
          <cell r="H317">
            <v>61605.830000000016</v>
          </cell>
          <cell r="J317">
            <v>0.1681</v>
          </cell>
          <cell r="L317">
            <v>83.52</v>
          </cell>
          <cell r="N317">
            <v>1187.82</v>
          </cell>
          <cell r="P317">
            <v>12289.62</v>
          </cell>
          <cell r="R317">
            <v>34410.980000000003</v>
          </cell>
          <cell r="T317">
            <v>321441.8899999999</v>
          </cell>
        </row>
        <row r="318">
          <cell r="A318">
            <v>36402.040816326531</v>
          </cell>
          <cell r="B318">
            <v>2252087.67</v>
          </cell>
          <cell r="C318">
            <v>1</v>
          </cell>
          <cell r="D318">
            <v>7.0000000000000007E-2</v>
          </cell>
          <cell r="F318">
            <v>423.78</v>
          </cell>
          <cell r="H318">
            <v>60418.010000000017</v>
          </cell>
          <cell r="J318">
            <v>0.1681</v>
          </cell>
          <cell r="L318">
            <v>27.3</v>
          </cell>
          <cell r="N318">
            <v>396.47999999999996</v>
          </cell>
          <cell r="P318">
            <v>12713.400000000001</v>
          </cell>
          <cell r="R318">
            <v>34438.280000000006</v>
          </cell>
          <cell r="T318">
            <v>321838.36999999988</v>
          </cell>
        </row>
        <row r="319">
          <cell r="A319">
            <v>36403.040816326531</v>
          </cell>
          <cell r="B319">
            <v>2252087.67</v>
          </cell>
          <cell r="C319">
            <v>1</v>
          </cell>
          <cell r="D319">
            <v>7.0000000000000007E-2</v>
          </cell>
          <cell r="F319">
            <v>423.78</v>
          </cell>
          <cell r="H319">
            <v>60021.530000000013</v>
          </cell>
          <cell r="J319">
            <v>0.1681</v>
          </cell>
          <cell r="L319">
            <v>27.12</v>
          </cell>
          <cell r="N319">
            <v>396.65999999999997</v>
          </cell>
          <cell r="P319">
            <v>13137.180000000002</v>
          </cell>
          <cell r="R319">
            <v>34465.400000000009</v>
          </cell>
          <cell r="T319">
            <v>322235.02999999985</v>
          </cell>
        </row>
        <row r="320">
          <cell r="A320">
            <v>36404.040816326531</v>
          </cell>
          <cell r="B320">
            <v>1944990.65</v>
          </cell>
          <cell r="C320">
            <v>1</v>
          </cell>
          <cell r="D320">
            <v>7.0000000000000007E-2</v>
          </cell>
          <cell r="F320">
            <v>378.19</v>
          </cell>
          <cell r="H320">
            <v>59624.87000000001</v>
          </cell>
          <cell r="J320">
            <v>0.1542</v>
          </cell>
          <cell r="L320">
            <v>25.54</v>
          </cell>
          <cell r="N320">
            <v>352.65</v>
          </cell>
          <cell r="P320">
            <v>378.19000000000051</v>
          </cell>
          <cell r="R320">
            <v>34490.94000000001</v>
          </cell>
          <cell r="T320">
            <v>322587.67999999988</v>
          </cell>
        </row>
      </sheetData>
      <sheetData sheetId="2" refreshError="1"/>
      <sheetData sheetId="3">
        <row r="39">
          <cell r="A39">
            <v>36387</v>
          </cell>
          <cell r="B39">
            <v>29434053</v>
          </cell>
          <cell r="C39">
            <v>1</v>
          </cell>
          <cell r="D39">
            <v>2.38125E-2</v>
          </cell>
          <cell r="E39">
            <v>1884.14</v>
          </cell>
          <cell r="F39">
            <v>1798864.3599999996</v>
          </cell>
          <cell r="G39">
            <v>0.2681</v>
          </cell>
          <cell r="H39">
            <v>1296.44</v>
          </cell>
          <cell r="I39">
            <v>587.70000000000005</v>
          </cell>
          <cell r="J39">
            <v>1884.1399999999994</v>
          </cell>
          <cell r="K39">
            <v>29427.369999999995</v>
          </cell>
          <cell r="L39">
            <v>19223.440000000002</v>
          </cell>
        </row>
        <row r="40">
          <cell r="A40">
            <v>36388</v>
          </cell>
          <cell r="B40">
            <v>29434053</v>
          </cell>
          <cell r="C40">
            <v>1</v>
          </cell>
          <cell r="D40">
            <v>2.38125E-2</v>
          </cell>
          <cell r="E40">
            <v>1884.14</v>
          </cell>
          <cell r="F40">
            <v>1798276.6599999997</v>
          </cell>
          <cell r="G40">
            <v>0.2681</v>
          </cell>
          <cell r="H40">
            <v>1296.02</v>
          </cell>
          <cell r="I40">
            <v>588.12000000000012</v>
          </cell>
          <cell r="J40">
            <v>3768.2799999999997</v>
          </cell>
          <cell r="K40">
            <v>30723.389999999996</v>
          </cell>
          <cell r="L40">
            <v>19811.560000000001</v>
          </cell>
        </row>
        <row r="41">
          <cell r="A41">
            <v>36389</v>
          </cell>
          <cell r="B41">
            <v>29434053</v>
          </cell>
          <cell r="C41">
            <v>1</v>
          </cell>
          <cell r="D41">
            <v>2.38125E-2</v>
          </cell>
          <cell r="E41">
            <v>1884.14</v>
          </cell>
          <cell r="F41">
            <v>1797688.5399999996</v>
          </cell>
          <cell r="G41">
            <v>0.2681</v>
          </cell>
          <cell r="H41">
            <v>1295.5899999999999</v>
          </cell>
          <cell r="I41">
            <v>588.55000000000018</v>
          </cell>
          <cell r="J41">
            <v>5652.42</v>
          </cell>
          <cell r="K41">
            <v>32018.979999999996</v>
          </cell>
          <cell r="L41">
            <v>20400.11</v>
          </cell>
        </row>
        <row r="42">
          <cell r="A42">
            <v>36390</v>
          </cell>
          <cell r="B42">
            <v>29434053</v>
          </cell>
          <cell r="C42">
            <v>1</v>
          </cell>
          <cell r="D42">
            <v>2.38125E-2</v>
          </cell>
          <cell r="E42">
            <v>1884.14</v>
          </cell>
          <cell r="F42">
            <v>1797099.9899999995</v>
          </cell>
          <cell r="G42">
            <v>0.2681</v>
          </cell>
          <cell r="H42">
            <v>1295.17</v>
          </cell>
          <cell r="I42">
            <v>588.97</v>
          </cell>
          <cell r="J42">
            <v>7536.56</v>
          </cell>
          <cell r="K42">
            <v>33314.149999999994</v>
          </cell>
          <cell r="L42">
            <v>20989.08</v>
          </cell>
        </row>
        <row r="43">
          <cell r="A43">
            <v>36391</v>
          </cell>
          <cell r="B43">
            <v>29434053</v>
          </cell>
          <cell r="C43">
            <v>1</v>
          </cell>
          <cell r="D43">
            <v>2.38125E-2</v>
          </cell>
          <cell r="E43">
            <v>1884.14</v>
          </cell>
          <cell r="F43">
            <v>1796511.0199999996</v>
          </cell>
          <cell r="G43">
            <v>0.2681</v>
          </cell>
          <cell r="H43">
            <v>1294.74</v>
          </cell>
          <cell r="I43">
            <v>589.40000000000009</v>
          </cell>
          <cell r="J43">
            <v>9420.7000000000007</v>
          </cell>
          <cell r="K43">
            <v>34608.889999999992</v>
          </cell>
          <cell r="L43">
            <v>21578.480000000003</v>
          </cell>
        </row>
        <row r="44">
          <cell r="A44">
            <v>36392</v>
          </cell>
          <cell r="B44">
            <v>29434053</v>
          </cell>
          <cell r="C44">
            <v>3</v>
          </cell>
          <cell r="D44">
            <v>2.38125E-2</v>
          </cell>
          <cell r="E44">
            <v>5652.41</v>
          </cell>
          <cell r="F44">
            <v>1795921.6199999996</v>
          </cell>
          <cell r="G44">
            <v>0.2681</v>
          </cell>
          <cell r="H44">
            <v>3882.96</v>
          </cell>
          <cell r="I44">
            <v>1769.4499999999998</v>
          </cell>
          <cell r="J44">
            <v>15073.11</v>
          </cell>
          <cell r="K44">
            <v>38491.849999999991</v>
          </cell>
          <cell r="L44">
            <v>23347.930000000004</v>
          </cell>
        </row>
        <row r="45">
          <cell r="A45">
            <v>36395</v>
          </cell>
          <cell r="B45">
            <v>29434053</v>
          </cell>
          <cell r="C45">
            <v>1</v>
          </cell>
          <cell r="D45">
            <v>2.38125E-2</v>
          </cell>
          <cell r="E45">
            <v>1884.14</v>
          </cell>
          <cell r="F45">
            <v>1794152.1699999997</v>
          </cell>
          <cell r="G45">
            <v>0.2681</v>
          </cell>
          <cell r="H45">
            <v>1293.04</v>
          </cell>
          <cell r="I45">
            <v>591.10000000000014</v>
          </cell>
          <cell r="J45">
            <v>16957.25</v>
          </cell>
          <cell r="K45">
            <v>39784.889999999992</v>
          </cell>
          <cell r="L45">
            <v>23939.030000000002</v>
          </cell>
        </row>
        <row r="46">
          <cell r="A46">
            <v>36396</v>
          </cell>
          <cell r="B46">
            <v>29434053</v>
          </cell>
          <cell r="C46">
            <v>1</v>
          </cell>
          <cell r="D46">
            <v>2.38125E-2</v>
          </cell>
          <cell r="E46">
            <v>1884.14</v>
          </cell>
          <cell r="F46">
            <v>1793561.0699999996</v>
          </cell>
          <cell r="G46">
            <v>0.2681</v>
          </cell>
          <cell r="H46">
            <v>1292.6199999999999</v>
          </cell>
          <cell r="I46">
            <v>591.52000000000021</v>
          </cell>
          <cell r="J46">
            <v>18841.39</v>
          </cell>
          <cell r="K46">
            <v>41077.509999999995</v>
          </cell>
          <cell r="L46">
            <v>24530.550000000003</v>
          </cell>
        </row>
        <row r="47">
          <cell r="A47">
            <v>36397</v>
          </cell>
          <cell r="B47">
            <v>29434053</v>
          </cell>
          <cell r="C47">
            <v>1</v>
          </cell>
          <cell r="D47">
            <v>2.38125E-2</v>
          </cell>
          <cell r="E47">
            <v>1884.14</v>
          </cell>
          <cell r="F47">
            <v>1792969.5499999996</v>
          </cell>
          <cell r="G47">
            <v>0.2681</v>
          </cell>
          <cell r="H47">
            <v>1292.19</v>
          </cell>
          <cell r="I47">
            <v>591.95000000000005</v>
          </cell>
          <cell r="J47">
            <v>20725.53</v>
          </cell>
          <cell r="K47">
            <v>42369.7</v>
          </cell>
          <cell r="L47">
            <v>25122.500000000004</v>
          </cell>
        </row>
        <row r="48">
          <cell r="A48">
            <v>36398</v>
          </cell>
          <cell r="B48">
            <v>29434053</v>
          </cell>
          <cell r="C48">
            <v>1</v>
          </cell>
          <cell r="D48">
            <v>2.38125E-2</v>
          </cell>
          <cell r="E48">
            <v>1884.14</v>
          </cell>
          <cell r="F48">
            <v>1792377.5999999996</v>
          </cell>
          <cell r="G48">
            <v>0.2681</v>
          </cell>
          <cell r="H48">
            <v>1291.76</v>
          </cell>
          <cell r="I48">
            <v>592.38000000000011</v>
          </cell>
          <cell r="J48">
            <v>22609.67</v>
          </cell>
          <cell r="K48">
            <v>43661.46</v>
          </cell>
          <cell r="L48">
            <v>25714.880000000005</v>
          </cell>
        </row>
        <row r="49">
          <cell r="A49">
            <v>36399</v>
          </cell>
          <cell r="B49">
            <v>29434053</v>
          </cell>
          <cell r="C49">
            <v>3</v>
          </cell>
          <cell r="D49">
            <v>2.38125E-2</v>
          </cell>
          <cell r="E49">
            <v>5652.41</v>
          </cell>
          <cell r="F49">
            <v>1791785.2199999997</v>
          </cell>
          <cell r="G49">
            <v>0.2681</v>
          </cell>
          <cell r="H49">
            <v>3874.01</v>
          </cell>
          <cell r="I49">
            <v>1778.3999999999996</v>
          </cell>
          <cell r="J49">
            <v>28262.079999999998</v>
          </cell>
          <cell r="K49">
            <v>47535.47</v>
          </cell>
          <cell r="L49">
            <v>27493.280000000006</v>
          </cell>
        </row>
        <row r="50">
          <cell r="A50">
            <v>36402</v>
          </cell>
          <cell r="B50">
            <v>29434053</v>
          </cell>
          <cell r="C50">
            <v>1</v>
          </cell>
          <cell r="D50">
            <v>2.38125E-2</v>
          </cell>
          <cell r="E50">
            <v>1884.14</v>
          </cell>
          <cell r="F50">
            <v>1790006.8199999998</v>
          </cell>
          <cell r="G50">
            <v>0.2681</v>
          </cell>
          <cell r="H50">
            <v>1290.06</v>
          </cell>
          <cell r="I50">
            <v>594.08000000000015</v>
          </cell>
          <cell r="J50">
            <v>30146.219999999998</v>
          </cell>
          <cell r="K50">
            <v>48825.53</v>
          </cell>
          <cell r="L50">
            <v>28087.360000000008</v>
          </cell>
        </row>
        <row r="51">
          <cell r="A51">
            <v>36403</v>
          </cell>
          <cell r="B51">
            <v>29434053</v>
          </cell>
          <cell r="C51">
            <v>1</v>
          </cell>
          <cell r="D51">
            <v>2.38125E-2</v>
          </cell>
          <cell r="E51">
            <v>1884.14</v>
          </cell>
          <cell r="F51">
            <v>1789412.7399999998</v>
          </cell>
          <cell r="G51">
            <v>0.2681</v>
          </cell>
          <cell r="H51">
            <v>1289.6300000000001</v>
          </cell>
          <cell r="I51">
            <v>594.51</v>
          </cell>
          <cell r="J51">
            <v>32030.359999999997</v>
          </cell>
          <cell r="K51">
            <v>50115.159999999996</v>
          </cell>
          <cell r="L51">
            <v>28681.870000000006</v>
          </cell>
        </row>
        <row r="52">
          <cell r="A52">
            <v>36404</v>
          </cell>
          <cell r="B52">
            <v>29434053</v>
          </cell>
          <cell r="C52">
            <v>1</v>
          </cell>
          <cell r="D52">
            <v>2.38125E-2</v>
          </cell>
          <cell r="E52">
            <v>1884.14</v>
          </cell>
          <cell r="F52">
            <v>1788818.2299999997</v>
          </cell>
          <cell r="G52">
            <v>0.2681</v>
          </cell>
          <cell r="H52">
            <v>1289.2</v>
          </cell>
          <cell r="I52">
            <v>594.94000000000005</v>
          </cell>
          <cell r="J52">
            <v>33914.5</v>
          </cell>
          <cell r="K52">
            <v>51404.359999999993</v>
          </cell>
          <cell r="L52">
            <v>29276.810000000005</v>
          </cell>
        </row>
        <row r="53">
          <cell r="A53">
            <v>36405</v>
          </cell>
          <cell r="B53">
            <v>29434053</v>
          </cell>
          <cell r="C53">
            <v>1</v>
          </cell>
          <cell r="D53">
            <v>2.38125E-2</v>
          </cell>
          <cell r="E53">
            <v>1884.14</v>
          </cell>
          <cell r="F53">
            <v>1788223.2899999998</v>
          </cell>
          <cell r="G53">
            <v>0.2681</v>
          </cell>
          <cell r="H53">
            <v>1288.77</v>
          </cell>
          <cell r="I53">
            <v>595.37000000000012</v>
          </cell>
          <cell r="J53">
            <v>35798.639999999999</v>
          </cell>
          <cell r="K53">
            <v>52693.12999999999</v>
          </cell>
          <cell r="L53">
            <v>29872.180000000004</v>
          </cell>
        </row>
        <row r="54">
          <cell r="A54">
            <v>36406</v>
          </cell>
          <cell r="B54">
            <v>29434053</v>
          </cell>
          <cell r="C54">
            <v>4</v>
          </cell>
          <cell r="D54">
            <v>2.38125E-2</v>
          </cell>
          <cell r="E54">
            <v>7536.54</v>
          </cell>
          <cell r="F54">
            <v>1787627.9199999997</v>
          </cell>
          <cell r="G54">
            <v>0.2681</v>
          </cell>
          <cell r="H54">
            <v>5153.37</v>
          </cell>
          <cell r="I54">
            <v>2383.17</v>
          </cell>
          <cell r="J54">
            <v>43335.18</v>
          </cell>
          <cell r="K54">
            <v>57846.499999999993</v>
          </cell>
          <cell r="L54">
            <v>32255.350000000006</v>
          </cell>
        </row>
        <row r="55">
          <cell r="A55">
            <v>36410</v>
          </cell>
          <cell r="B55">
            <v>29434053</v>
          </cell>
          <cell r="C55">
            <v>1</v>
          </cell>
          <cell r="D55">
            <v>2.38125E-2</v>
          </cell>
          <cell r="E55">
            <v>1884.14</v>
          </cell>
          <cell r="F55">
            <v>1785244.7499999998</v>
          </cell>
          <cell r="G55">
            <v>0.2681</v>
          </cell>
          <cell r="H55">
            <v>1286.6199999999999</v>
          </cell>
          <cell r="I55">
            <v>597.52000000000021</v>
          </cell>
          <cell r="J55">
            <v>45219.32</v>
          </cell>
          <cell r="K55">
            <v>59133.119999999995</v>
          </cell>
          <cell r="L55">
            <v>32852.870000000003</v>
          </cell>
        </row>
        <row r="56">
          <cell r="A56">
            <v>36411</v>
          </cell>
          <cell r="B56">
            <v>29434053</v>
          </cell>
          <cell r="C56">
            <v>1</v>
          </cell>
          <cell r="D56">
            <v>2.38125E-2</v>
          </cell>
          <cell r="E56">
            <v>1884.14</v>
          </cell>
          <cell r="F56">
            <v>1784647.2299999997</v>
          </cell>
          <cell r="G56">
            <v>0.2681</v>
          </cell>
          <cell r="H56">
            <v>1286.19</v>
          </cell>
          <cell r="I56">
            <v>597.95000000000005</v>
          </cell>
          <cell r="J56">
            <v>47103.46</v>
          </cell>
          <cell r="K56">
            <v>60419.31</v>
          </cell>
          <cell r="L56">
            <v>33450.82</v>
          </cell>
        </row>
        <row r="57">
          <cell r="A57">
            <v>36412</v>
          </cell>
          <cell r="B57">
            <v>29434053</v>
          </cell>
          <cell r="C57">
            <v>1</v>
          </cell>
          <cell r="D57">
            <v>2.38125E-2</v>
          </cell>
          <cell r="E57">
            <v>1884.14</v>
          </cell>
          <cell r="F57">
            <v>1784049.2799999998</v>
          </cell>
          <cell r="G57">
            <v>0.2681</v>
          </cell>
          <cell r="H57">
            <v>1285.76</v>
          </cell>
          <cell r="I57">
            <v>598.38000000000011</v>
          </cell>
          <cell r="J57">
            <v>48987.6</v>
          </cell>
          <cell r="K57">
            <v>61705.07</v>
          </cell>
          <cell r="L57">
            <v>34049.199999999997</v>
          </cell>
        </row>
        <row r="58">
          <cell r="A58">
            <v>36413</v>
          </cell>
          <cell r="B58">
            <v>29434053</v>
          </cell>
          <cell r="C58">
            <v>3</v>
          </cell>
          <cell r="D58">
            <v>2.38125E-2</v>
          </cell>
          <cell r="E58">
            <v>5652.41</v>
          </cell>
          <cell r="F58">
            <v>1783450.9</v>
          </cell>
          <cell r="G58">
            <v>0.2681</v>
          </cell>
          <cell r="H58">
            <v>3855.99</v>
          </cell>
          <cell r="I58">
            <v>1796.42</v>
          </cell>
          <cell r="J58">
            <v>54640.009999999995</v>
          </cell>
          <cell r="K58">
            <v>65561.06</v>
          </cell>
          <cell r="L58">
            <v>35845.619999999995</v>
          </cell>
        </row>
        <row r="59">
          <cell r="A59">
            <v>36416</v>
          </cell>
          <cell r="B59">
            <v>29434053</v>
          </cell>
          <cell r="C59">
            <v>1</v>
          </cell>
          <cell r="D59">
            <v>2.38125E-2</v>
          </cell>
          <cell r="E59">
            <v>1884.14</v>
          </cell>
          <cell r="F59">
            <v>1781654.48</v>
          </cell>
          <cell r="G59">
            <v>0.2681</v>
          </cell>
          <cell r="H59">
            <v>1284.04</v>
          </cell>
          <cell r="I59">
            <v>600.10000000000014</v>
          </cell>
          <cell r="J59">
            <v>56524.149999999994</v>
          </cell>
          <cell r="K59">
            <v>66845.099999999991</v>
          </cell>
          <cell r="L59">
            <v>36445.719999999994</v>
          </cell>
        </row>
        <row r="60">
          <cell r="A60">
            <v>36417</v>
          </cell>
          <cell r="B60">
            <v>29434053</v>
          </cell>
          <cell r="C60">
            <v>1</v>
          </cell>
          <cell r="D60">
            <v>2.38125E-2</v>
          </cell>
          <cell r="E60">
            <v>1884.14</v>
          </cell>
          <cell r="F60">
            <v>1781054.38</v>
          </cell>
          <cell r="G60">
            <v>0.2681</v>
          </cell>
          <cell r="H60">
            <v>1283.5999999999999</v>
          </cell>
          <cell r="I60">
            <v>600.54000000000019</v>
          </cell>
          <cell r="J60">
            <v>58408.289999999994</v>
          </cell>
          <cell r="K60">
            <v>68128.7</v>
          </cell>
          <cell r="L60">
            <v>37046.259999999995</v>
          </cell>
        </row>
      </sheetData>
      <sheetData sheetId="4">
        <row r="37">
          <cell r="A37">
            <v>36374</v>
          </cell>
          <cell r="B37">
            <v>6000000</v>
          </cell>
          <cell r="C37">
            <v>2</v>
          </cell>
          <cell r="D37">
            <v>0.06</v>
          </cell>
          <cell r="E37">
            <v>1935.48</v>
          </cell>
          <cell r="F37">
            <v>1531327.51</v>
          </cell>
          <cell r="G37">
            <v>8.0500000000000002E-2</v>
          </cell>
          <cell r="H37">
            <v>662.75</v>
          </cell>
          <cell r="I37">
            <v>1272.73</v>
          </cell>
          <cell r="J37">
            <v>1935.4799999999996</v>
          </cell>
          <cell r="K37">
            <v>7396.5</v>
          </cell>
          <cell r="L37">
            <v>13539</v>
          </cell>
        </row>
        <row r="38">
          <cell r="A38">
            <v>36375</v>
          </cell>
          <cell r="B38">
            <v>6000000</v>
          </cell>
          <cell r="C38">
            <v>1</v>
          </cell>
          <cell r="D38">
            <v>0.06</v>
          </cell>
          <cell r="E38">
            <v>967.74</v>
          </cell>
          <cell r="F38">
            <v>1530054.78</v>
          </cell>
          <cell r="G38">
            <v>8.0500000000000002E-2</v>
          </cell>
          <cell r="H38">
            <v>331.1</v>
          </cell>
          <cell r="I38">
            <v>636.64</v>
          </cell>
          <cell r="J38">
            <v>2903.2199999999993</v>
          </cell>
          <cell r="K38">
            <v>7727.6</v>
          </cell>
          <cell r="L38">
            <v>14175.64</v>
          </cell>
        </row>
        <row r="39">
          <cell r="A39">
            <v>36376</v>
          </cell>
          <cell r="B39">
            <v>6000000</v>
          </cell>
          <cell r="C39">
            <v>1</v>
          </cell>
          <cell r="D39">
            <v>0.06</v>
          </cell>
          <cell r="E39">
            <v>967.74</v>
          </cell>
          <cell r="F39">
            <v>1529418.1400000001</v>
          </cell>
          <cell r="G39">
            <v>8.0500000000000002E-2</v>
          </cell>
          <cell r="H39">
            <v>330.96</v>
          </cell>
          <cell r="I39">
            <v>636.78</v>
          </cell>
          <cell r="J39">
            <v>3870.9599999999991</v>
          </cell>
          <cell r="K39">
            <v>8058.56</v>
          </cell>
          <cell r="L39">
            <v>14812.42</v>
          </cell>
        </row>
        <row r="40">
          <cell r="A40">
            <v>36377</v>
          </cell>
          <cell r="B40">
            <v>6000000</v>
          </cell>
          <cell r="C40">
            <v>1</v>
          </cell>
          <cell r="D40">
            <v>0.06</v>
          </cell>
          <cell r="E40">
            <v>967.74</v>
          </cell>
          <cell r="F40">
            <v>1528781.36</v>
          </cell>
          <cell r="G40">
            <v>8.0500000000000002E-2</v>
          </cell>
          <cell r="H40">
            <v>330.82</v>
          </cell>
          <cell r="I40">
            <v>636.92000000000007</v>
          </cell>
          <cell r="J40">
            <v>4838.6999999999989</v>
          </cell>
          <cell r="K40">
            <v>8389.380000000001</v>
          </cell>
          <cell r="L40">
            <v>15449.34</v>
          </cell>
        </row>
        <row r="41">
          <cell r="A41">
            <v>36378</v>
          </cell>
          <cell r="B41">
            <v>6000000</v>
          </cell>
          <cell r="C41">
            <v>3</v>
          </cell>
          <cell r="D41">
            <v>0.06</v>
          </cell>
          <cell r="E41">
            <v>2903.23</v>
          </cell>
          <cell r="F41">
            <v>1528144.4400000002</v>
          </cell>
          <cell r="G41">
            <v>8.0500000000000002E-2</v>
          </cell>
          <cell r="H41">
            <v>992.06</v>
          </cell>
          <cell r="I41">
            <v>1911.17</v>
          </cell>
          <cell r="J41">
            <v>7741.9299999999985</v>
          </cell>
          <cell r="K41">
            <v>9381.44</v>
          </cell>
          <cell r="L41">
            <v>17360.510000000002</v>
          </cell>
        </row>
        <row r="42">
          <cell r="A42">
            <v>36381</v>
          </cell>
          <cell r="B42">
            <v>6000000</v>
          </cell>
          <cell r="C42">
            <v>1</v>
          </cell>
          <cell r="D42">
            <v>0.06</v>
          </cell>
          <cell r="E42">
            <v>967.74</v>
          </cell>
          <cell r="F42">
            <v>1526233.2700000003</v>
          </cell>
          <cell r="G42">
            <v>8.0500000000000002E-2</v>
          </cell>
          <cell r="H42">
            <v>330.27</v>
          </cell>
          <cell r="I42">
            <v>637.47</v>
          </cell>
          <cell r="J42">
            <v>8709.6699999999983</v>
          </cell>
          <cell r="K42">
            <v>9711.7100000000009</v>
          </cell>
          <cell r="L42">
            <v>17997.980000000003</v>
          </cell>
        </row>
        <row r="43">
          <cell r="A43">
            <v>36382</v>
          </cell>
          <cell r="B43">
            <v>6000000</v>
          </cell>
          <cell r="C43">
            <v>1</v>
          </cell>
          <cell r="D43">
            <v>0.06</v>
          </cell>
          <cell r="E43">
            <v>967.74</v>
          </cell>
          <cell r="F43">
            <v>1525595.8000000003</v>
          </cell>
          <cell r="G43">
            <v>8.0500000000000002E-2</v>
          </cell>
          <cell r="H43">
            <v>330.14</v>
          </cell>
          <cell r="I43">
            <v>637.6</v>
          </cell>
          <cell r="J43">
            <v>9677.409999999998</v>
          </cell>
          <cell r="K43">
            <v>10041.85</v>
          </cell>
          <cell r="L43">
            <v>18635.580000000002</v>
          </cell>
        </row>
        <row r="44">
          <cell r="A44">
            <v>36383</v>
          </cell>
          <cell r="B44">
            <v>6000000</v>
          </cell>
          <cell r="C44">
            <v>1</v>
          </cell>
          <cell r="D44">
            <v>0.06</v>
          </cell>
          <cell r="E44">
            <v>967.74</v>
          </cell>
          <cell r="F44">
            <v>1524958.2000000002</v>
          </cell>
          <cell r="G44">
            <v>8.0500000000000002E-2</v>
          </cell>
          <cell r="H44">
            <v>330</v>
          </cell>
          <cell r="I44">
            <v>637.74</v>
          </cell>
          <cell r="J44">
            <v>10645.149999999998</v>
          </cell>
          <cell r="K44">
            <v>10371.85</v>
          </cell>
          <cell r="L44">
            <v>19273.320000000003</v>
          </cell>
        </row>
        <row r="45">
          <cell r="A45">
            <v>36384</v>
          </cell>
          <cell r="B45">
            <v>6000000</v>
          </cell>
          <cell r="C45">
            <v>1</v>
          </cell>
          <cell r="D45">
            <v>0.06</v>
          </cell>
          <cell r="E45">
            <v>967.74</v>
          </cell>
          <cell r="F45">
            <v>1524320.4600000002</v>
          </cell>
          <cell r="G45">
            <v>8.0500000000000002E-2</v>
          </cell>
          <cell r="H45">
            <v>329.86</v>
          </cell>
          <cell r="I45">
            <v>637.88</v>
          </cell>
          <cell r="J45">
            <v>11612.889999999998</v>
          </cell>
          <cell r="K45">
            <v>10701.710000000001</v>
          </cell>
          <cell r="L45">
            <v>19911.200000000004</v>
          </cell>
        </row>
        <row r="46">
          <cell r="A46">
            <v>36385</v>
          </cell>
          <cell r="B46">
            <v>6000000</v>
          </cell>
          <cell r="C46">
            <v>3</v>
          </cell>
          <cell r="D46">
            <v>0.06</v>
          </cell>
          <cell r="E46">
            <v>2903.23</v>
          </cell>
          <cell r="F46">
            <v>1523682.5800000003</v>
          </cell>
          <cell r="G46">
            <v>8.0500000000000002E-2</v>
          </cell>
          <cell r="H46">
            <v>989.16</v>
          </cell>
          <cell r="I46">
            <v>1914.0700000000002</v>
          </cell>
          <cell r="J46">
            <v>14516.119999999997</v>
          </cell>
          <cell r="K46">
            <v>11690.87</v>
          </cell>
          <cell r="L46">
            <v>21825.270000000004</v>
          </cell>
        </row>
        <row r="47">
          <cell r="A47">
            <v>36388</v>
          </cell>
          <cell r="B47">
            <v>6000000</v>
          </cell>
          <cell r="C47">
            <v>1</v>
          </cell>
          <cell r="D47">
            <v>0.06</v>
          </cell>
          <cell r="E47">
            <v>967.74</v>
          </cell>
          <cell r="F47">
            <v>1521768.5100000002</v>
          </cell>
          <cell r="G47">
            <v>8.0500000000000002E-2</v>
          </cell>
          <cell r="H47">
            <v>329.31</v>
          </cell>
          <cell r="I47">
            <v>638.43000000000006</v>
          </cell>
          <cell r="J47">
            <v>15483.859999999997</v>
          </cell>
          <cell r="K47">
            <v>12020.18</v>
          </cell>
          <cell r="L47">
            <v>22463.700000000004</v>
          </cell>
        </row>
        <row r="48">
          <cell r="A48">
            <v>36389</v>
          </cell>
          <cell r="B48">
            <v>6000000</v>
          </cell>
          <cell r="C48">
            <v>1</v>
          </cell>
          <cell r="D48">
            <v>0.06</v>
          </cell>
          <cell r="E48">
            <v>967.74</v>
          </cell>
          <cell r="F48">
            <v>1521130.0800000003</v>
          </cell>
          <cell r="G48">
            <v>8.0500000000000002E-2</v>
          </cell>
          <cell r="H48">
            <v>329.17</v>
          </cell>
          <cell r="I48">
            <v>638.56999999999994</v>
          </cell>
          <cell r="J48">
            <v>16451.599999999999</v>
          </cell>
          <cell r="K48">
            <v>12349.35</v>
          </cell>
          <cell r="L48">
            <v>23102.270000000004</v>
          </cell>
        </row>
        <row r="49">
          <cell r="A49">
            <v>36390</v>
          </cell>
          <cell r="B49">
            <v>6000000</v>
          </cell>
          <cell r="C49">
            <v>1</v>
          </cell>
          <cell r="D49">
            <v>0.06</v>
          </cell>
          <cell r="E49">
            <v>967.74</v>
          </cell>
          <cell r="F49">
            <v>1520491.5100000002</v>
          </cell>
          <cell r="G49">
            <v>8.0500000000000002E-2</v>
          </cell>
          <cell r="H49">
            <v>329.03</v>
          </cell>
          <cell r="I49">
            <v>638.71</v>
          </cell>
          <cell r="J49">
            <v>17419.34</v>
          </cell>
          <cell r="K49">
            <v>12678.380000000001</v>
          </cell>
          <cell r="L49">
            <v>23740.980000000003</v>
          </cell>
        </row>
        <row r="50">
          <cell r="A50">
            <v>36391</v>
          </cell>
          <cell r="B50">
            <v>6000000</v>
          </cell>
          <cell r="C50">
            <v>1</v>
          </cell>
          <cell r="D50">
            <v>0.06</v>
          </cell>
          <cell r="E50">
            <v>967.74</v>
          </cell>
          <cell r="F50">
            <v>1519852.8000000003</v>
          </cell>
          <cell r="G50">
            <v>8.0500000000000002E-2</v>
          </cell>
          <cell r="H50">
            <v>328.89</v>
          </cell>
          <cell r="I50">
            <v>638.85</v>
          </cell>
          <cell r="J50">
            <v>18387.080000000002</v>
          </cell>
          <cell r="K50">
            <v>13007.27</v>
          </cell>
          <cell r="L50">
            <v>24379.83</v>
          </cell>
        </row>
        <row r="51">
          <cell r="A51">
            <v>36392</v>
          </cell>
          <cell r="B51">
            <v>6000000</v>
          </cell>
          <cell r="C51">
            <v>3</v>
          </cell>
          <cell r="D51">
            <v>0.06</v>
          </cell>
          <cell r="E51">
            <v>2903.23</v>
          </cell>
          <cell r="F51">
            <v>1519213.9500000002</v>
          </cell>
          <cell r="G51">
            <v>8.0500000000000002E-2</v>
          </cell>
          <cell r="H51">
            <v>986.26</v>
          </cell>
          <cell r="I51">
            <v>1916.97</v>
          </cell>
          <cell r="J51">
            <v>21290.31</v>
          </cell>
          <cell r="K51">
            <v>13993.53</v>
          </cell>
          <cell r="L51">
            <v>26296.800000000003</v>
          </cell>
        </row>
        <row r="52">
          <cell r="A52">
            <v>36395</v>
          </cell>
          <cell r="B52">
            <v>6000000</v>
          </cell>
          <cell r="C52">
            <v>1</v>
          </cell>
          <cell r="D52">
            <v>0.06</v>
          </cell>
          <cell r="E52">
            <v>967.74</v>
          </cell>
          <cell r="F52">
            <v>1517296.9800000002</v>
          </cell>
          <cell r="G52">
            <v>8.0500000000000002E-2</v>
          </cell>
          <cell r="H52">
            <v>328.34</v>
          </cell>
          <cell r="I52">
            <v>639.40000000000009</v>
          </cell>
          <cell r="J52">
            <v>22258.050000000003</v>
          </cell>
          <cell r="K52">
            <v>14321.87</v>
          </cell>
          <cell r="L52">
            <v>26936.200000000004</v>
          </cell>
        </row>
        <row r="53">
          <cell r="A53">
            <v>36396</v>
          </cell>
          <cell r="B53">
            <v>6000000</v>
          </cell>
          <cell r="C53">
            <v>1</v>
          </cell>
          <cell r="D53">
            <v>0.06</v>
          </cell>
          <cell r="E53">
            <v>967.74</v>
          </cell>
          <cell r="F53">
            <v>1516657.5800000003</v>
          </cell>
          <cell r="G53">
            <v>8.0500000000000002E-2</v>
          </cell>
          <cell r="H53">
            <v>328.2</v>
          </cell>
          <cell r="I53">
            <v>639.54</v>
          </cell>
          <cell r="J53">
            <v>23225.790000000005</v>
          </cell>
          <cell r="K53">
            <v>14650.070000000002</v>
          </cell>
          <cell r="L53">
            <v>27575.740000000005</v>
          </cell>
        </row>
        <row r="54">
          <cell r="A54">
            <v>36397</v>
          </cell>
          <cell r="B54">
            <v>6000000</v>
          </cell>
          <cell r="C54">
            <v>1</v>
          </cell>
          <cell r="D54">
            <v>0.06</v>
          </cell>
          <cell r="E54">
            <v>967.74</v>
          </cell>
          <cell r="F54">
            <v>1516018.0400000003</v>
          </cell>
          <cell r="G54">
            <v>8.0500000000000002E-2</v>
          </cell>
          <cell r="H54">
            <v>328.06</v>
          </cell>
          <cell r="I54">
            <v>639.68000000000006</v>
          </cell>
          <cell r="J54">
            <v>24193.530000000006</v>
          </cell>
          <cell r="K54">
            <v>14978.130000000001</v>
          </cell>
          <cell r="L54">
            <v>28215.420000000006</v>
          </cell>
        </row>
        <row r="55">
          <cell r="A55">
            <v>36398</v>
          </cell>
          <cell r="B55">
            <v>6000000</v>
          </cell>
          <cell r="C55">
            <v>1</v>
          </cell>
          <cell r="D55">
            <v>0.06</v>
          </cell>
          <cell r="E55">
            <v>967.74</v>
          </cell>
          <cell r="F55">
            <v>1515378.3600000003</v>
          </cell>
          <cell r="G55">
            <v>8.0500000000000002E-2</v>
          </cell>
          <cell r="H55">
            <v>327.92</v>
          </cell>
          <cell r="I55">
            <v>639.81999999999994</v>
          </cell>
          <cell r="J55">
            <v>25161.270000000008</v>
          </cell>
          <cell r="K55">
            <v>15306.050000000001</v>
          </cell>
          <cell r="L55">
            <v>28855.240000000005</v>
          </cell>
        </row>
        <row r="56">
          <cell r="A56">
            <v>36399</v>
          </cell>
          <cell r="B56">
            <v>6000000</v>
          </cell>
          <cell r="C56">
            <v>3</v>
          </cell>
          <cell r="D56">
            <v>0.06</v>
          </cell>
          <cell r="E56">
            <v>2903.23</v>
          </cell>
          <cell r="F56">
            <v>1514738.5400000003</v>
          </cell>
          <cell r="G56">
            <v>8.0500000000000002E-2</v>
          </cell>
          <cell r="H56">
            <v>983.36</v>
          </cell>
          <cell r="I56">
            <v>1919.87</v>
          </cell>
          <cell r="J56">
            <v>28064.500000000007</v>
          </cell>
          <cell r="K56">
            <v>16289.410000000002</v>
          </cell>
          <cell r="L56">
            <v>30775.110000000004</v>
          </cell>
        </row>
        <row r="57">
          <cell r="A57">
            <v>36402</v>
          </cell>
          <cell r="B57">
            <v>6000000</v>
          </cell>
          <cell r="C57">
            <v>1</v>
          </cell>
          <cell r="D57">
            <v>0.06</v>
          </cell>
          <cell r="E57">
            <v>967.74</v>
          </cell>
          <cell r="F57">
            <v>1512818.6700000002</v>
          </cell>
          <cell r="G57">
            <v>8.0500000000000002E-2</v>
          </cell>
          <cell r="H57">
            <v>327.37</v>
          </cell>
          <cell r="I57">
            <v>640.37</v>
          </cell>
          <cell r="J57">
            <v>29032.240000000009</v>
          </cell>
          <cell r="K57">
            <v>16616.780000000002</v>
          </cell>
          <cell r="L57">
            <v>31415.480000000003</v>
          </cell>
        </row>
        <row r="58">
          <cell r="A58">
            <v>36403</v>
          </cell>
          <cell r="B58">
            <v>6000000</v>
          </cell>
          <cell r="C58">
            <v>1</v>
          </cell>
          <cell r="D58">
            <v>0.06</v>
          </cell>
          <cell r="E58">
            <v>967.74</v>
          </cell>
          <cell r="F58">
            <v>1512178.3</v>
          </cell>
          <cell r="G58">
            <v>8.0500000000000002E-2</v>
          </cell>
          <cell r="H58">
            <v>327.23</v>
          </cell>
          <cell r="I58">
            <v>640.51</v>
          </cell>
          <cell r="J58">
            <v>29999.98000000001</v>
          </cell>
          <cell r="K58">
            <v>16944.010000000002</v>
          </cell>
          <cell r="L58">
            <v>32055.99</v>
          </cell>
        </row>
      </sheetData>
      <sheetData sheetId="5">
        <row r="40">
          <cell r="A40">
            <v>36373</v>
          </cell>
          <cell r="B40">
            <v>9400430</v>
          </cell>
          <cell r="C40">
            <v>2</v>
          </cell>
          <cell r="D40">
            <v>6.5000000000000002E-2</v>
          </cell>
          <cell r="E40">
            <v>3285.1</v>
          </cell>
          <cell r="F40">
            <v>1728466.4999999998</v>
          </cell>
          <cell r="G40">
            <v>0.1031</v>
          </cell>
          <cell r="H40">
            <v>958.09</v>
          </cell>
          <cell r="I40">
            <v>2327.0099999999998</v>
          </cell>
          <cell r="J40">
            <v>3285.0999999999985</v>
          </cell>
          <cell r="K40">
            <v>13454.449999999999</v>
          </cell>
          <cell r="L40">
            <v>30565.869999999995</v>
          </cell>
        </row>
        <row r="41">
          <cell r="A41">
            <v>36375</v>
          </cell>
          <cell r="B41">
            <v>9400430</v>
          </cell>
          <cell r="C41">
            <v>1</v>
          </cell>
          <cell r="D41">
            <v>6.5000000000000002E-2</v>
          </cell>
          <cell r="E41">
            <v>1642.55</v>
          </cell>
          <cell r="F41">
            <v>1726139.4899999998</v>
          </cell>
          <cell r="G41">
            <v>0.1031</v>
          </cell>
          <cell r="H41">
            <v>478.4</v>
          </cell>
          <cell r="I41">
            <v>1164.1500000000001</v>
          </cell>
          <cell r="J41">
            <v>4927.6499999999987</v>
          </cell>
          <cell r="K41">
            <v>13932.849999999999</v>
          </cell>
          <cell r="L41">
            <v>31730.019999999997</v>
          </cell>
        </row>
        <row r="42">
          <cell r="A42">
            <v>36376</v>
          </cell>
          <cell r="B42">
            <v>9400430</v>
          </cell>
          <cell r="C42">
            <v>1</v>
          </cell>
          <cell r="D42">
            <v>6.5000000000000002E-2</v>
          </cell>
          <cell r="E42">
            <v>1642.55</v>
          </cell>
          <cell r="F42">
            <v>1724975.3399999999</v>
          </cell>
          <cell r="G42">
            <v>0.1031</v>
          </cell>
          <cell r="H42">
            <v>478.08</v>
          </cell>
          <cell r="I42">
            <v>1164.47</v>
          </cell>
          <cell r="J42">
            <v>6570.1999999999989</v>
          </cell>
          <cell r="K42">
            <v>14410.929999999998</v>
          </cell>
          <cell r="L42">
            <v>32894.49</v>
          </cell>
        </row>
        <row r="43">
          <cell r="A43">
            <v>36377</v>
          </cell>
          <cell r="B43">
            <v>9400430</v>
          </cell>
          <cell r="C43">
            <v>1</v>
          </cell>
          <cell r="D43">
            <v>6.5000000000000002E-2</v>
          </cell>
          <cell r="E43">
            <v>1642.55</v>
          </cell>
          <cell r="F43">
            <v>1723810.8699999999</v>
          </cell>
          <cell r="G43">
            <v>0.1031</v>
          </cell>
          <cell r="H43">
            <v>477.76</v>
          </cell>
          <cell r="I43">
            <v>1164.79</v>
          </cell>
          <cell r="J43">
            <v>8212.7499999999982</v>
          </cell>
          <cell r="K43">
            <v>14888.689999999999</v>
          </cell>
          <cell r="L43">
            <v>34059.279999999999</v>
          </cell>
        </row>
        <row r="44">
          <cell r="A44">
            <v>36378</v>
          </cell>
          <cell r="B44">
            <v>9400430</v>
          </cell>
          <cell r="C44">
            <v>3</v>
          </cell>
          <cell r="D44">
            <v>6.5000000000000002E-2</v>
          </cell>
          <cell r="E44">
            <v>4927.6400000000003</v>
          </cell>
          <cell r="F44">
            <v>1722646.0799999998</v>
          </cell>
          <cell r="G44">
            <v>0.1031</v>
          </cell>
          <cell r="H44">
            <v>1432.3</v>
          </cell>
          <cell r="I44">
            <v>3495.34</v>
          </cell>
          <cell r="J44">
            <v>13140.39</v>
          </cell>
          <cell r="K44">
            <v>16320.989999999998</v>
          </cell>
          <cell r="L44">
            <v>37554.619999999995</v>
          </cell>
        </row>
        <row r="45">
          <cell r="A45">
            <v>36381</v>
          </cell>
          <cell r="B45">
            <v>9400430</v>
          </cell>
          <cell r="C45">
            <v>1</v>
          </cell>
          <cell r="D45">
            <v>6.5000000000000002E-2</v>
          </cell>
          <cell r="E45">
            <v>1642.55</v>
          </cell>
          <cell r="F45">
            <v>1719150.7399999998</v>
          </cell>
          <cell r="G45">
            <v>0.1031</v>
          </cell>
          <cell r="H45">
            <v>476.46</v>
          </cell>
          <cell r="I45">
            <v>1166.0899999999999</v>
          </cell>
          <cell r="J45">
            <v>14782.939999999999</v>
          </cell>
          <cell r="K45">
            <v>16797.449999999997</v>
          </cell>
          <cell r="L45">
            <v>38720.709999999992</v>
          </cell>
        </row>
        <row r="46">
          <cell r="A46">
            <v>36382</v>
          </cell>
          <cell r="B46">
            <v>9400430</v>
          </cell>
          <cell r="C46">
            <v>1</v>
          </cell>
          <cell r="D46">
            <v>6.5000000000000002E-2</v>
          </cell>
          <cell r="E46">
            <v>1642.55</v>
          </cell>
          <cell r="F46">
            <v>1717984.6499999997</v>
          </cell>
          <cell r="G46">
            <v>0.1031</v>
          </cell>
          <cell r="H46">
            <v>476.14</v>
          </cell>
          <cell r="I46">
            <v>1166.4099999999999</v>
          </cell>
          <cell r="J46">
            <v>16425.489999999998</v>
          </cell>
          <cell r="K46">
            <v>17273.589999999997</v>
          </cell>
          <cell r="L46">
            <v>39887.119999999995</v>
          </cell>
        </row>
        <row r="47">
          <cell r="A47">
            <v>36383</v>
          </cell>
          <cell r="B47">
            <v>9400430</v>
          </cell>
          <cell r="C47">
            <v>1</v>
          </cell>
          <cell r="D47">
            <v>6.5000000000000002E-2</v>
          </cell>
          <cell r="E47">
            <v>1642.55</v>
          </cell>
          <cell r="F47">
            <v>1716818.2399999998</v>
          </cell>
          <cell r="G47">
            <v>0.1031</v>
          </cell>
          <cell r="H47">
            <v>475.82</v>
          </cell>
          <cell r="I47">
            <v>1166.73</v>
          </cell>
          <cell r="J47">
            <v>18068.039999999997</v>
          </cell>
          <cell r="K47">
            <v>17749.409999999996</v>
          </cell>
          <cell r="L47">
            <v>41053.85</v>
          </cell>
        </row>
        <row r="48">
          <cell r="A48">
            <v>36384</v>
          </cell>
          <cell r="B48">
            <v>9400430</v>
          </cell>
          <cell r="C48">
            <v>1</v>
          </cell>
          <cell r="D48">
            <v>6.5000000000000002E-2</v>
          </cell>
          <cell r="E48">
            <v>1642.55</v>
          </cell>
          <cell r="F48">
            <v>1715651.5099999998</v>
          </cell>
          <cell r="G48">
            <v>0.1031</v>
          </cell>
          <cell r="H48">
            <v>475.49</v>
          </cell>
          <cell r="I48">
            <v>1167.06</v>
          </cell>
          <cell r="J48">
            <v>19710.589999999997</v>
          </cell>
          <cell r="K48">
            <v>18224.899999999998</v>
          </cell>
          <cell r="L48">
            <v>42220.909999999996</v>
          </cell>
        </row>
        <row r="49">
          <cell r="A49">
            <v>36385</v>
          </cell>
          <cell r="B49">
            <v>9400430</v>
          </cell>
          <cell r="C49">
            <v>3</v>
          </cell>
          <cell r="D49">
            <v>6.5000000000000002E-2</v>
          </cell>
          <cell r="E49">
            <v>4927.6400000000003</v>
          </cell>
          <cell r="F49">
            <v>1714484.4499999997</v>
          </cell>
          <cell r="G49">
            <v>0.1031</v>
          </cell>
          <cell r="H49">
            <v>1425.51</v>
          </cell>
          <cell r="I49">
            <v>3502.13</v>
          </cell>
          <cell r="J49">
            <v>24638.229999999996</v>
          </cell>
          <cell r="K49">
            <v>19650.409999999996</v>
          </cell>
          <cell r="L49">
            <v>45723.039999999994</v>
          </cell>
        </row>
        <row r="50">
          <cell r="A50">
            <v>36388</v>
          </cell>
          <cell r="B50">
            <v>9400430</v>
          </cell>
          <cell r="C50">
            <v>1</v>
          </cell>
          <cell r="D50">
            <v>6.5000000000000002E-2</v>
          </cell>
          <cell r="E50">
            <v>1642.55</v>
          </cell>
          <cell r="F50">
            <v>1710982.3199999998</v>
          </cell>
          <cell r="G50">
            <v>0.1031</v>
          </cell>
          <cell r="H50">
            <v>474.2</v>
          </cell>
          <cell r="I50">
            <v>1168.3499999999999</v>
          </cell>
          <cell r="J50">
            <v>26280.779999999995</v>
          </cell>
          <cell r="K50">
            <v>20124.609999999997</v>
          </cell>
          <cell r="L50">
            <v>46891.389999999992</v>
          </cell>
        </row>
        <row r="51">
          <cell r="A51">
            <v>36389</v>
          </cell>
          <cell r="B51">
            <v>9400430</v>
          </cell>
          <cell r="C51">
            <v>1</v>
          </cell>
          <cell r="D51">
            <v>6.5000000000000002E-2</v>
          </cell>
          <cell r="E51">
            <v>1642.55</v>
          </cell>
          <cell r="F51">
            <v>1709813.9699999997</v>
          </cell>
          <cell r="G51">
            <v>0.1031</v>
          </cell>
          <cell r="H51">
            <v>473.88</v>
          </cell>
          <cell r="I51">
            <v>1168.67</v>
          </cell>
          <cell r="J51">
            <v>27923.329999999994</v>
          </cell>
          <cell r="K51">
            <v>20598.489999999998</v>
          </cell>
          <cell r="L51">
            <v>48060.05999999999</v>
          </cell>
        </row>
        <row r="52">
          <cell r="A52">
            <v>36390</v>
          </cell>
          <cell r="B52">
            <v>9400430</v>
          </cell>
          <cell r="C52">
            <v>1</v>
          </cell>
          <cell r="D52">
            <v>6.5000000000000002E-2</v>
          </cell>
          <cell r="E52">
            <v>1642.55</v>
          </cell>
          <cell r="F52">
            <v>1708645.2999999998</v>
          </cell>
          <cell r="G52">
            <v>0.1031</v>
          </cell>
          <cell r="H52">
            <v>473.55</v>
          </cell>
          <cell r="I52">
            <v>1169</v>
          </cell>
          <cell r="J52">
            <v>29565.879999999994</v>
          </cell>
          <cell r="K52">
            <v>21072.039999999997</v>
          </cell>
          <cell r="L52">
            <v>49229.05999999999</v>
          </cell>
        </row>
        <row r="53">
          <cell r="A53">
            <v>36391</v>
          </cell>
          <cell r="B53">
            <v>9400430</v>
          </cell>
          <cell r="C53">
            <v>1</v>
          </cell>
          <cell r="D53">
            <v>6.5000000000000002E-2</v>
          </cell>
          <cell r="E53">
            <v>1642.55</v>
          </cell>
          <cell r="F53">
            <v>1707476.2999999998</v>
          </cell>
          <cell r="G53">
            <v>0.1031</v>
          </cell>
          <cell r="H53">
            <v>473.23</v>
          </cell>
          <cell r="I53">
            <v>1169.32</v>
          </cell>
          <cell r="J53">
            <v>31208.429999999993</v>
          </cell>
          <cell r="K53">
            <v>21545.269999999997</v>
          </cell>
          <cell r="L53">
            <v>50398.37999999999</v>
          </cell>
        </row>
        <row r="54">
          <cell r="A54">
            <v>36392</v>
          </cell>
          <cell r="B54">
            <v>9400430</v>
          </cell>
          <cell r="C54">
            <v>3</v>
          </cell>
          <cell r="D54">
            <v>6.5000000000000002E-2</v>
          </cell>
          <cell r="E54">
            <v>4927.6400000000003</v>
          </cell>
          <cell r="F54">
            <v>1706306.9799999997</v>
          </cell>
          <cell r="G54">
            <v>0.1031</v>
          </cell>
          <cell r="H54">
            <v>1418.71</v>
          </cell>
          <cell r="I54">
            <v>3508.9300000000003</v>
          </cell>
          <cell r="J54">
            <v>36136.069999999992</v>
          </cell>
          <cell r="K54">
            <v>22963.979999999996</v>
          </cell>
          <cell r="L54">
            <v>53907.30999999999</v>
          </cell>
        </row>
        <row r="55">
          <cell r="A55">
            <v>36395</v>
          </cell>
          <cell r="B55">
            <v>9400430</v>
          </cell>
          <cell r="C55">
            <v>1</v>
          </cell>
          <cell r="D55">
            <v>6.5000000000000002E-2</v>
          </cell>
          <cell r="E55">
            <v>1642.55</v>
          </cell>
          <cell r="F55">
            <v>1702798.0499999998</v>
          </cell>
          <cell r="G55">
            <v>0.1031</v>
          </cell>
          <cell r="H55">
            <v>471.93</v>
          </cell>
          <cell r="I55">
            <v>1170.6199999999999</v>
          </cell>
          <cell r="J55">
            <v>37778.619999999995</v>
          </cell>
          <cell r="K55">
            <v>23435.909999999996</v>
          </cell>
          <cell r="L55">
            <v>55077.929999999993</v>
          </cell>
        </row>
        <row r="56">
          <cell r="A56">
            <v>36396</v>
          </cell>
          <cell r="B56">
            <v>9400430</v>
          </cell>
          <cell r="C56">
            <v>1</v>
          </cell>
          <cell r="D56">
            <v>6.5000000000000002E-2</v>
          </cell>
          <cell r="E56">
            <v>1642.55</v>
          </cell>
          <cell r="F56">
            <v>1701627.4299999997</v>
          </cell>
          <cell r="G56">
            <v>0.1031</v>
          </cell>
          <cell r="H56">
            <v>471.61</v>
          </cell>
          <cell r="I56">
            <v>1170.94</v>
          </cell>
          <cell r="J56">
            <v>39421.17</v>
          </cell>
          <cell r="K56">
            <v>23907.519999999997</v>
          </cell>
          <cell r="L56">
            <v>56248.869999999995</v>
          </cell>
        </row>
        <row r="57">
          <cell r="A57">
            <v>36397</v>
          </cell>
          <cell r="B57">
            <v>9400430</v>
          </cell>
          <cell r="C57">
            <v>1</v>
          </cell>
          <cell r="D57">
            <v>6.5000000000000002E-2</v>
          </cell>
          <cell r="E57">
            <v>1642.55</v>
          </cell>
          <cell r="F57">
            <v>1700456.4899999998</v>
          </cell>
          <cell r="G57">
            <v>0.1031</v>
          </cell>
          <cell r="H57">
            <v>471.28</v>
          </cell>
          <cell r="I57">
            <v>1171.27</v>
          </cell>
          <cell r="J57">
            <v>41063.72</v>
          </cell>
          <cell r="K57">
            <v>24378.799999999996</v>
          </cell>
          <cell r="L57">
            <v>57420.139999999992</v>
          </cell>
        </row>
        <row r="58">
          <cell r="A58">
            <v>36398</v>
          </cell>
          <cell r="B58">
            <v>9400430</v>
          </cell>
          <cell r="C58">
            <v>1</v>
          </cell>
          <cell r="D58">
            <v>6.5000000000000002E-2</v>
          </cell>
          <cell r="E58">
            <v>1642.55</v>
          </cell>
          <cell r="F58">
            <v>1699285.2199999997</v>
          </cell>
          <cell r="G58">
            <v>0.1031</v>
          </cell>
          <cell r="H58">
            <v>470.96</v>
          </cell>
          <cell r="I58">
            <v>1171.5899999999999</v>
          </cell>
          <cell r="J58">
            <v>42706.270000000004</v>
          </cell>
          <cell r="K58">
            <v>24849.759999999995</v>
          </cell>
          <cell r="L58">
            <v>58591.729999999989</v>
          </cell>
        </row>
        <row r="59">
          <cell r="A59">
            <v>36399</v>
          </cell>
          <cell r="B59">
            <v>9400430</v>
          </cell>
          <cell r="C59">
            <v>3</v>
          </cell>
          <cell r="D59">
            <v>6.5000000000000002E-2</v>
          </cell>
          <cell r="E59">
            <v>4927.6400000000003</v>
          </cell>
          <cell r="F59">
            <v>1698113.6299999997</v>
          </cell>
          <cell r="G59">
            <v>0.1031</v>
          </cell>
          <cell r="H59">
            <v>1411.9</v>
          </cell>
          <cell r="I59">
            <v>3515.7400000000002</v>
          </cell>
          <cell r="J59">
            <v>47633.91</v>
          </cell>
          <cell r="K59">
            <v>26261.659999999996</v>
          </cell>
          <cell r="L59">
            <v>62107.469999999987</v>
          </cell>
        </row>
        <row r="60">
          <cell r="A60">
            <v>36402</v>
          </cell>
          <cell r="B60">
            <v>9400430</v>
          </cell>
          <cell r="C60">
            <v>1</v>
          </cell>
          <cell r="D60">
            <v>6.5000000000000002E-2</v>
          </cell>
          <cell r="E60">
            <v>1642.55</v>
          </cell>
          <cell r="F60">
            <v>1694597.8899999997</v>
          </cell>
          <cell r="G60">
            <v>0.1031</v>
          </cell>
          <cell r="H60">
            <v>469.66</v>
          </cell>
          <cell r="I60">
            <v>1172.8899999999999</v>
          </cell>
          <cell r="J60">
            <v>49276.460000000006</v>
          </cell>
          <cell r="K60">
            <v>26731.319999999996</v>
          </cell>
          <cell r="L60">
            <v>63280.359999999986</v>
          </cell>
        </row>
        <row r="61">
          <cell r="A61">
            <v>36403</v>
          </cell>
          <cell r="B61">
            <v>9400430</v>
          </cell>
          <cell r="C61">
            <v>1</v>
          </cell>
          <cell r="D61">
            <v>6.5000000000000002E-2</v>
          </cell>
          <cell r="E61">
            <v>1642.55</v>
          </cell>
          <cell r="F61">
            <v>1693424.9999999998</v>
          </cell>
          <cell r="G61">
            <v>0.1031</v>
          </cell>
          <cell r="H61">
            <v>469.33</v>
          </cell>
          <cell r="I61">
            <v>1173.22</v>
          </cell>
          <cell r="J61">
            <v>50919.010000000009</v>
          </cell>
          <cell r="K61">
            <v>27200.649999999998</v>
          </cell>
          <cell r="L61">
            <v>64453.579999999987</v>
          </cell>
        </row>
      </sheetData>
      <sheetData sheetId="6">
        <row r="42">
          <cell r="A42">
            <v>36373</v>
          </cell>
          <cell r="B42">
            <v>6904923</v>
          </cell>
          <cell r="C42">
            <v>2</v>
          </cell>
          <cell r="D42">
            <v>6.5000000000000002E-2</v>
          </cell>
          <cell r="E42">
            <v>2413.0100000000002</v>
          </cell>
          <cell r="F42">
            <v>1321117.1499999997</v>
          </cell>
          <cell r="G42">
            <v>9.9400000000000002E-2</v>
          </cell>
          <cell r="H42">
            <v>706.02</v>
          </cell>
          <cell r="I42">
            <v>1706.9900000000002</v>
          </cell>
          <cell r="J42">
            <v>2413.010000000002</v>
          </cell>
          <cell r="K42">
            <v>11517.97</v>
          </cell>
          <cell r="L42">
            <v>27049.83</v>
          </cell>
        </row>
        <row r="43">
          <cell r="A43">
            <v>36375</v>
          </cell>
          <cell r="B43">
            <v>6904923</v>
          </cell>
          <cell r="C43">
            <v>1</v>
          </cell>
          <cell r="D43">
            <v>6.5000000000000002E-2</v>
          </cell>
          <cell r="E43">
            <v>1206.51</v>
          </cell>
          <cell r="F43">
            <v>1319410.1599999997</v>
          </cell>
          <cell r="G43">
            <v>9.9400000000000002E-2</v>
          </cell>
          <cell r="H43">
            <v>352.55</v>
          </cell>
          <cell r="I43">
            <v>853.96</v>
          </cell>
          <cell r="J43">
            <v>3619.5200000000023</v>
          </cell>
          <cell r="K43">
            <v>11870.519999999999</v>
          </cell>
          <cell r="L43">
            <v>27903.79</v>
          </cell>
        </row>
        <row r="44">
          <cell r="A44">
            <v>36376</v>
          </cell>
          <cell r="B44">
            <v>6904923</v>
          </cell>
          <cell r="C44">
            <v>1</v>
          </cell>
          <cell r="D44">
            <v>6.5000000000000002E-2</v>
          </cell>
          <cell r="E44">
            <v>1206.51</v>
          </cell>
          <cell r="F44">
            <v>1318556.1999999997</v>
          </cell>
          <cell r="G44">
            <v>9.9400000000000002E-2</v>
          </cell>
          <cell r="H44">
            <v>352.32</v>
          </cell>
          <cell r="I44">
            <v>854.19</v>
          </cell>
          <cell r="J44">
            <v>4826.0300000000025</v>
          </cell>
          <cell r="K44">
            <v>12222.839999999998</v>
          </cell>
          <cell r="L44">
            <v>28757.98</v>
          </cell>
        </row>
        <row r="45">
          <cell r="A45">
            <v>36377</v>
          </cell>
          <cell r="B45">
            <v>6904923</v>
          </cell>
          <cell r="C45">
            <v>1</v>
          </cell>
          <cell r="D45">
            <v>6.5000000000000002E-2</v>
          </cell>
          <cell r="E45">
            <v>1206.51</v>
          </cell>
          <cell r="F45">
            <v>1317702.0099999998</v>
          </cell>
          <cell r="G45">
            <v>9.9400000000000002E-2</v>
          </cell>
          <cell r="H45">
            <v>352.1</v>
          </cell>
          <cell r="I45">
            <v>854.41</v>
          </cell>
          <cell r="J45">
            <v>6032.5400000000027</v>
          </cell>
          <cell r="K45">
            <v>12574.939999999999</v>
          </cell>
          <cell r="L45">
            <v>29612.39</v>
          </cell>
        </row>
        <row r="46">
          <cell r="A46">
            <v>36378</v>
          </cell>
          <cell r="B46">
            <v>6904923</v>
          </cell>
          <cell r="C46">
            <v>3</v>
          </cell>
          <cell r="D46">
            <v>6.5000000000000002E-2</v>
          </cell>
          <cell r="E46">
            <v>3619.52</v>
          </cell>
          <cell r="F46">
            <v>1316847.5999999999</v>
          </cell>
          <cell r="G46">
            <v>9.9400000000000002E-2</v>
          </cell>
          <cell r="H46">
            <v>1055.5999999999999</v>
          </cell>
          <cell r="I46">
            <v>2563.92</v>
          </cell>
          <cell r="J46">
            <v>9652.0600000000031</v>
          </cell>
          <cell r="K46">
            <v>13630.539999999999</v>
          </cell>
          <cell r="L46">
            <v>32176.309999999998</v>
          </cell>
        </row>
        <row r="47">
          <cell r="A47">
            <v>36381</v>
          </cell>
          <cell r="B47">
            <v>6904923</v>
          </cell>
          <cell r="C47">
            <v>1</v>
          </cell>
          <cell r="D47">
            <v>6.5000000000000002E-2</v>
          </cell>
          <cell r="E47">
            <v>1206.51</v>
          </cell>
          <cell r="F47">
            <v>1314283.68</v>
          </cell>
          <cell r="G47">
            <v>9.9400000000000002E-2</v>
          </cell>
          <cell r="H47">
            <v>351.18</v>
          </cell>
          <cell r="I47">
            <v>855.32999999999993</v>
          </cell>
          <cell r="J47">
            <v>10858.570000000003</v>
          </cell>
          <cell r="K47">
            <v>13981.72</v>
          </cell>
          <cell r="L47">
            <v>33031.64</v>
          </cell>
        </row>
        <row r="48">
          <cell r="A48">
            <v>36382</v>
          </cell>
          <cell r="B48">
            <v>6904923</v>
          </cell>
          <cell r="C48">
            <v>1</v>
          </cell>
          <cell r="D48">
            <v>6.5000000000000002E-2</v>
          </cell>
          <cell r="E48">
            <v>1206.51</v>
          </cell>
          <cell r="F48">
            <v>1313428.3499999999</v>
          </cell>
          <cell r="G48">
            <v>9.9400000000000002E-2</v>
          </cell>
          <cell r="H48">
            <v>350.95</v>
          </cell>
          <cell r="I48">
            <v>855.56</v>
          </cell>
          <cell r="J48">
            <v>12065.080000000004</v>
          </cell>
          <cell r="K48">
            <v>14332.67</v>
          </cell>
          <cell r="L48">
            <v>33887.199999999997</v>
          </cell>
        </row>
        <row r="49">
          <cell r="A49">
            <v>36383</v>
          </cell>
          <cell r="B49">
            <v>6904923</v>
          </cell>
          <cell r="C49">
            <v>1</v>
          </cell>
          <cell r="D49">
            <v>6.5000000000000002E-2</v>
          </cell>
          <cell r="E49">
            <v>1206.51</v>
          </cell>
          <cell r="F49">
            <v>1312572.7899999998</v>
          </cell>
          <cell r="G49">
            <v>9.9400000000000002E-2</v>
          </cell>
          <cell r="H49">
            <v>350.73</v>
          </cell>
          <cell r="I49">
            <v>855.78</v>
          </cell>
          <cell r="J49">
            <v>13271.590000000004</v>
          </cell>
          <cell r="K49">
            <v>14683.4</v>
          </cell>
          <cell r="L49">
            <v>34742.979999999996</v>
          </cell>
        </row>
        <row r="50">
          <cell r="A50">
            <v>36384</v>
          </cell>
          <cell r="B50">
            <v>6904923</v>
          </cell>
          <cell r="C50">
            <v>1</v>
          </cell>
          <cell r="D50">
            <v>6.5000000000000002E-2</v>
          </cell>
          <cell r="E50">
            <v>1206.51</v>
          </cell>
          <cell r="F50">
            <v>1311717.0099999998</v>
          </cell>
          <cell r="G50">
            <v>9.9400000000000002E-2</v>
          </cell>
          <cell r="H50">
            <v>350.5</v>
          </cell>
          <cell r="I50">
            <v>856.01</v>
          </cell>
          <cell r="J50">
            <v>14478.100000000004</v>
          </cell>
          <cell r="K50">
            <v>15033.9</v>
          </cell>
          <cell r="L50">
            <v>35598.99</v>
          </cell>
        </row>
        <row r="51">
          <cell r="A51">
            <v>36385</v>
          </cell>
          <cell r="B51">
            <v>6904923</v>
          </cell>
          <cell r="C51">
            <v>3</v>
          </cell>
          <cell r="D51">
            <v>6.5000000000000002E-2</v>
          </cell>
          <cell r="E51">
            <v>3619.52</v>
          </cell>
          <cell r="F51">
            <v>1310860.9999999998</v>
          </cell>
          <cell r="G51">
            <v>9.9400000000000002E-2</v>
          </cell>
          <cell r="H51">
            <v>1050.8</v>
          </cell>
          <cell r="I51">
            <v>2568.7200000000003</v>
          </cell>
          <cell r="J51">
            <v>18097.620000000003</v>
          </cell>
          <cell r="K51">
            <v>16084.699999999999</v>
          </cell>
          <cell r="L51">
            <v>38167.71</v>
          </cell>
        </row>
        <row r="52">
          <cell r="A52">
            <v>36388</v>
          </cell>
          <cell r="B52">
            <v>6904923</v>
          </cell>
          <cell r="C52">
            <v>1</v>
          </cell>
          <cell r="D52">
            <v>6.5000000000000002E-2</v>
          </cell>
          <cell r="E52">
            <v>1206.51</v>
          </cell>
          <cell r="F52">
            <v>1308292.2799999998</v>
          </cell>
          <cell r="G52">
            <v>9.9400000000000002E-2</v>
          </cell>
          <cell r="H52">
            <v>349.58</v>
          </cell>
          <cell r="I52">
            <v>856.93000000000006</v>
          </cell>
          <cell r="J52">
            <v>19304.13</v>
          </cell>
          <cell r="K52">
            <v>16434.28</v>
          </cell>
          <cell r="L52">
            <v>39024.639999999999</v>
          </cell>
        </row>
        <row r="53">
          <cell r="A53">
            <v>36389</v>
          </cell>
          <cell r="B53">
            <v>6904923</v>
          </cell>
          <cell r="C53">
            <v>1</v>
          </cell>
          <cell r="D53">
            <v>6.5000000000000002E-2</v>
          </cell>
          <cell r="E53">
            <v>1206.51</v>
          </cell>
          <cell r="F53">
            <v>1307435.3499999999</v>
          </cell>
          <cell r="G53">
            <v>9.9400000000000002E-2</v>
          </cell>
          <cell r="H53">
            <v>349.35</v>
          </cell>
          <cell r="I53">
            <v>857.16</v>
          </cell>
          <cell r="J53">
            <v>20510.64</v>
          </cell>
          <cell r="K53">
            <v>16783.629999999997</v>
          </cell>
          <cell r="L53">
            <v>39881.800000000003</v>
          </cell>
        </row>
        <row r="54">
          <cell r="A54">
            <v>36390</v>
          </cell>
          <cell r="B54">
            <v>6904923</v>
          </cell>
          <cell r="C54">
            <v>1</v>
          </cell>
          <cell r="D54">
            <v>6.5000000000000002E-2</v>
          </cell>
          <cell r="E54">
            <v>1206.51</v>
          </cell>
          <cell r="F54">
            <v>1306578.19</v>
          </cell>
          <cell r="G54">
            <v>9.9400000000000002E-2</v>
          </cell>
          <cell r="H54">
            <v>349.12</v>
          </cell>
          <cell r="I54">
            <v>857.39</v>
          </cell>
          <cell r="J54">
            <v>21717.149999999998</v>
          </cell>
          <cell r="K54">
            <v>17132.749999999996</v>
          </cell>
          <cell r="L54">
            <v>40739.19</v>
          </cell>
        </row>
        <row r="55">
          <cell r="A55">
            <v>36391</v>
          </cell>
          <cell r="B55">
            <v>6904923</v>
          </cell>
          <cell r="C55">
            <v>1</v>
          </cell>
          <cell r="D55">
            <v>6.5000000000000002E-2</v>
          </cell>
          <cell r="E55">
            <v>1206.51</v>
          </cell>
          <cell r="F55">
            <v>1305720.8</v>
          </cell>
          <cell r="G55">
            <v>9.9400000000000002E-2</v>
          </cell>
          <cell r="H55">
            <v>348.89</v>
          </cell>
          <cell r="I55">
            <v>857.62</v>
          </cell>
          <cell r="J55">
            <v>22923.659999999996</v>
          </cell>
          <cell r="K55">
            <v>17481.639999999996</v>
          </cell>
          <cell r="L55">
            <v>41596.810000000005</v>
          </cell>
        </row>
        <row r="56">
          <cell r="A56">
            <v>36392</v>
          </cell>
          <cell r="B56">
            <v>6904923</v>
          </cell>
          <cell r="C56">
            <v>3</v>
          </cell>
          <cell r="D56">
            <v>6.5000000000000002E-2</v>
          </cell>
          <cell r="E56">
            <v>3619.52</v>
          </cell>
          <cell r="F56">
            <v>1304863.18</v>
          </cell>
          <cell r="G56">
            <v>9.9400000000000002E-2</v>
          </cell>
          <cell r="H56">
            <v>1046</v>
          </cell>
          <cell r="I56">
            <v>2573.52</v>
          </cell>
          <cell r="J56">
            <v>26543.179999999997</v>
          </cell>
          <cell r="K56">
            <v>18527.639999999996</v>
          </cell>
          <cell r="L56">
            <v>44170.33</v>
          </cell>
        </row>
        <row r="57">
          <cell r="A57">
            <v>36395</v>
          </cell>
          <cell r="B57">
            <v>6904923</v>
          </cell>
          <cell r="C57">
            <v>1</v>
          </cell>
          <cell r="D57">
            <v>6.5000000000000002E-2</v>
          </cell>
          <cell r="E57">
            <v>1206.51</v>
          </cell>
          <cell r="F57">
            <v>1302289.6599999999</v>
          </cell>
          <cell r="G57">
            <v>9.9400000000000002E-2</v>
          </cell>
          <cell r="H57">
            <v>347.98</v>
          </cell>
          <cell r="I57">
            <v>858.53</v>
          </cell>
          <cell r="J57">
            <v>27749.689999999995</v>
          </cell>
          <cell r="K57">
            <v>18875.619999999995</v>
          </cell>
          <cell r="L57">
            <v>45028.86</v>
          </cell>
        </row>
        <row r="58">
          <cell r="A58">
            <v>36396</v>
          </cell>
          <cell r="B58">
            <v>6904923</v>
          </cell>
          <cell r="C58">
            <v>1</v>
          </cell>
          <cell r="D58">
            <v>6.5000000000000002E-2</v>
          </cell>
          <cell r="E58">
            <v>1206.51</v>
          </cell>
          <cell r="F58">
            <v>1301431.1299999999</v>
          </cell>
          <cell r="G58">
            <v>9.9400000000000002E-2</v>
          </cell>
          <cell r="H58">
            <v>347.75</v>
          </cell>
          <cell r="I58">
            <v>858.76</v>
          </cell>
          <cell r="J58">
            <v>28956.199999999993</v>
          </cell>
          <cell r="K58">
            <v>19223.369999999995</v>
          </cell>
          <cell r="L58">
            <v>45887.62</v>
          </cell>
        </row>
        <row r="59">
          <cell r="A59">
            <v>36397</v>
          </cell>
          <cell r="B59">
            <v>6904923</v>
          </cell>
          <cell r="C59">
            <v>1</v>
          </cell>
          <cell r="D59">
            <v>6.5000000000000002E-2</v>
          </cell>
          <cell r="E59">
            <v>1206.51</v>
          </cell>
          <cell r="F59">
            <v>1300572.3699999999</v>
          </cell>
          <cell r="G59">
            <v>9.9400000000000002E-2</v>
          </cell>
          <cell r="H59">
            <v>347.52</v>
          </cell>
          <cell r="I59">
            <v>858.99</v>
          </cell>
          <cell r="J59">
            <v>30162.709999999992</v>
          </cell>
          <cell r="K59">
            <v>19570.889999999996</v>
          </cell>
          <cell r="L59">
            <v>46746.61</v>
          </cell>
        </row>
        <row r="60">
          <cell r="A60">
            <v>36398</v>
          </cell>
          <cell r="B60">
            <v>6904923</v>
          </cell>
          <cell r="C60">
            <v>1</v>
          </cell>
          <cell r="D60">
            <v>6.5000000000000002E-2</v>
          </cell>
          <cell r="E60">
            <v>1206.51</v>
          </cell>
          <cell r="F60">
            <v>1299713.3799999999</v>
          </cell>
          <cell r="G60">
            <v>9.9400000000000002E-2</v>
          </cell>
          <cell r="H60">
            <v>347.29</v>
          </cell>
          <cell r="I60">
            <v>859.22</v>
          </cell>
          <cell r="J60">
            <v>31369.21999999999</v>
          </cell>
          <cell r="K60">
            <v>19918.179999999997</v>
          </cell>
          <cell r="L60">
            <v>47605.83</v>
          </cell>
        </row>
        <row r="61">
          <cell r="A61">
            <v>36399</v>
          </cell>
          <cell r="B61">
            <v>6904923</v>
          </cell>
          <cell r="C61">
            <v>3</v>
          </cell>
          <cell r="D61">
            <v>6.5000000000000002E-2</v>
          </cell>
          <cell r="E61">
            <v>3619.52</v>
          </cell>
          <cell r="F61">
            <v>1298854.1599999999</v>
          </cell>
          <cell r="G61">
            <v>9.9400000000000002E-2</v>
          </cell>
          <cell r="H61">
            <v>1041.18</v>
          </cell>
          <cell r="I61">
            <v>2578.34</v>
          </cell>
          <cell r="J61">
            <v>34988.739999999991</v>
          </cell>
          <cell r="K61">
            <v>20959.359999999997</v>
          </cell>
          <cell r="L61">
            <v>50184.17</v>
          </cell>
        </row>
        <row r="62">
          <cell r="A62">
            <v>36402</v>
          </cell>
          <cell r="B62">
            <v>6904923</v>
          </cell>
          <cell r="C62">
            <v>1</v>
          </cell>
          <cell r="D62">
            <v>6.5000000000000002E-2</v>
          </cell>
          <cell r="E62">
            <v>1206.51</v>
          </cell>
          <cell r="F62">
            <v>1296275.8199999998</v>
          </cell>
          <cell r="G62">
            <v>9.9400000000000002E-2</v>
          </cell>
          <cell r="H62">
            <v>346.37</v>
          </cell>
          <cell r="I62">
            <v>860.14</v>
          </cell>
          <cell r="J62">
            <v>36195.249999999993</v>
          </cell>
          <cell r="K62">
            <v>21305.729999999996</v>
          </cell>
          <cell r="L62">
            <v>51044.31</v>
          </cell>
        </row>
        <row r="63">
          <cell r="A63">
            <v>36403</v>
          </cell>
          <cell r="B63">
            <v>6904923</v>
          </cell>
          <cell r="C63">
            <v>1</v>
          </cell>
          <cell r="D63">
            <v>6.5000000000000002E-2</v>
          </cell>
          <cell r="E63">
            <v>1206.51</v>
          </cell>
          <cell r="F63">
            <v>1295415.68</v>
          </cell>
          <cell r="G63">
            <v>9.9400000000000002E-2</v>
          </cell>
          <cell r="H63">
            <v>346.14</v>
          </cell>
          <cell r="I63">
            <v>860.37</v>
          </cell>
          <cell r="J63">
            <v>37401.759999999995</v>
          </cell>
          <cell r="K63">
            <v>21651.869999999995</v>
          </cell>
          <cell r="L63">
            <v>51904.68</v>
          </cell>
        </row>
      </sheetData>
      <sheetData sheetId="7">
        <row r="40">
          <cell r="A40">
            <v>36374</v>
          </cell>
          <cell r="B40">
            <v>3250015</v>
          </cell>
          <cell r="C40">
            <v>2</v>
          </cell>
          <cell r="D40">
            <v>6.5000000000000002E-2</v>
          </cell>
          <cell r="E40">
            <v>1135.76</v>
          </cell>
          <cell r="F40">
            <v>919457.8899999999</v>
          </cell>
          <cell r="G40">
            <v>0.1065</v>
          </cell>
          <cell r="H40">
            <v>526.46</v>
          </cell>
          <cell r="I40">
            <v>609.29999999999995</v>
          </cell>
          <cell r="J40">
            <v>1135.7599999999984</v>
          </cell>
          <cell r="K40">
            <v>7305.76</v>
          </cell>
          <cell r="L40">
            <v>7913.5000000000009</v>
          </cell>
        </row>
        <row r="41">
          <cell r="A41">
            <v>36375</v>
          </cell>
          <cell r="B41">
            <v>3250015</v>
          </cell>
          <cell r="C41">
            <v>1</v>
          </cell>
          <cell r="D41">
            <v>6.5000000000000002E-2</v>
          </cell>
          <cell r="E41">
            <v>567.88</v>
          </cell>
          <cell r="F41">
            <v>918848.58999999985</v>
          </cell>
          <cell r="G41">
            <v>0.1065</v>
          </cell>
          <cell r="H41">
            <v>263.06</v>
          </cell>
          <cell r="I41">
            <v>304.82</v>
          </cell>
          <cell r="J41">
            <v>1703.6399999999985</v>
          </cell>
          <cell r="K41">
            <v>7568.8200000000006</v>
          </cell>
          <cell r="L41">
            <v>8218.3200000000015</v>
          </cell>
        </row>
        <row r="42">
          <cell r="A42">
            <v>36376</v>
          </cell>
          <cell r="B42">
            <v>3250015</v>
          </cell>
          <cell r="C42">
            <v>1</v>
          </cell>
          <cell r="D42">
            <v>6.5000000000000002E-2</v>
          </cell>
          <cell r="E42">
            <v>567.88</v>
          </cell>
          <cell r="F42">
            <v>918543.7699999999</v>
          </cell>
          <cell r="G42">
            <v>0.1065</v>
          </cell>
          <cell r="H42">
            <v>262.97000000000003</v>
          </cell>
          <cell r="I42">
            <v>304.90999999999997</v>
          </cell>
          <cell r="J42">
            <v>2271.5199999999986</v>
          </cell>
          <cell r="K42">
            <v>7831.7900000000009</v>
          </cell>
          <cell r="L42">
            <v>8523.2300000000014</v>
          </cell>
        </row>
        <row r="43">
          <cell r="A43">
            <v>36377</v>
          </cell>
          <cell r="B43">
            <v>3250015</v>
          </cell>
          <cell r="C43">
            <v>1</v>
          </cell>
          <cell r="D43">
            <v>6.5000000000000002E-2</v>
          </cell>
          <cell r="E43">
            <v>567.88</v>
          </cell>
          <cell r="F43">
            <v>918238.85999999987</v>
          </cell>
          <cell r="G43">
            <v>0.1065</v>
          </cell>
          <cell r="H43">
            <v>262.88</v>
          </cell>
          <cell r="I43">
            <v>305</v>
          </cell>
          <cell r="J43">
            <v>2839.3999999999987</v>
          </cell>
          <cell r="K43">
            <v>8094.670000000001</v>
          </cell>
          <cell r="L43">
            <v>8828.2300000000014</v>
          </cell>
        </row>
        <row r="44">
          <cell r="A44">
            <v>36378</v>
          </cell>
          <cell r="B44">
            <v>3250015</v>
          </cell>
          <cell r="C44">
            <v>3</v>
          </cell>
          <cell r="D44">
            <v>6.5000000000000002E-2</v>
          </cell>
          <cell r="E44">
            <v>1703.64</v>
          </cell>
          <cell r="F44">
            <v>917933.85999999987</v>
          </cell>
          <cell r="G44">
            <v>0.1065</v>
          </cell>
          <cell r="H44">
            <v>788.39</v>
          </cell>
          <cell r="I44">
            <v>915.25000000000011</v>
          </cell>
          <cell r="J44">
            <v>4543.0399999999991</v>
          </cell>
          <cell r="K44">
            <v>8883.0600000000013</v>
          </cell>
          <cell r="L44">
            <v>9743.4800000000014</v>
          </cell>
        </row>
        <row r="45">
          <cell r="A45">
            <v>36381</v>
          </cell>
          <cell r="B45">
            <v>3250015</v>
          </cell>
          <cell r="C45">
            <v>1</v>
          </cell>
          <cell r="D45">
            <v>6.5000000000000002E-2</v>
          </cell>
          <cell r="E45">
            <v>567.88</v>
          </cell>
          <cell r="F45">
            <v>917018.60999999987</v>
          </cell>
          <cell r="G45">
            <v>0.1065</v>
          </cell>
          <cell r="H45">
            <v>262.52999999999997</v>
          </cell>
          <cell r="I45">
            <v>305.35000000000002</v>
          </cell>
          <cell r="J45">
            <v>5110.9199999999992</v>
          </cell>
          <cell r="K45">
            <v>9145.590000000002</v>
          </cell>
          <cell r="L45">
            <v>10048.830000000002</v>
          </cell>
        </row>
        <row r="46">
          <cell r="A46">
            <v>36382</v>
          </cell>
          <cell r="B46">
            <v>3250015</v>
          </cell>
          <cell r="C46">
            <v>1</v>
          </cell>
          <cell r="D46">
            <v>6.5000000000000002E-2</v>
          </cell>
          <cell r="E46">
            <v>567.88</v>
          </cell>
          <cell r="F46">
            <v>916713.25999999989</v>
          </cell>
          <cell r="G46">
            <v>0.1065</v>
          </cell>
          <cell r="H46">
            <v>262.45</v>
          </cell>
          <cell r="I46">
            <v>305.43</v>
          </cell>
          <cell r="J46">
            <v>5678.7999999999993</v>
          </cell>
          <cell r="K46">
            <v>9408.0400000000027</v>
          </cell>
          <cell r="L46">
            <v>10354.260000000002</v>
          </cell>
        </row>
        <row r="47">
          <cell r="A47">
            <v>36383</v>
          </cell>
          <cell r="B47">
            <v>3250015</v>
          </cell>
          <cell r="C47">
            <v>1</v>
          </cell>
          <cell r="D47">
            <v>6.5000000000000002E-2</v>
          </cell>
          <cell r="E47">
            <v>567.88</v>
          </cell>
          <cell r="F47">
            <v>916407.82999999984</v>
          </cell>
          <cell r="G47">
            <v>0.1065</v>
          </cell>
          <cell r="H47">
            <v>262.36</v>
          </cell>
          <cell r="I47">
            <v>305.52</v>
          </cell>
          <cell r="J47">
            <v>6246.6799999999994</v>
          </cell>
          <cell r="K47">
            <v>9670.4000000000033</v>
          </cell>
          <cell r="L47">
            <v>10659.780000000002</v>
          </cell>
        </row>
        <row r="48">
          <cell r="A48">
            <v>36384</v>
          </cell>
          <cell r="B48">
            <v>3250015</v>
          </cell>
          <cell r="C48">
            <v>1</v>
          </cell>
          <cell r="D48">
            <v>6.5000000000000002E-2</v>
          </cell>
          <cell r="E48">
            <v>567.88</v>
          </cell>
          <cell r="F48">
            <v>916102.30999999982</v>
          </cell>
          <cell r="G48">
            <v>0.1065</v>
          </cell>
          <cell r="H48">
            <v>262.27</v>
          </cell>
          <cell r="I48">
            <v>305.61</v>
          </cell>
          <cell r="J48">
            <v>6814.5599999999995</v>
          </cell>
          <cell r="K48">
            <v>9932.6700000000037</v>
          </cell>
          <cell r="L48">
            <v>10965.390000000003</v>
          </cell>
        </row>
        <row r="49">
          <cell r="A49">
            <v>36385</v>
          </cell>
          <cell r="B49">
            <v>3250015</v>
          </cell>
          <cell r="C49">
            <v>3</v>
          </cell>
          <cell r="D49">
            <v>6.5000000000000002E-2</v>
          </cell>
          <cell r="E49">
            <v>1703.64</v>
          </cell>
          <cell r="F49">
            <v>915796.69999999984</v>
          </cell>
          <cell r="G49">
            <v>0.1065</v>
          </cell>
          <cell r="H49">
            <v>786.55</v>
          </cell>
          <cell r="I49">
            <v>917.09000000000015</v>
          </cell>
          <cell r="J49">
            <v>8518.1999999999989</v>
          </cell>
          <cell r="K49">
            <v>10719.220000000003</v>
          </cell>
          <cell r="L49">
            <v>11882.480000000003</v>
          </cell>
        </row>
        <row r="50">
          <cell r="A50">
            <v>36388</v>
          </cell>
          <cell r="B50">
            <v>3250015</v>
          </cell>
          <cell r="C50">
            <v>1</v>
          </cell>
          <cell r="D50">
            <v>6.5000000000000002E-2</v>
          </cell>
          <cell r="E50">
            <v>567.88</v>
          </cell>
          <cell r="F50">
            <v>914879.60999999987</v>
          </cell>
          <cell r="G50">
            <v>0.1065</v>
          </cell>
          <cell r="H50">
            <v>261.92</v>
          </cell>
          <cell r="I50">
            <v>305.95999999999998</v>
          </cell>
          <cell r="J50">
            <v>9086.0799999999981</v>
          </cell>
          <cell r="K50">
            <v>10981.140000000003</v>
          </cell>
          <cell r="L50">
            <v>12188.440000000002</v>
          </cell>
        </row>
        <row r="51">
          <cell r="A51">
            <v>36389</v>
          </cell>
          <cell r="B51">
            <v>3250015</v>
          </cell>
          <cell r="C51">
            <v>1</v>
          </cell>
          <cell r="D51">
            <v>6.5000000000000002E-2</v>
          </cell>
          <cell r="E51">
            <v>567.88</v>
          </cell>
          <cell r="F51">
            <v>914573.64999999991</v>
          </cell>
          <cell r="G51">
            <v>0.1065</v>
          </cell>
          <cell r="H51">
            <v>261.83</v>
          </cell>
          <cell r="I51">
            <v>306.05</v>
          </cell>
          <cell r="J51">
            <v>9653.9599999999973</v>
          </cell>
          <cell r="K51">
            <v>11242.970000000003</v>
          </cell>
          <cell r="L51">
            <v>12494.490000000002</v>
          </cell>
        </row>
        <row r="52">
          <cell r="A52">
            <v>36390</v>
          </cell>
          <cell r="B52">
            <v>3250015</v>
          </cell>
          <cell r="C52">
            <v>1</v>
          </cell>
          <cell r="D52">
            <v>6.5000000000000002E-2</v>
          </cell>
          <cell r="E52">
            <v>567.88</v>
          </cell>
          <cell r="F52">
            <v>914267.59999999986</v>
          </cell>
          <cell r="G52">
            <v>0.1065</v>
          </cell>
          <cell r="H52">
            <v>261.75</v>
          </cell>
          <cell r="I52">
            <v>306.13</v>
          </cell>
          <cell r="J52">
            <v>10221.839999999997</v>
          </cell>
          <cell r="K52">
            <v>11504.720000000003</v>
          </cell>
          <cell r="L52">
            <v>12800.62</v>
          </cell>
        </row>
        <row r="53">
          <cell r="A53">
            <v>36391</v>
          </cell>
          <cell r="B53">
            <v>3250015</v>
          </cell>
          <cell r="C53">
            <v>1</v>
          </cell>
          <cell r="D53">
            <v>6.5000000000000002E-2</v>
          </cell>
          <cell r="E53">
            <v>567.88</v>
          </cell>
          <cell r="F53">
            <v>913961.46999999986</v>
          </cell>
          <cell r="G53">
            <v>0.1065</v>
          </cell>
          <cell r="H53">
            <v>261.66000000000003</v>
          </cell>
          <cell r="I53">
            <v>306.21999999999997</v>
          </cell>
          <cell r="J53">
            <v>10789.719999999996</v>
          </cell>
          <cell r="K53">
            <v>11766.380000000003</v>
          </cell>
          <cell r="L53">
            <v>13106.84</v>
          </cell>
        </row>
        <row r="54">
          <cell r="A54">
            <v>36392</v>
          </cell>
          <cell r="B54">
            <v>3250015</v>
          </cell>
          <cell r="C54">
            <v>3</v>
          </cell>
          <cell r="D54">
            <v>6.5000000000000002E-2</v>
          </cell>
          <cell r="E54">
            <v>1703.64</v>
          </cell>
          <cell r="F54">
            <v>913655.24999999988</v>
          </cell>
          <cell r="G54">
            <v>0.1065</v>
          </cell>
          <cell r="H54">
            <v>784.71</v>
          </cell>
          <cell r="I54">
            <v>918.93000000000006</v>
          </cell>
          <cell r="J54">
            <v>12493.359999999995</v>
          </cell>
          <cell r="K54">
            <v>12551.090000000004</v>
          </cell>
          <cell r="L54">
            <v>14025.77</v>
          </cell>
        </row>
        <row r="55">
          <cell r="A55">
            <v>36395</v>
          </cell>
          <cell r="B55">
            <v>3250015</v>
          </cell>
          <cell r="C55">
            <v>1</v>
          </cell>
          <cell r="D55">
            <v>6.5000000000000002E-2</v>
          </cell>
          <cell r="E55">
            <v>567.88</v>
          </cell>
          <cell r="F55">
            <v>912736.31999999983</v>
          </cell>
          <cell r="G55">
            <v>0.1065</v>
          </cell>
          <cell r="H55">
            <v>261.31</v>
          </cell>
          <cell r="I55">
            <v>306.57</v>
          </cell>
          <cell r="J55">
            <v>13061.239999999994</v>
          </cell>
          <cell r="K55">
            <v>12812.400000000003</v>
          </cell>
          <cell r="L55">
            <v>14332.34</v>
          </cell>
        </row>
        <row r="56">
          <cell r="A56">
            <v>36396</v>
          </cell>
          <cell r="B56">
            <v>3250015</v>
          </cell>
          <cell r="C56">
            <v>1</v>
          </cell>
          <cell r="D56">
            <v>6.5000000000000002E-2</v>
          </cell>
          <cell r="E56">
            <v>567.88</v>
          </cell>
          <cell r="F56">
            <v>912429.74999999988</v>
          </cell>
          <cell r="G56">
            <v>0.1065</v>
          </cell>
          <cell r="H56">
            <v>261.22000000000003</v>
          </cell>
          <cell r="I56">
            <v>306.65999999999997</v>
          </cell>
          <cell r="J56">
            <v>13629.119999999994</v>
          </cell>
          <cell r="K56">
            <v>13073.620000000003</v>
          </cell>
          <cell r="L56">
            <v>14639</v>
          </cell>
        </row>
        <row r="57">
          <cell r="A57">
            <v>36397</v>
          </cell>
          <cell r="B57">
            <v>3250015</v>
          </cell>
          <cell r="C57">
            <v>1</v>
          </cell>
          <cell r="D57">
            <v>6.5000000000000002E-2</v>
          </cell>
          <cell r="E57">
            <v>567.88</v>
          </cell>
          <cell r="F57">
            <v>912123.08999999985</v>
          </cell>
          <cell r="G57">
            <v>0.1065</v>
          </cell>
          <cell r="H57">
            <v>261.13</v>
          </cell>
          <cell r="I57">
            <v>306.75</v>
          </cell>
          <cell r="J57">
            <v>14196.999999999993</v>
          </cell>
          <cell r="K57">
            <v>13334.750000000002</v>
          </cell>
          <cell r="L57">
            <v>14945.75</v>
          </cell>
        </row>
        <row r="58">
          <cell r="A58">
            <v>36398</v>
          </cell>
          <cell r="B58">
            <v>3250015</v>
          </cell>
          <cell r="C58">
            <v>1</v>
          </cell>
          <cell r="D58">
            <v>6.5000000000000002E-2</v>
          </cell>
          <cell r="E58">
            <v>567.88</v>
          </cell>
          <cell r="F58">
            <v>911816.33999999985</v>
          </cell>
          <cell r="G58">
            <v>0.1065</v>
          </cell>
          <cell r="H58">
            <v>261.04000000000002</v>
          </cell>
          <cell r="I58">
            <v>306.83999999999997</v>
          </cell>
          <cell r="J58">
            <v>14764.879999999992</v>
          </cell>
          <cell r="K58">
            <v>13595.790000000003</v>
          </cell>
          <cell r="L58">
            <v>15252.59</v>
          </cell>
        </row>
        <row r="59">
          <cell r="A59">
            <v>36399</v>
          </cell>
          <cell r="B59">
            <v>3250015</v>
          </cell>
          <cell r="C59">
            <v>3</v>
          </cell>
          <cell r="D59">
            <v>6.5000000000000002E-2</v>
          </cell>
          <cell r="E59">
            <v>1703.64</v>
          </cell>
          <cell r="F59">
            <v>911509.49999999988</v>
          </cell>
          <cell r="G59">
            <v>0.1065</v>
          </cell>
          <cell r="H59">
            <v>782.87</v>
          </cell>
          <cell r="I59">
            <v>920.7700000000001</v>
          </cell>
          <cell r="J59">
            <v>16468.519999999993</v>
          </cell>
          <cell r="K59">
            <v>14378.660000000003</v>
          </cell>
          <cell r="L59">
            <v>16173.36</v>
          </cell>
        </row>
        <row r="60">
          <cell r="A60">
            <v>36402</v>
          </cell>
          <cell r="B60">
            <v>3250015</v>
          </cell>
          <cell r="C60">
            <v>1</v>
          </cell>
          <cell r="D60">
            <v>6.5000000000000002E-2</v>
          </cell>
          <cell r="E60">
            <v>567.88</v>
          </cell>
          <cell r="F60">
            <v>910588.72999999986</v>
          </cell>
          <cell r="G60">
            <v>0.1065</v>
          </cell>
          <cell r="H60">
            <v>260.69</v>
          </cell>
          <cell r="I60">
            <v>307.19</v>
          </cell>
          <cell r="J60">
            <v>17036.399999999994</v>
          </cell>
          <cell r="K60">
            <v>14639.350000000004</v>
          </cell>
          <cell r="L60">
            <v>16480.55</v>
          </cell>
        </row>
        <row r="61">
          <cell r="A61">
            <v>36403</v>
          </cell>
          <cell r="B61">
            <v>3250015</v>
          </cell>
          <cell r="C61">
            <v>1</v>
          </cell>
          <cell r="D61">
            <v>6.5000000000000002E-2</v>
          </cell>
          <cell r="E61">
            <v>567.88</v>
          </cell>
          <cell r="F61">
            <v>910281.53999999992</v>
          </cell>
          <cell r="G61">
            <v>0.1065</v>
          </cell>
          <cell r="H61">
            <v>260.60000000000002</v>
          </cell>
          <cell r="I61">
            <v>307.27999999999997</v>
          </cell>
          <cell r="J61">
            <v>17604.279999999995</v>
          </cell>
          <cell r="K61">
            <v>14899.950000000004</v>
          </cell>
          <cell r="L61">
            <v>16787.829999999998</v>
          </cell>
        </row>
      </sheetData>
      <sheetData sheetId="8">
        <row r="45">
          <cell r="A45">
            <v>36373</v>
          </cell>
          <cell r="B45">
            <v>89867534.390000001</v>
          </cell>
          <cell r="C45">
            <v>2</v>
          </cell>
          <cell r="D45">
            <v>6.8662999999999997E-3</v>
          </cell>
          <cell r="E45">
            <v>3317.51</v>
          </cell>
          <cell r="F45">
            <v>2995782.23</v>
          </cell>
          <cell r="G45">
            <v>9.4200000000000006E-2</v>
          </cell>
          <cell r="H45">
            <v>1517.22</v>
          </cell>
          <cell r="I45">
            <v>1800.2900000000002</v>
          </cell>
          <cell r="J45">
            <v>3317.510000000002</v>
          </cell>
          <cell r="K45">
            <v>27615.97</v>
          </cell>
          <cell r="L45">
            <v>29455.56</v>
          </cell>
        </row>
        <row r="46">
          <cell r="A46">
            <v>36375</v>
          </cell>
          <cell r="B46">
            <v>89867534.390000001</v>
          </cell>
          <cell r="C46">
            <v>1</v>
          </cell>
          <cell r="D46">
            <v>6.8662999999999997E-3</v>
          </cell>
          <cell r="E46">
            <v>1658.76</v>
          </cell>
          <cell r="F46">
            <v>2993981.94</v>
          </cell>
          <cell r="G46">
            <v>9.4200000000000006E-2</v>
          </cell>
          <cell r="H46">
            <v>758.15</v>
          </cell>
          <cell r="I46">
            <v>900.61</v>
          </cell>
          <cell r="J46">
            <v>4976.2700000000023</v>
          </cell>
          <cell r="K46">
            <v>28374.120000000003</v>
          </cell>
          <cell r="L46">
            <v>30356.170000000002</v>
          </cell>
        </row>
        <row r="47">
          <cell r="A47">
            <v>36376</v>
          </cell>
          <cell r="B47">
            <v>89867534.390000001</v>
          </cell>
          <cell r="C47">
            <v>1</v>
          </cell>
          <cell r="D47">
            <v>6.8662999999999997E-3</v>
          </cell>
          <cell r="E47">
            <v>1658.76</v>
          </cell>
          <cell r="F47">
            <v>2993081.33</v>
          </cell>
          <cell r="G47">
            <v>9.4200000000000006E-2</v>
          </cell>
          <cell r="H47">
            <v>757.93</v>
          </cell>
          <cell r="I47">
            <v>900.83</v>
          </cell>
          <cell r="J47">
            <v>6635.0300000000025</v>
          </cell>
          <cell r="K47">
            <v>29132.050000000003</v>
          </cell>
          <cell r="L47">
            <v>31257.000000000004</v>
          </cell>
        </row>
        <row r="48">
          <cell r="A48">
            <v>36377</v>
          </cell>
          <cell r="B48">
            <v>89867534.390000001</v>
          </cell>
          <cell r="C48">
            <v>1</v>
          </cell>
          <cell r="D48">
            <v>6.8662999999999997E-3</v>
          </cell>
          <cell r="E48">
            <v>1658.76</v>
          </cell>
          <cell r="F48">
            <v>2992180.5</v>
          </cell>
          <cell r="G48">
            <v>9.4200000000000006E-2</v>
          </cell>
          <cell r="H48">
            <v>757.7</v>
          </cell>
          <cell r="I48">
            <v>901.06</v>
          </cell>
          <cell r="J48">
            <v>8293.7900000000027</v>
          </cell>
          <cell r="K48">
            <v>29889.750000000004</v>
          </cell>
          <cell r="L48">
            <v>32158.060000000005</v>
          </cell>
        </row>
        <row r="49">
          <cell r="A49">
            <v>36378</v>
          </cell>
          <cell r="B49">
            <v>89867534.390000001</v>
          </cell>
          <cell r="C49">
            <v>3</v>
          </cell>
          <cell r="D49">
            <v>6.8662999999999997E-3</v>
          </cell>
          <cell r="E49">
            <v>4976.2700000000004</v>
          </cell>
          <cell r="F49">
            <v>2991279.44</v>
          </cell>
          <cell r="G49">
            <v>9.4200000000000006E-2</v>
          </cell>
          <cell r="H49">
            <v>2272.41</v>
          </cell>
          <cell r="I49">
            <v>2703.8600000000006</v>
          </cell>
          <cell r="J49">
            <v>13270.060000000003</v>
          </cell>
          <cell r="K49">
            <v>32162.160000000003</v>
          </cell>
          <cell r="L49">
            <v>34861.920000000006</v>
          </cell>
        </row>
        <row r="50">
          <cell r="A50">
            <v>36381</v>
          </cell>
          <cell r="B50">
            <v>89867534.390000001</v>
          </cell>
          <cell r="C50">
            <v>1</v>
          </cell>
          <cell r="D50">
            <v>6.8662999999999997E-3</v>
          </cell>
          <cell r="E50">
            <v>1658.76</v>
          </cell>
          <cell r="F50">
            <v>2988575.58</v>
          </cell>
          <cell r="G50">
            <v>9.4200000000000006E-2</v>
          </cell>
          <cell r="H50">
            <v>756.78</v>
          </cell>
          <cell r="I50">
            <v>901.98</v>
          </cell>
          <cell r="J50">
            <v>14928.820000000003</v>
          </cell>
          <cell r="K50">
            <v>32918.94</v>
          </cell>
          <cell r="L50">
            <v>35763.900000000009</v>
          </cell>
        </row>
        <row r="51">
          <cell r="A51">
            <v>36382</v>
          </cell>
          <cell r="B51">
            <v>89867534.390000001</v>
          </cell>
          <cell r="C51">
            <v>1</v>
          </cell>
          <cell r="D51">
            <v>6.8662999999999997E-3</v>
          </cell>
          <cell r="E51">
            <v>1658.76</v>
          </cell>
          <cell r="F51">
            <v>2987673.6000000001</v>
          </cell>
          <cell r="G51">
            <v>9.4200000000000006E-2</v>
          </cell>
          <cell r="H51">
            <v>756.56</v>
          </cell>
          <cell r="I51">
            <v>902.2</v>
          </cell>
          <cell r="J51">
            <v>16587.580000000002</v>
          </cell>
          <cell r="K51">
            <v>33675.5</v>
          </cell>
          <cell r="L51">
            <v>36666.100000000006</v>
          </cell>
        </row>
        <row r="52">
          <cell r="A52">
            <v>36383</v>
          </cell>
          <cell r="B52">
            <v>89867534.390000001</v>
          </cell>
          <cell r="C52">
            <v>1</v>
          </cell>
          <cell r="D52">
            <v>6.8662999999999997E-3</v>
          </cell>
          <cell r="E52">
            <v>1658.76</v>
          </cell>
          <cell r="F52">
            <v>2986771.4</v>
          </cell>
          <cell r="G52">
            <v>9.4200000000000006E-2</v>
          </cell>
          <cell r="H52">
            <v>756.33</v>
          </cell>
          <cell r="I52">
            <v>902.43</v>
          </cell>
          <cell r="J52">
            <v>18246.34</v>
          </cell>
          <cell r="K52">
            <v>34431.83</v>
          </cell>
          <cell r="L52">
            <v>37568.530000000006</v>
          </cell>
        </row>
        <row r="53">
          <cell r="A53">
            <v>36384</v>
          </cell>
          <cell r="B53">
            <v>89867534.390000001</v>
          </cell>
          <cell r="C53">
            <v>1</v>
          </cell>
          <cell r="D53">
            <v>6.8662999999999997E-3</v>
          </cell>
          <cell r="E53">
            <v>1658.76</v>
          </cell>
          <cell r="F53">
            <v>2985868.9699999997</v>
          </cell>
          <cell r="G53">
            <v>9.4200000000000006E-2</v>
          </cell>
          <cell r="H53">
            <v>756.1</v>
          </cell>
          <cell r="I53">
            <v>902.66</v>
          </cell>
          <cell r="J53">
            <v>19905.099999999999</v>
          </cell>
          <cell r="K53">
            <v>35187.93</v>
          </cell>
          <cell r="L53">
            <v>38471.19000000001</v>
          </cell>
        </row>
        <row r="54">
          <cell r="A54">
            <v>36385</v>
          </cell>
          <cell r="B54">
            <v>89867534.390000001</v>
          </cell>
          <cell r="C54">
            <v>3</v>
          </cell>
          <cell r="D54">
            <v>6.8662999999999997E-3</v>
          </cell>
          <cell r="E54">
            <v>4976.2700000000004</v>
          </cell>
          <cell r="F54">
            <v>2984966.3099999996</v>
          </cell>
          <cell r="G54">
            <v>9.4200000000000006E-2</v>
          </cell>
          <cell r="H54">
            <v>2267.61</v>
          </cell>
          <cell r="I54">
            <v>2708.6600000000003</v>
          </cell>
          <cell r="J54">
            <v>24881.37</v>
          </cell>
          <cell r="K54">
            <v>37455.54</v>
          </cell>
          <cell r="L54">
            <v>41179.850000000013</v>
          </cell>
        </row>
        <row r="55">
          <cell r="A55">
            <v>36388</v>
          </cell>
          <cell r="B55">
            <v>89867534.390000001</v>
          </cell>
          <cell r="C55">
            <v>1</v>
          </cell>
          <cell r="D55">
            <v>6.8662999999999997E-3</v>
          </cell>
          <cell r="E55">
            <v>1658.76</v>
          </cell>
          <cell r="F55">
            <v>2982257.6499999994</v>
          </cell>
          <cell r="G55">
            <v>9.4200000000000006E-2</v>
          </cell>
          <cell r="H55">
            <v>755.18</v>
          </cell>
          <cell r="I55">
            <v>903.58</v>
          </cell>
          <cell r="J55">
            <v>26540.129999999997</v>
          </cell>
          <cell r="K55">
            <v>38210.720000000001</v>
          </cell>
          <cell r="L55">
            <v>42083.430000000015</v>
          </cell>
        </row>
        <row r="56">
          <cell r="A56">
            <v>36389</v>
          </cell>
          <cell r="B56">
            <v>89867534.390000001</v>
          </cell>
          <cell r="C56">
            <v>1</v>
          </cell>
          <cell r="D56">
            <v>6.8662999999999997E-3</v>
          </cell>
          <cell r="E56">
            <v>1658.76</v>
          </cell>
          <cell r="F56">
            <v>2981354.0699999994</v>
          </cell>
          <cell r="G56">
            <v>9.4200000000000006E-2</v>
          </cell>
          <cell r="H56">
            <v>754.96</v>
          </cell>
          <cell r="I56">
            <v>903.8</v>
          </cell>
          <cell r="J56">
            <v>28198.889999999996</v>
          </cell>
          <cell r="K56">
            <v>38965.68</v>
          </cell>
          <cell r="L56">
            <v>42987.230000000018</v>
          </cell>
        </row>
        <row r="57">
          <cell r="A57">
            <v>36390</v>
          </cell>
          <cell r="B57">
            <v>89867534.390000001</v>
          </cell>
          <cell r="C57">
            <v>1</v>
          </cell>
          <cell r="D57">
            <v>6.8662999999999997E-3</v>
          </cell>
          <cell r="E57">
            <v>1658.76</v>
          </cell>
          <cell r="F57">
            <v>2980450.2699999996</v>
          </cell>
          <cell r="G57">
            <v>9.4200000000000006E-2</v>
          </cell>
          <cell r="H57">
            <v>754.73</v>
          </cell>
          <cell r="I57">
            <v>904.03</v>
          </cell>
          <cell r="J57">
            <v>29857.649999999994</v>
          </cell>
          <cell r="K57">
            <v>39720.410000000003</v>
          </cell>
          <cell r="L57">
            <v>43891.260000000017</v>
          </cell>
        </row>
        <row r="58">
          <cell r="A58">
            <v>36391</v>
          </cell>
          <cell r="B58">
            <v>89867534.390000001</v>
          </cell>
          <cell r="C58">
            <v>1</v>
          </cell>
          <cell r="D58">
            <v>6.8662999999999997E-3</v>
          </cell>
          <cell r="E58">
            <v>1658.76</v>
          </cell>
          <cell r="F58">
            <v>2979546.2399999998</v>
          </cell>
          <cell r="G58">
            <v>9.4200000000000006E-2</v>
          </cell>
          <cell r="H58">
            <v>754.5</v>
          </cell>
          <cell r="I58">
            <v>904.26</v>
          </cell>
          <cell r="J58">
            <v>31516.409999999993</v>
          </cell>
          <cell r="K58">
            <v>40474.910000000003</v>
          </cell>
          <cell r="L58">
            <v>44795.520000000019</v>
          </cell>
        </row>
        <row r="59">
          <cell r="A59">
            <v>36392</v>
          </cell>
          <cell r="B59">
            <v>89867534.390000001</v>
          </cell>
          <cell r="C59">
            <v>3</v>
          </cell>
          <cell r="D59">
            <v>6.8662999999999997E-3</v>
          </cell>
          <cell r="E59">
            <v>4976.2700000000004</v>
          </cell>
          <cell r="F59">
            <v>2978641.98</v>
          </cell>
          <cell r="G59">
            <v>9.4200000000000006E-2</v>
          </cell>
          <cell r="H59">
            <v>2262.81</v>
          </cell>
          <cell r="I59">
            <v>2713.4600000000005</v>
          </cell>
          <cell r="J59">
            <v>36492.679999999993</v>
          </cell>
          <cell r="K59">
            <v>42737.72</v>
          </cell>
          <cell r="L59">
            <v>47508.980000000018</v>
          </cell>
        </row>
        <row r="60">
          <cell r="A60">
            <v>36395</v>
          </cell>
          <cell r="B60">
            <v>89867534.390000001</v>
          </cell>
          <cell r="C60">
            <v>1</v>
          </cell>
          <cell r="D60">
            <v>6.8662999999999997E-3</v>
          </cell>
          <cell r="E60">
            <v>1658.76</v>
          </cell>
          <cell r="F60">
            <v>2975928.52</v>
          </cell>
          <cell r="G60">
            <v>9.4200000000000006E-2</v>
          </cell>
          <cell r="H60">
            <v>753.58</v>
          </cell>
          <cell r="I60">
            <v>905.18</v>
          </cell>
          <cell r="J60">
            <v>38151.439999999995</v>
          </cell>
          <cell r="K60">
            <v>43491.3</v>
          </cell>
          <cell r="L60">
            <v>48414.160000000018</v>
          </cell>
        </row>
        <row r="61">
          <cell r="A61">
            <v>36396</v>
          </cell>
          <cell r="B61">
            <v>89867534.390000001</v>
          </cell>
          <cell r="C61">
            <v>1</v>
          </cell>
          <cell r="D61">
            <v>6.8662999999999997E-3</v>
          </cell>
          <cell r="E61">
            <v>1658.76</v>
          </cell>
          <cell r="F61">
            <v>2975023.34</v>
          </cell>
          <cell r="G61">
            <v>9.4200000000000006E-2</v>
          </cell>
          <cell r="H61">
            <v>753.35</v>
          </cell>
          <cell r="I61">
            <v>905.41</v>
          </cell>
          <cell r="J61">
            <v>39810.199999999997</v>
          </cell>
          <cell r="K61">
            <v>44244.65</v>
          </cell>
          <cell r="L61">
            <v>49319.570000000022</v>
          </cell>
        </row>
        <row r="62">
          <cell r="A62">
            <v>36397</v>
          </cell>
          <cell r="B62">
            <v>89867534.390000001</v>
          </cell>
          <cell r="C62">
            <v>1</v>
          </cell>
          <cell r="D62">
            <v>6.8662999999999997E-3</v>
          </cell>
          <cell r="E62">
            <v>1658.76</v>
          </cell>
          <cell r="F62">
            <v>2974117.9299999997</v>
          </cell>
          <cell r="G62">
            <v>9.4200000000000006E-2</v>
          </cell>
          <cell r="H62">
            <v>753.12</v>
          </cell>
          <cell r="I62">
            <v>905.64</v>
          </cell>
          <cell r="J62">
            <v>41468.959999999999</v>
          </cell>
          <cell r="K62">
            <v>44997.770000000004</v>
          </cell>
          <cell r="L62">
            <v>50225.210000000021</v>
          </cell>
        </row>
        <row r="63">
          <cell r="A63">
            <v>36398</v>
          </cell>
          <cell r="B63">
            <v>89867534.390000001</v>
          </cell>
          <cell r="C63">
            <v>1</v>
          </cell>
          <cell r="D63">
            <v>6.8662999999999997E-3</v>
          </cell>
          <cell r="E63">
            <v>1658.76</v>
          </cell>
          <cell r="F63">
            <v>2973212.2899999996</v>
          </cell>
          <cell r="G63">
            <v>9.4200000000000006E-2</v>
          </cell>
          <cell r="H63">
            <v>752.89</v>
          </cell>
          <cell r="I63">
            <v>905.87</v>
          </cell>
          <cell r="J63">
            <v>43127.72</v>
          </cell>
          <cell r="K63">
            <v>45750.66</v>
          </cell>
          <cell r="L63">
            <v>51131.080000000024</v>
          </cell>
        </row>
        <row r="64">
          <cell r="A64">
            <v>36399</v>
          </cell>
          <cell r="B64">
            <v>89867534.390000001</v>
          </cell>
          <cell r="C64">
            <v>3</v>
          </cell>
          <cell r="D64">
            <v>6.8662999999999997E-3</v>
          </cell>
          <cell r="E64">
            <v>4976.2700000000004</v>
          </cell>
          <cell r="F64">
            <v>2972306.4199999995</v>
          </cell>
          <cell r="G64">
            <v>9.4200000000000006E-2</v>
          </cell>
          <cell r="H64">
            <v>2257.9899999999998</v>
          </cell>
          <cell r="I64">
            <v>2718.2800000000007</v>
          </cell>
          <cell r="J64">
            <v>48103.990000000005</v>
          </cell>
          <cell r="K64">
            <v>48008.65</v>
          </cell>
          <cell r="L64">
            <v>53849.360000000022</v>
          </cell>
        </row>
        <row r="65">
          <cell r="A65">
            <v>36402</v>
          </cell>
          <cell r="B65">
            <v>89867534.390000001</v>
          </cell>
          <cell r="C65">
            <v>1</v>
          </cell>
          <cell r="D65">
            <v>6.8662999999999997E-3</v>
          </cell>
          <cell r="E65">
            <v>1658.76</v>
          </cell>
          <cell r="F65">
            <v>2969588.1399999997</v>
          </cell>
          <cell r="G65">
            <v>9.4200000000000006E-2</v>
          </cell>
          <cell r="H65">
            <v>751.98</v>
          </cell>
          <cell r="I65">
            <v>906.78</v>
          </cell>
          <cell r="J65">
            <v>49762.750000000007</v>
          </cell>
          <cell r="K65">
            <v>48760.630000000005</v>
          </cell>
          <cell r="L65">
            <v>54756.140000000021</v>
          </cell>
        </row>
        <row r="66">
          <cell r="A66">
            <v>36403</v>
          </cell>
          <cell r="B66">
            <v>89867534.390000001</v>
          </cell>
          <cell r="C66">
            <v>1</v>
          </cell>
          <cell r="D66">
            <v>6.8662999999999997E-3</v>
          </cell>
          <cell r="E66">
            <v>1658.76</v>
          </cell>
          <cell r="F66">
            <v>2968681.36</v>
          </cell>
          <cell r="G66">
            <v>9.4200000000000006E-2</v>
          </cell>
          <cell r="H66">
            <v>751.75</v>
          </cell>
          <cell r="I66">
            <v>907.01</v>
          </cell>
          <cell r="J66">
            <v>51421.510000000009</v>
          </cell>
          <cell r="K66">
            <v>49512.380000000005</v>
          </cell>
          <cell r="L66">
            <v>55663.150000000023</v>
          </cell>
        </row>
        <row r="67">
          <cell r="A67">
            <v>36404</v>
          </cell>
          <cell r="B67">
            <v>89809922.719999999</v>
          </cell>
          <cell r="C67">
            <v>1</v>
          </cell>
          <cell r="D67">
            <v>4.5722000000000002E-3</v>
          </cell>
          <cell r="E67">
            <v>1140.6400000000001</v>
          </cell>
          <cell r="F67">
            <v>2967774.35</v>
          </cell>
          <cell r="G67">
            <v>9.3100000000000002E-2</v>
          </cell>
          <cell r="H67">
            <v>767.5</v>
          </cell>
          <cell r="I67">
            <v>373.1400000000001</v>
          </cell>
          <cell r="J67">
            <v>1140.6399999999994</v>
          </cell>
          <cell r="K67">
            <v>50279.880000000005</v>
          </cell>
          <cell r="L67">
            <v>56036.290000000023</v>
          </cell>
        </row>
      </sheetData>
      <sheetData sheetId="9">
        <row r="59">
          <cell r="A59">
            <v>36373</v>
          </cell>
          <cell r="B59">
            <v>82673355.810000002</v>
          </cell>
          <cell r="C59">
            <v>2</v>
          </cell>
          <cell r="D59">
            <v>7.8079999999999998E-3</v>
          </cell>
          <cell r="E59">
            <v>3470.5</v>
          </cell>
          <cell r="F59">
            <v>3131011.6000000006</v>
          </cell>
          <cell r="G59">
            <v>9.4100000000000003E-2</v>
          </cell>
          <cell r="H59">
            <v>1584.02</v>
          </cell>
          <cell r="I59">
            <v>1886.48</v>
          </cell>
          <cell r="J59">
            <v>3470.5</v>
          </cell>
          <cell r="K59">
            <v>44553.68</v>
          </cell>
          <cell r="L59">
            <v>41232.15</v>
          </cell>
        </row>
        <row r="60">
          <cell r="A60">
            <v>36375</v>
          </cell>
          <cell r="B60">
            <v>82673355.810000002</v>
          </cell>
          <cell r="C60">
            <v>1</v>
          </cell>
          <cell r="D60">
            <v>7.8079999999999998E-3</v>
          </cell>
          <cell r="E60">
            <v>1735.25</v>
          </cell>
          <cell r="F60">
            <v>3129125.1200000006</v>
          </cell>
          <cell r="G60">
            <v>9.4100000000000003E-2</v>
          </cell>
          <cell r="H60">
            <v>791.53</v>
          </cell>
          <cell r="I60">
            <v>943.72</v>
          </cell>
          <cell r="J60">
            <v>5205.75</v>
          </cell>
          <cell r="K60">
            <v>45345.21</v>
          </cell>
          <cell r="L60">
            <v>42175.87</v>
          </cell>
        </row>
        <row r="61">
          <cell r="A61">
            <v>36376</v>
          </cell>
          <cell r="B61">
            <v>82673355.810000002</v>
          </cell>
          <cell r="C61">
            <v>1</v>
          </cell>
          <cell r="D61">
            <v>7.8079999999999998E-3</v>
          </cell>
          <cell r="E61">
            <v>1735.25</v>
          </cell>
          <cell r="F61">
            <v>3128181.4000000004</v>
          </cell>
          <cell r="G61">
            <v>9.4100000000000003E-2</v>
          </cell>
          <cell r="H61">
            <v>791.3</v>
          </cell>
          <cell r="I61">
            <v>943.95</v>
          </cell>
          <cell r="J61">
            <v>6941</v>
          </cell>
          <cell r="K61">
            <v>46136.51</v>
          </cell>
          <cell r="L61">
            <v>43119.82</v>
          </cell>
        </row>
        <row r="62">
          <cell r="A62">
            <v>36377</v>
          </cell>
          <cell r="B62">
            <v>82673355.810000002</v>
          </cell>
          <cell r="C62">
            <v>1</v>
          </cell>
          <cell r="D62">
            <v>7.8079999999999998E-3</v>
          </cell>
          <cell r="E62">
            <v>1735.25</v>
          </cell>
          <cell r="F62">
            <v>3127237.45</v>
          </cell>
          <cell r="G62">
            <v>9.4100000000000003E-2</v>
          </cell>
          <cell r="H62">
            <v>791.06</v>
          </cell>
          <cell r="I62">
            <v>944.19</v>
          </cell>
          <cell r="J62">
            <v>8676.25</v>
          </cell>
          <cell r="K62">
            <v>46927.57</v>
          </cell>
          <cell r="L62">
            <v>44064.01</v>
          </cell>
        </row>
        <row r="63">
          <cell r="A63">
            <v>36378</v>
          </cell>
          <cell r="B63">
            <v>82673355.810000002</v>
          </cell>
          <cell r="C63">
            <v>3</v>
          </cell>
          <cell r="D63">
            <v>7.8079999999999998E-3</v>
          </cell>
          <cell r="E63">
            <v>5205.75</v>
          </cell>
          <cell r="F63">
            <v>3126293.2600000002</v>
          </cell>
          <cell r="G63">
            <v>9.4100000000000003E-2</v>
          </cell>
          <cell r="H63">
            <v>2372.4499999999998</v>
          </cell>
          <cell r="I63">
            <v>2833.3</v>
          </cell>
          <cell r="J63">
            <v>13882</v>
          </cell>
          <cell r="K63">
            <v>49300.02</v>
          </cell>
          <cell r="L63">
            <v>46897.310000000005</v>
          </cell>
        </row>
        <row r="64">
          <cell r="A64">
            <v>36381</v>
          </cell>
          <cell r="B64">
            <v>82673355.810000002</v>
          </cell>
          <cell r="C64">
            <v>1</v>
          </cell>
          <cell r="D64">
            <v>7.8079999999999998E-3</v>
          </cell>
          <cell r="E64">
            <v>1735.25</v>
          </cell>
          <cell r="F64">
            <v>3123459.9600000004</v>
          </cell>
          <cell r="G64">
            <v>9.4100000000000003E-2</v>
          </cell>
          <cell r="H64">
            <v>790.1</v>
          </cell>
          <cell r="I64">
            <v>945.15</v>
          </cell>
          <cell r="J64">
            <v>15617.25</v>
          </cell>
          <cell r="K64">
            <v>50090.119999999995</v>
          </cell>
          <cell r="L64">
            <v>47842.460000000006</v>
          </cell>
        </row>
        <row r="65">
          <cell r="A65">
            <v>36382</v>
          </cell>
          <cell r="B65">
            <v>82673355.810000002</v>
          </cell>
          <cell r="C65">
            <v>1</v>
          </cell>
          <cell r="D65">
            <v>7.8079999999999998E-3</v>
          </cell>
          <cell r="E65">
            <v>1735.25</v>
          </cell>
          <cell r="F65">
            <v>3122514.8100000005</v>
          </cell>
          <cell r="G65">
            <v>9.4100000000000003E-2</v>
          </cell>
          <cell r="H65">
            <v>789.86</v>
          </cell>
          <cell r="I65">
            <v>945.39</v>
          </cell>
          <cell r="J65">
            <v>17352.5</v>
          </cell>
          <cell r="K65">
            <v>50879.979999999996</v>
          </cell>
          <cell r="L65">
            <v>48787.850000000006</v>
          </cell>
        </row>
        <row r="66">
          <cell r="A66">
            <v>36383</v>
          </cell>
          <cell r="B66">
            <v>82673355.810000002</v>
          </cell>
          <cell r="C66">
            <v>1</v>
          </cell>
          <cell r="D66">
            <v>7.8079999999999998E-3</v>
          </cell>
          <cell r="E66">
            <v>1735.25</v>
          </cell>
          <cell r="F66">
            <v>3121569.4200000004</v>
          </cell>
          <cell r="G66">
            <v>9.4100000000000003E-2</v>
          </cell>
          <cell r="H66">
            <v>789.62</v>
          </cell>
          <cell r="I66">
            <v>945.63</v>
          </cell>
          <cell r="J66">
            <v>19087.75</v>
          </cell>
          <cell r="K66">
            <v>51669.599999999999</v>
          </cell>
          <cell r="L66">
            <v>49733.48</v>
          </cell>
        </row>
        <row r="67">
          <cell r="A67">
            <v>36384</v>
          </cell>
          <cell r="B67">
            <v>82673355.810000002</v>
          </cell>
          <cell r="C67">
            <v>1</v>
          </cell>
          <cell r="D67">
            <v>7.8079999999999998E-3</v>
          </cell>
          <cell r="E67">
            <v>1735.25</v>
          </cell>
          <cell r="F67">
            <v>3120623.7900000005</v>
          </cell>
          <cell r="G67">
            <v>9.4100000000000003E-2</v>
          </cell>
          <cell r="H67">
            <v>789.38</v>
          </cell>
          <cell r="I67">
            <v>945.87</v>
          </cell>
          <cell r="J67">
            <v>20823</v>
          </cell>
          <cell r="K67">
            <v>52458.979999999996</v>
          </cell>
          <cell r="L67">
            <v>50679.350000000006</v>
          </cell>
        </row>
        <row r="68">
          <cell r="A68">
            <v>36385</v>
          </cell>
          <cell r="B68">
            <v>82673355.810000002</v>
          </cell>
          <cell r="C68">
            <v>3</v>
          </cell>
          <cell r="D68">
            <v>7.8079999999999998E-3</v>
          </cell>
          <cell r="E68">
            <v>5205.75</v>
          </cell>
          <cell r="F68">
            <v>3119677.9200000004</v>
          </cell>
          <cell r="G68">
            <v>9.4100000000000003E-2</v>
          </cell>
          <cell r="H68">
            <v>2367.4299999999998</v>
          </cell>
          <cell r="I68">
            <v>2838.32</v>
          </cell>
          <cell r="J68">
            <v>26028.75</v>
          </cell>
          <cell r="K68">
            <v>54826.409999999996</v>
          </cell>
          <cell r="L68">
            <v>53517.670000000006</v>
          </cell>
        </row>
        <row r="69">
          <cell r="A69">
            <v>36388</v>
          </cell>
          <cell r="B69">
            <v>82673355.810000002</v>
          </cell>
          <cell r="C69">
            <v>1</v>
          </cell>
          <cell r="D69">
            <v>7.8079999999999998E-3</v>
          </cell>
          <cell r="E69">
            <v>1735.25</v>
          </cell>
          <cell r="F69">
            <v>3116839.6000000006</v>
          </cell>
          <cell r="G69">
            <v>9.4100000000000003E-2</v>
          </cell>
          <cell r="H69">
            <v>788.43</v>
          </cell>
          <cell r="I69">
            <v>946.82</v>
          </cell>
          <cell r="J69">
            <v>27764</v>
          </cell>
          <cell r="K69">
            <v>55614.84</v>
          </cell>
          <cell r="L69">
            <v>54464.490000000005</v>
          </cell>
        </row>
        <row r="70">
          <cell r="A70">
            <v>36389</v>
          </cell>
          <cell r="B70">
            <v>82673355.810000002</v>
          </cell>
          <cell r="C70">
            <v>1</v>
          </cell>
          <cell r="D70">
            <v>7.8079999999999998E-3</v>
          </cell>
          <cell r="E70">
            <v>1735.25</v>
          </cell>
          <cell r="F70">
            <v>3115892.7800000007</v>
          </cell>
          <cell r="G70">
            <v>9.4100000000000003E-2</v>
          </cell>
          <cell r="H70">
            <v>788.19</v>
          </cell>
          <cell r="I70">
            <v>947.06</v>
          </cell>
          <cell r="J70">
            <v>29499.25</v>
          </cell>
          <cell r="K70">
            <v>56403.03</v>
          </cell>
          <cell r="L70">
            <v>55411.55</v>
          </cell>
        </row>
        <row r="71">
          <cell r="A71">
            <v>36390</v>
          </cell>
          <cell r="B71">
            <v>82673355.810000002</v>
          </cell>
          <cell r="C71">
            <v>1</v>
          </cell>
          <cell r="D71">
            <v>7.8079999999999998E-3</v>
          </cell>
          <cell r="E71">
            <v>1735.25</v>
          </cell>
          <cell r="F71">
            <v>3114945.7200000007</v>
          </cell>
          <cell r="G71">
            <v>9.4100000000000003E-2</v>
          </cell>
          <cell r="H71">
            <v>787.95</v>
          </cell>
          <cell r="I71">
            <v>947.3</v>
          </cell>
          <cell r="J71">
            <v>31234.5</v>
          </cell>
          <cell r="K71">
            <v>57190.979999999996</v>
          </cell>
          <cell r="L71">
            <v>56358.850000000006</v>
          </cell>
        </row>
        <row r="72">
          <cell r="A72">
            <v>36391</v>
          </cell>
          <cell r="B72">
            <v>82673355.810000002</v>
          </cell>
          <cell r="C72">
            <v>1</v>
          </cell>
          <cell r="D72">
            <v>7.8079999999999998E-3</v>
          </cell>
          <cell r="E72">
            <v>1735.25</v>
          </cell>
          <cell r="F72">
            <v>3113998.4200000009</v>
          </cell>
          <cell r="G72">
            <v>9.4100000000000003E-2</v>
          </cell>
          <cell r="H72">
            <v>787.71</v>
          </cell>
          <cell r="I72">
            <v>947.54</v>
          </cell>
          <cell r="J72">
            <v>32969.75</v>
          </cell>
          <cell r="K72">
            <v>57978.689999999995</v>
          </cell>
          <cell r="L72">
            <v>57306.390000000007</v>
          </cell>
        </row>
        <row r="73">
          <cell r="A73">
            <v>36392</v>
          </cell>
          <cell r="B73">
            <v>82673355.810000002</v>
          </cell>
          <cell r="C73">
            <v>3</v>
          </cell>
          <cell r="D73">
            <v>7.8079999999999998E-3</v>
          </cell>
          <cell r="E73">
            <v>5205.75</v>
          </cell>
          <cell r="F73">
            <v>3113050.8800000008</v>
          </cell>
          <cell r="G73">
            <v>9.4100000000000003E-2</v>
          </cell>
          <cell r="H73">
            <v>2362.4</v>
          </cell>
          <cell r="I73">
            <v>2843.35</v>
          </cell>
          <cell r="J73">
            <v>38175.5</v>
          </cell>
          <cell r="K73">
            <v>60341.09</v>
          </cell>
          <cell r="L73">
            <v>60149.740000000005</v>
          </cell>
        </row>
        <row r="74">
          <cell r="A74">
            <v>36395</v>
          </cell>
          <cell r="B74">
            <v>82673355.810000002</v>
          </cell>
          <cell r="C74">
            <v>1</v>
          </cell>
          <cell r="D74">
            <v>7.8079999999999998E-3</v>
          </cell>
          <cell r="E74">
            <v>1735.25</v>
          </cell>
          <cell r="F74">
            <v>3110207.5300000007</v>
          </cell>
          <cell r="G74">
            <v>9.4100000000000003E-2</v>
          </cell>
          <cell r="H74">
            <v>786.75</v>
          </cell>
          <cell r="I74">
            <v>948.5</v>
          </cell>
          <cell r="J74">
            <v>39910.75</v>
          </cell>
          <cell r="K74">
            <v>61127.839999999997</v>
          </cell>
          <cell r="L74">
            <v>61098.240000000005</v>
          </cell>
        </row>
        <row r="75">
          <cell r="A75">
            <v>36396</v>
          </cell>
          <cell r="B75">
            <v>82673355.810000002</v>
          </cell>
          <cell r="C75">
            <v>1</v>
          </cell>
          <cell r="D75">
            <v>7.8079999999999998E-3</v>
          </cell>
          <cell r="E75">
            <v>1735.25</v>
          </cell>
          <cell r="F75">
            <v>3109259.0300000007</v>
          </cell>
          <cell r="G75">
            <v>9.4100000000000003E-2</v>
          </cell>
          <cell r="H75">
            <v>786.51</v>
          </cell>
          <cell r="I75">
            <v>948.74</v>
          </cell>
          <cell r="J75">
            <v>41646</v>
          </cell>
          <cell r="K75">
            <v>61914.35</v>
          </cell>
          <cell r="L75">
            <v>62046.98</v>
          </cell>
        </row>
        <row r="76">
          <cell r="A76">
            <v>36397</v>
          </cell>
          <cell r="B76">
            <v>82673355.810000002</v>
          </cell>
          <cell r="C76">
            <v>1</v>
          </cell>
          <cell r="D76">
            <v>7.8079999999999998E-3</v>
          </cell>
          <cell r="E76">
            <v>1735.25</v>
          </cell>
          <cell r="F76">
            <v>3108310.2900000005</v>
          </cell>
          <cell r="G76">
            <v>9.4100000000000003E-2</v>
          </cell>
          <cell r="H76">
            <v>786.27</v>
          </cell>
          <cell r="I76">
            <v>948.98</v>
          </cell>
          <cell r="J76">
            <v>43381.25</v>
          </cell>
          <cell r="K76">
            <v>62700.619999999995</v>
          </cell>
          <cell r="L76">
            <v>62995.960000000006</v>
          </cell>
        </row>
        <row r="77">
          <cell r="A77">
            <v>36398</v>
          </cell>
          <cell r="B77">
            <v>82673355.810000002</v>
          </cell>
          <cell r="C77">
            <v>1</v>
          </cell>
          <cell r="D77">
            <v>7.8079999999999998E-3</v>
          </cell>
          <cell r="E77">
            <v>1735.25</v>
          </cell>
          <cell r="F77">
            <v>3107361.3100000005</v>
          </cell>
          <cell r="G77">
            <v>9.4100000000000003E-2</v>
          </cell>
          <cell r="H77">
            <v>786.03</v>
          </cell>
          <cell r="I77">
            <v>949.22</v>
          </cell>
          <cell r="J77">
            <v>45116.5</v>
          </cell>
          <cell r="K77">
            <v>63486.649999999994</v>
          </cell>
          <cell r="L77">
            <v>63945.180000000008</v>
          </cell>
        </row>
        <row r="78">
          <cell r="A78">
            <v>36399</v>
          </cell>
          <cell r="B78">
            <v>82673355.810000002</v>
          </cell>
          <cell r="C78">
            <v>3</v>
          </cell>
          <cell r="D78">
            <v>7.8079999999999998E-3</v>
          </cell>
          <cell r="E78">
            <v>5205.75</v>
          </cell>
          <cell r="F78">
            <v>3106412.0900000003</v>
          </cell>
          <cell r="G78">
            <v>9.4100000000000003E-2</v>
          </cell>
          <cell r="H78">
            <v>2357.37</v>
          </cell>
          <cell r="I78">
            <v>2848.38</v>
          </cell>
          <cell r="J78">
            <v>50322.25</v>
          </cell>
          <cell r="K78">
            <v>65844.01999999999</v>
          </cell>
          <cell r="L78">
            <v>66793.560000000012</v>
          </cell>
        </row>
        <row r="79">
          <cell r="A79">
            <v>36402</v>
          </cell>
          <cell r="B79">
            <v>82673355.810000002</v>
          </cell>
          <cell r="C79">
            <v>1</v>
          </cell>
          <cell r="D79">
            <v>7.8079999999999998E-3</v>
          </cell>
          <cell r="E79">
            <v>1735.25</v>
          </cell>
          <cell r="F79">
            <v>3103563.7100000004</v>
          </cell>
          <cell r="G79">
            <v>9.4100000000000003E-2</v>
          </cell>
          <cell r="H79">
            <v>785.07</v>
          </cell>
          <cell r="I79">
            <v>950.18</v>
          </cell>
          <cell r="J79">
            <v>52057.5</v>
          </cell>
          <cell r="K79">
            <v>66629.09</v>
          </cell>
          <cell r="L79">
            <v>67743.740000000005</v>
          </cell>
        </row>
        <row r="80">
          <cell r="A80">
            <v>36403</v>
          </cell>
          <cell r="B80">
            <v>82673355.810000002</v>
          </cell>
          <cell r="C80">
            <v>1</v>
          </cell>
          <cell r="D80">
            <v>7.8079999999999998E-3</v>
          </cell>
          <cell r="E80">
            <v>1735.25</v>
          </cell>
          <cell r="F80">
            <v>3102613.5300000003</v>
          </cell>
          <cell r="G80">
            <v>9.4100000000000003E-2</v>
          </cell>
          <cell r="H80">
            <v>784.83</v>
          </cell>
          <cell r="I80">
            <v>950.42</v>
          </cell>
          <cell r="J80">
            <v>53792.75</v>
          </cell>
          <cell r="K80">
            <v>67413.919999999998</v>
          </cell>
          <cell r="L80">
            <v>68694.16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1"/>
      <sheetName val="2"/>
      <sheetName val="3"/>
      <sheetName val="4"/>
      <sheetName val="5"/>
      <sheetName val="6"/>
      <sheetName val="7"/>
      <sheetName val="7.0.1"/>
      <sheetName val="7.1"/>
      <sheetName val="7.2"/>
      <sheetName val="7.3"/>
      <sheetName val="7.4"/>
      <sheetName val="8"/>
      <sheetName val="8.1"/>
      <sheetName val="8.2"/>
      <sheetName val="8.3"/>
      <sheetName val="9"/>
      <sheetName val="9.1"/>
      <sheetName val="9.2"/>
      <sheetName val="9.3"/>
      <sheetName val="10"/>
      <sheetName val="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 t="str">
            <v>Financial Account</v>
          </cell>
          <cell r="D9" t="str">
            <v>Description</v>
          </cell>
          <cell r="E9" t="str">
            <v>Opening Balance</v>
          </cell>
          <cell r="F9" t="str">
            <v>Debits</v>
          </cell>
          <cell r="G9" t="str">
            <v>Credits</v>
          </cell>
          <cell r="H9" t="str">
            <v>Closing Balance</v>
          </cell>
        </row>
        <row r="10">
          <cell r="C10" t="str">
            <v>Debt Instruments</v>
          </cell>
          <cell r="D10" t="str">
            <v>Accrued Interest</v>
          </cell>
          <cell r="E10">
            <v>7195990.6299999999</v>
          </cell>
          <cell r="F10">
            <v>0</v>
          </cell>
          <cell r="G10">
            <v>-382494.86</v>
          </cell>
          <cell r="H10">
            <v>6813495.7699999996</v>
          </cell>
        </row>
        <row r="11">
          <cell r="C11" t="str">
            <v>Debt Instruments</v>
          </cell>
          <cell r="D11" t="str">
            <v>Amortization / Accretion</v>
          </cell>
          <cell r="E11">
            <v>1038649.56</v>
          </cell>
          <cell r="F11">
            <v>32441.27</v>
          </cell>
          <cell r="G11">
            <v>0</v>
          </cell>
          <cell r="H11">
            <v>1071090.83</v>
          </cell>
        </row>
        <row r="12">
          <cell r="C12" t="str">
            <v>Debt Instruments</v>
          </cell>
          <cell r="D12" t="str">
            <v>Cost</v>
          </cell>
          <cell r="E12">
            <v>495148504.17000002</v>
          </cell>
          <cell r="F12">
            <v>0</v>
          </cell>
          <cell r="G12">
            <v>-14482.81</v>
          </cell>
          <cell r="H12">
            <v>495134021.36000001</v>
          </cell>
        </row>
        <row r="13">
          <cell r="C13" t="str">
            <v>Debt Instruments</v>
          </cell>
          <cell r="D13" t="str">
            <v>Unrealized Price G/L</v>
          </cell>
          <cell r="E13">
            <v>0</v>
          </cell>
          <cell r="F13">
            <v>0</v>
          </cell>
          <cell r="G13">
            <v>-6410567.5700000003</v>
          </cell>
          <cell r="H13">
            <v>-6410567.5700000003</v>
          </cell>
        </row>
        <row r="14">
          <cell r="C14" t="str">
            <v>Equity Instruments</v>
          </cell>
          <cell r="D14" t="str">
            <v>Cost</v>
          </cell>
          <cell r="E14">
            <v>23204445.559999999</v>
          </cell>
          <cell r="F14">
            <v>2077918</v>
          </cell>
          <cell r="G14">
            <v>0</v>
          </cell>
          <cell r="H14">
            <v>25282363.559999999</v>
          </cell>
        </row>
        <row r="15">
          <cell r="C15" t="str">
            <v>Equity Instruments</v>
          </cell>
          <cell r="D15" t="str">
            <v>Unrealized Price G/L</v>
          </cell>
          <cell r="E15">
            <v>0</v>
          </cell>
          <cell r="F15">
            <v>7551823.2599999998</v>
          </cell>
          <cell r="G15">
            <v>0</v>
          </cell>
          <cell r="H15">
            <v>7551823.2599999998</v>
          </cell>
        </row>
        <row r="16">
          <cell r="C16" t="str">
            <v>Cash</v>
          </cell>
          <cell r="D16" t="str">
            <v>Cost</v>
          </cell>
          <cell r="E16">
            <v>716086.62</v>
          </cell>
          <cell r="F16">
            <v>0</v>
          </cell>
          <cell r="G16">
            <v>-716085.72</v>
          </cell>
          <cell r="H16">
            <v>0.9</v>
          </cell>
        </row>
        <row r="17">
          <cell r="C17" t="str">
            <v xml:space="preserve">IAS Sales Receivable Difference </v>
          </cell>
          <cell r="D17" t="str">
            <v>Cost</v>
          </cell>
          <cell r="E17">
            <v>46301.46</v>
          </cell>
          <cell r="F17">
            <v>0</v>
          </cell>
          <cell r="G17">
            <v>-371.15</v>
          </cell>
          <cell r="H17">
            <v>45930.31</v>
          </cell>
        </row>
        <row r="18">
          <cell r="C18" t="str">
            <v xml:space="preserve">Interest Receivable </v>
          </cell>
          <cell r="D18" t="str">
            <v>Cost</v>
          </cell>
          <cell r="E18">
            <v>0</v>
          </cell>
          <cell r="F18">
            <v>8287.09</v>
          </cell>
          <cell r="G18">
            <v>0</v>
          </cell>
          <cell r="H18">
            <v>8287.09</v>
          </cell>
        </row>
        <row r="19">
          <cell r="C19" t="str">
            <v xml:space="preserve">Interest Receivable Cash </v>
          </cell>
          <cell r="D19" t="str">
            <v>Cost</v>
          </cell>
          <cell r="E19">
            <v>0</v>
          </cell>
          <cell r="F19">
            <v>132125</v>
          </cell>
          <cell r="G19">
            <v>0</v>
          </cell>
          <cell r="H19">
            <v>132125</v>
          </cell>
        </row>
        <row r="20">
          <cell r="C20" t="str">
            <v xml:space="preserve">Interest Receivable Sweep </v>
          </cell>
          <cell r="D20" t="str">
            <v>Cost</v>
          </cell>
          <cell r="E20">
            <v>250.56</v>
          </cell>
          <cell r="F20">
            <v>179.62</v>
          </cell>
          <cell r="G20">
            <v>0</v>
          </cell>
          <cell r="H20">
            <v>430.18</v>
          </cell>
        </row>
        <row r="21">
          <cell r="C21" t="str">
            <v xml:space="preserve">Prepaid Fidelity Bond </v>
          </cell>
          <cell r="D21" t="str">
            <v>Cost</v>
          </cell>
          <cell r="E21">
            <v>6230.68</v>
          </cell>
          <cell r="F21">
            <v>0</v>
          </cell>
          <cell r="G21">
            <v>-851.58</v>
          </cell>
          <cell r="H21">
            <v>5379.1</v>
          </cell>
        </row>
        <row r="22">
          <cell r="C22" t="str">
            <v xml:space="preserve">Prepaid Insurance Fee Asset Account </v>
          </cell>
          <cell r="D22" t="str">
            <v>Cost</v>
          </cell>
          <cell r="E22">
            <v>112876.7</v>
          </cell>
          <cell r="F22">
            <v>0</v>
          </cell>
          <cell r="G22">
            <v>-15428.95</v>
          </cell>
          <cell r="H22">
            <v>97447.75</v>
          </cell>
        </row>
        <row r="23">
          <cell r="C23" t="str">
            <v xml:space="preserve">Prepaid Legal Fee Asset Account </v>
          </cell>
          <cell r="D23" t="str">
            <v>Cost</v>
          </cell>
          <cell r="E23">
            <v>650401.30000000005</v>
          </cell>
          <cell r="F23">
            <v>0</v>
          </cell>
          <cell r="G23">
            <v>-13900.59</v>
          </cell>
          <cell r="H23">
            <v>636500.71</v>
          </cell>
        </row>
        <row r="24">
          <cell r="C24" t="str">
            <v xml:space="preserve">Prepaid Listing Fee Asset Account </v>
          </cell>
          <cell r="D24" t="str">
            <v>Cost</v>
          </cell>
          <cell r="E24">
            <v>1535.77</v>
          </cell>
          <cell r="F24">
            <v>0</v>
          </cell>
          <cell r="G24">
            <v>-1041.01</v>
          </cell>
          <cell r="H24">
            <v>494.76</v>
          </cell>
        </row>
        <row r="25">
          <cell r="C25" t="str">
            <v xml:space="preserve">Prepaid PP&amp;E </v>
          </cell>
          <cell r="D25" t="str">
            <v>Cost</v>
          </cell>
          <cell r="E25">
            <v>152936.74</v>
          </cell>
          <cell r="F25">
            <v>0</v>
          </cell>
          <cell r="G25">
            <v>-2508.7600000000002</v>
          </cell>
          <cell r="H25">
            <v>150427.98000000001</v>
          </cell>
        </row>
        <row r="26">
          <cell r="C26" t="str">
            <v>Payables</v>
          </cell>
          <cell r="D26" t="str">
            <v>Cost</v>
          </cell>
          <cell r="E26">
            <v>-13360.27</v>
          </cell>
          <cell r="F26">
            <v>13360.27</v>
          </cell>
          <cell r="G26">
            <v>0</v>
          </cell>
          <cell r="H26">
            <v>0</v>
          </cell>
        </row>
        <row r="27">
          <cell r="C27" t="str">
            <v xml:space="preserve">Accrued Admin Fee </v>
          </cell>
          <cell r="D27" t="str">
            <v>Cost</v>
          </cell>
          <cell r="E27">
            <v>-82777.539999999994</v>
          </cell>
          <cell r="F27">
            <v>18148.12</v>
          </cell>
          <cell r="G27">
            <v>0</v>
          </cell>
          <cell r="H27">
            <v>-64629.42</v>
          </cell>
        </row>
        <row r="28">
          <cell r="C28" t="str">
            <v xml:space="preserve">Accrued Admin OOPs </v>
          </cell>
          <cell r="D28" t="str">
            <v>Cost</v>
          </cell>
          <cell r="E28">
            <v>-6156.66</v>
          </cell>
          <cell r="F28">
            <v>41.67</v>
          </cell>
          <cell r="G28">
            <v>0</v>
          </cell>
          <cell r="H28">
            <v>-6114.99</v>
          </cell>
        </row>
        <row r="29">
          <cell r="C29" t="str">
            <v xml:space="preserve">Accrued Advisory Fees </v>
          </cell>
          <cell r="D29" t="str">
            <v>Cost</v>
          </cell>
          <cell r="E29">
            <v>-948681.95</v>
          </cell>
          <cell r="F29">
            <v>90041.77</v>
          </cell>
          <cell r="G29">
            <v>0</v>
          </cell>
          <cell r="H29">
            <v>-858640.18</v>
          </cell>
        </row>
        <row r="30">
          <cell r="C30" t="str">
            <v xml:space="preserve">Accrued Audit Fee </v>
          </cell>
          <cell r="D30" t="str">
            <v>Cost</v>
          </cell>
          <cell r="E30">
            <v>-304286.92</v>
          </cell>
          <cell r="F30">
            <v>261199.97</v>
          </cell>
          <cell r="G30">
            <v>0</v>
          </cell>
          <cell r="H30">
            <v>-43086.95</v>
          </cell>
        </row>
        <row r="31">
          <cell r="C31" t="str">
            <v xml:space="preserve">Accrued Consulting Fees Payable </v>
          </cell>
          <cell r="D31" t="str">
            <v>Cost</v>
          </cell>
          <cell r="E31">
            <v>-13843.59</v>
          </cell>
          <cell r="F31">
            <v>4097.9399999999996</v>
          </cell>
          <cell r="G31">
            <v>0</v>
          </cell>
          <cell r="H31">
            <v>-9745.65</v>
          </cell>
        </row>
        <row r="32">
          <cell r="C32" t="str">
            <v xml:space="preserve">Accrued Custodian Fees </v>
          </cell>
          <cell r="D32" t="str">
            <v>Cost</v>
          </cell>
          <cell r="E32">
            <v>-602.72</v>
          </cell>
          <cell r="F32">
            <v>531.79999999999995</v>
          </cell>
          <cell r="G32">
            <v>0</v>
          </cell>
          <cell r="H32">
            <v>-70.92</v>
          </cell>
        </row>
        <row r="33">
          <cell r="C33" t="str">
            <v xml:space="preserve">Accrued Director Fee </v>
          </cell>
          <cell r="D33" t="str">
            <v>Cost</v>
          </cell>
          <cell r="E33">
            <v>-93827.08</v>
          </cell>
          <cell r="F33">
            <v>68827.360000000001</v>
          </cell>
          <cell r="G33">
            <v>0</v>
          </cell>
          <cell r="H33">
            <v>-24999.72</v>
          </cell>
        </row>
        <row r="34">
          <cell r="C34" t="str">
            <v xml:space="preserve">Accrued Director's OOP Expense </v>
          </cell>
          <cell r="D34" t="str">
            <v>Cost</v>
          </cell>
          <cell r="E34">
            <v>-2015.31</v>
          </cell>
          <cell r="F34">
            <v>201.61</v>
          </cell>
          <cell r="G34">
            <v>0</v>
          </cell>
          <cell r="H34">
            <v>-1813.7</v>
          </cell>
        </row>
        <row r="35">
          <cell r="C35" t="str">
            <v xml:space="preserve">Accrued Incentive Fee </v>
          </cell>
          <cell r="D35" t="str">
            <v>Cost</v>
          </cell>
          <cell r="E35">
            <v>-646871.61</v>
          </cell>
          <cell r="F35">
            <v>57568.54</v>
          </cell>
          <cell r="G35">
            <v>0</v>
          </cell>
          <cell r="H35">
            <v>-589303.06999999995</v>
          </cell>
        </row>
        <row r="36">
          <cell r="C36" t="str">
            <v xml:space="preserve">Accrued Legal Fee </v>
          </cell>
          <cell r="D36" t="str">
            <v>Cost</v>
          </cell>
          <cell r="E36">
            <v>-9555.7199999999993</v>
          </cell>
          <cell r="F36">
            <v>13238.73</v>
          </cell>
          <cell r="G36">
            <v>0</v>
          </cell>
          <cell r="H36">
            <v>3683.01</v>
          </cell>
        </row>
        <row r="37">
          <cell r="C37" t="str">
            <v xml:space="preserve">Accrued Management Fee </v>
          </cell>
          <cell r="D37" t="str">
            <v>Cost</v>
          </cell>
          <cell r="E37">
            <v>-1439566.07</v>
          </cell>
          <cell r="F37">
            <v>141294.60999999999</v>
          </cell>
          <cell r="G37">
            <v>0</v>
          </cell>
          <cell r="H37">
            <v>-1298271.46</v>
          </cell>
        </row>
        <row r="38">
          <cell r="C38" t="str">
            <v xml:space="preserve">Accrued Misc Payable </v>
          </cell>
          <cell r="D38" t="str">
            <v>Cost</v>
          </cell>
          <cell r="E38">
            <v>3754.22</v>
          </cell>
          <cell r="F38">
            <v>1684.36</v>
          </cell>
          <cell r="G38">
            <v>0</v>
          </cell>
          <cell r="H38">
            <v>5438.58</v>
          </cell>
        </row>
        <row r="39">
          <cell r="C39" t="str">
            <v xml:space="preserve">Accrued OOP Fee </v>
          </cell>
          <cell r="D39" t="str">
            <v>Cost</v>
          </cell>
          <cell r="E39">
            <v>7894.65</v>
          </cell>
          <cell r="F39">
            <v>43000</v>
          </cell>
          <cell r="G39">
            <v>0</v>
          </cell>
          <cell r="H39">
            <v>50894.65</v>
          </cell>
        </row>
        <row r="40">
          <cell r="C40" t="str">
            <v xml:space="preserve">Accrued Pricing Fees </v>
          </cell>
          <cell r="D40" t="str">
            <v>Cost</v>
          </cell>
          <cell r="E40">
            <v>-190633.23</v>
          </cell>
          <cell r="F40">
            <v>12666.21</v>
          </cell>
          <cell r="G40">
            <v>0</v>
          </cell>
          <cell r="H40">
            <v>-177967.02</v>
          </cell>
        </row>
        <row r="41">
          <cell r="C41" t="str">
            <v xml:space="preserve">Accrued Printing Fees </v>
          </cell>
          <cell r="D41" t="str">
            <v>Cost</v>
          </cell>
          <cell r="E41">
            <v>56515.06</v>
          </cell>
          <cell r="F41">
            <v>0</v>
          </cell>
          <cell r="G41">
            <v>-4880.83</v>
          </cell>
          <cell r="H41">
            <v>51634.23</v>
          </cell>
        </row>
        <row r="42">
          <cell r="C42" t="str">
            <v xml:space="preserve">Accrued Proxy Fees </v>
          </cell>
          <cell r="D42" t="str">
            <v>Cost</v>
          </cell>
          <cell r="E42">
            <v>7721.78</v>
          </cell>
          <cell r="F42">
            <v>12318.66</v>
          </cell>
          <cell r="G42">
            <v>0</v>
          </cell>
          <cell r="H42">
            <v>20040.439999999999</v>
          </cell>
        </row>
        <row r="43">
          <cell r="C43" t="str">
            <v xml:space="preserve">Accrued Tax Fees </v>
          </cell>
          <cell r="D43" t="str">
            <v>Cost</v>
          </cell>
          <cell r="E43">
            <v>-106962.28</v>
          </cell>
          <cell r="F43">
            <v>0</v>
          </cell>
          <cell r="G43">
            <v>0</v>
          </cell>
          <cell r="H43">
            <v>-106962.28</v>
          </cell>
        </row>
        <row r="44">
          <cell r="C44" t="str">
            <v xml:space="preserve">Accrued Tax Preperation </v>
          </cell>
          <cell r="D44" t="str">
            <v>Cost</v>
          </cell>
          <cell r="E44">
            <v>-3191.15</v>
          </cell>
          <cell r="F44">
            <v>516.14</v>
          </cell>
          <cell r="G44">
            <v>0</v>
          </cell>
          <cell r="H44">
            <v>-2675.01</v>
          </cell>
        </row>
        <row r="45">
          <cell r="C45" t="str">
            <v xml:space="preserve">Accrued Transfer Agent Fees </v>
          </cell>
          <cell r="D45" t="str">
            <v>Cost</v>
          </cell>
          <cell r="E45">
            <v>-10.71</v>
          </cell>
          <cell r="F45">
            <v>494.2</v>
          </cell>
          <cell r="G45">
            <v>0</v>
          </cell>
          <cell r="H45">
            <v>483.49</v>
          </cell>
        </row>
        <row r="46">
          <cell r="C46" t="str">
            <v xml:space="preserve">Commitment Fee Payable - Credit Facility </v>
          </cell>
          <cell r="D46" t="str">
            <v>Cost</v>
          </cell>
          <cell r="E46">
            <v>-3444.99</v>
          </cell>
          <cell r="F46">
            <v>0</v>
          </cell>
          <cell r="G46">
            <v>-5318.86</v>
          </cell>
          <cell r="H46">
            <v>-8763.85</v>
          </cell>
        </row>
        <row r="47">
          <cell r="C47" t="str">
            <v xml:space="preserve">Conversion Purchase payable </v>
          </cell>
          <cell r="D47" t="str">
            <v>Cost</v>
          </cell>
          <cell r="E47">
            <v>-6331384.6299999999</v>
          </cell>
          <cell r="F47">
            <v>0</v>
          </cell>
          <cell r="G47">
            <v>0</v>
          </cell>
          <cell r="H47">
            <v>-6331384.6299999999</v>
          </cell>
        </row>
        <row r="48">
          <cell r="C48" t="str">
            <v xml:space="preserve">Credit Facility Interest Payable </v>
          </cell>
          <cell r="D48" t="str">
            <v>Cost</v>
          </cell>
          <cell r="E48">
            <v>-121886.5</v>
          </cell>
          <cell r="F48">
            <v>96063.79</v>
          </cell>
          <cell r="G48">
            <v>0</v>
          </cell>
          <cell r="H48">
            <v>-25822.71</v>
          </cell>
        </row>
        <row r="49">
          <cell r="C49" t="str">
            <v xml:space="preserve">Credit Facility MTM </v>
          </cell>
          <cell r="D49" t="str">
            <v>Cost</v>
          </cell>
          <cell r="E49">
            <v>44409434</v>
          </cell>
          <cell r="F49">
            <v>463340</v>
          </cell>
          <cell r="G49">
            <v>0</v>
          </cell>
          <cell r="H49">
            <v>44872774</v>
          </cell>
        </row>
        <row r="50">
          <cell r="C50" t="str">
            <v xml:space="preserve">Line of Credit - Liability </v>
          </cell>
          <cell r="D50" t="str">
            <v>Cost</v>
          </cell>
          <cell r="E50">
            <v>-249200000</v>
          </cell>
          <cell r="F50">
            <v>0</v>
          </cell>
          <cell r="G50">
            <v>-2600000</v>
          </cell>
          <cell r="H50">
            <v>-251800000</v>
          </cell>
        </row>
        <row r="51">
          <cell r="C51" t="str">
            <v xml:space="preserve">Payable </v>
          </cell>
          <cell r="D51" t="str">
            <v>Cost</v>
          </cell>
          <cell r="E51">
            <v>-123633.76</v>
          </cell>
          <cell r="F51">
            <v>0</v>
          </cell>
          <cell r="G51">
            <v>-40080.800000000003</v>
          </cell>
          <cell r="H51">
            <v>-163714.56</v>
          </cell>
        </row>
        <row r="52">
          <cell r="C52" t="str">
            <v>Capital Stock</v>
          </cell>
          <cell r="E52">
            <v>-25808.77</v>
          </cell>
          <cell r="F52">
            <v>0</v>
          </cell>
          <cell r="G52">
            <v>0</v>
          </cell>
          <cell r="H52">
            <v>-25808.77</v>
          </cell>
        </row>
        <row r="53">
          <cell r="C53" t="str">
            <v>ContributedAccruedInterest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C54" t="str">
            <v>ContributedCost</v>
          </cell>
          <cell r="E54">
            <v>-353869725.94999999</v>
          </cell>
          <cell r="F54">
            <v>176000</v>
          </cell>
          <cell r="G54">
            <v>-176000</v>
          </cell>
          <cell r="H54">
            <v>-353869725.94999999</v>
          </cell>
        </row>
        <row r="55">
          <cell r="C55" t="str">
            <v>ContributedPriceGain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C56" t="str">
            <v>Cost of Issuance</v>
          </cell>
          <cell r="E56">
            <v>23405375</v>
          </cell>
          <cell r="F56">
            <v>176000</v>
          </cell>
          <cell r="G56">
            <v>-176000</v>
          </cell>
          <cell r="H56">
            <v>23405375</v>
          </cell>
        </row>
        <row r="57">
          <cell r="C57" t="str">
            <v>Distributed Prior Year</v>
          </cell>
          <cell r="E57">
            <v>196769</v>
          </cell>
          <cell r="F57">
            <v>0</v>
          </cell>
          <cell r="G57">
            <v>0</v>
          </cell>
          <cell r="H57">
            <v>196769</v>
          </cell>
        </row>
        <row r="58">
          <cell r="C58" t="str">
            <v>Distributed Prior Year 2</v>
          </cell>
          <cell r="E58">
            <v>405890.03</v>
          </cell>
          <cell r="F58">
            <v>0</v>
          </cell>
          <cell r="G58">
            <v>0</v>
          </cell>
          <cell r="H58">
            <v>405890.03</v>
          </cell>
        </row>
        <row r="59">
          <cell r="C59" t="str">
            <v>Distributed Prior Year 2009</v>
          </cell>
          <cell r="E59">
            <v>0</v>
          </cell>
          <cell r="F59">
            <v>0</v>
          </cell>
          <cell r="G59">
            <v>-2492894.7000000002</v>
          </cell>
          <cell r="H59">
            <v>-2492894.7000000002</v>
          </cell>
        </row>
        <row r="60">
          <cell r="C60" t="str">
            <v>Return of Capital to Investors</v>
          </cell>
          <cell r="E60">
            <v>-2434407.65</v>
          </cell>
          <cell r="F60">
            <v>2492894.7000000002</v>
          </cell>
          <cell r="G60">
            <v>0</v>
          </cell>
          <cell r="H60">
            <v>58487.05</v>
          </cell>
        </row>
        <row r="61">
          <cell r="C61" t="str">
            <v>Undistributed Pre 2007</v>
          </cell>
          <cell r="E61">
            <v>14063.2</v>
          </cell>
          <cell r="F61">
            <v>0</v>
          </cell>
          <cell r="G61">
            <v>0</v>
          </cell>
          <cell r="H61">
            <v>14063.2</v>
          </cell>
        </row>
        <row r="62">
          <cell r="C62" t="str">
            <v>Retained Earnings</v>
          </cell>
          <cell r="E62">
            <v>28383576.829999998</v>
          </cell>
          <cell r="F62">
            <v>0</v>
          </cell>
          <cell r="G62">
            <v>0</v>
          </cell>
          <cell r="H62">
            <v>28383576.829999998</v>
          </cell>
        </row>
        <row r="63">
          <cell r="C63" t="str">
            <v>99-20 Amortization Income</v>
          </cell>
          <cell r="E63">
            <v>-46.18</v>
          </cell>
          <cell r="F63">
            <v>0</v>
          </cell>
          <cell r="G63">
            <v>0</v>
          </cell>
          <cell r="H63">
            <v>-46.18</v>
          </cell>
        </row>
        <row r="64">
          <cell r="C64" t="str">
            <v>Change in Unrealized Price Gain/Loss</v>
          </cell>
          <cell r="E64">
            <v>-23884412.68</v>
          </cell>
          <cell r="F64">
            <v>0</v>
          </cell>
          <cell r="G64">
            <v>-4792230.93</v>
          </cell>
          <cell r="H64">
            <v>-28676643.609999999</v>
          </cell>
        </row>
        <row r="65">
          <cell r="C65" t="str">
            <v>ChangeInAccruedInterestLong</v>
          </cell>
          <cell r="E65">
            <v>-3102313.64</v>
          </cell>
          <cell r="F65">
            <v>0</v>
          </cell>
          <cell r="G65">
            <v>-1158243.08</v>
          </cell>
          <cell r="H65">
            <v>-4260556.72</v>
          </cell>
        </row>
        <row r="66">
          <cell r="C66" t="str">
            <v>ChangeInOIDBasisLong</v>
          </cell>
          <cell r="E66">
            <v>69069.919999999998</v>
          </cell>
          <cell r="F66">
            <v>0</v>
          </cell>
          <cell r="G66">
            <v>-89253.72</v>
          </cell>
          <cell r="H66">
            <v>-20183.8</v>
          </cell>
        </row>
        <row r="67">
          <cell r="C67" t="str">
            <v>ChangeInRelativeDiscountBasisLong</v>
          </cell>
          <cell r="E67">
            <v>-352695.89</v>
          </cell>
          <cell r="F67">
            <v>0</v>
          </cell>
          <cell r="G67">
            <v>-35712.120000000003</v>
          </cell>
          <cell r="H67">
            <v>-388408.01</v>
          </cell>
        </row>
        <row r="68">
          <cell r="C68" t="str">
            <v>ChangeInTotalDiscountBasisLong</v>
          </cell>
          <cell r="E68">
            <v>-451796.97</v>
          </cell>
          <cell r="F68">
            <v>0</v>
          </cell>
          <cell r="G68">
            <v>-180007.3</v>
          </cell>
          <cell r="H68">
            <v>-631804.27</v>
          </cell>
        </row>
        <row r="69">
          <cell r="C69" t="str">
            <v>DelayedSettlementInterestReceipt</v>
          </cell>
          <cell r="E69">
            <v>-338206.24</v>
          </cell>
          <cell r="F69">
            <v>0</v>
          </cell>
          <cell r="G69">
            <v>0</v>
          </cell>
          <cell r="H69">
            <v>-338206.24</v>
          </cell>
        </row>
        <row r="70">
          <cell r="C70" t="str">
            <v>Interest Domestic Paydown</v>
          </cell>
          <cell r="E70">
            <v>-227898.74</v>
          </cell>
          <cell r="F70">
            <v>0</v>
          </cell>
          <cell r="G70">
            <v>-11069.41</v>
          </cell>
          <cell r="H70">
            <v>-238968.15</v>
          </cell>
        </row>
        <row r="71">
          <cell r="C71" t="str">
            <v>Interest Income</v>
          </cell>
          <cell r="E71">
            <v>-30778.23</v>
          </cell>
          <cell r="F71">
            <v>13895</v>
          </cell>
          <cell r="G71">
            <v>0</v>
          </cell>
          <cell r="H71">
            <v>-16883.23</v>
          </cell>
        </row>
        <row r="72">
          <cell r="C72" t="str">
            <v>Interest Income Sweep</v>
          </cell>
          <cell r="E72">
            <v>-2665.23</v>
          </cell>
          <cell r="F72">
            <v>0</v>
          </cell>
          <cell r="G72">
            <v>-435.44</v>
          </cell>
          <cell r="H72">
            <v>-3100.67</v>
          </cell>
        </row>
        <row r="73">
          <cell r="C73" t="str">
            <v>InterestReceipt</v>
          </cell>
          <cell r="E73">
            <v>-8752233.8200000003</v>
          </cell>
          <cell r="F73">
            <v>0</v>
          </cell>
          <cell r="G73">
            <v>-3183002.43</v>
          </cell>
          <cell r="H73">
            <v>-11935236.25</v>
          </cell>
        </row>
        <row r="74">
          <cell r="C74" t="str">
            <v>MToMPriceGL</v>
          </cell>
          <cell r="E74">
            <v>5838914</v>
          </cell>
          <cell r="F74">
            <v>0</v>
          </cell>
          <cell r="G74">
            <v>-1087068</v>
          </cell>
          <cell r="H74">
            <v>4751846</v>
          </cell>
        </row>
        <row r="75">
          <cell r="C75" t="str">
            <v>OIDAmortizationIncome</v>
          </cell>
          <cell r="E75">
            <v>-7326.79</v>
          </cell>
          <cell r="F75">
            <v>0</v>
          </cell>
          <cell r="G75">
            <v>0</v>
          </cell>
          <cell r="H75">
            <v>-7326.79</v>
          </cell>
        </row>
        <row r="76">
          <cell r="C76" t="str">
            <v>ShortTermPriceGainLoss</v>
          </cell>
          <cell r="E76">
            <v>16600843.98</v>
          </cell>
          <cell r="F76">
            <v>0</v>
          </cell>
          <cell r="G76">
            <v>-433.02</v>
          </cell>
          <cell r="H76">
            <v>16600410.960000001</v>
          </cell>
        </row>
        <row r="77">
          <cell r="C77" t="str">
            <v>SoldAccruedInterestReceipt</v>
          </cell>
          <cell r="E77">
            <v>-68833.789999999994</v>
          </cell>
          <cell r="F77">
            <v>0</v>
          </cell>
          <cell r="G77">
            <v>-448.22</v>
          </cell>
          <cell r="H77">
            <v>-69282.009999999995</v>
          </cell>
        </row>
        <row r="78">
          <cell r="C78" t="str">
            <v>TotalDiscountAmortizationIncome</v>
          </cell>
          <cell r="E78">
            <v>-326809.89</v>
          </cell>
          <cell r="F78">
            <v>0</v>
          </cell>
          <cell r="G78">
            <v>-1200.29</v>
          </cell>
          <cell r="H78">
            <v>-328010.18</v>
          </cell>
        </row>
        <row r="79">
          <cell r="C79" t="str">
            <v>Administration Expense</v>
          </cell>
          <cell r="E79">
            <v>95142.31</v>
          </cell>
          <cell r="F79">
            <v>32389.73</v>
          </cell>
          <cell r="G79">
            <v>0</v>
          </cell>
          <cell r="H79">
            <v>127532.04</v>
          </cell>
        </row>
        <row r="80">
          <cell r="C80" t="str">
            <v>Advisor Fee Expense</v>
          </cell>
          <cell r="E80">
            <v>456853.22</v>
          </cell>
          <cell r="F80">
            <v>203968.22</v>
          </cell>
          <cell r="G80">
            <v>0</v>
          </cell>
          <cell r="H80">
            <v>660821.43999999994</v>
          </cell>
        </row>
        <row r="81">
          <cell r="C81" t="str">
            <v>Audit Fee Expense</v>
          </cell>
          <cell r="E81">
            <v>78002.47</v>
          </cell>
          <cell r="F81">
            <v>41768.47</v>
          </cell>
          <cell r="G81">
            <v>0</v>
          </cell>
          <cell r="H81">
            <v>119770.94</v>
          </cell>
        </row>
        <row r="82">
          <cell r="C82" t="str">
            <v>CONSULTING FEES Expense</v>
          </cell>
          <cell r="E82">
            <v>1493.91</v>
          </cell>
          <cell r="F82">
            <v>1324.94</v>
          </cell>
          <cell r="G82">
            <v>0</v>
          </cell>
          <cell r="H82">
            <v>2818.85</v>
          </cell>
        </row>
        <row r="83">
          <cell r="C83" t="str">
            <v>ChangeInRelativePremiumBasisLong</v>
          </cell>
          <cell r="E83">
            <v>27889.87</v>
          </cell>
          <cell r="F83">
            <v>11929.21</v>
          </cell>
          <cell r="G83">
            <v>0</v>
          </cell>
          <cell r="H83">
            <v>39819.08</v>
          </cell>
        </row>
        <row r="84">
          <cell r="C84" t="str">
            <v>ChangeInTotalPremiumBasisLong</v>
          </cell>
          <cell r="E84">
            <v>6154.32</v>
          </cell>
          <cell r="F84">
            <v>2599.4</v>
          </cell>
          <cell r="G84">
            <v>0</v>
          </cell>
          <cell r="H84">
            <v>8753.7199999999993</v>
          </cell>
        </row>
        <row r="85">
          <cell r="C85" t="str">
            <v>Commitment Fee Expense</v>
          </cell>
          <cell r="E85">
            <v>39019.49</v>
          </cell>
          <cell r="F85">
            <v>8763.85</v>
          </cell>
          <cell r="G85">
            <v>0</v>
          </cell>
          <cell r="H85">
            <v>47783.34</v>
          </cell>
        </row>
        <row r="86">
          <cell r="C86" t="str">
            <v>Credit Facility - Legal Expense</v>
          </cell>
          <cell r="E86">
            <v>67308.12</v>
          </cell>
          <cell r="F86">
            <v>22679.91</v>
          </cell>
          <cell r="G86">
            <v>0</v>
          </cell>
          <cell r="H86">
            <v>89988.03</v>
          </cell>
        </row>
        <row r="87">
          <cell r="C87" t="str">
            <v>Credit Facilty Interest Expense</v>
          </cell>
          <cell r="E87">
            <v>709461.67</v>
          </cell>
          <cell r="F87">
            <v>264220.81</v>
          </cell>
          <cell r="G87">
            <v>0</v>
          </cell>
          <cell r="H87">
            <v>973682.48</v>
          </cell>
        </row>
        <row r="88">
          <cell r="C88" t="str">
            <v>Custodian Fees</v>
          </cell>
          <cell r="E88">
            <v>12856.87</v>
          </cell>
          <cell r="F88">
            <v>4890.5600000000004</v>
          </cell>
          <cell r="G88">
            <v>0</v>
          </cell>
          <cell r="H88">
            <v>17747.43</v>
          </cell>
        </row>
        <row r="89">
          <cell r="C89" t="str">
            <v>Director Fee Expense</v>
          </cell>
          <cell r="E89">
            <v>81244.36</v>
          </cell>
          <cell r="F89">
            <v>32505.360000000001</v>
          </cell>
          <cell r="G89">
            <v>0</v>
          </cell>
          <cell r="H89">
            <v>113749.72</v>
          </cell>
        </row>
        <row r="90">
          <cell r="C90" t="str">
            <v>Director's OOP Expense</v>
          </cell>
          <cell r="E90">
            <v>700.12</v>
          </cell>
          <cell r="F90">
            <v>235.91</v>
          </cell>
          <cell r="G90">
            <v>0</v>
          </cell>
          <cell r="H90">
            <v>936.03</v>
          </cell>
        </row>
        <row r="91">
          <cell r="C91" t="str">
            <v>Dividend Distribution</v>
          </cell>
          <cell r="E91">
            <v>6452193</v>
          </cell>
          <cell r="F91">
            <v>0</v>
          </cell>
          <cell r="G91">
            <v>0</v>
          </cell>
          <cell r="H91">
            <v>6452193</v>
          </cell>
        </row>
        <row r="92">
          <cell r="C92" t="str">
            <v>Fidelity Bond Expense</v>
          </cell>
          <cell r="E92">
            <v>4123.4399999999996</v>
          </cell>
          <cell r="F92">
            <v>1389.42</v>
          </cell>
          <cell r="G92">
            <v>0</v>
          </cell>
          <cell r="H92">
            <v>5512.86</v>
          </cell>
        </row>
        <row r="93">
          <cell r="C93" t="str">
            <v>Incentive Fee Expense</v>
          </cell>
          <cell r="E93">
            <v>1809380.01</v>
          </cell>
          <cell r="F93">
            <v>589317.91</v>
          </cell>
          <cell r="G93">
            <v>0</v>
          </cell>
          <cell r="H93">
            <v>2398697.92</v>
          </cell>
        </row>
        <row r="94">
          <cell r="C94" t="str">
            <v>Insurance Fee Expense</v>
          </cell>
          <cell r="E94">
            <v>73896.55</v>
          </cell>
          <cell r="F94">
            <v>25985.599999999999</v>
          </cell>
          <cell r="G94">
            <v>0</v>
          </cell>
          <cell r="H94">
            <v>99882.15</v>
          </cell>
        </row>
        <row r="95">
          <cell r="C95" t="str">
            <v>Insurance fee expense</v>
          </cell>
          <cell r="E95">
            <v>812.05</v>
          </cell>
          <cell r="F95">
            <v>0</v>
          </cell>
          <cell r="G95">
            <v>-812.05</v>
          </cell>
          <cell r="H95">
            <v>0</v>
          </cell>
        </row>
        <row r="96">
          <cell r="C96" t="str">
            <v>Legal Fee Expense</v>
          </cell>
          <cell r="E96">
            <v>102253</v>
          </cell>
          <cell r="F96">
            <v>42656</v>
          </cell>
          <cell r="G96">
            <v>0</v>
          </cell>
          <cell r="H96">
            <v>144909</v>
          </cell>
        </row>
        <row r="97">
          <cell r="C97" t="str">
            <v>Listing Fee Expense</v>
          </cell>
          <cell r="E97">
            <v>5040.68</v>
          </cell>
          <cell r="F97">
            <v>1698.49</v>
          </cell>
          <cell r="G97">
            <v>0</v>
          </cell>
          <cell r="H97">
            <v>6739.17</v>
          </cell>
        </row>
        <row r="98">
          <cell r="C98" t="str">
            <v>MgmtFeeExpense</v>
          </cell>
          <cell r="E98">
            <v>2524653.2000000002</v>
          </cell>
          <cell r="F98">
            <v>1298196.97</v>
          </cell>
          <cell r="G98">
            <v>0</v>
          </cell>
          <cell r="H98">
            <v>3822850.17</v>
          </cell>
        </row>
        <row r="99">
          <cell r="C99" t="str">
            <v>Miscellaneous Expense</v>
          </cell>
          <cell r="E99">
            <v>10988.48</v>
          </cell>
          <cell r="F99">
            <v>4303.7299999999996</v>
          </cell>
          <cell r="G99">
            <v>0</v>
          </cell>
          <cell r="H99">
            <v>15292.21</v>
          </cell>
        </row>
        <row r="100">
          <cell r="C100" t="str">
            <v>PP&amp;E Expense</v>
          </cell>
          <cell r="E100">
            <v>12147.68</v>
          </cell>
          <cell r="F100">
            <v>4093.24</v>
          </cell>
          <cell r="G100">
            <v>0</v>
          </cell>
          <cell r="H100">
            <v>16240.92</v>
          </cell>
        </row>
        <row r="101">
          <cell r="C101" t="str">
            <v>Pricing Expense</v>
          </cell>
          <cell r="E101">
            <v>128922.71</v>
          </cell>
          <cell r="F101">
            <v>19976.71</v>
          </cell>
          <cell r="G101">
            <v>0</v>
          </cell>
          <cell r="H101">
            <v>148899.42000000001</v>
          </cell>
        </row>
        <row r="102">
          <cell r="C102" t="str">
            <v>Printing Fees</v>
          </cell>
          <cell r="E102">
            <v>21596.41</v>
          </cell>
          <cell r="F102">
            <v>8697.67</v>
          </cell>
          <cell r="G102">
            <v>0</v>
          </cell>
          <cell r="H102">
            <v>30294.080000000002</v>
          </cell>
        </row>
        <row r="103">
          <cell r="C103" t="str">
            <v>Proxy Expense</v>
          </cell>
          <cell r="E103">
            <v>4198.01</v>
          </cell>
          <cell r="F103">
            <v>3649.01</v>
          </cell>
          <cell r="G103">
            <v>0</v>
          </cell>
          <cell r="H103">
            <v>7847.02</v>
          </cell>
        </row>
        <row r="104">
          <cell r="C104" t="str">
            <v>PurchasedAccruedInterestExpense</v>
          </cell>
          <cell r="E104">
            <v>0</v>
          </cell>
          <cell r="F104">
            <v>15.59</v>
          </cell>
          <cell r="G104">
            <v>0</v>
          </cell>
          <cell r="H104">
            <v>15.59</v>
          </cell>
        </row>
        <row r="105">
          <cell r="C105" t="str">
            <v>RelativePremiumAmortizationExpense</v>
          </cell>
          <cell r="E105">
            <v>17.32</v>
          </cell>
          <cell r="F105">
            <v>0</v>
          </cell>
          <cell r="G105">
            <v>0</v>
          </cell>
          <cell r="H105">
            <v>17.32</v>
          </cell>
        </row>
        <row r="106">
          <cell r="C106" t="str">
            <v>Swingline Interest Expense</v>
          </cell>
          <cell r="E106">
            <v>2893.8</v>
          </cell>
          <cell r="F106">
            <v>0</v>
          </cell>
          <cell r="G106">
            <v>0</v>
          </cell>
          <cell r="H106">
            <v>2893.8</v>
          </cell>
        </row>
        <row r="107">
          <cell r="C107" t="str">
            <v>Tax Expense</v>
          </cell>
          <cell r="E107">
            <v>106962.28</v>
          </cell>
          <cell r="F107">
            <v>0</v>
          </cell>
          <cell r="G107">
            <v>0</v>
          </cell>
          <cell r="H107">
            <v>106962.28</v>
          </cell>
        </row>
        <row r="108">
          <cell r="C108" t="str">
            <v>Tax Preparation Expense</v>
          </cell>
          <cell r="E108">
            <v>5508.35</v>
          </cell>
          <cell r="F108">
            <v>1333.31</v>
          </cell>
          <cell r="G108">
            <v>0</v>
          </cell>
          <cell r="H108">
            <v>6841.66</v>
          </cell>
        </row>
        <row r="109">
          <cell r="C109" t="str">
            <v>Transfer Agent Service Fee</v>
          </cell>
          <cell r="E109">
            <v>5138.32</v>
          </cell>
          <cell r="F109">
            <v>1804.2</v>
          </cell>
          <cell r="G109">
            <v>0</v>
          </cell>
          <cell r="H109">
            <v>6942.52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hecklist"/>
      <sheetName val="ASSET REC"/>
      <sheetName val="CAP STOCK A"/>
      <sheetName val="CAP STOCK B"/>
      <sheetName val="DIST CLASS A"/>
      <sheetName val="DIST CLASS B"/>
      <sheetName val="COST"/>
      <sheetName val="GAIN LOSS"/>
      <sheetName val="GAIN LOSS REC"/>
      <sheetName val="P&amp;S Rec"/>
      <sheetName val="TURNOVER"/>
      <sheetName val="A &amp; L REC"/>
      <sheetName val="INCOME REC"/>
      <sheetName val="DIVIDEND REC"/>
      <sheetName val="DIV TAX"/>
      <sheetName val="DIV RECLAIM"/>
      <sheetName val="OTHER REC"/>
      <sheetName val="TAX"/>
      <sheetName val="Expens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taging Table"/>
      <sheetName val="BS"/>
      <sheetName val="IS YE"/>
      <sheetName val="SCNA"/>
      <sheetName val="CF"/>
      <sheetName val="SOI"/>
      <sheetName val="Note 4 &amp; SOI Reconciliation"/>
      <sheetName val="Note 5"/>
      <sheetName val="Note 6"/>
      <sheetName val="Note 7"/>
      <sheetName val="Note 8"/>
      <sheetName val="Capitalization MTM CF"/>
      <sheetName val="Capitalization wo MTM CF"/>
      <sheetName val="Shareholder Dil. "/>
      <sheetName val="Cash Interest Paid"/>
      <sheetName val="FAS 159 Table"/>
      <sheetName val="Purchase &amp; Sale Reconciliation"/>
      <sheetName val="PNC Cost Roll"/>
      <sheetName val="PNC FH"/>
      <sheetName val="MD&amp;A - Port &amp; Inv Act"/>
      <sheetName val="MD&amp;A - Income by Type"/>
      <sheetName val="MD&amp;A II"/>
      <sheetName val="Breakeven Analysis"/>
      <sheetName val="Leverage"/>
      <sheetName val="Trial Balance past months"/>
      <sheetName val="Variance"/>
      <sheetName val="IS 0609 10-Q"/>
      <sheetName val="Annualized yield"/>
      <sheetName val="MD&amp;A Price Range of Stock"/>
      <sheetName val="Asset Test"/>
      <sheetName val="Analytical Procedures &amp; Testing"/>
      <sheetName val="Sheet2"/>
      <sheetName val="Incentive Fee Ck"/>
      <sheetName val="2009 Graph "/>
      <sheetName val="^RUT"/>
      <sheetName val="^GSPC"/>
      <sheetName val="PNNT"/>
      <sheetName val="Monthly"/>
      <sheetName val="Press Release"/>
      <sheetName val="4th Qtr"/>
    </sheetNames>
    <sheetDataSet>
      <sheetData sheetId="0">
        <row r="133">
          <cell r="E133">
            <v>25820910</v>
          </cell>
        </row>
      </sheetData>
      <sheetData sheetId="1">
        <row r="10">
          <cell r="E10">
            <v>40249201</v>
          </cell>
        </row>
      </sheetData>
      <sheetData sheetId="2" refreshError="1"/>
      <sheetData sheetId="3" refreshError="1"/>
      <sheetData sheetId="4" refreshError="1"/>
      <sheetData sheetId="5">
        <row r="66">
          <cell r="G66">
            <v>6331385</v>
          </cell>
        </row>
      </sheetData>
      <sheetData sheetId="6" refreshError="1"/>
      <sheetData sheetId="7" refreshError="1"/>
      <sheetData sheetId="8">
        <row r="32">
          <cell r="J32">
            <v>21092333.643835615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3">
          <cell r="C23">
            <v>116100852.76000001</v>
          </cell>
          <cell r="I23">
            <v>1131636.1100000001</v>
          </cell>
        </row>
        <row r="53">
          <cell r="G53">
            <v>374438471.7623077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taging Table"/>
      <sheetName val="BS"/>
      <sheetName val="IS YE"/>
      <sheetName val="SCNA"/>
      <sheetName val="CF"/>
      <sheetName val="SOI"/>
      <sheetName val="Note 4 &amp; SOI Reconciliation"/>
      <sheetName val="Note 5"/>
      <sheetName val="Note 6"/>
      <sheetName val="Note 7"/>
      <sheetName val="Note 8"/>
      <sheetName val="Capitalization MTM CF"/>
      <sheetName val="Capitalization wo MTM CF"/>
      <sheetName val="Shareholder Dil. "/>
      <sheetName val="Cash Interest Paid"/>
      <sheetName val="FAS 159 Table"/>
      <sheetName val="Purchase &amp; Sale Reconciliation"/>
      <sheetName val="PNC Cost Roll"/>
      <sheetName val="PNC FH"/>
      <sheetName val="MD&amp;A - Port &amp; Inv Act"/>
      <sheetName val="MD&amp;A - Income by Type"/>
      <sheetName val="MD&amp;A II"/>
      <sheetName val="Breakeven Analysis"/>
      <sheetName val="Leverage"/>
      <sheetName val="Trial Balance past months"/>
      <sheetName val="Variance"/>
      <sheetName val="IS 0609 10-Q"/>
      <sheetName val="Annualized yield"/>
      <sheetName val="MD&amp;A Price Range of Stock"/>
      <sheetName val="Asset Test"/>
      <sheetName val="Analytical Procedures &amp; Testing"/>
      <sheetName val="Sheet2"/>
      <sheetName val="Incentive Fee Ck"/>
      <sheetName val="Monthly Stock Price"/>
      <sheetName val="Press Release"/>
      <sheetName val="4th Qtr Inc By 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3">
          <cell r="C23">
            <v>116100852.76000001</v>
          </cell>
          <cell r="E23">
            <v>4568539.7300000004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hklst"/>
      <sheetName val="Worksheet"/>
      <sheetName val="Total Gains Losses"/>
      <sheetName val="Cost Roll"/>
      <sheetName val="Purch - Written Options"/>
      <sheetName val="Purchased Options"/>
      <sheetName val="Written Options"/>
      <sheetName val="Port Turn"/>
      <sheetName val="Derivative"/>
      <sheetName val="Loan"/>
      <sheetName val="Ratios"/>
      <sheetName val="Net Gains Losses"/>
      <sheetName val="DRD"/>
      <sheetName val="Broker Commision"/>
      <sheetName val="UBTI"/>
    </sheetNames>
    <sheetDataSet>
      <sheetData sheetId="0"/>
      <sheetData sheetId="1"/>
      <sheetData sheetId="2">
        <row r="1">
          <cell r="A1" t="str">
            <v>AUGUSTA PARTNERS, L.P.</v>
          </cell>
        </row>
        <row r="3">
          <cell r="A3" t="str">
            <v>TOTAL REALIZED GAINS/LOSSES</v>
          </cell>
        </row>
        <row r="4">
          <cell r="A4" t="str">
            <v>FYE 12/31/02</v>
          </cell>
        </row>
        <row r="6">
          <cell r="C6" t="str">
            <v>Equity</v>
          </cell>
          <cell r="D6" t="str">
            <v>Equity</v>
          </cell>
          <cell r="E6" t="str">
            <v>Equity</v>
          </cell>
          <cell r="F6" t="str">
            <v>Index</v>
          </cell>
          <cell r="G6" t="str">
            <v>Cross-Currency</v>
          </cell>
          <cell r="H6" t="str">
            <v>Written</v>
          </cell>
          <cell r="I6" t="str">
            <v>Fixed Income</v>
          </cell>
          <cell r="J6" t="str">
            <v>Foreign Equity</v>
          </cell>
          <cell r="K6" t="str">
            <v>Foreign Equity</v>
          </cell>
          <cell r="L6" t="str">
            <v>Foreign Debt</v>
          </cell>
          <cell r="M6" t="str">
            <v>Futures</v>
          </cell>
        </row>
        <row r="7">
          <cell r="C7" t="str">
            <v>Securities</v>
          </cell>
          <cell r="D7" t="str">
            <v>Short Sales</v>
          </cell>
          <cell r="E7" t="str">
            <v>Options</v>
          </cell>
          <cell r="F7" t="str">
            <v>Options</v>
          </cell>
          <cell r="G7" t="str">
            <v>Options</v>
          </cell>
          <cell r="H7" t="str">
            <v>Options</v>
          </cell>
          <cell r="I7" t="str">
            <v>Securities</v>
          </cell>
          <cell r="J7" t="str">
            <v>Securities</v>
          </cell>
          <cell r="K7" t="str">
            <v>Short Sales</v>
          </cell>
          <cell r="L7" t="str">
            <v>Securities</v>
          </cell>
          <cell r="N7" t="str">
            <v>TOTAL</v>
          </cell>
        </row>
        <row r="8">
          <cell r="A8" t="str">
            <v xml:space="preserve">January       </v>
          </cell>
          <cell r="C8">
            <v>1318585.51</v>
          </cell>
          <cell r="D8">
            <v>-321696.89</v>
          </cell>
          <cell r="E8">
            <v>-374004.39</v>
          </cell>
          <cell r="F8">
            <v>0</v>
          </cell>
          <cell r="G8">
            <v>0</v>
          </cell>
          <cell r="H8">
            <v>195712.02000000002</v>
          </cell>
          <cell r="N8">
            <v>818596.25</v>
          </cell>
        </row>
        <row r="9">
          <cell r="A9" t="str">
            <v>February</v>
          </cell>
          <cell r="C9">
            <v>-2639668.85</v>
          </cell>
          <cell r="D9">
            <v>-125567.47</v>
          </cell>
          <cell r="E9">
            <v>-20852.41</v>
          </cell>
          <cell r="F9">
            <v>0</v>
          </cell>
          <cell r="H9">
            <v>632044.81000000006</v>
          </cell>
          <cell r="N9">
            <v>-2154043.9200000004</v>
          </cell>
        </row>
        <row r="10">
          <cell r="A10" t="str">
            <v>March</v>
          </cell>
          <cell r="C10">
            <v>5144680.57</v>
          </cell>
          <cell r="D10">
            <v>-514094.47</v>
          </cell>
          <cell r="E10">
            <v>36237.199999999997</v>
          </cell>
          <cell r="F10">
            <v>0</v>
          </cell>
          <cell r="G10">
            <v>0</v>
          </cell>
          <cell r="H10">
            <v>138296.64000000001</v>
          </cell>
          <cell r="N10">
            <v>4805119.9400000004</v>
          </cell>
        </row>
        <row r="11">
          <cell r="A11" t="str">
            <v>April</v>
          </cell>
          <cell r="C11">
            <v>-2759451.68</v>
          </cell>
          <cell r="D11">
            <v>-110377.07</v>
          </cell>
          <cell r="E11">
            <v>-321896.59999999998</v>
          </cell>
          <cell r="F11">
            <v>0</v>
          </cell>
          <cell r="H11">
            <v>-193332.95999999996</v>
          </cell>
          <cell r="N11">
            <v>-3385058.31</v>
          </cell>
        </row>
        <row r="12">
          <cell r="A12" t="str">
            <v>May</v>
          </cell>
          <cell r="C12">
            <v>-1957277.25</v>
          </cell>
          <cell r="D12">
            <v>114698.05</v>
          </cell>
          <cell r="E12">
            <v>-194688</v>
          </cell>
          <cell r="F12">
            <v>0</v>
          </cell>
          <cell r="H12">
            <v>8959.25</v>
          </cell>
          <cell r="N12">
            <v>-2028307.95</v>
          </cell>
        </row>
        <row r="13">
          <cell r="A13" t="str">
            <v>June</v>
          </cell>
          <cell r="C13">
            <v>-4098327.19</v>
          </cell>
          <cell r="D13">
            <v>356348.5</v>
          </cell>
          <cell r="E13">
            <v>-244895.26</v>
          </cell>
          <cell r="F13">
            <v>0</v>
          </cell>
          <cell r="H13">
            <v>-261372.24000000002</v>
          </cell>
          <cell r="N13">
            <v>-4248246.1900000004</v>
          </cell>
        </row>
        <row r="14">
          <cell r="A14" t="str">
            <v>July</v>
          </cell>
          <cell r="C14">
            <v>-5416925.4100000001</v>
          </cell>
          <cell r="D14">
            <v>1300829.28</v>
          </cell>
          <cell r="E14">
            <v>162917.14000000001</v>
          </cell>
          <cell r="F14">
            <v>0</v>
          </cell>
          <cell r="H14">
            <v>44481.570000000007</v>
          </cell>
          <cell r="N14">
            <v>-3908697.42</v>
          </cell>
        </row>
        <row r="15">
          <cell r="A15" t="str">
            <v>August</v>
          </cell>
          <cell r="C15">
            <v>1129931.21</v>
          </cell>
          <cell r="D15">
            <v>386417.79</v>
          </cell>
          <cell r="E15">
            <v>1058087.53</v>
          </cell>
          <cell r="F15">
            <v>0</v>
          </cell>
          <cell r="H15">
            <v>-218196.5</v>
          </cell>
          <cell r="N15">
            <v>2356240.0300000003</v>
          </cell>
        </row>
        <row r="16">
          <cell r="A16" t="str">
            <v>September</v>
          </cell>
          <cell r="C16">
            <v>-3109758.28</v>
          </cell>
          <cell r="D16">
            <v>1373352.41</v>
          </cell>
          <cell r="E16">
            <v>-178489.67</v>
          </cell>
          <cell r="F16">
            <v>0</v>
          </cell>
          <cell r="G16">
            <v>0</v>
          </cell>
          <cell r="H16">
            <v>157831.62</v>
          </cell>
          <cell r="N16">
            <v>-1757063.92</v>
          </cell>
        </row>
        <row r="17">
          <cell r="A17" t="str">
            <v>October</v>
          </cell>
          <cell r="C17">
            <v>39765.660000000003</v>
          </cell>
          <cell r="D17">
            <v>1199216.1399999999</v>
          </cell>
          <cell r="E17">
            <v>-63793.539999999994</v>
          </cell>
          <cell r="F17">
            <v>0</v>
          </cell>
          <cell r="G17">
            <v>0</v>
          </cell>
          <cell r="H17">
            <v>154330.57</v>
          </cell>
          <cell r="N17">
            <v>1329518.8299999998</v>
          </cell>
        </row>
        <row r="18">
          <cell r="A18" t="str">
            <v>November</v>
          </cell>
          <cell r="C18">
            <v>-986836.3</v>
          </cell>
          <cell r="D18">
            <v>-799913</v>
          </cell>
          <cell r="E18">
            <v>71434.84</v>
          </cell>
          <cell r="F18">
            <v>-82459.259999999995</v>
          </cell>
          <cell r="G18">
            <v>0</v>
          </cell>
          <cell r="H18">
            <v>-762019.63</v>
          </cell>
          <cell r="N18">
            <v>-2559793.35</v>
          </cell>
        </row>
        <row r="19">
          <cell r="A19" t="str">
            <v>December</v>
          </cell>
          <cell r="C19">
            <v>739136.05</v>
          </cell>
          <cell r="D19">
            <v>-622292.04</v>
          </cell>
          <cell r="E19">
            <v>372151.20999999996</v>
          </cell>
          <cell r="F19">
            <v>0</v>
          </cell>
          <cell r="G19">
            <v>0</v>
          </cell>
          <cell r="H19">
            <v>93550.99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582546.21</v>
          </cell>
        </row>
        <row r="20">
          <cell r="C20">
            <v>-12596145.959999999</v>
          </cell>
          <cell r="D20">
            <v>2236921.2299999995</v>
          </cell>
          <cell r="E20">
            <v>302208.05000000005</v>
          </cell>
          <cell r="F20">
            <v>-82459.259999999995</v>
          </cell>
          <cell r="G20">
            <v>0</v>
          </cell>
          <cell r="H20">
            <v>-9713.8599999999715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-10149189.800000001</v>
          </cell>
        </row>
        <row r="23">
          <cell r="M23" t="str">
            <v>Gain/Loss per G/L:</v>
          </cell>
          <cell r="N23">
            <v>-10149067.630000001</v>
          </cell>
        </row>
        <row r="24">
          <cell r="A24" t="str">
            <v>Reports Used:</v>
          </cell>
          <cell r="C24" t="str">
            <v>-Sales Journal #006 and Expired Options Report #108</v>
          </cell>
        </row>
        <row r="25">
          <cell r="C25" t="str">
            <v>- Send reports from mainframe to lan and use monarch models:  (m:\ff0564\aud_gl.mod for Sales Journal and m:\ff0564\aud_exp.mod for Options Report.)</v>
          </cell>
        </row>
        <row r="26">
          <cell r="L26" t="str">
            <v> </v>
          </cell>
          <cell r="M26" t="str">
            <v>Variance:</v>
          </cell>
          <cell r="N26">
            <v>-122.16999999992549</v>
          </cell>
        </row>
        <row r="27">
          <cell r="A27" t="str">
            <v>*  Foreign classification overrides any other classification.</v>
          </cell>
        </row>
        <row r="28">
          <cell r="A28" t="str">
            <v>*  For options, written option classification overrides index or equity classification.</v>
          </cell>
        </row>
        <row r="29">
          <cell r="A29" t="str">
            <v>*  Break down expired options into their appropriate classification.  (It should not be it's own column)</v>
          </cell>
        </row>
      </sheetData>
      <sheetData sheetId="3"/>
      <sheetData sheetId="4"/>
      <sheetData sheetId="5"/>
      <sheetData sheetId="6"/>
      <sheetData sheetId="7">
        <row r="1">
          <cell r="A1" t="str">
            <v>AUGUSTA PARTNERS, L.P.</v>
          </cell>
        </row>
        <row r="3">
          <cell r="A3" t="str">
            <v>PORTFOLIO TURNOVER</v>
          </cell>
        </row>
        <row r="4">
          <cell r="A4" t="str">
            <v>FYE 12/31/02</v>
          </cell>
        </row>
        <row r="6">
          <cell r="A6" t="str">
            <v>*  Must fill out Cost Rollforward spreadsheet first.</v>
          </cell>
        </row>
        <row r="8">
          <cell r="B8" t="str">
            <v>Total</v>
          </cell>
          <cell r="C8" t="str">
            <v>Short Positions</v>
          </cell>
          <cell r="E8" t="str">
            <v>Net</v>
          </cell>
          <cell r="F8" t="str">
            <v>Long-Term</v>
          </cell>
          <cell r="G8" t="str">
            <v>Long-Term</v>
          </cell>
        </row>
        <row r="9">
          <cell r="B9" t="str">
            <v>Market</v>
          </cell>
          <cell r="C9" t="str">
            <v>&amp; Excluded</v>
          </cell>
          <cell r="E9" t="str">
            <v>Long-Term</v>
          </cell>
          <cell r="F9" t="str">
            <v>Purchases</v>
          </cell>
          <cell r="G9" t="str">
            <v>Sales</v>
          </cell>
        </row>
        <row r="10">
          <cell r="A10" t="str">
            <v>Month</v>
          </cell>
          <cell r="B10" t="str">
            <v>Value</v>
          </cell>
          <cell r="C10" t="str">
            <v>Securities</v>
          </cell>
          <cell r="E10" t="str">
            <v>Market Value</v>
          </cell>
          <cell r="F10" t="str">
            <v>(Cost)</v>
          </cell>
          <cell r="G10" t="str">
            <v>(Proceeds)</v>
          </cell>
        </row>
        <row r="11">
          <cell r="A11" t="str">
            <v>December 31, 2001</v>
          </cell>
          <cell r="B11">
            <v>109694799.34</v>
          </cell>
          <cell r="C11">
            <v>5671725</v>
          </cell>
          <cell r="E11">
            <v>115366524.34</v>
          </cell>
        </row>
        <row r="12">
          <cell r="A12" t="str">
            <v>January</v>
          </cell>
          <cell r="B12">
            <v>89735573.269999996</v>
          </cell>
          <cell r="C12">
            <v>7763175</v>
          </cell>
          <cell r="E12">
            <v>97498748.269999996</v>
          </cell>
          <cell r="F12">
            <v>36455079</v>
          </cell>
          <cell r="G12">
            <v>46251322.019999996</v>
          </cell>
        </row>
        <row r="13">
          <cell r="A13" t="str">
            <v>February</v>
          </cell>
          <cell r="B13">
            <v>72331038.799999997</v>
          </cell>
          <cell r="C13">
            <v>5849650</v>
          </cell>
          <cell r="E13">
            <v>78180688.799999997</v>
          </cell>
          <cell r="F13">
            <v>21963553.75</v>
          </cell>
          <cell r="G13">
            <v>34284317.469999999</v>
          </cell>
        </row>
        <row r="14">
          <cell r="A14" t="str">
            <v>March</v>
          </cell>
          <cell r="B14">
            <v>84139093.159999996</v>
          </cell>
          <cell r="C14">
            <v>6831000</v>
          </cell>
          <cell r="E14">
            <v>90970093.159999996</v>
          </cell>
          <cell r="F14">
            <v>47452595.979999997</v>
          </cell>
          <cell r="G14">
            <v>41105711.130000003</v>
          </cell>
        </row>
        <row r="15">
          <cell r="A15" t="str">
            <v>April</v>
          </cell>
          <cell r="B15">
            <v>72731862.980000004</v>
          </cell>
          <cell r="C15">
            <v>6352575</v>
          </cell>
          <cell r="E15">
            <v>79084437.980000004</v>
          </cell>
          <cell r="F15">
            <v>56967250</v>
          </cell>
          <cell r="G15">
            <v>61084915.57</v>
          </cell>
        </row>
        <row r="16">
          <cell r="A16" t="str">
            <v>May</v>
          </cell>
          <cell r="B16">
            <v>64715836.569999993</v>
          </cell>
          <cell r="C16">
            <v>11215325</v>
          </cell>
          <cell r="E16">
            <v>75931161.569999993</v>
          </cell>
          <cell r="F16">
            <v>49879228.539999999</v>
          </cell>
          <cell r="G16">
            <v>46645096.829999998</v>
          </cell>
        </row>
        <row r="17">
          <cell r="A17" t="str">
            <v>June</v>
          </cell>
          <cell r="B17">
            <v>49167155.159999996</v>
          </cell>
          <cell r="C17">
            <v>9704975</v>
          </cell>
          <cell r="E17">
            <v>58872130.159999996</v>
          </cell>
          <cell r="F17">
            <v>48757582.25</v>
          </cell>
          <cell r="G17">
            <v>56659185.07</v>
          </cell>
        </row>
        <row r="18">
          <cell r="A18" t="str">
            <v>July</v>
          </cell>
          <cell r="B18">
            <v>67555968.469999999</v>
          </cell>
          <cell r="C18">
            <v>3526300</v>
          </cell>
          <cell r="E18">
            <v>71082268.469999999</v>
          </cell>
          <cell r="F18">
            <v>53379722.939999998</v>
          </cell>
          <cell r="G18">
            <v>35099398.18</v>
          </cell>
        </row>
        <row r="19">
          <cell r="A19" t="str">
            <v>August</v>
          </cell>
          <cell r="B19">
            <v>58718555.219999999</v>
          </cell>
          <cell r="C19">
            <v>14738850</v>
          </cell>
          <cell r="E19">
            <v>73457405.219999999</v>
          </cell>
          <cell r="F19">
            <v>41101555.049999997</v>
          </cell>
          <cell r="G19">
            <v>40641715.719999999</v>
          </cell>
        </row>
        <row r="20">
          <cell r="A20" t="str">
            <v>September</v>
          </cell>
          <cell r="B20">
            <v>54143551.209999993</v>
          </cell>
          <cell r="C20">
            <v>16324900.109999999</v>
          </cell>
          <cell r="E20">
            <v>70468451.319999993</v>
          </cell>
          <cell r="F20">
            <v>36713277.600000001</v>
          </cell>
          <cell r="G20">
            <v>33794434.420000002</v>
          </cell>
        </row>
        <row r="21">
          <cell r="A21" t="str">
            <v>October</v>
          </cell>
          <cell r="B21">
            <v>75122167.659999996</v>
          </cell>
          <cell r="C21">
            <v>12474779</v>
          </cell>
          <cell r="E21">
            <v>87596946.659999996</v>
          </cell>
          <cell r="F21">
            <v>67826160</v>
          </cell>
          <cell r="G21">
            <v>54571624.960000001</v>
          </cell>
        </row>
        <row r="22">
          <cell r="A22" t="str">
            <v>November</v>
          </cell>
          <cell r="B22">
            <v>110190054.73999999</v>
          </cell>
          <cell r="C22">
            <v>14180100</v>
          </cell>
          <cell r="E22">
            <v>124370154.73999999</v>
          </cell>
          <cell r="F22">
            <v>78641166.75</v>
          </cell>
          <cell r="G22">
            <v>55767283.950000003</v>
          </cell>
        </row>
        <row r="23">
          <cell r="A23" t="str">
            <v>December</v>
          </cell>
          <cell r="B23">
            <v>69790818.950000003</v>
          </cell>
          <cell r="C23">
            <v>9857600</v>
          </cell>
          <cell r="E23">
            <v>79648418.950000003</v>
          </cell>
          <cell r="F23">
            <v>42264793.75</v>
          </cell>
          <cell r="G23">
            <v>76813702.799999997</v>
          </cell>
        </row>
        <row r="24">
          <cell r="A24" t="str">
            <v>Total</v>
          </cell>
          <cell r="B24">
            <v>978036475.53000021</v>
          </cell>
          <cell r="C24">
            <v>124490954.11</v>
          </cell>
          <cell r="E24">
            <v>1102527429.6400001</v>
          </cell>
          <cell r="F24">
            <v>581401965.61000001</v>
          </cell>
          <cell r="G24">
            <v>582718708.12</v>
          </cell>
        </row>
        <row r="25">
          <cell r="C25" t="str">
            <v xml:space="preserve">Average Market Value:  </v>
          </cell>
          <cell r="E25">
            <v>84809802.280000001</v>
          </cell>
        </row>
        <row r="27">
          <cell r="A27" t="str">
            <v>Reports used:  Portfolio Valuation at period end</v>
          </cell>
        </row>
      </sheetData>
      <sheetData sheetId="8"/>
      <sheetData sheetId="9">
        <row r="1">
          <cell r="A1" t="str">
            <v>AUGUSTA PARTNERS, L.P.</v>
          </cell>
        </row>
        <row r="3">
          <cell r="A3" t="str">
            <v>AVERAGE LOAN OUTSTANDING</v>
          </cell>
        </row>
        <row r="4">
          <cell r="A4" t="str">
            <v>FYE 12/31/02</v>
          </cell>
        </row>
        <row r="7">
          <cell r="B7" t="str">
            <v>Total Loan</v>
          </cell>
          <cell r="D7" t="str">
            <v>Average</v>
          </cell>
        </row>
        <row r="8">
          <cell r="B8" t="str">
            <v>Outstanding</v>
          </cell>
          <cell r="C8" t="str">
            <v># of</v>
          </cell>
          <cell r="D8" t="str">
            <v xml:space="preserve">Monthly </v>
          </cell>
        </row>
        <row r="9">
          <cell r="A9" t="str">
            <v>Month</v>
          </cell>
          <cell r="B9" t="str">
            <v>Balance</v>
          </cell>
          <cell r="C9" t="str">
            <v>Days</v>
          </cell>
          <cell r="D9" t="str">
            <v>Debt</v>
          </cell>
        </row>
        <row r="10">
          <cell r="A10" t="str">
            <v>January</v>
          </cell>
          <cell r="B10">
            <v>0</v>
          </cell>
          <cell r="C10">
            <v>31</v>
          </cell>
          <cell r="D10">
            <v>0</v>
          </cell>
        </row>
        <row r="11">
          <cell r="A11" t="str">
            <v>February</v>
          </cell>
          <cell r="B11">
            <v>0</v>
          </cell>
          <cell r="C11">
            <v>28</v>
          </cell>
          <cell r="D11">
            <v>0</v>
          </cell>
        </row>
        <row r="12">
          <cell r="A12" t="str">
            <v>March</v>
          </cell>
          <cell r="B12">
            <v>0</v>
          </cell>
          <cell r="C12">
            <v>31</v>
          </cell>
          <cell r="D12">
            <v>0</v>
          </cell>
        </row>
        <row r="13">
          <cell r="A13" t="str">
            <v>April</v>
          </cell>
          <cell r="B13">
            <v>0</v>
          </cell>
          <cell r="C13">
            <v>30</v>
          </cell>
          <cell r="D13">
            <v>0</v>
          </cell>
        </row>
        <row r="14">
          <cell r="A14" t="str">
            <v>May</v>
          </cell>
          <cell r="B14">
            <v>0</v>
          </cell>
          <cell r="C14">
            <v>31</v>
          </cell>
          <cell r="D14">
            <v>0</v>
          </cell>
        </row>
        <row r="15">
          <cell r="A15" t="str">
            <v>June</v>
          </cell>
          <cell r="B15">
            <v>0</v>
          </cell>
          <cell r="C15">
            <v>30</v>
          </cell>
          <cell r="D15">
            <v>0</v>
          </cell>
        </row>
        <row r="16">
          <cell r="A16" t="str">
            <v>July</v>
          </cell>
          <cell r="B16">
            <v>0</v>
          </cell>
          <cell r="C16">
            <v>31</v>
          </cell>
          <cell r="D16">
            <v>0</v>
          </cell>
        </row>
        <row r="17">
          <cell r="A17" t="str">
            <v>August</v>
          </cell>
          <cell r="B17">
            <v>0</v>
          </cell>
          <cell r="C17">
            <v>31</v>
          </cell>
          <cell r="D17">
            <v>0</v>
          </cell>
        </row>
        <row r="18">
          <cell r="A18" t="str">
            <v>September</v>
          </cell>
          <cell r="B18">
            <v>0</v>
          </cell>
          <cell r="C18">
            <v>30</v>
          </cell>
          <cell r="D18">
            <v>0</v>
          </cell>
        </row>
        <row r="19">
          <cell r="A19" t="str">
            <v>October</v>
          </cell>
          <cell r="B19">
            <v>0</v>
          </cell>
          <cell r="C19">
            <v>31</v>
          </cell>
          <cell r="D19">
            <v>0</v>
          </cell>
        </row>
        <row r="20">
          <cell r="A20" t="str">
            <v>November</v>
          </cell>
          <cell r="B20">
            <v>0</v>
          </cell>
          <cell r="C20">
            <v>30</v>
          </cell>
          <cell r="D20">
            <v>0</v>
          </cell>
        </row>
        <row r="21">
          <cell r="A21" t="str">
            <v>December</v>
          </cell>
          <cell r="B21">
            <v>0</v>
          </cell>
          <cell r="C21">
            <v>31</v>
          </cell>
          <cell r="D21">
            <v>0</v>
          </cell>
        </row>
        <row r="22">
          <cell r="B22">
            <v>0</v>
          </cell>
          <cell r="C22">
            <v>365</v>
          </cell>
          <cell r="D22">
            <v>0</v>
          </cell>
        </row>
        <row r="24">
          <cell r="A24" t="str">
            <v>*Use monthly loan activity spreadsheets &amp; use the sum of  the total ending loan balance.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B"/>
      <sheetName val="R5- Investments"/>
      <sheetName val="w"/>
      <sheetName val="Template Instructions"/>
      <sheetName val="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>Yes/No</v>
          </cell>
        </row>
        <row r="4">
          <cell r="B4" t="str">
            <v>Multiple Choice</v>
          </cell>
        </row>
        <row r="5">
          <cell r="B5" t="str">
            <v>Multiple Selection</v>
          </cell>
        </row>
        <row r="6">
          <cell r="B6" t="str">
            <v>Number</v>
          </cell>
        </row>
        <row r="7">
          <cell r="B7" t="str">
            <v>Date</v>
          </cell>
        </row>
        <row r="8">
          <cell r="B8" t="str">
            <v>Text</v>
          </cell>
        </row>
        <row r="9">
          <cell r="B9" t="str">
            <v>User Name</v>
          </cell>
        </row>
        <row r="10">
          <cell r="B10" t="str">
            <v>Comment Only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nput Sheet"/>
      <sheetName val="Detail Support"/>
      <sheetName val="Interest Cash Out"/>
      <sheetName val="Financial Highlights"/>
      <sheetName val="Sheet2"/>
      <sheetName val="ITEM 1 Financial Statements"/>
      <sheetName val="Statement of Operations"/>
      <sheetName val="Change in Net Assets"/>
      <sheetName val="Cash Flow"/>
      <sheetName val="Purchase and Sales CF Rec"/>
      <sheetName val="Cost Roll"/>
      <sheetName val="Management Fee Calculation"/>
      <sheetName val="Portfolio"/>
      <sheetName val="TBill Purchases"/>
      <sheetName val="Rec &amp; Pay"/>
      <sheetName val="Capital Shares"/>
      <sheetName val="Loan Outstanding (2)"/>
      <sheetName val="Loan Outstanding"/>
      <sheetName val="Price Range of Stock"/>
      <sheetName val="Press Release"/>
      <sheetName val="Per Share Data"/>
      <sheetName val="Results Narrative"/>
      <sheetName val="Scatch pad 2"/>
      <sheetName val="Scratch Pad"/>
      <sheetName val="SOI at 93007"/>
      <sheetName val="Interest Rate At Q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4">
          <cell r="E24">
            <v>67254350.680000007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Q&amp;A Log 2011"/>
      <sheetName val="Table of Contents"/>
      <sheetName val="A"/>
      <sheetName val="0"/>
      <sheetName val="1"/>
      <sheetName val="2"/>
      <sheetName val="3"/>
      <sheetName val="4"/>
      <sheetName val="5"/>
      <sheetName val="6"/>
      <sheetName val="7"/>
      <sheetName val="8"/>
      <sheetName val="9"/>
      <sheetName val="9.1"/>
      <sheetName val="10"/>
      <sheetName val="11"/>
      <sheetName val="12"/>
      <sheetName val="13"/>
      <sheetName val="14"/>
      <sheetName val="15"/>
      <sheetName val="16"/>
      <sheetName val="17"/>
      <sheetName val="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T75"/>
  <sheetViews>
    <sheetView showGridLines="0" tabSelected="1" view="pageBreakPreview" zoomScale="90" zoomScaleNormal="90" zoomScaleSheetLayoutView="90" workbookViewId="0">
      <selection activeCell="K18" sqref="K18"/>
    </sheetView>
  </sheetViews>
  <sheetFormatPr baseColWidth="8" defaultColWidth="9.140625" defaultRowHeight="12.75" zeroHeight="1"/>
  <cols>
    <col width="2.85546875" customWidth="1" style="109" min="1" max="1"/>
    <col width="4.7109375" customWidth="1" style="109" min="2" max="4"/>
    <col width="15.7109375" customWidth="1" style="109" min="5" max="6"/>
    <col width="18" customWidth="1" style="109" min="7" max="7"/>
    <col width="9.85546875" customWidth="1" style="109" min="8" max="8"/>
    <col width="38.42578125" customWidth="1" style="109" min="9" max="9"/>
    <col width="17.28515625" bestFit="1" customWidth="1" style="109" min="10" max="10"/>
    <col width="12" bestFit="1" customWidth="1" style="3" min="11" max="11"/>
    <col width="7" bestFit="1" customWidth="1" style="3" min="12" max="12"/>
    <col width="3" customWidth="1" style="3" min="13" max="13"/>
    <col width="3" customWidth="1" style="20" min="14" max="14"/>
    <col width="29.7109375" customWidth="1" style="20" min="15" max="15"/>
    <col width="39" bestFit="1" customWidth="1" style="20" min="16" max="16"/>
    <col width="3" customWidth="1" style="20" min="17" max="17"/>
    <col width="22.140625" customWidth="1" style="3" min="18" max="18"/>
    <col width="14.5703125" bestFit="1" customWidth="1" style="3" min="19" max="19"/>
    <col width="12" bestFit="1" customWidth="1" style="3" min="20" max="20"/>
    <col width="9.140625" customWidth="1" style="3" min="21" max="16384"/>
  </cols>
  <sheetData>
    <row r="1" ht="18" customHeight="1">
      <c r="A1" s="1" t="inlineStr">
        <is>
          <t>SAMPLE FLOATING RATE FUNDING I, LLC</t>
        </is>
      </c>
      <c r="B1" s="15" t="n"/>
      <c r="C1" s="16" t="n"/>
      <c r="D1" s="16" t="n"/>
      <c r="E1" s="16" t="n"/>
      <c r="F1" s="17" t="n"/>
      <c r="G1" s="16" t="n"/>
      <c r="H1" s="16" t="n"/>
      <c r="I1" s="16" t="n"/>
      <c r="J1" s="16" t="n"/>
      <c r="K1" s="18" t="n"/>
      <c r="L1" s="19" t="n"/>
    </row>
    <row r="2" ht="15.75" customHeight="1">
      <c r="A2" s="4" t="inlineStr">
        <is>
          <t>BORROWING BASE CERTIFICATE</t>
        </is>
      </c>
      <c r="B2" s="15" t="n"/>
      <c r="C2" s="17" t="n"/>
      <c r="D2" s="17" t="n"/>
      <c r="E2" s="17" t="n"/>
      <c r="F2" s="17" t="n"/>
      <c r="G2" s="17" t="n"/>
      <c r="H2" s="17" t="n"/>
      <c r="I2" s="17" t="n"/>
      <c r="J2" s="17" t="n"/>
      <c r="K2" s="18" t="n"/>
      <c r="L2" s="21" t="n"/>
    </row>
    <row r="3" ht="15" customHeight="1">
      <c r="A3" s="445" t="inlineStr">
        <is>
          <t>Amounts are pro forma for proposed borrowing and related use of proceeds</t>
        </is>
      </c>
      <c r="K3" s="18" t="n"/>
      <c r="L3" s="21" t="n"/>
    </row>
    <row r="4">
      <c r="A4" s="22" t="inlineStr">
        <is>
          <t>DETERMINATION DATE</t>
        </is>
      </c>
      <c r="B4" s="22" t="n"/>
      <c r="C4" s="23" t="n"/>
      <c r="D4" s="23" t="n"/>
      <c r="E4" s="23" t="n"/>
      <c r="F4" s="18" t="n"/>
      <c r="G4" s="18" t="n"/>
      <c r="H4" s="18" t="n"/>
      <c r="I4" s="18" t="n"/>
      <c r="J4" s="24" t="n">
        <v>45869</v>
      </c>
      <c r="K4" s="18" t="n"/>
      <c r="L4" s="18" t="n"/>
      <c r="O4" s="25" t="n"/>
      <c r="P4" s="25" t="n"/>
    </row>
    <row r="5" ht="15" customHeight="1">
      <c r="A5" s="22" t="inlineStr">
        <is>
          <t xml:space="preserve">CONCENTRATION TEST AMOUNT </t>
        </is>
      </c>
      <c r="B5" s="23" t="n"/>
      <c r="C5" s="23" t="n"/>
      <c r="D5" s="23" t="n"/>
      <c r="E5" s="23" t="n"/>
      <c r="F5" s="23" t="n"/>
      <c r="G5" s="18" t="n"/>
      <c r="H5" s="18" t="n"/>
      <c r="I5" s="18" t="n"/>
      <c r="J5" s="457">
        <f>'Loan List'!DH6</f>
        <v/>
      </c>
      <c r="K5" s="458" t="n"/>
      <c r="L5" s="28" t="n"/>
      <c r="O5" s="446" t="inlineStr">
        <is>
          <t>Cash and Credit Facility Balance Projections</t>
        </is>
      </c>
    </row>
    <row r="6" ht="6.9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21" t="n"/>
    </row>
    <row r="7" ht="6.95" customHeight="1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18" t="n"/>
      <c r="L7" s="21" t="n"/>
    </row>
    <row r="8">
      <c r="A8" s="30" t="inlineStr">
        <is>
          <t>BORROWING BASE - (A) minus (B) minus (A)(iv)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31">
        <f>J10-J18-J14</f>
        <v/>
      </c>
      <c r="K8" s="459">
        <f>'Loan List'!GA6-J14</f>
        <v/>
      </c>
      <c r="L8" s="33" t="n"/>
      <c r="O8" s="34" t="inlineStr">
        <is>
          <t>AUD</t>
        </is>
      </c>
      <c r="P8" s="35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36" t="n"/>
      <c r="K9" s="459" t="inlineStr">
        <is>
          <t>Check</t>
        </is>
      </c>
      <c r="L9" s="33" t="n"/>
      <c r="O9" s="460" t="n">
        <v>0</v>
      </c>
      <c r="P9" s="104" t="inlineStr">
        <is>
          <t>Current Credit Facility Balance</t>
        </is>
      </c>
    </row>
    <row r="10" ht="15" customHeight="1">
      <c r="A10" s="18" t="n"/>
      <c r="B10" s="39" t="inlineStr">
        <is>
          <t>(A)</t>
        </is>
      </c>
      <c r="C10" s="30" t="inlineStr">
        <is>
          <t>Aggregate Collateral Balance (without duplication) sum of (i)-(vi)</t>
        </is>
      </c>
      <c r="D10" s="18" t="n"/>
      <c r="E10" s="18" t="n"/>
      <c r="F10" s="18" t="n"/>
      <c r="G10" s="18" t="n"/>
      <c r="H10" s="18" t="n"/>
      <c r="I10" s="18" t="n"/>
      <c r="J10" s="40">
        <f>SUM(J11:J16)</f>
        <v/>
      </c>
      <c r="K10" s="461">
        <f>J10='Loan List'!DG6</f>
        <v/>
      </c>
      <c r="L10" s="33" t="n"/>
      <c r="O10" s="42">
        <f>+O71</f>
        <v/>
      </c>
      <c r="P10" s="104" t="inlineStr">
        <is>
          <t>Borrowing</t>
        </is>
      </c>
      <c r="R10" s="399" t="n"/>
    </row>
    <row r="11" ht="15" customHeight="1">
      <c r="A11" s="18" t="n"/>
      <c r="B11" s="18" t="n"/>
      <c r="C11" s="30" t="inlineStr">
        <is>
          <t>(i) Aggregate Principal Balance of all Collateral Loans (other than Defaulted, Restructured, Haircut Ineligible, and Discount)</t>
        </is>
      </c>
      <c r="D11" s="18" t="n"/>
      <c r="E11" s="18" t="n"/>
      <c r="F11" s="18" t="n"/>
      <c r="G11" s="18" t="n"/>
      <c r="H11" s="18" t="n"/>
      <c r="I11" s="18" t="n"/>
      <c r="J11" s="75">
        <f>'Loan List'!HV8</f>
        <v/>
      </c>
      <c r="K11" s="459" t="n"/>
      <c r="L11" s="33" t="n"/>
      <c r="O11" s="462">
        <f>SUM(O9:O10)</f>
        <v/>
      </c>
      <c r="P11" s="45" t="inlineStr">
        <is>
          <t>Projected Credit Facility Balance</t>
        </is>
      </c>
      <c r="T11" s="400" t="n"/>
    </row>
    <row r="12" ht="15" customHeight="1">
      <c r="A12" s="18" t="n"/>
      <c r="B12" s="18" t="n"/>
      <c r="C12" s="30" t="inlineStr">
        <is>
          <t>(ii) Defaulted Collateral Loan Balance</t>
        </is>
      </c>
      <c r="D12" s="18" t="n"/>
      <c r="E12" s="18" t="n"/>
      <c r="F12" s="18" t="n"/>
      <c r="G12" s="18" t="n"/>
      <c r="H12" s="18" t="n"/>
      <c r="I12" s="18" t="n"/>
      <c r="J12" s="75">
        <f>'Loan List'!IA8</f>
        <v/>
      </c>
      <c r="K12" s="403" t="n"/>
      <c r="L12" s="33" t="n"/>
      <c r="O12" s="34" t="inlineStr">
        <is>
          <t>USD</t>
        </is>
      </c>
      <c r="P12" s="35" t="n"/>
      <c r="T12" s="400" t="n"/>
    </row>
    <row r="13" ht="15" customHeight="1">
      <c r="A13" s="18" t="n"/>
      <c r="B13" s="18" t="n"/>
      <c r="C13" s="447" t="inlineStr">
        <is>
          <t>(iii) The aggregate purchase price of all Discount Loans that are Eligible Collateral Loans and not Defaulted, Haircut or Restructured</t>
        </is>
      </c>
      <c r="J13" s="75">
        <f>'Loan List'!HZ8</f>
        <v/>
      </c>
      <c r="K13" s="459" t="n"/>
      <c r="L13" s="33" t="n"/>
      <c r="O13" s="463">
        <f>325500000-20800000+23000000+3000000-12000000+1200000+6000000+9500000+7500000-3000000-17000000+5000000+15000000+4000000+35500000-13000000+19000000+5000000+6000000+3500000-27000000+18000000+10000000+5000000+5000000-10000000+17000000+19000000+13000000-200000000-6000000+4000000+4000000-10000000+8000000+18000000+10000000+16000000+5000000+21000000+27000000+40000000+5000000+15000000+16000000-27000000+15000000+8000000+15000000+18000000-54000000+20000000-58000000-23000000-43000000-15000000-46000000+10000000+10000000+7500000-6500000-115000000+32000000+46000000-81000000+8000000+50000000+12000000+69000000+11000000-80000000-50000000-25500000+11000000+20000000+10000000+10000000+20000000+20000000-5000000-65000000+20000000+60000000+30000000+20000000-35000000-7000000+10000000-40000000-50000000+30000000-48000000+20000000-45000000-35000000+15000000-35000000-55000000+15000000+160000000+75000000+50000000+30000000-130000000-42000000+50000000+55000000+40000000+50000000+80000000+20000000+100000000+20000000+25000000+50000000-320000000-30000000+20000000-55000000+25000000+20000000+75000000</f>
        <v/>
      </c>
      <c r="P13" s="104" t="inlineStr">
        <is>
          <t>Current Credit Facility Balance</t>
        </is>
      </c>
      <c r="T13" s="400" t="n"/>
    </row>
    <row r="14" ht="15" customHeight="1">
      <c r="A14" s="30" t="n"/>
      <c r="B14" s="39" t="n"/>
      <c r="C14" s="30" t="inlineStr">
        <is>
          <t>(iv) The aggregate Unfunded Commitments of all Delayed Drawdown and Revolvers that are Eligible Loans</t>
        </is>
      </c>
      <c r="D14" s="18" t="n"/>
      <c r="E14" s="18" t="n"/>
      <c r="F14" s="18" t="n"/>
      <c r="G14" s="18" t="n"/>
      <c r="H14" s="18" t="n"/>
      <c r="I14" s="18" t="n"/>
      <c r="J14" s="75">
        <f>'Loan List'!HU8</f>
        <v/>
      </c>
      <c r="K14" s="459" t="n"/>
      <c r="L14" s="33" t="n"/>
      <c r="O14" s="42">
        <f>+O33</f>
        <v/>
      </c>
      <c r="P14" s="104" t="inlineStr">
        <is>
          <t>Borrowing</t>
        </is>
      </c>
      <c r="T14" s="400" t="n"/>
    </row>
    <row r="15" ht="15" customHeight="1">
      <c r="A15" s="30" t="n"/>
      <c r="B15" s="39" t="n"/>
      <c r="C15" s="30" t="inlineStr">
        <is>
          <t>(v) The Credit Improved Loan Balance</t>
        </is>
      </c>
      <c r="D15" s="18" t="n"/>
      <c r="E15" s="18" t="n"/>
      <c r="F15" s="18" t="n"/>
      <c r="G15" s="18" t="n"/>
      <c r="H15" s="18" t="n"/>
      <c r="I15" s="18" t="n"/>
      <c r="J15" s="75">
        <f>'Loan List'!HY8</f>
        <v/>
      </c>
      <c r="K15" s="459" t="n"/>
      <c r="L15" s="33" t="n"/>
      <c r="O15" s="462">
        <f>SUM(O13:O14)</f>
        <v/>
      </c>
      <c r="P15" s="45" t="inlineStr">
        <is>
          <t>Projected Credit Facility Balance</t>
        </is>
      </c>
      <c r="T15" s="400" t="n"/>
    </row>
    <row r="16" ht="15" customHeight="1">
      <c r="A16" s="30" t="n"/>
      <c r="B16" s="39" t="n"/>
      <c r="C16" s="30" t="inlineStr">
        <is>
          <t>(vi) The Haircut Collateral Loan Balance</t>
        </is>
      </c>
      <c r="D16" s="18" t="n"/>
      <c r="E16" s="18" t="n"/>
      <c r="F16" s="18" t="n"/>
      <c r="G16" s="18" t="n"/>
      <c r="H16" s="18" t="n"/>
      <c r="I16" s="18" t="n"/>
      <c r="J16" s="75">
        <f>'Loan List'!HX8</f>
        <v/>
      </c>
      <c r="K16" s="459" t="n"/>
      <c r="L16" s="33" t="n"/>
      <c r="O16" s="34" t="inlineStr">
        <is>
          <t>CAD</t>
        </is>
      </c>
      <c r="P16" s="35" t="n"/>
      <c r="T16" s="400" t="n"/>
    </row>
    <row r="17" ht="15" customHeight="1">
      <c r="A17" s="30" t="n"/>
      <c r="B17" s="39" t="n"/>
      <c r="C17" s="30" t="n"/>
      <c r="D17" s="18" t="n"/>
      <c r="E17" s="18" t="n"/>
      <c r="F17" s="18" t="n"/>
      <c r="G17" s="18" t="n"/>
      <c r="H17" s="18" t="n"/>
      <c r="I17" s="18" t="n"/>
      <c r="J17" s="75" t="n"/>
      <c r="K17" s="459" t="n"/>
      <c r="L17" s="33" t="n"/>
      <c r="O17" s="460" t="n">
        <v>2000000</v>
      </c>
      <c r="P17" s="104" t="inlineStr">
        <is>
          <t>Current Credit Facility Balance</t>
        </is>
      </c>
      <c r="T17" s="400" t="n"/>
    </row>
    <row r="18">
      <c r="A18" s="30" t="n"/>
      <c r="B18" s="39" t="inlineStr">
        <is>
          <t>(B)</t>
        </is>
      </c>
      <c r="C18" s="30" t="inlineStr">
        <is>
          <t>Excess Concentration Amount</t>
        </is>
      </c>
      <c r="D18" s="18" t="n"/>
      <c r="E18" s="18" t="n"/>
      <c r="F18" s="18" t="n"/>
      <c r="G18" s="18" t="n"/>
      <c r="H18" s="18" t="n"/>
      <c r="I18" s="18" t="n"/>
      <c r="J18" s="75">
        <f>SUM('Loan List'!HG10:HG117)</f>
        <v/>
      </c>
      <c r="K18" s="459" t="n"/>
      <c r="L18" s="33" t="n"/>
      <c r="O18" s="42" t="n">
        <v>0</v>
      </c>
      <c r="P18" s="104" t="inlineStr">
        <is>
          <t>Borrowing</t>
        </is>
      </c>
    </row>
    <row r="19">
      <c r="A19" s="30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47" t="n"/>
      <c r="K19" s="459" t="n"/>
      <c r="L19" s="48" t="n"/>
      <c r="O19" s="462">
        <f>SUM(O17:O18)</f>
        <v/>
      </c>
      <c r="P19" s="45" t="inlineStr">
        <is>
          <t>Projected Credit Facility Balance</t>
        </is>
      </c>
    </row>
    <row r="20">
      <c r="A20" s="30" t="inlineStr">
        <is>
          <t>MAXIMUM AVAILABLE AMOUNT - Least of (A), (B) and (C)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31">
        <f>MIN(J27,J35,J40)</f>
        <v/>
      </c>
      <c r="K20" s="464" t="n"/>
      <c r="L20" s="50" t="n"/>
      <c r="O20" s="34" t="inlineStr">
        <is>
          <t>EUR</t>
        </is>
      </c>
      <c r="P20" s="35" t="n"/>
    </row>
    <row r="21">
      <c r="A21" s="30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75" t="n"/>
      <c r="K21" s="459" t="n"/>
      <c r="L21" s="33" t="n"/>
      <c r="O21" s="460" t="n">
        <v>0</v>
      </c>
      <c r="P21" s="104" t="inlineStr">
        <is>
          <t>Current Credit Facility Balance</t>
        </is>
      </c>
    </row>
    <row r="22">
      <c r="A22" s="30" t="n"/>
      <c r="B22" s="18" t="n"/>
      <c r="C22" s="18" t="inlineStr">
        <is>
          <t>Least of:</t>
        </is>
      </c>
      <c r="D22" s="18" t="n"/>
      <c r="E22" s="18" t="n"/>
      <c r="F22" s="18" t="n"/>
      <c r="G22" s="18" t="n"/>
      <c r="H22" s="18" t="n"/>
      <c r="I22" s="18" t="n"/>
      <c r="J22" s="75" t="n"/>
      <c r="K22" s="459" t="n"/>
      <c r="L22" s="33" t="n"/>
      <c r="O22" s="42" t="n">
        <v>0</v>
      </c>
      <c r="P22" s="104" t="inlineStr">
        <is>
          <t>Borrowing</t>
        </is>
      </c>
    </row>
    <row r="23">
      <c r="A23" s="30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75" t="n"/>
      <c r="K23" s="459" t="n"/>
      <c r="L23" s="33" t="n"/>
      <c r="O23" s="462">
        <f>SUM(O21:O22)</f>
        <v/>
      </c>
      <c r="P23" s="45" t="inlineStr">
        <is>
          <t>Projected Credit Facility Balance</t>
        </is>
      </c>
    </row>
    <row r="24">
      <c r="A24" s="30" t="n"/>
      <c r="B24" s="39" t="inlineStr">
        <is>
          <t>(A)</t>
        </is>
      </c>
      <c r="C24" s="3" t="n"/>
      <c r="D24" s="30" t="inlineStr">
        <is>
          <t>Facility Amount, less</t>
        </is>
      </c>
      <c r="E24" s="18" t="n"/>
      <c r="F24" s="18" t="n"/>
      <c r="G24" s="18" t="n"/>
      <c r="H24" s="18" t="n"/>
      <c r="I24" s="18" t="n"/>
      <c r="J24" s="75" t="n">
        <v>718000000</v>
      </c>
      <c r="K24" s="465" t="n"/>
      <c r="L24" s="33" t="n"/>
      <c r="O24" s="53" t="n"/>
      <c r="P24" s="62" t="n"/>
    </row>
    <row r="25">
      <c r="A25" s="30" t="n"/>
      <c r="B25" s="39" t="n"/>
      <c r="C25" s="3" t="n"/>
      <c r="D25" s="30" t="inlineStr">
        <is>
          <t>Revolving Exposure, plus</t>
        </is>
      </c>
      <c r="E25" s="18" t="n"/>
      <c r="F25" s="18" t="n"/>
      <c r="G25" s="18" t="n"/>
      <c r="H25" s="18" t="n"/>
      <c r="I25" s="18" t="n"/>
      <c r="J25" s="51">
        <f>'Loan List'!$DF$6</f>
        <v/>
      </c>
      <c r="K25" s="465" t="n"/>
      <c r="L25" s="33" t="n"/>
      <c r="O25" s="55" t="n">
        <v>393842760</v>
      </c>
      <c r="P25" s="62" t="n"/>
    </row>
    <row r="26">
      <c r="A26" s="30" t="n"/>
      <c r="B26" s="39" t="n"/>
      <c r="C26" s="3" t="n"/>
      <c r="D26" s="30" t="inlineStr">
        <is>
          <t>Amount on deposit in the Revolving Reserve Account</t>
        </is>
      </c>
      <c r="E26" s="18" t="n"/>
      <c r="F26" s="18" t="n"/>
      <c r="G26" s="18" t="n"/>
      <c r="H26" s="18" t="n"/>
      <c r="I26" s="18" t="n"/>
      <c r="J26" s="466" t="n">
        <v>0</v>
      </c>
      <c r="K26" s="465" t="n"/>
      <c r="L26" s="33" t="n"/>
      <c r="O26" s="57">
        <f>+J46-O25</f>
        <v/>
      </c>
      <c r="P26" s="62" t="inlineStr">
        <is>
          <t>Check</t>
        </is>
      </c>
    </row>
    <row r="27">
      <c r="A27" s="30" t="n"/>
      <c r="B27" s="39" t="n"/>
      <c r="C27" s="58" t="n"/>
      <c r="D27" s="59" t="n"/>
      <c r="E27" s="60" t="n"/>
      <c r="F27" s="60" t="n"/>
      <c r="G27" s="60" t="n"/>
      <c r="H27" s="60" t="n"/>
      <c r="I27" s="60" t="n"/>
      <c r="J27" s="61">
        <f>J24-J25+J26</f>
        <v/>
      </c>
      <c r="K27" s="465" t="n"/>
      <c r="L27" s="33" t="n"/>
      <c r="O27" s="62" t="n"/>
      <c r="P27" s="62" t="n"/>
    </row>
    <row r="28">
      <c r="A28" s="3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75" t="n"/>
      <c r="K28" s="459" t="n"/>
      <c r="L28" s="33" t="n"/>
      <c r="O28" s="467">
        <f>+J53</f>
        <v/>
      </c>
      <c r="P28" s="62" t="inlineStr">
        <is>
          <t>Equity/Cushion</t>
        </is>
      </c>
    </row>
    <row r="29">
      <c r="A29" s="30" t="n"/>
      <c r="B29" s="39" t="inlineStr">
        <is>
          <t>(B)</t>
        </is>
      </c>
      <c r="C29" s="18" t="inlineStr">
        <is>
          <t>(i)</t>
        </is>
      </c>
      <c r="D29" s="30" t="inlineStr">
        <is>
          <t xml:space="preserve">(x) Borrowing Base, multipled by </t>
        </is>
      </c>
      <c r="E29" s="18" t="n"/>
      <c r="F29" s="18" t="n"/>
      <c r="G29" s="18" t="n"/>
      <c r="H29" s="18" t="n"/>
      <c r="I29" s="18" t="n"/>
      <c r="J29" s="75">
        <f>'Borrowing Base'!J8</f>
        <v/>
      </c>
      <c r="K29" s="64" t="n"/>
      <c r="L29" s="33" t="n"/>
      <c r="O29" s="468">
        <f>+J18</f>
        <v/>
      </c>
      <c r="P29" s="62" t="inlineStr">
        <is>
          <t>Net Penalty</t>
        </is>
      </c>
    </row>
    <row r="30">
      <c r="A30" s="30" t="n"/>
      <c r="B30" s="39" t="n"/>
      <c r="C30" s="18" t="n"/>
      <c r="D30" s="30" t="inlineStr">
        <is>
          <t>(y) Weighted Average Advance Rate, minus</t>
        </is>
      </c>
      <c r="E30" s="18" t="n"/>
      <c r="F30" s="18" t="n"/>
      <c r="G30" s="18" t="n"/>
      <c r="H30" s="18" t="n"/>
      <c r="I30" s="18" t="n"/>
      <c r="J30" s="66">
        <f>'Loan List'!AZ2</f>
        <v/>
      </c>
      <c r="K30" s="461" t="n"/>
      <c r="L30" s="33" t="n"/>
      <c r="O30" s="62" t="n"/>
      <c r="P30" s="62" t="n"/>
    </row>
    <row r="31">
      <c r="A31" s="30" t="n"/>
      <c r="B31" s="39" t="n"/>
      <c r="C31" s="18" t="inlineStr">
        <is>
          <t>(ii)</t>
        </is>
      </c>
      <c r="D31" s="30" t="inlineStr">
        <is>
          <t>Foreign Currency Variability Reserve, minus</t>
        </is>
      </c>
      <c r="E31" s="18" t="n"/>
      <c r="F31" s="18" t="n"/>
      <c r="G31" s="18" t="n"/>
      <c r="H31" s="18" t="n"/>
      <c r="I31" s="18" t="n"/>
      <c r="J31" s="75">
        <f>'Loan List'!DL6</f>
        <v/>
      </c>
      <c r="K31" s="461" t="n"/>
      <c r="L31" s="33" t="n"/>
      <c r="O31" s="68" t="inlineStr">
        <is>
          <t>USD</t>
        </is>
      </c>
      <c r="P31" s="69" t="n"/>
    </row>
    <row r="32">
      <c r="A32" s="30" t="n"/>
      <c r="B32" s="39" t="n"/>
      <c r="C32" s="18" t="inlineStr">
        <is>
          <t>(iii)</t>
        </is>
      </c>
      <c r="D32" s="30" t="inlineStr">
        <is>
          <t>Revolving Exposure, plus</t>
        </is>
      </c>
      <c r="E32" s="18" t="n"/>
      <c r="F32" s="18" t="n"/>
      <c r="G32" s="18" t="n"/>
      <c r="H32" s="18" t="n"/>
      <c r="I32" s="18" t="n"/>
      <c r="J32" s="51">
        <f>'Loan List'!$DF$6</f>
        <v/>
      </c>
      <c r="K32" s="461" t="n"/>
      <c r="L32" s="33" t="n"/>
      <c r="O32" s="70" t="n">
        <v>36200325.22</v>
      </c>
      <c r="P32" s="71" t="inlineStr">
        <is>
          <t>Cash - Current &amp; PreBorrowing</t>
        </is>
      </c>
    </row>
    <row r="33">
      <c r="A33" s="30" t="n"/>
      <c r="B33" s="18" t="n"/>
      <c r="C33" s="18" t="inlineStr">
        <is>
          <t>(iv)</t>
        </is>
      </c>
      <c r="D33" s="30" t="inlineStr">
        <is>
          <t>Cash on deposit in Principal Collection Subaccount</t>
        </is>
      </c>
      <c r="E33" s="18" t="n"/>
      <c r="F33" s="18" t="n"/>
      <c r="G33" s="18" t="n"/>
      <c r="H33" s="18" t="n"/>
      <c r="I33" s="18" t="n"/>
      <c r="J33" s="466" t="n">
        <v>36362716.9041052</v>
      </c>
      <c r="K33" s="469" t="n"/>
      <c r="L33" s="33" t="n"/>
      <c r="O33" s="73" t="n"/>
      <c r="P33" s="104" t="n"/>
    </row>
    <row r="34">
      <c r="A34" s="30" t="n"/>
      <c r="B34" s="18" t="n"/>
      <c r="C34" s="18" t="inlineStr">
        <is>
          <t>(v)</t>
        </is>
      </c>
      <c r="D34" s="30" t="inlineStr">
        <is>
          <t>Amount on deposit in the Revolving Reserve Account</t>
        </is>
      </c>
      <c r="E34" s="18" t="n"/>
      <c r="F34" s="18" t="n"/>
      <c r="G34" s="18" t="n"/>
      <c r="H34" s="18" t="n"/>
      <c r="I34" s="18" t="n"/>
      <c r="J34" s="75">
        <f>J26</f>
        <v/>
      </c>
      <c r="K34" s="469" t="n"/>
      <c r="L34" s="33" t="n"/>
      <c r="O34" s="421">
        <f>SUM(O32:O33)</f>
        <v/>
      </c>
      <c r="P34" s="76" t="inlineStr">
        <is>
          <t>Cash - Budgeted &amp; PostBorrowing</t>
        </is>
      </c>
    </row>
    <row r="35">
      <c r="A35" s="30" t="n"/>
      <c r="B35" s="18" t="n"/>
      <c r="C35" s="60" t="n"/>
      <c r="D35" s="59" t="n"/>
      <c r="E35" s="60" t="n"/>
      <c r="F35" s="60" t="n"/>
      <c r="G35" s="60" t="n"/>
      <c r="H35" s="60" t="n"/>
      <c r="I35" s="60" t="n"/>
      <c r="J35" s="77">
        <f>(J29*J30)-J31-J32+J33+J34</f>
        <v/>
      </c>
      <c r="K35" s="424" t="n"/>
      <c r="L35" s="353" t="n"/>
      <c r="M35" s="13" t="n"/>
      <c r="O35" s="423" t="n"/>
      <c r="P35" s="79" t="n"/>
    </row>
    <row r="36">
      <c r="A36" s="30" t="n"/>
      <c r="B36" s="18" t="n"/>
      <c r="C36" s="18" t="n"/>
      <c r="D36" s="30" t="n"/>
      <c r="E36" s="18" t="n"/>
      <c r="F36" s="18" t="n"/>
      <c r="G36" s="18" t="n"/>
      <c r="H36" s="18" t="n"/>
      <c r="I36" s="18" t="n"/>
      <c r="J36" s="75" t="n"/>
      <c r="K36" s="459" t="n"/>
      <c r="L36" s="33" t="n"/>
      <c r="O36" s="423" t="n"/>
      <c r="P36" s="79" t="n"/>
    </row>
    <row r="37">
      <c r="A37" s="30" t="n"/>
      <c r="B37" s="39" t="inlineStr">
        <is>
          <t>(C)</t>
        </is>
      </c>
      <c r="C37" s="18" t="inlineStr">
        <is>
          <t>(A)</t>
        </is>
      </c>
      <c r="D37" s="30" t="inlineStr">
        <is>
          <t>Aggregate Collateral Balance, minus</t>
        </is>
      </c>
      <c r="E37" s="18" t="n"/>
      <c r="F37" s="18" t="n"/>
      <c r="G37" s="18" t="n"/>
      <c r="H37" s="18" t="n"/>
      <c r="I37" s="18" t="n"/>
      <c r="J37" s="75">
        <f>J10-J14</f>
        <v/>
      </c>
      <c r="K37" s="459" t="n"/>
      <c r="L37" s="33" t="n"/>
      <c r="O37" s="423" t="n"/>
      <c r="P37" s="79" t="n"/>
    </row>
    <row r="38">
      <c r="A38" s="30" t="n"/>
      <c r="B38" s="18" t="n"/>
      <c r="C38" s="18" t="inlineStr">
        <is>
          <t>(B)</t>
        </is>
      </c>
      <c r="D38" s="30" t="inlineStr">
        <is>
          <t>Minimum Equity Amount, plus</t>
        </is>
      </c>
      <c r="E38" s="18" t="n"/>
      <c r="F38" s="18" t="n"/>
      <c r="G38" s="18" t="n"/>
      <c r="H38" s="18" t="n"/>
      <c r="I38" s="18" t="n"/>
      <c r="J38" s="75" t="n">
        <v>116552287.5</v>
      </c>
      <c r="K38" s="459" t="n"/>
      <c r="L38" s="459" t="n"/>
      <c r="O38" s="107" t="n"/>
      <c r="P38" s="79" t="n"/>
    </row>
    <row r="39">
      <c r="A39" s="30" t="n"/>
      <c r="B39" s="39" t="n"/>
      <c r="C39" s="80" t="inlineStr">
        <is>
          <t>(C)</t>
        </is>
      </c>
      <c r="D39" s="30" t="inlineStr">
        <is>
          <t>Cash on deposit in Principal Collection Subaccount</t>
        </is>
      </c>
      <c r="E39" s="18" t="n"/>
      <c r="F39" s="18" t="n"/>
      <c r="G39" s="18" t="n"/>
      <c r="H39" s="18" t="n"/>
      <c r="I39" s="18" t="n"/>
      <c r="J39" s="75">
        <f>J33</f>
        <v/>
      </c>
      <c r="K39" s="459" t="n"/>
      <c r="L39" s="33" t="n"/>
      <c r="O39" s="107" t="n"/>
      <c r="P39" s="79" t="n"/>
    </row>
    <row r="40">
      <c r="A40" s="30" t="n"/>
      <c r="B40" s="18" t="n"/>
      <c r="C40" s="60" t="n"/>
      <c r="D40" s="60" t="n"/>
      <c r="E40" s="60" t="n"/>
      <c r="F40" s="60" t="n"/>
      <c r="G40" s="60" t="n"/>
      <c r="H40" s="60" t="n"/>
      <c r="I40" s="60" t="n"/>
      <c r="J40" s="77">
        <f>J37-J38+J39</f>
        <v/>
      </c>
      <c r="K40" s="459" t="n"/>
      <c r="L40" s="33" t="n"/>
      <c r="O40" s="107" t="n"/>
      <c r="P40" s="79" t="n"/>
      <c r="R40" s="426" t="n"/>
    </row>
    <row r="41">
      <c r="A41" s="3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81" t="n"/>
      <c r="K41" s="459" t="n"/>
      <c r="L41" s="33" t="n"/>
      <c r="O41" s="107" t="n"/>
      <c r="P41" s="79" t="n"/>
    </row>
    <row r="42">
      <c r="A42" s="82" t="inlineStr">
        <is>
          <t>ADVANCES OUTSTANDING</t>
        </is>
      </c>
      <c r="B42" s="82" t="n"/>
      <c r="C42" s="83" t="n"/>
      <c r="D42" s="83" t="n"/>
      <c r="E42" s="83" t="n"/>
      <c r="F42" s="84" t="n"/>
      <c r="G42" s="84" t="n"/>
      <c r="H42" s="84" t="n"/>
      <c r="I42" s="85" t="n"/>
      <c r="J42" s="86" t="n"/>
      <c r="K42" s="459" t="n"/>
      <c r="L42" s="33" t="n"/>
      <c r="O42" s="107" t="n"/>
      <c r="P42" s="79" t="n"/>
    </row>
    <row r="43">
      <c r="A43" s="82" t="n"/>
      <c r="B43" s="82" t="n"/>
      <c r="C43" s="83" t="n"/>
      <c r="D43" s="83" t="n"/>
      <c r="E43" s="83" t="n"/>
      <c r="F43" s="84" t="n"/>
      <c r="G43" s="84" t="n"/>
      <c r="H43" s="84" t="n"/>
      <c r="I43" s="85" t="n"/>
      <c r="J43" s="86" t="n"/>
      <c r="K43" s="459" t="n"/>
      <c r="L43" s="33" t="n"/>
      <c r="O43" s="107" t="n"/>
      <c r="P43" s="79" t="n"/>
    </row>
    <row r="44">
      <c r="A44" s="87" t="inlineStr">
        <is>
          <t>Advances Outstanding at beginning of the Interest Accrual Period</t>
        </is>
      </c>
      <c r="B44" s="87" t="n"/>
      <c r="C44" s="30" t="n"/>
      <c r="D44" s="83" t="n"/>
      <c r="E44" s="30" t="n"/>
      <c r="F44" s="30" t="n"/>
      <c r="G44" s="30" t="n"/>
      <c r="H44" s="30" t="n"/>
      <c r="I44" s="30" t="n"/>
      <c r="J44" s="88" t="n">
        <v>393842760</v>
      </c>
      <c r="K44" s="89" t="n"/>
      <c r="L44" s="33" t="n"/>
      <c r="O44" s="107" t="n"/>
      <c r="P44" s="79" t="n"/>
    </row>
    <row r="45">
      <c r="A45" s="87" t="inlineStr">
        <is>
          <t>Advances/(Repayments) during the period through and including 07/31/2025</t>
        </is>
      </c>
      <c r="B45" s="87" t="n"/>
      <c r="C45" s="30" t="n"/>
      <c r="D45" s="30" t="n"/>
      <c r="E45" s="30" t="n"/>
      <c r="F45" s="30" t="n"/>
      <c r="G45" s="30" t="n"/>
      <c r="H45" s="30" t="n"/>
      <c r="I45" s="30" t="n"/>
      <c r="J45" s="88" t="n">
        <v>0</v>
      </c>
      <c r="K45" s="469" t="n"/>
      <c r="L45" s="33" t="n"/>
      <c r="O45" s="107" t="n"/>
      <c r="P45" s="79" t="n"/>
    </row>
    <row r="46" ht="13.5" customHeight="1" thickBot="1">
      <c r="A46" s="90" t="inlineStr">
        <is>
          <t>Advances Outstanding as of 7/31/25</t>
        </is>
      </c>
      <c r="B46" s="87" t="n"/>
      <c r="C46" s="30" t="n"/>
      <c r="D46" s="30" t="n"/>
      <c r="E46" s="30" t="n"/>
      <c r="F46" s="30" t="n"/>
      <c r="G46" s="30" t="n"/>
      <c r="H46" s="30" t="n"/>
      <c r="I46" s="30" t="n"/>
      <c r="J46" s="91">
        <f>J44+J45</f>
        <v/>
      </c>
      <c r="K46" s="461" t="n"/>
      <c r="L46" s="33" t="n"/>
      <c r="O46" s="107" t="n"/>
      <c r="P46" s="79" t="n"/>
    </row>
    <row r="47" ht="13.5" customHeight="1" thickTop="1">
      <c r="A47" s="3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47" t="n"/>
      <c r="K47" s="461" t="n"/>
      <c r="L47" s="33" t="n"/>
      <c r="O47" s="107" t="n"/>
      <c r="P47" s="79" t="n"/>
    </row>
    <row r="48" ht="15" customHeight="1">
      <c r="A48" s="82" t="inlineStr">
        <is>
          <t>MAXIMUM AVAILABILITY</t>
        </is>
      </c>
      <c r="B48" s="82" t="n"/>
      <c r="C48" s="83" t="n"/>
      <c r="D48" s="83" t="n"/>
      <c r="E48" s="83" t="n"/>
      <c r="F48" s="84" t="n"/>
      <c r="G48" s="84" t="n"/>
      <c r="H48" s="84" t="n"/>
      <c r="I48" s="85" t="n"/>
      <c r="K48" s="470" t="n"/>
      <c r="L48" s="93" t="n"/>
      <c r="O48" s="107" t="n"/>
      <c r="P48" s="79" t="n"/>
    </row>
    <row r="49">
      <c r="A49" s="82" t="n"/>
      <c r="B49" s="82" t="n"/>
      <c r="C49" s="83" t="n"/>
      <c r="D49" s="83" t="n"/>
      <c r="E49" s="83" t="n"/>
      <c r="F49" s="84" t="n"/>
      <c r="G49" s="84" t="n"/>
      <c r="H49" s="84" t="n"/>
      <c r="I49" s="85" t="n"/>
      <c r="J49" s="98" t="n"/>
      <c r="K49" s="64" t="n"/>
      <c r="L49" s="93" t="n"/>
      <c r="O49" s="107" t="n"/>
      <c r="P49" s="79" t="n"/>
    </row>
    <row r="50">
      <c r="A50" s="30" t="n"/>
      <c r="B50" s="39" t="inlineStr">
        <is>
          <t>(a)</t>
        </is>
      </c>
      <c r="C50" s="30" t="inlineStr">
        <is>
          <t>Maximum Available Amount</t>
        </is>
      </c>
      <c r="D50" s="18" t="n"/>
      <c r="E50" s="18" t="n"/>
      <c r="F50" s="18" t="n"/>
      <c r="G50" s="18" t="n"/>
      <c r="H50" s="18" t="n"/>
      <c r="I50" s="18" t="n"/>
      <c r="J50" s="75">
        <f>$J$20</f>
        <v/>
      </c>
      <c r="K50" s="89" t="n"/>
      <c r="L50" s="95" t="n"/>
      <c r="O50" s="107" t="n"/>
      <c r="P50" s="79" t="n"/>
    </row>
    <row r="51">
      <c r="A51" s="30" t="n"/>
      <c r="B51" s="39" t="inlineStr">
        <is>
          <t>(b)</t>
        </is>
      </c>
      <c r="C51" s="30" t="inlineStr">
        <is>
          <t>Advances</t>
        </is>
      </c>
      <c r="D51" s="3" t="n"/>
      <c r="E51" s="18" t="n"/>
      <c r="F51" s="18" t="n"/>
      <c r="G51" s="18" t="n"/>
      <c r="H51" s="18" t="n"/>
      <c r="I51" s="18" t="n"/>
      <c r="J51" s="75">
        <f>J46</f>
        <v/>
      </c>
      <c r="K51" s="89" t="n"/>
      <c r="L51" s="33" t="n"/>
      <c r="O51" s="96">
        <f>SUM(O34:O50)</f>
        <v/>
      </c>
      <c r="P51" s="97" t="inlineStr">
        <is>
          <t>Cash - Net of UnSettled Trades</t>
        </is>
      </c>
    </row>
    <row r="52">
      <c r="A52" s="30" t="n"/>
      <c r="B52" s="39" t="n"/>
      <c r="C52" s="30" t="n"/>
      <c r="D52" s="3" t="n"/>
      <c r="E52" s="18" t="n"/>
      <c r="F52" s="18" t="n"/>
      <c r="G52" s="18" t="n"/>
      <c r="H52" s="18" t="n"/>
      <c r="I52" s="18" t="n"/>
      <c r="J52" s="75" t="n"/>
      <c r="K52" s="89" t="n"/>
      <c r="L52" s="33" t="n"/>
      <c r="O52" s="53" t="n"/>
      <c r="P52" s="62" t="n"/>
    </row>
    <row r="53">
      <c r="A53" s="30" t="inlineStr">
        <is>
          <t>AVAILABILITY - (a) minus (b)</t>
        </is>
      </c>
      <c r="B53" s="30" t="n"/>
      <c r="C53" s="30" t="n"/>
      <c r="D53" s="30" t="n"/>
      <c r="E53" s="30" t="n"/>
      <c r="F53" s="30" t="n"/>
      <c r="G53" s="30" t="n"/>
      <c r="H53" s="30" t="n"/>
      <c r="I53" s="30" t="n"/>
      <c r="J53" s="98">
        <f>J50-J51</f>
        <v/>
      </c>
      <c r="K53" s="98" t="n"/>
      <c r="L53" s="99" t="n"/>
      <c r="O53" s="68" t="inlineStr">
        <is>
          <t>CAD</t>
        </is>
      </c>
      <c r="P53" s="69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98" t="n"/>
      <c r="K54" s="98" t="n"/>
      <c r="L54" s="99" t="n"/>
      <c r="O54" s="102" t="n">
        <v>225112.54</v>
      </c>
      <c r="P54" s="71" t="inlineStr">
        <is>
          <t>Cash - Current &amp; PreBorrowing</t>
        </is>
      </c>
    </row>
    <row r="55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  <c r="J55" s="100" t="n"/>
      <c r="K55" s="86" t="n"/>
      <c r="L55" s="101" t="n"/>
      <c r="O55" s="73" t="n"/>
      <c r="P55" s="104" t="inlineStr">
        <is>
          <t>Borrowing</t>
        </is>
      </c>
    </row>
    <row r="56">
      <c r="A56" s="30" t="inlineStr">
        <is>
          <t>EVENTS OF DEFAULT</t>
        </is>
      </c>
      <c r="B56" s="30" t="n"/>
      <c r="C56" s="30" t="n"/>
      <c r="D56" s="30" t="n"/>
      <c r="E56" s="30" t="n"/>
      <c r="F56" s="30" t="n"/>
      <c r="G56" s="30" t="n"/>
      <c r="H56" s="30" t="n"/>
      <c r="I56" s="30" t="n"/>
      <c r="J56" s="103" t="inlineStr">
        <is>
          <t>PASS</t>
        </is>
      </c>
      <c r="K56" s="18" t="n"/>
      <c r="L56" s="21" t="n"/>
      <c r="O56" s="42" t="n"/>
      <c r="P56" s="105" t="n"/>
    </row>
    <row r="57">
      <c r="A57" s="30" t="inlineStr">
        <is>
          <t>COVERAGE TESTS</t>
        </is>
      </c>
      <c r="B57" s="30" t="n"/>
      <c r="C57" s="30" t="n"/>
      <c r="D57" s="30" t="n"/>
      <c r="E57" s="30" t="n"/>
      <c r="F57" s="30" t="n"/>
      <c r="G57" s="30" t="n"/>
      <c r="H57" s="30" t="n"/>
      <c r="I57" s="30" t="n"/>
      <c r="J57" s="103" t="inlineStr">
        <is>
          <t>PASS</t>
        </is>
      </c>
      <c r="K57" s="18" t="n"/>
      <c r="L57" s="21" t="n"/>
      <c r="O57" s="102">
        <f>SUM(O54:O56)</f>
        <v/>
      </c>
      <c r="P57" s="71" t="inlineStr">
        <is>
          <t>Cash - Budgeted &amp; PostBorrowing</t>
        </is>
      </c>
    </row>
    <row r="58">
      <c r="A58" s="30" t="inlineStr">
        <is>
          <t>PORTFOLIO QUALITY TESTS</t>
        </is>
      </c>
      <c r="B58" s="30" t="n"/>
      <c r="C58" s="3" t="n"/>
      <c r="D58" s="30" t="n"/>
      <c r="E58" s="30" t="n"/>
      <c r="F58" s="30" t="n"/>
      <c r="G58" s="30" t="n"/>
      <c r="H58" s="30" t="n"/>
      <c r="I58" s="30" t="n"/>
      <c r="J58" s="103" t="inlineStr">
        <is>
          <t>PASS</t>
        </is>
      </c>
      <c r="K58" s="18" t="n"/>
      <c r="L58" s="30" t="n"/>
      <c r="O58" s="107" t="n"/>
      <c r="P58" s="104" t="n"/>
    </row>
    <row r="59">
      <c r="A59" s="3" t="n"/>
      <c r="B59" s="3" t="inlineStr">
        <is>
          <t>If not satisfied, improving:</t>
        </is>
      </c>
      <c r="C59" s="3" t="n"/>
      <c r="D59" s="3" t="n"/>
      <c r="E59" s="3" t="n"/>
      <c r="F59" s="3" t="n"/>
      <c r="G59" s="3" t="n"/>
      <c r="H59" s="3" t="n"/>
      <c r="I59" s="3" t="n"/>
      <c r="J59" s="106" t="inlineStr">
        <is>
          <t>Yes</t>
        </is>
      </c>
      <c r="O59" s="96">
        <f>SUM(O57:O58)</f>
        <v/>
      </c>
      <c r="P59" s="97" t="inlineStr">
        <is>
          <t>Cash - Net of UnSettled Trades</t>
        </is>
      </c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108" t="n"/>
      <c r="O60" s="53" t="n"/>
      <c r="P60" s="62" t="n"/>
    </row>
    <row r="61" ht="15" customHeight="1">
      <c r="B61" s="110" t="inlineStr">
        <is>
          <t>IN WITNESS WHEREOF, the undersigned has duly executed this Report.</t>
        </is>
      </c>
      <c r="C61" s="111" t="n"/>
      <c r="D61" s="111" t="n"/>
      <c r="E61" s="111" t="n"/>
      <c r="F61" s="111" t="n"/>
      <c r="G61" s="111" t="n"/>
      <c r="H61" s="3" t="n"/>
      <c r="I61" s="3" t="n"/>
      <c r="O61" s="68" t="inlineStr">
        <is>
          <t>EUR</t>
        </is>
      </c>
      <c r="P61" s="69" t="n"/>
    </row>
    <row r="62">
      <c r="B62" s="112" t="inlineStr">
        <is>
          <t xml:space="preserve">By:  </t>
        </is>
      </c>
      <c r="C62" s="113" t="n"/>
      <c r="D62" s="112" t="n"/>
      <c r="E62" s="113" t="n"/>
      <c r="F62" s="112" t="n"/>
      <c r="G62" s="113" t="n"/>
      <c r="H62" s="3" t="n"/>
      <c r="I62" s="3" t="n"/>
      <c r="O62" s="102" t="n">
        <v>0</v>
      </c>
      <c r="P62" s="71" t="inlineStr">
        <is>
          <t>Cash - Current &amp; PreBorrowing</t>
        </is>
      </c>
    </row>
    <row r="63">
      <c r="B63" s="113" t="n"/>
      <c r="C63" s="113" t="n"/>
      <c r="D63" s="113" t="n"/>
      <c r="E63" s="113" t="n"/>
      <c r="F63" s="113" t="n"/>
      <c r="G63" s="113" t="n"/>
      <c r="H63" s="3" t="n"/>
      <c r="I63" s="3" t="n"/>
      <c r="O63" s="73" t="n"/>
      <c r="P63" s="104" t="inlineStr">
        <is>
          <t>Borrowing</t>
        </is>
      </c>
    </row>
    <row r="64" ht="13.5" customHeight="1" thickBot="1">
      <c r="B64" s="114" t="n"/>
      <c r="C64" s="115" t="n"/>
      <c r="D64" s="114" t="n"/>
      <c r="E64" s="115" t="n"/>
      <c r="F64" s="114" t="n"/>
      <c r="G64" s="115" t="n"/>
      <c r="H64" s="115" t="n"/>
      <c r="I64" s="116" t="n"/>
      <c r="O64" s="42" t="n"/>
      <c r="P64" s="105" t="n"/>
    </row>
    <row r="65">
      <c r="B65" s="113" t="n"/>
      <c r="C65" s="113" t="inlineStr">
        <is>
          <t>Signature</t>
        </is>
      </c>
      <c r="D65" s="113" t="n"/>
      <c r="E65" s="113" t="n"/>
      <c r="F65" s="113" t="n"/>
      <c r="G65" s="113" t="n"/>
      <c r="H65" s="113" t="n"/>
      <c r="I65" s="116" t="n"/>
      <c r="O65" s="102">
        <f>SUM(O62:O64)</f>
        <v/>
      </c>
      <c r="P65" s="71" t="inlineStr">
        <is>
          <t>Cash - Budgeted &amp; PostBorrowing</t>
        </is>
      </c>
    </row>
    <row r="66">
      <c r="B66" s="113" t="n"/>
      <c r="C66" s="113" t="n"/>
      <c r="D66" s="113" t="n"/>
      <c r="E66" s="113" t="n"/>
      <c r="F66" s="113" t="n"/>
      <c r="G66" s="113" t="n"/>
      <c r="H66" s="113" t="n"/>
      <c r="I66" s="116" t="n"/>
      <c r="O66" s="107" t="n"/>
      <c r="P66" s="104" t="n"/>
    </row>
    <row r="67" ht="13.5" customHeight="1" thickBot="1">
      <c r="B67" s="114" t="n"/>
      <c r="C67" s="115" t="inlineStr">
        <is>
          <t>Andrew Jordan</t>
        </is>
      </c>
      <c r="D67" s="114" t="n"/>
      <c r="E67" s="115" t="n"/>
      <c r="F67" s="114" t="n"/>
      <c r="G67" s="115" t="n"/>
      <c r="H67" s="115" t="n"/>
      <c r="I67" s="116" t="n"/>
      <c r="O67" s="96">
        <f>SUM(O65:O66)</f>
        <v/>
      </c>
      <c r="P67" s="97" t="inlineStr">
        <is>
          <t>Cash - Net of UnSettled Trades</t>
        </is>
      </c>
    </row>
    <row r="68">
      <c r="B68" s="113" t="n"/>
      <c r="C68" s="113" t="inlineStr">
        <is>
          <t>(Print Name)</t>
        </is>
      </c>
      <c r="D68" s="113" t="n"/>
      <c r="E68" s="113" t="n"/>
      <c r="F68" s="113" t="n"/>
      <c r="G68" s="113" t="n"/>
      <c r="H68" s="113" t="n"/>
      <c r="I68" s="116" t="n"/>
      <c r="O68" s="53" t="n"/>
      <c r="P68" s="62" t="n"/>
    </row>
    <row r="69">
      <c r="B69" s="113" t="n"/>
      <c r="C69" s="113" t="n"/>
      <c r="D69" s="113" t="n"/>
      <c r="E69" s="113" t="n"/>
      <c r="F69" s="113" t="n"/>
      <c r="G69" s="113" t="n"/>
      <c r="H69" s="113" t="n"/>
      <c r="I69" s="116" t="n"/>
      <c r="O69" s="68" t="inlineStr">
        <is>
          <t>AUD</t>
        </is>
      </c>
      <c r="P69" s="69" t="n"/>
    </row>
    <row r="70" ht="13.5" customHeight="1" thickBot="1">
      <c r="B70" s="114" t="n"/>
      <c r="C70" s="115" t="inlineStr">
        <is>
          <t>Managing Director</t>
        </is>
      </c>
      <c r="D70" s="114" t="n"/>
      <c r="E70" s="115" t="n"/>
      <c r="F70" s="114" t="n"/>
      <c r="G70" s="115" t="n"/>
      <c r="H70" s="115" t="n"/>
      <c r="I70" s="116" t="n"/>
      <c r="O70" s="102" t="n">
        <v>0</v>
      </c>
      <c r="P70" s="71" t="inlineStr">
        <is>
          <t>Cash - Current &amp; PreBorrowing</t>
        </is>
      </c>
    </row>
    <row r="71">
      <c r="B71" s="113" t="n"/>
      <c r="C71" s="113" t="inlineStr">
        <is>
          <t>Title</t>
        </is>
      </c>
      <c r="D71" s="113" t="n"/>
      <c r="E71" s="113" t="n"/>
      <c r="F71" s="113" t="n"/>
      <c r="G71" s="113" t="n"/>
      <c r="H71" s="113" t="n"/>
      <c r="I71" s="116" t="n"/>
      <c r="O71" s="73" t="n"/>
      <c r="P71" s="117" t="inlineStr">
        <is>
          <t>Borrowing</t>
        </is>
      </c>
    </row>
    <row r="72">
      <c r="B72" s="113" t="n"/>
      <c r="C72" s="113" t="n"/>
      <c r="D72" s="113" t="n"/>
      <c r="E72" s="113" t="n"/>
      <c r="F72" s="113" t="n"/>
      <c r="G72" s="113" t="n"/>
      <c r="H72" s="113" t="n"/>
      <c r="I72" s="116" t="n"/>
      <c r="O72" s="119" t="n"/>
      <c r="P72" s="79" t="n"/>
    </row>
    <row r="73" ht="15.75" customHeight="1" thickBot="1">
      <c r="B73" s="114" t="n"/>
      <c r="C73" s="448">
        <f>TODAY()</f>
        <v/>
      </c>
      <c r="D73" s="471" t="n"/>
      <c r="E73" s="471" t="n"/>
      <c r="F73" s="114" t="n"/>
      <c r="G73" s="118" t="n"/>
      <c r="H73" s="118" t="n"/>
      <c r="I73" s="116" t="n"/>
      <c r="O73" s="102">
        <f>SUM(O70:O72)</f>
        <v/>
      </c>
      <c r="P73" s="71" t="inlineStr">
        <is>
          <t>Cash - Budgeted &amp; PostBorrowing</t>
        </is>
      </c>
    </row>
    <row r="74">
      <c r="B74" s="113" t="n"/>
      <c r="C74" s="113" t="inlineStr">
        <is>
          <t>Date</t>
        </is>
      </c>
      <c r="D74" s="113" t="n"/>
      <c r="E74" s="113" t="n"/>
      <c r="F74" s="113" t="n"/>
      <c r="G74" s="113" t="n"/>
      <c r="H74" s="3" t="n"/>
      <c r="I74" s="3" t="n"/>
      <c r="O74" s="119" t="n"/>
      <c r="P74" s="117" t="n"/>
    </row>
    <row r="75">
      <c r="O75" s="96">
        <f>SUM(O73:O74)</f>
        <v/>
      </c>
      <c r="P75" s="97" t="inlineStr">
        <is>
          <t>Cash - Net of UnSettled Trades</t>
        </is>
      </c>
    </row>
  </sheetData>
  <mergeCells count="4">
    <mergeCell ref="C73:E73"/>
    <mergeCell ref="O5:P5"/>
    <mergeCell ref="C13:I13"/>
    <mergeCell ref="A3:J3"/>
  </mergeCells>
  <conditionalFormatting sqref="L53:L54">
    <cfRule type="cellIs" priority="1" operator="equal" dxfId="23" stopIfTrue="1">
      <formula>"CHECK"</formula>
    </cfRule>
    <cfRule type="cellIs" priority="2" operator="equal" dxfId="22" stopIfTrue="1">
      <formula>"OK"</formula>
    </cfRule>
  </conditionalFormatting>
  <dataValidations count="1">
    <dataValidation sqref="J44:J45" showDropDown="0" showInputMessage="1" showErrorMessage="1" allowBlank="1" errorTitle="Input Error" error="Borrowing request must be greater than or equal to $250,000."/>
  </dataValidations>
  <pageMargins left="0.7" right="0.7" top="0.75" bottom="0.75" header="0.3" footer="0.3"/>
  <pageSetup orientation="portrait" scale="69" fitToHeight="0"/>
</worksheet>
</file>

<file path=xl/worksheets/sheet2.xml><?xml version="1.0" encoding="utf-8"?>
<worksheet xmlns="http://schemas.openxmlformats.org/spreadsheetml/2006/main">
  <sheetPr codeName="Sheet3">
    <outlinePr summaryBelow="1" summaryRight="1"/>
    <pageSetUpPr fitToPage="1"/>
  </sheetPr>
  <dimension ref="A1:IE408"/>
  <sheetViews>
    <sheetView showGridLines="0" zoomScale="90" zoomScaleNormal="90" zoomScaleSheetLayoutView="85" workbookViewId="0">
      <pane xSplit="5" ySplit="9" topLeftCell="G10" activePane="bottomRight" state="frozen"/>
      <selection activeCell="J14" sqref="J14"/>
      <selection pane="topRight" activeCell="J14" sqref="J14"/>
      <selection pane="bottomLeft" activeCell="J14" sqref="J14"/>
      <selection pane="bottomRight" activeCell="E9" sqref="E9"/>
    </sheetView>
  </sheetViews>
  <sheetFormatPr baseColWidth="8" defaultRowHeight="15"/>
  <cols>
    <col width="32.28515625" customWidth="1" min="1" max="1"/>
    <col width="10.7109375" customWidth="1" style="140" min="2" max="3"/>
    <col width="40.140625" customWidth="1" style="140" min="4" max="4"/>
    <col width="31.5703125" customWidth="1" style="140" min="5" max="5"/>
    <col hidden="1" outlineLevel="1" width="17.7109375" customWidth="1" style="140" min="6" max="6"/>
    <col collapsed="1" width="18.5703125" customWidth="1" style="133" min="7" max="7"/>
    <col width="17.7109375" customWidth="1" style="133" min="8" max="8"/>
    <col width="16.140625" customWidth="1" style="133" min="9" max="9"/>
    <col width="17.7109375" customWidth="1" style="133" min="10" max="11"/>
    <col width="17.7109375" customWidth="1" style="472" min="12" max="12"/>
    <col width="17.7109375" customWidth="1" style="282" min="13" max="13"/>
    <col width="13.7109375" customWidth="1" style="140" min="14" max="14"/>
    <col width="17.140625" bestFit="1" customWidth="1" style="140" min="15" max="15"/>
    <col width="11" customWidth="1" style="140" min="16" max="17"/>
    <col width="11" customWidth="1" style="282" min="18" max="18"/>
    <col width="11" customWidth="1" style="133" min="19" max="19"/>
    <col width="11" customWidth="1" style="282" min="20" max="22"/>
    <col width="17.7109375" customWidth="1" style="282" min="23" max="23"/>
    <col width="11" customWidth="1" style="133" min="24" max="24"/>
    <col width="13.5703125" customWidth="1" style="140" min="25" max="25"/>
    <col width="11" customWidth="1" style="140" min="26" max="26"/>
    <col width="11" customWidth="1" style="133" min="27" max="32"/>
    <col width="12.85546875" customWidth="1" style="140" min="33" max="33"/>
    <col width="13.7109375" customWidth="1" style="140" min="34" max="34"/>
    <col width="14" customWidth="1" style="140" min="35" max="35"/>
    <col width="13.28515625" customWidth="1" style="140" min="36" max="36"/>
    <col width="14" customWidth="1" style="140" min="37" max="37"/>
    <col width="14.5703125" customWidth="1" style="140" min="38" max="38"/>
    <col width="16.140625" customWidth="1" style="140" min="39" max="39"/>
    <col width="14.85546875" customWidth="1" style="140" min="40" max="40"/>
    <col width="13.28515625" bestFit="1" customWidth="1" style="133" min="41" max="41"/>
    <col width="12.85546875" customWidth="1" style="133" min="42" max="42"/>
    <col width="13.28515625" customWidth="1" style="133" min="43" max="43"/>
    <col width="13.85546875" customWidth="1" style="133" min="44" max="44"/>
    <col width="14.85546875" customWidth="1" style="131" min="45" max="45"/>
    <col width="14.85546875" bestFit="1" customWidth="1" style="131" min="46" max="46"/>
    <col width="12.85546875" bestFit="1" customWidth="1" style="131" min="47" max="47"/>
    <col width="21.7109375" bestFit="1" customWidth="1" style="131" min="48" max="48"/>
    <col width="11" customWidth="1" style="131" min="49" max="50"/>
    <col width="13.28515625" customWidth="1" style="131" min="51" max="51"/>
    <col width="11" customWidth="1" style="131" min="52" max="53"/>
    <col width="14.5703125" customWidth="1" style="131" min="54" max="54"/>
    <col width="16" customWidth="1" style="131" min="55" max="55"/>
    <col width="11" customWidth="1" style="133" min="56" max="56"/>
    <col width="36.85546875" customWidth="1" style="202" min="57" max="57"/>
    <col width="12.42578125" customWidth="1" style="133" min="58" max="58"/>
    <col width="14.140625" bestFit="1" customWidth="1" style="133" min="59" max="59"/>
    <col width="11" customWidth="1" style="133" min="60" max="64"/>
    <col width="11" customWidth="1" style="140" min="65" max="65"/>
    <col width="11" customWidth="1" style="133" min="66" max="67"/>
    <col width="11" customWidth="1" style="140" min="68" max="70"/>
    <col width="11" customWidth="1" style="133" min="71" max="71"/>
    <col width="11" customWidth="1" style="140" min="72" max="72"/>
    <col width="11" customWidth="1" style="133" min="73" max="73"/>
    <col width="11" customWidth="1" style="140" min="74" max="76"/>
    <col width="18" customWidth="1" style="133" min="77" max="77"/>
    <col width="11" customWidth="1" style="133" min="78" max="79"/>
    <col width="14.140625" customWidth="1" style="133" min="80" max="80"/>
    <col width="13.7109375" customWidth="1" style="133" min="81" max="81"/>
    <col width="2.28515625" customWidth="1" style="133" min="82" max="82"/>
    <col outlineLevel="1" width="11" customWidth="1" style="133" min="83" max="107"/>
    <col width="18.140625" bestFit="1" customWidth="1" style="133" min="108" max="108"/>
    <col width="17.28515625" customWidth="1" style="133" min="109" max="109"/>
    <col width="15.28515625" customWidth="1" style="133" min="110" max="116"/>
    <col outlineLevel="2" width="8.140625" bestFit="1" customWidth="1" style="133" min="117" max="117"/>
    <col outlineLevel="2" width="15.7109375" customWidth="1" style="140" min="118" max="118"/>
    <col outlineLevel="2" width="15.7109375" customWidth="1" style="283" min="119" max="119"/>
    <col outlineLevel="2" width="15.7109375" customWidth="1" style="140" min="120" max="123"/>
    <col outlineLevel="2" width="15.7109375" customWidth="1" style="283" min="124" max="124"/>
    <col outlineLevel="2" width="15.7109375" customWidth="1" style="140" min="125" max="126"/>
    <col outlineLevel="2" width="15.7109375" customWidth="1" style="283" min="127" max="127"/>
    <col outlineLevel="2" width="15.7109375" customWidth="1" style="140" min="128" max="132"/>
    <col outlineLevel="2" width="15.7109375" customWidth="1" style="283" min="133" max="133"/>
    <col outlineLevel="2" width="15.7109375" customWidth="1" style="140" min="134" max="136"/>
    <col outlineLevel="2" width="15.7109375" customWidth="1" style="283" min="137" max="137"/>
    <col outlineLevel="2" width="15.7109375" customWidth="1" style="140" min="138" max="138"/>
    <col outlineLevel="2" width="15.7109375" customWidth="1" style="283" min="139" max="139"/>
    <col outlineLevel="2" width="15.7109375" customWidth="1" style="140" min="140" max="144"/>
    <col outlineLevel="2" width="15.7109375" customWidth="1" style="283" min="145" max="145"/>
    <col outlineLevel="2" width="15.7109375" customWidth="1" style="140" min="146" max="184"/>
    <col outlineLevel="1" width="15.7109375" customWidth="1" style="140" min="185" max="185"/>
    <col outlineLevel="1" width="25.7109375" customWidth="1" style="140" min="186" max="186"/>
    <col outlineLevel="1" width="8.85546875" customWidth="1" style="140" min="187" max="187"/>
    <col outlineLevel="1" width="15.28515625" customWidth="1" style="140" min="188" max="188"/>
    <col outlineLevel="1" width="17.85546875" customWidth="1" style="140" min="189" max="189"/>
    <col outlineLevel="1" width="13.140625" customWidth="1" style="136" min="190" max="190"/>
    <col outlineLevel="1" width="17.85546875" customWidth="1" style="136" min="191" max="191"/>
    <col outlineLevel="1" width="12" customWidth="1" style="136" min="192" max="192"/>
    <col outlineLevel="1" width="16.42578125" customWidth="1" style="136" min="193" max="193"/>
    <col outlineLevel="1" width="10.42578125" customWidth="1" style="136" min="194" max="195"/>
    <col outlineLevel="1" width="2.42578125" customWidth="1" min="196" max="196"/>
    <col outlineLevel="1" width="8.5703125" customWidth="1" style="136" min="197" max="197"/>
    <col outlineLevel="1" width="17.28515625" customWidth="1" style="140" min="198" max="198"/>
    <col outlineLevel="1" width="13.140625" customWidth="1" style="136" min="199" max="199"/>
    <col outlineLevel="1" width="17.28515625" customWidth="1" style="136" min="200" max="200"/>
    <col outlineLevel="1" width="12" customWidth="1" style="136" min="201" max="201"/>
    <col outlineLevel="1" width="16.42578125" customWidth="1" style="136" min="202" max="202"/>
    <col outlineLevel="1" width="9.140625" customWidth="1" style="136" min="203" max="203"/>
    <col outlineLevel="1" width="11" customWidth="1" style="136" min="204" max="205"/>
    <col outlineLevel="1" width="8.5703125" customWidth="1" style="136" min="206" max="206"/>
    <col outlineLevel="1" width="17.28515625" customWidth="1" style="140" min="207" max="207"/>
    <col outlineLevel="1" width="13.140625" customWidth="1" style="136" min="208" max="208"/>
    <col outlineLevel="1" width="17.28515625" customWidth="1" style="136" min="209" max="209"/>
    <col outlineLevel="1" width="12" customWidth="1" style="136" min="210" max="210"/>
    <col outlineLevel="1" width="16.42578125" customWidth="1" style="136" min="211" max="211"/>
    <col outlineLevel="1" width="9.140625" customWidth="1" style="136" min="212" max="212"/>
    <col outlineLevel="1" width="11" customWidth="1" style="136" min="213" max="213"/>
    <col outlineLevel="1" width="2.42578125" customWidth="1" style="136" min="214" max="214"/>
    <col outlineLevel="1" width="17.28515625" customWidth="1" style="140" min="215" max="215"/>
    <col outlineLevel="1" width="24.140625" customWidth="1" style="140" min="216" max="216"/>
    <col outlineLevel="1" width="20.28515625" customWidth="1" style="140" min="217" max="217"/>
    <col outlineLevel="1" width="2.42578125" customWidth="1" style="140" min="218" max="218"/>
    <col outlineLevel="1" width="8.5703125" customWidth="1" style="136" min="219" max="219"/>
    <col outlineLevel="1" width="17.28515625" customWidth="1" style="140" min="220" max="220"/>
    <col outlineLevel="1" width="2.42578125" customWidth="1" style="140" min="221" max="221"/>
    <col outlineLevel="1" width="15.28515625" customWidth="1" style="140" min="222" max="223"/>
    <col outlineLevel="1" width="14.5703125" customWidth="1" style="53" min="224" max="229"/>
    <col outlineLevel="1" width="15.28515625" customWidth="1" style="53" min="230" max="231"/>
    <col outlineLevel="1" width="14.5703125" customWidth="1" style="53" min="232" max="234"/>
    <col outlineLevel="1" width="14.28515625" customWidth="1" style="53" min="235" max="235"/>
    <col outlineLevel="1" width="8.7109375" customWidth="1" style="202" min="236" max="236"/>
    <col outlineLevel="1" width="9.140625" customWidth="1" min="237" max="237"/>
    <col width="26.28515625" bestFit="1" customWidth="1" style="350" min="239" max="239"/>
  </cols>
  <sheetData>
    <row r="1" ht="18" customHeight="1">
      <c r="B1" s="120">
        <f>'Borrowing Base'!A1</f>
        <v/>
      </c>
      <c r="C1" s="121" t="n"/>
      <c r="D1" s="121" t="n"/>
      <c r="E1" s="121" t="n"/>
      <c r="F1" s="121" t="n"/>
      <c r="G1" s="122" t="n"/>
      <c r="H1" s="121" t="n"/>
      <c r="I1" s="121" t="n"/>
      <c r="J1" s="473" t="n"/>
      <c r="K1" s="121" t="n"/>
      <c r="L1" s="124" t="n"/>
      <c r="M1" s="125" t="n"/>
      <c r="N1" s="121" t="n"/>
      <c r="O1" s="121" t="n"/>
      <c r="P1" s="121" t="n"/>
      <c r="Q1" s="121" t="n"/>
      <c r="R1" s="125" t="n"/>
      <c r="S1" s="126" t="n"/>
      <c r="T1" s="125" t="n"/>
      <c r="U1" s="125" t="n"/>
      <c r="V1" s="125" t="n"/>
      <c r="W1" s="125" t="n"/>
      <c r="X1" s="126" t="n"/>
      <c r="Y1" s="121" t="n"/>
      <c r="Z1" s="121" t="n"/>
      <c r="AA1" s="127" t="n"/>
      <c r="AB1" s="127" t="n"/>
      <c r="AC1" s="127" t="n"/>
      <c r="AD1" s="127" t="n"/>
      <c r="AE1" s="127" t="n"/>
      <c r="AF1" s="127" t="n"/>
      <c r="AG1" s="128" t="inlineStr">
        <is>
          <t>20% Conc. Limit</t>
        </is>
      </c>
      <c r="AH1" s="129" t="n"/>
      <c r="AI1" s="130" t="n"/>
      <c r="AJ1" s="474" t="inlineStr">
        <is>
          <t>Level 1 - 10% Haircut</t>
        </is>
      </c>
      <c r="AK1" s="475" t="n"/>
      <c r="AL1" s="476" t="n"/>
      <c r="AM1" s="474" t="inlineStr">
        <is>
          <t>Level 2 - 20% Haircut</t>
        </is>
      </c>
      <c r="AN1" s="475" t="n"/>
      <c r="AO1" s="476" t="n"/>
      <c r="AP1" s="474" t="inlineStr">
        <is>
          <t>Level 3 - 35% Haircut</t>
        </is>
      </c>
      <c r="AQ1" s="475" t="n"/>
      <c r="AR1" s="476" t="n"/>
      <c r="AS1" s="474" t="inlineStr">
        <is>
          <t>Level 4 - Max Eligibility - 50% Haircut</t>
        </is>
      </c>
      <c r="AT1" s="475" t="n"/>
      <c r="AU1" s="476" t="n"/>
      <c r="AV1" s="126" t="n"/>
      <c r="AW1" s="126" t="n"/>
      <c r="AX1" s="126" t="n"/>
      <c r="AY1" s="126" t="n"/>
      <c r="AZ1" s="126" t="n"/>
      <c r="BA1" s="126" t="n"/>
      <c r="BB1" s="126" t="n"/>
      <c r="BC1" s="126" t="n"/>
      <c r="BD1" s="131" t="n"/>
      <c r="BE1" s="126" t="n"/>
      <c r="BF1" s="126" t="n"/>
      <c r="BG1" s="126" t="n"/>
      <c r="BH1" s="126" t="n"/>
      <c r="BI1" s="126" t="n"/>
      <c r="BJ1" s="126" t="n"/>
      <c r="BK1" s="126" t="n"/>
      <c r="BL1" s="126" t="n"/>
      <c r="BM1" s="126" t="n"/>
      <c r="BN1" s="126" t="n"/>
      <c r="BO1" s="126" t="n"/>
      <c r="BP1" s="126" t="n"/>
      <c r="BQ1" s="126" t="n"/>
      <c r="BR1" s="126" t="n"/>
      <c r="BS1" s="126" t="n"/>
      <c r="BT1" s="126" t="n"/>
      <c r="BU1" s="126" t="n"/>
      <c r="BV1" s="126" t="n"/>
      <c r="BW1" s="126" t="n"/>
      <c r="BX1" s="126" t="n"/>
      <c r="BY1" s="126" t="n"/>
      <c r="BZ1" s="126" t="n"/>
      <c r="CA1" s="126" t="n"/>
      <c r="CB1" s="126" t="n"/>
      <c r="CC1" s="126" t="n"/>
      <c r="CD1" s="126" t="n"/>
      <c r="CE1" s="126" t="n"/>
      <c r="CF1" s="126" t="n"/>
      <c r="CG1" s="126" t="n"/>
      <c r="CH1" s="126" t="n"/>
      <c r="CI1" s="126" t="n"/>
      <c r="CJ1" s="126" t="n"/>
      <c r="CK1" s="126" t="n"/>
      <c r="CL1" s="126" t="n"/>
      <c r="CM1" s="126" t="n"/>
      <c r="CN1" s="126" t="n"/>
      <c r="CO1" s="126" t="n"/>
      <c r="CP1" s="126" t="n"/>
      <c r="CQ1" s="126" t="n"/>
      <c r="CR1" s="126" t="n"/>
      <c r="CS1" s="126" t="n"/>
      <c r="CT1" s="126" t="n"/>
      <c r="CU1" s="126" t="n"/>
      <c r="CV1" s="126" t="n"/>
      <c r="CW1" s="126" t="n"/>
      <c r="CX1" s="132" t="n"/>
      <c r="DC1" s="132" t="n"/>
      <c r="DD1" s="134" t="n"/>
      <c r="DE1" s="134" t="n"/>
      <c r="DF1" s="134" t="n"/>
      <c r="DG1" s="134" t="n"/>
      <c r="DH1" s="134" t="n"/>
      <c r="DI1" s="134" t="n"/>
      <c r="DJ1" s="134" t="n"/>
      <c r="DK1" s="134" t="n"/>
      <c r="DL1" s="134" t="n"/>
      <c r="DM1" s="132" t="n"/>
      <c r="DN1" s="135" t="n"/>
      <c r="DO1" s="136" t="n"/>
      <c r="DP1" s="136" t="n"/>
      <c r="DQ1" s="136" t="n"/>
      <c r="DR1" s="136" t="n"/>
      <c r="DS1" s="136" t="n"/>
      <c r="DT1" s="349" t="n"/>
      <c r="DU1" s="136" t="n"/>
      <c r="DV1" s="136" t="n"/>
      <c r="DW1" s="135" t="n"/>
      <c r="DX1" s="136" t="n"/>
      <c r="DY1" s="136" t="n"/>
      <c r="DZ1" s="135" t="n"/>
      <c r="EA1" s="136" t="n"/>
      <c r="EB1" s="136" t="n"/>
      <c r="EC1" s="135" t="n"/>
      <c r="ED1" s="136" t="n"/>
      <c r="EE1" s="136" t="n"/>
      <c r="EF1" s="135" t="n"/>
      <c r="EG1" s="136" t="n"/>
      <c r="EH1" s="136" t="n"/>
      <c r="EI1" s="135" t="n"/>
      <c r="EJ1" s="136" t="n"/>
      <c r="EK1" s="136" t="n"/>
      <c r="EL1" s="135" t="n"/>
      <c r="EM1" s="137" t="n"/>
      <c r="EN1" s="137" t="n"/>
      <c r="EO1" s="135" t="n"/>
      <c r="EP1" s="136" t="n"/>
      <c r="EQ1" s="136" t="n"/>
      <c r="ER1" s="135" t="n"/>
      <c r="ES1" s="137" t="n"/>
      <c r="ET1" s="137" t="n"/>
      <c r="EU1" s="137" t="n"/>
      <c r="EV1" s="137" t="n"/>
      <c r="EW1" s="137" t="n"/>
      <c r="EX1" s="137" t="n"/>
      <c r="EY1" s="137" t="n"/>
      <c r="EZ1" s="137" t="n"/>
      <c r="FA1" s="135" t="n"/>
      <c r="FB1" s="137" t="n"/>
      <c r="FC1" s="137" t="n"/>
      <c r="FD1" s="136" t="n"/>
      <c r="FE1" s="136" t="n"/>
      <c r="FF1" s="136" t="n"/>
      <c r="FG1" s="138" t="n"/>
      <c r="FH1" s="136" t="n"/>
      <c r="FI1" s="136" t="n"/>
      <c r="FJ1" s="138" t="n"/>
      <c r="FK1" s="136" t="n"/>
      <c r="FL1" s="136" t="n"/>
      <c r="FM1" s="136" t="n"/>
      <c r="FN1" s="136" t="n"/>
      <c r="FO1" s="136" t="n"/>
      <c r="FP1" s="135" t="n"/>
      <c r="FQ1" s="137" t="n"/>
      <c r="FR1" s="137" t="n"/>
      <c r="FS1" s="135" t="n"/>
      <c r="FT1" s="137" t="n"/>
      <c r="FU1" s="137" t="n"/>
      <c r="FV1" s="349" t="n"/>
      <c r="GB1" s="10" t="n"/>
      <c r="GC1" s="136" t="n"/>
      <c r="GD1" s="136" t="n"/>
      <c r="GE1" s="136" t="n"/>
      <c r="GF1" s="136" t="n"/>
      <c r="GG1" s="23" t="n"/>
      <c r="GH1" s="132" t="inlineStr">
        <is>
          <t>No of Industry</t>
        </is>
      </c>
      <c r="GI1" s="139" t="inlineStr">
        <is>
          <t>Limit</t>
        </is>
      </c>
      <c r="GJ1" s="139" t="inlineStr">
        <is>
          <t>Limit $</t>
        </is>
      </c>
      <c r="GP1" s="136" t="n"/>
      <c r="GQ1" s="132" t="inlineStr">
        <is>
          <t>No of Obligor</t>
        </is>
      </c>
      <c r="GR1" s="139" t="inlineStr">
        <is>
          <t>Limit %</t>
        </is>
      </c>
      <c r="GS1" s="139" t="inlineStr">
        <is>
          <t>Limit $</t>
        </is>
      </c>
      <c r="GY1" s="136" t="n"/>
      <c r="GZ1" s="132" t="inlineStr">
        <is>
          <t>No of Obligor</t>
        </is>
      </c>
      <c r="HA1" s="139" t="inlineStr">
        <is>
          <t>Limit %</t>
        </is>
      </c>
      <c r="HB1" s="139" t="inlineStr">
        <is>
          <t>Limit $</t>
        </is>
      </c>
      <c r="HC1" s="139" t="inlineStr">
        <is>
          <t>Total Excess</t>
        </is>
      </c>
      <c r="HG1" s="136" t="n"/>
      <c r="HH1" s="136" t="n"/>
      <c r="HI1" s="136" t="n"/>
      <c r="HJ1" s="136" t="n"/>
      <c r="HL1" s="136" t="n"/>
      <c r="HM1" s="136" t="n"/>
      <c r="HN1" s="121" t="n"/>
      <c r="HS1" s="20" t="n"/>
      <c r="IB1" s="121" t="n"/>
    </row>
    <row r="2" ht="15.75" customHeight="1">
      <c r="B2" s="141" t="inlineStr">
        <is>
          <t>Loan List</t>
        </is>
      </c>
      <c r="C2" s="121" t="n"/>
      <c r="D2" s="121" t="n"/>
      <c r="E2" s="121" t="n"/>
      <c r="F2" s="121" t="n"/>
      <c r="G2" s="122" t="n"/>
      <c r="H2" s="121" t="n"/>
      <c r="I2" s="121" t="n"/>
      <c r="J2" s="477" t="n"/>
      <c r="K2" s="121" t="n"/>
      <c r="L2" s="124" t="n"/>
      <c r="M2" s="143" t="n"/>
      <c r="N2" s="121" t="n"/>
      <c r="O2" s="121" t="n"/>
      <c r="P2" s="121" t="n"/>
      <c r="Q2" s="121" t="n"/>
      <c r="R2" s="143" t="n"/>
      <c r="S2" s="143" t="n"/>
      <c r="T2" s="143" t="n"/>
      <c r="U2" s="143" t="n"/>
      <c r="V2" s="143" t="n"/>
      <c r="W2" s="143" t="n"/>
      <c r="X2" s="143" t="n"/>
      <c r="Y2" s="143" t="n"/>
      <c r="Z2" s="121" t="n"/>
      <c r="AA2" s="127" t="n"/>
      <c r="AB2" s="127" t="n"/>
      <c r="AC2" s="127" t="n"/>
      <c r="AD2" s="127" t="n"/>
      <c r="AE2" s="127" t="n"/>
      <c r="AF2" s="127" t="n"/>
      <c r="AG2" s="144" t="inlineStr">
        <is>
          <t>Tier 1 Obligor</t>
        </is>
      </c>
      <c r="AH2" s="127" t="inlineStr">
        <is>
          <t>Tier 2 Obligor</t>
        </is>
      </c>
      <c r="AI2" s="145" t="inlineStr">
        <is>
          <t>Tier 3 Obligor</t>
        </is>
      </c>
      <c r="AJ2" s="144" t="inlineStr">
        <is>
          <t>Tier 1 Obligor</t>
        </is>
      </c>
      <c r="AK2" s="127" t="inlineStr">
        <is>
          <t>Tier 2 Obligor</t>
        </is>
      </c>
      <c r="AL2" s="145" t="inlineStr">
        <is>
          <t>Tier 3 Obligor</t>
        </is>
      </c>
      <c r="AM2" s="144" t="inlineStr">
        <is>
          <t>Tier 1 Obligor</t>
        </is>
      </c>
      <c r="AN2" s="127" t="inlineStr">
        <is>
          <t>Tier 2 Obligor</t>
        </is>
      </c>
      <c r="AO2" s="145" t="inlineStr">
        <is>
          <t>Tier 3 Obligor</t>
        </is>
      </c>
      <c r="AP2" s="144" t="inlineStr">
        <is>
          <t>Tier 1 Obligor</t>
        </is>
      </c>
      <c r="AQ2" s="127" t="inlineStr">
        <is>
          <t>Tier 2 Obligor</t>
        </is>
      </c>
      <c r="AR2" s="145" t="inlineStr">
        <is>
          <t>Tier 3 Obligor</t>
        </is>
      </c>
      <c r="AS2" s="144" t="inlineStr">
        <is>
          <t>Tier 1 Obligor</t>
        </is>
      </c>
      <c r="AT2" s="127" t="inlineStr">
        <is>
          <t>Tier 2 Obligor</t>
        </is>
      </c>
      <c r="AU2" s="145" t="inlineStr">
        <is>
          <t>Tier 3 Obligor</t>
        </is>
      </c>
      <c r="AV2" s="147" t="n"/>
      <c r="AW2" s="147" t="n"/>
      <c r="AX2" s="143" t="n"/>
      <c r="AY2" s="146" t="inlineStr">
        <is>
          <t>Weighted Average Advance Rate:</t>
        </is>
      </c>
      <c r="AZ2" s="147">
        <f>SUMPRODUCT(($GB10:$GB406&gt;0)*$GB10:$GB406*$V10:$V406)/SUMPRODUCT(($GB10:$GB406&gt;0)*$GB10:$GB406)</f>
        <v/>
      </c>
      <c r="BA2" s="127" t="n"/>
      <c r="BB2" s="127" t="n"/>
      <c r="BC2" s="127" t="n"/>
      <c r="BD2" s="143" t="n"/>
      <c r="BH2" s="143" t="n"/>
      <c r="BI2" s="143" t="n"/>
      <c r="BJ2" s="143" t="n"/>
      <c r="BK2" s="143" t="n"/>
      <c r="BL2" s="143" t="n"/>
      <c r="BM2" s="143" t="n"/>
      <c r="BN2" s="143" t="n"/>
      <c r="BO2" s="143" t="n"/>
      <c r="BP2" s="143" t="n"/>
      <c r="BQ2" s="143" t="n"/>
      <c r="BR2" s="143" t="n"/>
      <c r="BS2" s="143" t="n"/>
      <c r="BT2" s="143" t="n"/>
      <c r="BU2" s="143" t="n"/>
      <c r="BV2" s="143" t="n"/>
      <c r="BW2" s="143" t="n"/>
      <c r="BX2" s="143" t="n"/>
      <c r="BY2" s="143" t="n"/>
      <c r="BZ2" s="143" t="n"/>
      <c r="CA2" s="143" t="n"/>
      <c r="CB2" s="143" t="n"/>
      <c r="CC2" s="143" t="n"/>
      <c r="CD2" s="143" t="n"/>
      <c r="CE2" s="143" t="n"/>
      <c r="CF2" s="143" t="n"/>
      <c r="CG2" s="143" t="n"/>
      <c r="CH2" s="143" t="n"/>
      <c r="CI2" s="143" t="n"/>
      <c r="CJ2" s="143" t="n"/>
      <c r="CK2" s="143" t="n"/>
      <c r="CL2" s="143" t="n"/>
      <c r="CM2" s="143" t="n"/>
      <c r="CN2" s="143" t="n"/>
      <c r="CO2" s="143" t="n"/>
      <c r="CP2" s="143" t="n"/>
      <c r="CQ2" s="143" t="n"/>
      <c r="CR2" s="143" t="n"/>
      <c r="CS2" s="143" t="n"/>
      <c r="CT2" s="143" t="n"/>
      <c r="CU2" s="143" t="n"/>
      <c r="CV2" s="143" t="n"/>
      <c r="CW2" s="143" t="n"/>
      <c r="CX2" s="132" t="n"/>
      <c r="CY2" s="136" t="n"/>
      <c r="CZ2" s="136" t="n"/>
      <c r="DA2" s="136" t="n"/>
      <c r="DB2" s="136" t="n"/>
      <c r="DC2" s="132" t="n"/>
      <c r="DD2" s="134" t="n"/>
      <c r="DE2" s="134" t="n"/>
      <c r="DF2" s="134" t="n"/>
      <c r="DG2" s="134" t="n"/>
      <c r="DH2" s="134" t="n"/>
      <c r="DI2" s="148" t="n"/>
      <c r="DJ2" s="134" t="n"/>
      <c r="DK2" s="148" t="n"/>
      <c r="DL2" s="148" t="n"/>
      <c r="DM2" s="132" t="inlineStr">
        <is>
          <t>Limit %</t>
        </is>
      </c>
      <c r="DN2" s="149" t="n">
        <v>0.15</v>
      </c>
      <c r="DO2" s="136" t="n"/>
      <c r="DP2" s="136" t="n"/>
      <c r="DQ2" s="149" t="n">
        <v>0.1</v>
      </c>
      <c r="DR2" s="136" t="n"/>
      <c r="DS2" s="136" t="n"/>
      <c r="DT2" s="149" t="n">
        <v>0.05</v>
      </c>
      <c r="DU2" s="138" t="n"/>
      <c r="DV2" s="136" t="n"/>
      <c r="DW2" s="149" t="n">
        <v>0.15</v>
      </c>
      <c r="DX2" s="136" t="n"/>
      <c r="DY2" s="136" t="n"/>
      <c r="DZ2" s="149" t="n">
        <v>0.1</v>
      </c>
      <c r="EA2" s="136" t="n"/>
      <c r="EB2" s="136" t="n"/>
      <c r="EC2" s="149" t="n">
        <v>0.15</v>
      </c>
      <c r="ED2" s="136" t="n"/>
      <c r="EE2" s="136" t="n"/>
      <c r="EF2" s="149" t="n">
        <v>0.1</v>
      </c>
      <c r="EG2" s="136" t="n"/>
      <c r="EH2" s="136" t="n"/>
      <c r="EI2" s="149" t="n">
        <v>0.25</v>
      </c>
      <c r="EJ2" s="136" t="n"/>
      <c r="EK2" s="136" t="n"/>
      <c r="EL2" s="149" t="n">
        <v>0.1</v>
      </c>
      <c r="EM2" s="137" t="n"/>
      <c r="EN2" s="136" t="n"/>
      <c r="EO2" s="149" t="n">
        <v>0.03</v>
      </c>
      <c r="EP2" s="136" t="n"/>
      <c r="EQ2" s="136" t="n"/>
      <c r="ER2" s="149" t="n">
        <v>0.15</v>
      </c>
      <c r="ES2" s="137" t="n"/>
      <c r="ET2" s="136" t="n"/>
      <c r="EU2" s="149" t="n">
        <v>0.05</v>
      </c>
      <c r="EV2" s="137" t="n"/>
      <c r="EW2" s="136" t="n"/>
      <c r="EX2" s="149" t="n">
        <v>0.15</v>
      </c>
      <c r="EY2" s="137" t="n"/>
      <c r="EZ2" s="136" t="n"/>
      <c r="FA2" s="149" t="n">
        <v>0.1</v>
      </c>
      <c r="FB2" s="137" t="n"/>
      <c r="FC2" s="136" t="n"/>
      <c r="FD2" s="149" t="n">
        <v>0.15</v>
      </c>
      <c r="FE2" s="136" t="n"/>
      <c r="FF2" s="136" t="n"/>
      <c r="FG2" s="136" t="n"/>
      <c r="FH2" s="136" t="n"/>
      <c r="FI2" s="136" t="n"/>
      <c r="FJ2" s="136" t="n"/>
      <c r="FK2" s="136" t="n"/>
      <c r="FL2" s="136" t="n"/>
      <c r="FM2" s="136" t="n"/>
      <c r="FN2" s="136" t="n"/>
      <c r="FO2" s="136" t="n"/>
      <c r="FP2" s="149" t="n">
        <v>0.05</v>
      </c>
      <c r="FQ2" s="478" t="n"/>
      <c r="FR2" s="136" t="n"/>
      <c r="FS2" s="149" t="n">
        <v>0.2</v>
      </c>
      <c r="FT2" s="478" t="n"/>
      <c r="FU2" s="136" t="n"/>
      <c r="FV2" s="149" t="n">
        <v>0.2</v>
      </c>
      <c r="FW2" s="138" t="n"/>
      <c r="FX2" s="138" t="n"/>
      <c r="FY2" s="138" t="n"/>
      <c r="FZ2" s="137" t="n"/>
      <c r="GA2" s="136" t="n"/>
      <c r="GB2" s="136" t="n"/>
      <c r="GC2" s="136" t="n"/>
      <c r="GD2" s="136" t="n"/>
      <c r="GE2" s="136" t="n"/>
      <c r="GF2" s="136" t="n"/>
      <c r="GG2" s="138" t="n"/>
      <c r="GH2" s="151" t="n">
        <v>1</v>
      </c>
      <c r="GI2" s="149" t="n">
        <v>0.25</v>
      </c>
      <c r="GJ2" s="479">
        <f>'Borrowing Base'!J5*GI2</f>
        <v/>
      </c>
      <c r="GP2" s="138" t="n"/>
      <c r="GQ2" s="151" t="n">
        <v>3</v>
      </c>
      <c r="GR2" s="149" t="n">
        <v>0.06666666</v>
      </c>
      <c r="GS2" s="479">
        <f>'Borrowing Base'!J5*GR2</f>
        <v/>
      </c>
      <c r="GY2" s="138" t="n"/>
      <c r="GZ2" s="151" t="n">
        <v>5</v>
      </c>
      <c r="HA2" s="149" t="n">
        <v>0.3</v>
      </c>
      <c r="HB2" s="479">
        <f>HA2*'Borrowing Base'!J5</f>
        <v/>
      </c>
      <c r="HC2" s="479">
        <f>MAX(0,SUM(HA10:HA11)-HB2)</f>
        <v/>
      </c>
      <c r="HG2" s="136" t="n"/>
      <c r="HH2" s="136" t="n"/>
      <c r="HI2" s="136" t="n"/>
      <c r="HJ2" s="136" t="n"/>
      <c r="HL2" s="136" t="n"/>
      <c r="HM2" s="136" t="n"/>
      <c r="HS2" s="20" t="n"/>
      <c r="IB2" s="121" t="n"/>
    </row>
    <row r="3" ht="15.75" customHeight="1">
      <c r="B3" s="141" t="inlineStr">
        <is>
          <t>Loan Portfolio as of: July 31, 2025</t>
        </is>
      </c>
      <c r="C3" s="121" t="n"/>
      <c r="D3" s="121" t="n"/>
      <c r="E3" s="121" t="n"/>
      <c r="F3" s="121" t="n"/>
      <c r="G3" s="122" t="n"/>
      <c r="H3" s="121" t="n"/>
      <c r="I3" s="121" t="n"/>
      <c r="J3" s="153" t="n"/>
      <c r="K3" s="121" t="n"/>
      <c r="L3" s="124" t="n"/>
      <c r="M3" s="480" t="n"/>
      <c r="N3" s="121" t="n"/>
      <c r="O3" s="121" t="n"/>
      <c r="P3" s="121" t="n"/>
      <c r="Q3" s="121" t="n"/>
      <c r="R3" s="143" t="n"/>
      <c r="S3" s="143" t="n"/>
      <c r="T3" s="143" t="n"/>
      <c r="U3" s="143" t="n"/>
      <c r="V3" s="143" t="n"/>
      <c r="W3" s="143" t="n"/>
      <c r="X3" s="143" t="n"/>
      <c r="Y3" s="143" t="n"/>
      <c r="Z3" s="121" t="n"/>
      <c r="AA3" s="127" t="n"/>
      <c r="AB3" s="127" t="n"/>
      <c r="AC3" s="127" t="n"/>
      <c r="AD3" s="127" t="n"/>
      <c r="AE3" s="127" t="n"/>
      <c r="AF3" s="121" t="inlineStr">
        <is>
          <t>SD/EBITDA</t>
        </is>
      </c>
      <c r="AG3" s="481" t="n">
        <v>5</v>
      </c>
      <c r="AH3" s="482" t="n">
        <v>4.25</v>
      </c>
      <c r="AI3" s="483" t="n">
        <v>3.75</v>
      </c>
      <c r="AJ3" s="484" t="n">
        <v>5.5</v>
      </c>
      <c r="AK3" s="485" t="n">
        <v>4.75</v>
      </c>
      <c r="AL3" s="486" t="n">
        <v>4.25</v>
      </c>
      <c r="AM3" s="484" t="n">
        <v>6</v>
      </c>
      <c r="AN3" s="485" t="n">
        <v>5.25</v>
      </c>
      <c r="AO3" s="486" t="n">
        <v>4.75</v>
      </c>
      <c r="AP3" s="484" t="n">
        <v>6.5</v>
      </c>
      <c r="AQ3" s="485" t="n">
        <v>5.75</v>
      </c>
      <c r="AR3" s="486" t="n">
        <v>5.25</v>
      </c>
      <c r="AS3" s="484" t="n">
        <v>7</v>
      </c>
      <c r="AT3" s="485" t="n">
        <v>6.25</v>
      </c>
      <c r="AU3" s="486" t="n">
        <v>5.75</v>
      </c>
      <c r="AV3" s="159" t="n"/>
      <c r="AW3" s="159" t="n"/>
      <c r="AX3" s="158" t="n"/>
      <c r="AY3" s="146" t="inlineStr">
        <is>
          <t>Weighted Average Coupon:</t>
        </is>
      </c>
      <c r="AZ3" s="159">
        <f>IFERROR(SUMPRODUCT((AS10:AS406&gt;0)*DG10:DG406*AS10:AS406)/SUMPRODUCT((AS10:AS406&gt;0)*DG10:DG406),"N/A")</f>
        <v/>
      </c>
      <c r="BA3" s="127" t="n"/>
      <c r="BB3" s="127" t="n"/>
      <c r="BC3" s="127" t="n"/>
      <c r="BD3" s="143" t="n"/>
      <c r="BH3" s="143" t="n"/>
      <c r="BI3" s="143" t="n"/>
      <c r="BJ3" s="143" t="n"/>
      <c r="BK3" s="143" t="n"/>
      <c r="BL3" s="143" t="n"/>
      <c r="BM3" s="143" t="n"/>
      <c r="BN3" s="143" t="n"/>
      <c r="BO3" s="143" t="n"/>
      <c r="BP3" s="143" t="n"/>
      <c r="BQ3" s="143" t="n"/>
      <c r="BR3" s="143" t="n"/>
      <c r="BS3" s="143" t="n"/>
      <c r="BT3" s="143" t="n"/>
      <c r="BU3" s="143" t="n"/>
      <c r="BV3" s="143" t="n"/>
      <c r="BW3" s="143" t="n"/>
      <c r="BX3" s="143" t="n"/>
      <c r="BY3" s="143" t="n"/>
      <c r="BZ3" s="143" t="n"/>
      <c r="CA3" s="143" t="n"/>
      <c r="CB3" s="143" t="n"/>
      <c r="CC3" s="143" t="n"/>
      <c r="CD3" s="143" t="n"/>
      <c r="CE3" s="143" t="n"/>
      <c r="CF3" s="143" t="n"/>
      <c r="CG3" s="143" t="n"/>
      <c r="CH3" s="143" t="n"/>
      <c r="CI3" s="143" t="n"/>
      <c r="CJ3" s="143" t="n"/>
      <c r="CK3" s="143" t="n"/>
      <c r="CL3" s="143" t="n"/>
      <c r="CM3" s="143" t="n"/>
      <c r="CN3" s="143" t="n"/>
      <c r="CO3" s="143" t="n"/>
      <c r="CP3" s="143" t="n"/>
      <c r="CQ3" s="143" t="n"/>
      <c r="CR3" s="143" t="n"/>
      <c r="CS3" s="143" t="n"/>
      <c r="CT3" s="143" t="n"/>
      <c r="CU3" s="143" t="n"/>
      <c r="CV3" s="143" t="n"/>
      <c r="CW3" s="143" t="n"/>
      <c r="CX3" s="132" t="n"/>
      <c r="DC3" s="132" t="n"/>
      <c r="DD3" s="134" t="n"/>
      <c r="DE3" s="134" t="n"/>
      <c r="DF3" s="134" t="n"/>
      <c r="DG3" s="134" t="n"/>
      <c r="DH3" s="134" t="n"/>
      <c r="DI3" s="487" t="n"/>
      <c r="DJ3" s="134" t="n"/>
      <c r="DK3" s="487" t="n"/>
      <c r="DL3" s="487" t="n"/>
      <c r="DM3" s="132" t="inlineStr">
        <is>
          <t>Limit</t>
        </is>
      </c>
      <c r="DN3" s="488">
        <f>DN2*'Borrowing Base'!$J$5</f>
        <v/>
      </c>
      <c r="DO3" s="136" t="n"/>
      <c r="DP3" s="136" t="n"/>
      <c r="DQ3" s="488">
        <f>DQ2*'Borrowing Base'!$J$5</f>
        <v/>
      </c>
      <c r="DR3" s="136" t="n"/>
      <c r="DS3" s="136" t="n"/>
      <c r="DT3" s="488">
        <f>DT2*'Borrowing Base'!$J$5</f>
        <v/>
      </c>
      <c r="DU3" s="162" t="n"/>
      <c r="DV3" s="136" t="n"/>
      <c r="DW3" s="488">
        <f>DW2*'Borrowing Base'!$J$5</f>
        <v/>
      </c>
      <c r="DX3" s="489" t="n"/>
      <c r="DY3" s="489" t="n"/>
      <c r="DZ3" s="488">
        <f>DZ2*'Borrowing Base'!$J$5</f>
        <v/>
      </c>
      <c r="EA3" s="489" t="n"/>
      <c r="EB3" s="489" t="n"/>
      <c r="EC3" s="488">
        <f>EC2*'Borrowing Base'!$J$5</f>
        <v/>
      </c>
      <c r="ED3" s="489" t="n"/>
      <c r="EE3" s="489" t="n"/>
      <c r="EF3" s="488">
        <f>EF2*'Borrowing Base'!$J$5</f>
        <v/>
      </c>
      <c r="EG3" s="136" t="n"/>
      <c r="EH3" s="136" t="n"/>
      <c r="EI3" s="488">
        <f>EI2*'Borrowing Base'!$J$5</f>
        <v/>
      </c>
      <c r="EJ3" s="489" t="n"/>
      <c r="EK3" s="489" t="n"/>
      <c r="EL3" s="488">
        <f>EL2*'Borrowing Base'!$J$5</f>
        <v/>
      </c>
      <c r="EM3" s="489" t="n"/>
      <c r="EN3" s="489" t="n"/>
      <c r="EO3" s="488">
        <f>EO2*'Borrowing Base'!$J$5</f>
        <v/>
      </c>
      <c r="EP3" s="489" t="n"/>
      <c r="EQ3" s="489" t="n"/>
      <c r="ER3" s="488">
        <f>ER2*'Borrowing Base'!$J$5</f>
        <v/>
      </c>
      <c r="ES3" s="489" t="n"/>
      <c r="ET3" s="489" t="n"/>
      <c r="EU3" s="488">
        <f>EU2*'Borrowing Base'!$J$5</f>
        <v/>
      </c>
      <c r="EV3" s="489" t="n"/>
      <c r="EW3" s="489" t="n"/>
      <c r="EX3" s="488">
        <f>EX2*'Borrowing Base'!$J$5</f>
        <v/>
      </c>
      <c r="EY3" s="489" t="n"/>
      <c r="EZ3" s="489" t="n"/>
      <c r="FA3" s="488">
        <f>FA2*'Borrowing Base'!$J$5</f>
        <v/>
      </c>
      <c r="FB3" s="489" t="n"/>
      <c r="FC3" s="489" t="n"/>
      <c r="FD3" s="488">
        <f>FD2*'Borrowing Base'!$J$5</f>
        <v/>
      </c>
      <c r="FE3" s="489" t="n"/>
      <c r="FF3" s="489" t="n"/>
      <c r="FG3" s="136" t="n"/>
      <c r="FH3" s="136" t="n"/>
      <c r="FI3" s="136" t="n"/>
      <c r="FJ3" s="489" t="n"/>
      <c r="FK3" s="489" t="n"/>
      <c r="FL3" s="489" t="n"/>
      <c r="FM3" s="489" t="n"/>
      <c r="FN3" s="489" t="n"/>
      <c r="FO3" s="489" t="n"/>
      <c r="FP3" s="488">
        <f>FP2*'Borrowing Base'!$J$5</f>
        <v/>
      </c>
      <c r="FQ3" s="489" t="n"/>
      <c r="FR3" s="489" t="n"/>
      <c r="FS3" s="488">
        <f>FS2*'Borrowing Base'!$J$5</f>
        <v/>
      </c>
      <c r="FT3" s="489" t="n"/>
      <c r="FU3" s="489" t="n"/>
      <c r="FV3" s="488">
        <f>FV2*'Borrowing Base'!$J$5</f>
        <v/>
      </c>
      <c r="FW3" s="488" t="n"/>
      <c r="FX3" s="488" t="n"/>
      <c r="FY3" s="488" t="n"/>
      <c r="FZ3" s="489" t="n"/>
      <c r="GA3" s="489" t="n"/>
      <c r="GB3" s="489" t="n"/>
      <c r="GC3" s="489" t="n"/>
      <c r="GD3" s="489" t="n"/>
      <c r="GE3" s="489" t="n"/>
      <c r="GF3" s="136" t="n"/>
      <c r="GG3" s="138" t="n"/>
      <c r="GH3" s="164" t="inlineStr">
        <is>
          <t>2 and 3</t>
        </is>
      </c>
      <c r="GI3" s="149" t="n">
        <v>0.15</v>
      </c>
      <c r="GJ3" s="479">
        <f>'Borrowing Base'!J5*GI3</f>
        <v/>
      </c>
      <c r="GP3" s="138" t="n"/>
      <c r="GQ3" s="164" t="n">
        <v>5</v>
      </c>
      <c r="GR3" s="149" t="n">
        <v>0.06</v>
      </c>
      <c r="GS3" s="479">
        <f>'Borrowing Base'!J5*GR3</f>
        <v/>
      </c>
      <c r="GY3" s="138" t="n"/>
      <c r="GZ3" s="414" t="n"/>
      <c r="HA3" s="415" t="n"/>
      <c r="HB3" s="490" t="n"/>
      <c r="HG3" s="136" t="n"/>
      <c r="HH3" s="136" t="n"/>
      <c r="HI3" s="136" t="n"/>
      <c r="HJ3" s="136" t="n"/>
      <c r="HL3" s="136" t="n"/>
      <c r="HM3" s="136" t="n"/>
      <c r="HS3" s="20" t="n"/>
      <c r="IB3" s="491" t="n"/>
    </row>
    <row r="4" ht="20.25" customHeight="1">
      <c r="B4" s="166" t="n"/>
      <c r="C4" s="121" t="n"/>
      <c r="D4" s="121" t="n"/>
      <c r="E4" s="121" t="n"/>
      <c r="F4" s="121" t="n"/>
      <c r="G4" s="443" t="n"/>
      <c r="H4" s="127" t="n"/>
      <c r="I4" s="127" t="n"/>
      <c r="J4" s="127" t="n"/>
      <c r="K4" s="168" t="n"/>
      <c r="L4" s="492" t="n"/>
      <c r="M4" s="143" t="n"/>
      <c r="N4" s="121" t="n"/>
      <c r="O4" s="170" t="n"/>
      <c r="P4" s="121" t="n"/>
      <c r="Q4" s="121" t="n"/>
      <c r="R4" s="493" t="n"/>
      <c r="S4" s="143" t="n"/>
      <c r="T4" s="143" t="n"/>
      <c r="U4" s="143" t="n"/>
      <c r="V4" s="143" t="n"/>
      <c r="W4" s="143" t="n"/>
      <c r="X4" s="143" t="n"/>
      <c r="Y4" s="143" t="n"/>
      <c r="Z4" s="121" t="n"/>
      <c r="AA4" s="127" t="n"/>
      <c r="AB4" s="127" t="n"/>
      <c r="AC4" s="127" t="n"/>
      <c r="AD4" s="127" t="n"/>
      <c r="AE4" s="127" t="n"/>
      <c r="AF4" s="121" t="inlineStr">
        <is>
          <t>TD/EBITDA</t>
        </is>
      </c>
      <c r="AG4" s="481" t="n">
        <v>7</v>
      </c>
      <c r="AH4" s="482" t="n">
        <v>6</v>
      </c>
      <c r="AI4" s="483" t="n">
        <v>5</v>
      </c>
      <c r="AJ4" s="484" t="n">
        <v>7.5</v>
      </c>
      <c r="AK4" s="485" t="n">
        <v>6.5</v>
      </c>
      <c r="AL4" s="486" t="n">
        <v>5.5</v>
      </c>
      <c r="AM4" s="484" t="n">
        <v>8</v>
      </c>
      <c r="AN4" s="485" t="n">
        <v>7</v>
      </c>
      <c r="AO4" s="486" t="n">
        <v>6</v>
      </c>
      <c r="AP4" s="484" t="n">
        <v>8.5</v>
      </c>
      <c r="AQ4" s="485" t="n">
        <v>7.5</v>
      </c>
      <c r="AR4" s="486" t="n">
        <v>6.5</v>
      </c>
      <c r="AS4" s="484" t="n">
        <v>9</v>
      </c>
      <c r="AT4" s="485" t="n">
        <v>8</v>
      </c>
      <c r="AU4" s="486" t="n">
        <v>7</v>
      </c>
      <c r="AV4" s="174" t="n"/>
      <c r="AW4" s="174" t="n"/>
      <c r="AX4" s="23" t="n"/>
      <c r="AY4" s="146" t="inlineStr">
        <is>
          <t>Specified Term SOFR:</t>
        </is>
      </c>
      <c r="AZ4" s="494" t="n">
        <v>0.0432224</v>
      </c>
      <c r="BA4" s="23" t="n"/>
      <c r="BB4" s="23" t="n"/>
      <c r="BC4" s="23" t="n"/>
      <c r="BD4" s="172" t="n"/>
      <c r="BH4" s="143" t="n"/>
      <c r="BI4" s="143" t="n"/>
      <c r="BJ4" s="143" t="n"/>
      <c r="BK4" s="143" t="n"/>
      <c r="BL4" s="143" t="n"/>
      <c r="BM4" s="143" t="n"/>
      <c r="BN4" s="143" t="n"/>
      <c r="BO4" s="143" t="n"/>
      <c r="BP4" s="143" t="n"/>
      <c r="BQ4" s="143" t="n"/>
      <c r="BR4" s="143" t="n"/>
      <c r="BS4" s="143" t="n"/>
      <c r="BT4" s="143" t="n"/>
      <c r="BU4" s="143" t="n"/>
      <c r="BV4" s="143" t="n"/>
      <c r="BW4" s="143" t="n"/>
      <c r="BX4" s="143" t="n"/>
      <c r="BY4" s="143" t="n"/>
      <c r="BZ4" s="143" t="n"/>
      <c r="CA4" s="143" t="n"/>
      <c r="CB4" s="143" t="n"/>
      <c r="CC4" s="143" t="n"/>
      <c r="CD4" s="143" t="n"/>
      <c r="CE4" s="143" t="n"/>
      <c r="CF4" s="143" t="n"/>
      <c r="CG4" s="143" t="n"/>
      <c r="CH4" s="143" t="n"/>
      <c r="CI4" s="143" t="n"/>
      <c r="CJ4" s="143" t="n"/>
      <c r="CK4" s="143" t="n"/>
      <c r="CL4" s="143" t="n"/>
      <c r="CM4" s="143" t="n"/>
      <c r="CN4" s="143" t="n"/>
      <c r="CO4" s="143" t="n"/>
      <c r="CP4" s="143" t="n"/>
      <c r="CQ4" s="143" t="n"/>
      <c r="CR4" s="143" t="n"/>
      <c r="CS4" s="143" t="n"/>
      <c r="CT4" s="143" t="n"/>
      <c r="CU4" s="143" t="n"/>
      <c r="CV4" s="143" t="n"/>
      <c r="CW4" s="143" t="n"/>
      <c r="CX4" s="132" t="n"/>
      <c r="CY4" s="138" t="n"/>
      <c r="CZ4" s="138" t="n"/>
      <c r="DA4" s="138" t="n"/>
      <c r="DB4" s="138" t="n"/>
      <c r="DC4" s="132" t="n"/>
      <c r="DD4" s="132" t="n"/>
      <c r="DE4" s="132" t="n"/>
      <c r="DF4" s="134" t="n"/>
      <c r="DG4" s="134" t="n"/>
      <c r="DH4" s="134" t="n"/>
      <c r="DI4" s="134" t="n"/>
      <c r="DJ4" s="134" t="n"/>
      <c r="DK4" s="134" t="n"/>
      <c r="DL4" s="134" t="n"/>
      <c r="DM4" s="132" t="inlineStr">
        <is>
          <t>Total</t>
        </is>
      </c>
      <c r="DN4" s="488">
        <f>SUM(DN10:DN406)</f>
        <v/>
      </c>
      <c r="DO4" s="136" t="n"/>
      <c r="DP4" s="136" t="n"/>
      <c r="DQ4" s="488">
        <f>SUM(DQ10:DQ406)</f>
        <v/>
      </c>
      <c r="DR4" s="136" t="n"/>
      <c r="DS4" s="136" t="n"/>
      <c r="DT4" s="488">
        <f>SUM(DT10:DT406)</f>
        <v/>
      </c>
      <c r="DU4" s="162" t="n"/>
      <c r="DV4" s="136" t="n"/>
      <c r="DW4" s="488">
        <f>SUM(DW10:DW406)</f>
        <v/>
      </c>
      <c r="DX4" s="489" t="n"/>
      <c r="DY4" s="489" t="n"/>
      <c r="DZ4" s="488">
        <f>SUM(DZ10:DZ406)</f>
        <v/>
      </c>
      <c r="EA4" s="489" t="n"/>
      <c r="EB4" s="489" t="n"/>
      <c r="EC4" s="488">
        <f>SUM(EC10:EC406)</f>
        <v/>
      </c>
      <c r="ED4" s="489" t="n"/>
      <c r="EE4" s="489" t="n"/>
      <c r="EF4" s="488">
        <f>SUM(EF10:EF406)</f>
        <v/>
      </c>
      <c r="EG4" s="136" t="n"/>
      <c r="EH4" s="136" t="n"/>
      <c r="EI4" s="488">
        <f>SUM(EI10:EI406)</f>
        <v/>
      </c>
      <c r="EJ4" s="489" t="n"/>
      <c r="EK4" s="489" t="n"/>
      <c r="EL4" s="488">
        <f>SUM(EL10:EL406)</f>
        <v/>
      </c>
      <c r="EM4" s="489" t="n"/>
      <c r="EN4" s="489" t="n"/>
      <c r="EO4" s="488">
        <f>SUM(EO10:EO406)</f>
        <v/>
      </c>
      <c r="EP4" s="489" t="n"/>
      <c r="EQ4" s="489" t="n"/>
      <c r="ER4" s="488">
        <f>SUM(ER10:ER406)</f>
        <v/>
      </c>
      <c r="ES4" s="489" t="n"/>
      <c r="ET4" s="489" t="n"/>
      <c r="EU4" s="488">
        <f>SUM(EU10:EU406)</f>
        <v/>
      </c>
      <c r="EV4" s="489" t="n"/>
      <c r="EW4" s="489" t="n"/>
      <c r="EX4" s="488">
        <f>SUM(EX10:EX406)</f>
        <v/>
      </c>
      <c r="EY4" s="489" t="n"/>
      <c r="EZ4" s="489" t="n"/>
      <c r="FA4" s="488">
        <f>SUM(FA10:FA406)</f>
        <v/>
      </c>
      <c r="FB4" s="489" t="n"/>
      <c r="FC4" s="489" t="n"/>
      <c r="FD4" s="488">
        <f>SUM(FD10:FD406)</f>
        <v/>
      </c>
      <c r="FE4" s="489" t="n"/>
      <c r="FF4" s="489" t="n"/>
      <c r="FG4" s="136" t="n"/>
      <c r="FH4" s="136" t="n"/>
      <c r="FI4" s="136" t="n"/>
      <c r="FJ4" s="489" t="n"/>
      <c r="FK4" s="489" t="n"/>
      <c r="FL4" s="489" t="n"/>
      <c r="FM4" s="489" t="n"/>
      <c r="FN4" s="489" t="n"/>
      <c r="FO4" s="489" t="n"/>
      <c r="FP4" s="488">
        <f>SUM(FP10:FP406)</f>
        <v/>
      </c>
      <c r="FQ4" s="489" t="n"/>
      <c r="FR4" s="489" t="n"/>
      <c r="FS4" s="488">
        <f>SUM(FS10:FS406)</f>
        <v/>
      </c>
      <c r="FT4" s="489" t="n"/>
      <c r="FU4" s="489" t="n"/>
      <c r="FV4" s="488">
        <f>SUM(FY10:FY406)</f>
        <v/>
      </c>
      <c r="FW4" s="488">
        <f>SUM(FW10:FW406)</f>
        <v/>
      </c>
      <c r="FX4" s="488">
        <f>SUM(FX10:FX406)</f>
        <v/>
      </c>
      <c r="FY4" s="488">
        <f>SUM(FY10:FY406)</f>
        <v/>
      </c>
      <c r="FZ4" s="489" t="n"/>
      <c r="GA4" s="489" t="n"/>
      <c r="GB4" s="489" t="n"/>
      <c r="GC4" s="489" t="n"/>
      <c r="GD4" s="489" t="n"/>
      <c r="GE4" s="489" t="n"/>
      <c r="GF4" s="136" t="n"/>
      <c r="GG4" s="138" t="n"/>
      <c r="GH4" s="164" t="inlineStr">
        <is>
          <t>Other</t>
        </is>
      </c>
      <c r="GI4" s="149" t="n">
        <v>0.15</v>
      </c>
      <c r="GJ4" s="479">
        <f>'Borrowing Base'!J5*GI4</f>
        <v/>
      </c>
      <c r="GP4" s="138" t="n"/>
      <c r="GQ4" s="164" t="inlineStr">
        <is>
          <t>All others</t>
        </is>
      </c>
      <c r="GR4" s="149" t="n">
        <v>0.05</v>
      </c>
      <c r="GS4" s="479">
        <f>'Borrowing Base'!J5*GR4</f>
        <v/>
      </c>
      <c r="GY4" s="138" t="n"/>
      <c r="GZ4" s="489" t="n"/>
      <c r="HA4" s="489" t="n"/>
      <c r="HB4" s="489" t="n"/>
      <c r="HG4" s="136" t="n"/>
      <c r="HH4" s="136" t="n"/>
      <c r="HI4" s="136" t="n"/>
      <c r="HJ4" s="136" t="n"/>
      <c r="HL4" s="136" t="n"/>
      <c r="HM4" s="136" t="n"/>
      <c r="HS4" s="20" t="n"/>
      <c r="IB4" s="124" t="n"/>
    </row>
    <row r="5" ht="21" customHeight="1" thickBot="1">
      <c r="B5" s="495" t="n"/>
      <c r="C5" s="121" t="n"/>
      <c r="D5" s="121" t="n"/>
      <c r="E5" s="121" t="n"/>
      <c r="F5" s="496" t="n"/>
      <c r="G5" s="443" t="n"/>
      <c r="H5" s="443" t="n"/>
      <c r="I5" s="168" t="n"/>
      <c r="J5" s="127" t="n"/>
      <c r="K5" s="127" t="n"/>
      <c r="L5" s="492" t="n"/>
      <c r="M5" s="177" t="n"/>
      <c r="N5" s="121" t="n"/>
      <c r="O5" s="121" t="n"/>
      <c r="P5" s="121" t="n"/>
      <c r="Q5" s="121" t="n"/>
      <c r="R5" s="497" t="n"/>
      <c r="S5" s="143" t="n"/>
      <c r="T5" s="143" t="n"/>
      <c r="U5" s="143" t="n"/>
      <c r="V5" s="143" t="n"/>
      <c r="W5" s="143" t="n"/>
      <c r="X5" s="143" t="n"/>
      <c r="Y5" s="143" t="n"/>
      <c r="Z5" s="121" t="n"/>
      <c r="AA5" s="127" t="n"/>
      <c r="AB5" s="127" t="n"/>
      <c r="AC5" s="127" t="n"/>
      <c r="AD5" s="127" t="n"/>
      <c r="AE5" s="127" t="n"/>
      <c r="AF5" s="121" t="inlineStr">
        <is>
          <t>UD/EBITDA</t>
        </is>
      </c>
      <c r="AG5" s="498" t="n">
        <v>6</v>
      </c>
      <c r="AH5" s="499" t="n">
        <v>5.25</v>
      </c>
      <c r="AI5" s="500" t="n">
        <v>4.5</v>
      </c>
      <c r="AJ5" s="501" t="n">
        <v>6.5</v>
      </c>
      <c r="AK5" s="502" t="n">
        <v>5.75</v>
      </c>
      <c r="AL5" s="503" t="n">
        <v>5</v>
      </c>
      <c r="AM5" s="501" t="n">
        <v>7</v>
      </c>
      <c r="AN5" s="502" t="n">
        <v>6.25</v>
      </c>
      <c r="AO5" s="503" t="n">
        <v>5.5</v>
      </c>
      <c r="AP5" s="501" t="n">
        <v>7.5</v>
      </c>
      <c r="AQ5" s="502" t="n">
        <v>6.75</v>
      </c>
      <c r="AR5" s="503" t="n">
        <v>6</v>
      </c>
      <c r="AS5" s="501" t="n">
        <v>8</v>
      </c>
      <c r="AT5" s="502" t="n">
        <v>7.25</v>
      </c>
      <c r="AU5" s="503" t="n">
        <v>6.5</v>
      </c>
      <c r="AV5" s="146" t="inlineStr">
        <is>
          <t>Weighted Average Life:</t>
        </is>
      </c>
      <c r="AW5" s="360">
        <f>SUMPRODUCT(AQ10:AQ406,$DG$10:$DG$406)/SUM($DG$10:$DG$406)</f>
        <v/>
      </c>
      <c r="AX5" s="10" t="n"/>
      <c r="AY5" s="146" t="inlineStr">
        <is>
          <t>Weighted Average Spread:</t>
        </is>
      </c>
      <c r="AZ5" s="159">
        <f>SUM($CB$10:$CC$406)/SUMIF($AR$10:$AR$406,"No",$DE$10:$DE$406)</f>
        <v/>
      </c>
      <c r="BD5" s="172" t="n"/>
      <c r="BH5" s="143" t="n"/>
      <c r="BI5" s="143" t="n"/>
      <c r="BJ5" s="143" t="n"/>
      <c r="BK5" s="143" t="n"/>
      <c r="BL5" s="143" t="n"/>
      <c r="BM5" s="143" t="n"/>
      <c r="BN5" s="143" t="n"/>
      <c r="BO5" s="143" t="n"/>
      <c r="BP5" s="143" t="n"/>
      <c r="BQ5" s="143" t="n"/>
      <c r="BR5" s="143" t="n"/>
      <c r="BS5" s="143" t="n"/>
      <c r="BT5" s="143" t="n"/>
      <c r="BU5" s="143" t="n"/>
      <c r="BV5" s="143" t="n"/>
      <c r="BW5" s="143" t="n"/>
      <c r="BX5" s="143" t="n"/>
      <c r="BY5" s="143" t="n"/>
      <c r="BZ5" s="143" t="n"/>
      <c r="CA5" s="143" t="n"/>
      <c r="CB5" s="143" t="n"/>
      <c r="CC5" s="143" t="n"/>
      <c r="CD5" s="143" t="n"/>
      <c r="CE5" s="143" t="n"/>
      <c r="CF5" s="143" t="n"/>
      <c r="CG5" s="143" t="n"/>
      <c r="CH5" s="143" t="n"/>
      <c r="CI5" s="143" t="n"/>
      <c r="CJ5" s="143" t="n"/>
      <c r="CK5" s="143" t="n"/>
      <c r="CL5" s="143" t="n"/>
      <c r="CM5" s="143" t="n"/>
      <c r="CN5" s="143" t="n"/>
      <c r="CO5" s="143" t="n"/>
      <c r="CP5" s="143" t="n"/>
      <c r="CQ5" s="143" t="n"/>
      <c r="CR5" s="143" t="n"/>
      <c r="CS5" s="143" t="n"/>
      <c r="CT5" s="143" t="n"/>
      <c r="CU5" s="143" t="n"/>
      <c r="CV5" s="143" t="n"/>
      <c r="CW5" s="143" t="n"/>
      <c r="CX5" s="504">
        <f>SUM(CX10:CX406)</f>
        <v/>
      </c>
      <c r="CY5" s="504">
        <f>SUM(CY10:CY406)</f>
        <v/>
      </c>
      <c r="CZ5" s="504">
        <f>SUM(CZ10:CZ406)</f>
        <v/>
      </c>
      <c r="DA5" s="504">
        <f>SUM(DA10:DA406)</f>
        <v/>
      </c>
      <c r="DB5" s="504">
        <f>SUM(DB10:DB406)</f>
        <v/>
      </c>
      <c r="DC5" s="504">
        <f>SUM(DC10:DC406)</f>
        <v/>
      </c>
      <c r="DD5" s="132" t="n"/>
      <c r="DE5" s="132" t="n"/>
      <c r="DF5" s="132" t="n"/>
      <c r="DG5" s="505" t="n"/>
      <c r="DH5" s="505" t="n"/>
      <c r="DI5" s="506" t="n"/>
      <c r="DJ5" s="134" t="n"/>
      <c r="DK5" s="506" t="n"/>
      <c r="DL5" s="506" t="n"/>
      <c r="DM5" s="132" t="inlineStr">
        <is>
          <t>Excess</t>
        </is>
      </c>
      <c r="DN5" s="507">
        <f>MAX(0,DN4-DN3)</f>
        <v/>
      </c>
      <c r="DO5" s="136" t="n"/>
      <c r="DP5" s="136" t="n"/>
      <c r="DQ5" s="507">
        <f>MAX(0,DQ4-DQ3)</f>
        <v/>
      </c>
      <c r="DR5" s="136" t="n"/>
      <c r="DS5" s="136" t="n"/>
      <c r="DT5" s="507">
        <f>MAX(0,DT4-DT3)</f>
        <v/>
      </c>
      <c r="DU5" s="186" t="n"/>
      <c r="DV5" s="136" t="n"/>
      <c r="DW5" s="507">
        <f>MAX(0,DW4-DW3)</f>
        <v/>
      </c>
      <c r="DX5" s="136" t="n"/>
      <c r="DY5" s="136" t="n"/>
      <c r="DZ5" s="507">
        <f>MAX(0,DZ4-DZ3)</f>
        <v/>
      </c>
      <c r="EA5" s="136" t="n"/>
      <c r="EB5" s="136" t="n"/>
      <c r="EC5" s="507">
        <f>MAX(0,EC4-EC3)</f>
        <v/>
      </c>
      <c r="ED5" s="136" t="n"/>
      <c r="EE5" s="136" t="n"/>
      <c r="EF5" s="507">
        <f>MAX(0,EF4-EF3)</f>
        <v/>
      </c>
      <c r="EG5" s="136" t="n"/>
      <c r="EH5" s="136" t="n"/>
      <c r="EI5" s="507">
        <f>MAX(0,EI4-EI3)</f>
        <v/>
      </c>
      <c r="EJ5" s="136" t="n"/>
      <c r="EK5" s="136" t="n"/>
      <c r="EL5" s="186">
        <f>MAX(0,EL4-EL3)</f>
        <v/>
      </c>
      <c r="EM5" s="136" t="n"/>
      <c r="EN5" s="136" t="n"/>
      <c r="EO5" s="186">
        <f>MAX(0,EO4-EO3)</f>
        <v/>
      </c>
      <c r="EP5" s="136" t="n"/>
      <c r="EQ5" s="136" t="n"/>
      <c r="ER5" s="507">
        <f>MAX(0,ER4-ER3)</f>
        <v/>
      </c>
      <c r="ES5" s="136" t="n"/>
      <c r="ET5" s="136" t="n"/>
      <c r="EU5" s="507">
        <f>MAX(0,EU4-EU3)</f>
        <v/>
      </c>
      <c r="EV5" s="136" t="n"/>
      <c r="EW5" s="136" t="n"/>
      <c r="EX5" s="507">
        <f>MAX(0,EX4-EX3)</f>
        <v/>
      </c>
      <c r="EY5" s="136" t="n"/>
      <c r="EZ5" s="136" t="n"/>
      <c r="FA5" s="186">
        <f>MAX(0,FA4-FA3)</f>
        <v/>
      </c>
      <c r="FB5" s="136" t="n"/>
      <c r="FC5" s="136" t="n"/>
      <c r="FD5" s="507">
        <f>MAX(0,FD4-FD3)</f>
        <v/>
      </c>
      <c r="FE5" s="136" t="n"/>
      <c r="FF5" s="136" t="n"/>
      <c r="FG5" s="136" t="n"/>
      <c r="FH5" s="136" t="n"/>
      <c r="FI5" s="489" t="n"/>
      <c r="FJ5" s="136" t="n"/>
      <c r="FK5" s="136" t="n"/>
      <c r="FL5" s="136" t="n"/>
      <c r="FM5" s="136" t="n"/>
      <c r="FN5" s="136" t="n"/>
      <c r="FO5" s="136" t="n"/>
      <c r="FP5" s="507">
        <f>MAX(0,FP4-FP3)</f>
        <v/>
      </c>
      <c r="FQ5" s="187" t="inlineStr">
        <is>
          <t>Haircut Excess</t>
        </is>
      </c>
      <c r="FR5" s="136" t="n"/>
      <c r="FS5" s="507">
        <f>MAX(0,FS4-FS3)</f>
        <v/>
      </c>
      <c r="FT5" s="187" t="inlineStr">
        <is>
          <t>Haircut Excess</t>
        </is>
      </c>
      <c r="FU5" s="136" t="n"/>
      <c r="FV5" s="186">
        <f>MAX(0,SUM(FY4:FY4)-FV3)</f>
        <v/>
      </c>
      <c r="FW5" s="186" t="n"/>
      <c r="FX5" s="186" t="n"/>
      <c r="FY5" s="186" t="n"/>
      <c r="FZ5" s="187" t="inlineStr">
        <is>
          <t>Haircut Excess</t>
        </is>
      </c>
      <c r="GA5" s="489" t="n"/>
      <c r="GB5" s="489" t="n"/>
      <c r="GC5" s="136" t="n"/>
      <c r="GD5" s="136" t="n"/>
      <c r="GE5" s="136" t="n"/>
      <c r="GG5" s="139">
        <f>COUNTIF(GF10:GF406,"&gt;"&amp;0)</f>
        <v/>
      </c>
      <c r="GP5" s="139">
        <f>COUNTIF(GP10:GP406,"&gt;"&amp;0)</f>
        <v/>
      </c>
      <c r="GY5" s="139">
        <f>COUNTIF(GY10:GY406,"&gt;"&amp;0)</f>
        <v/>
      </c>
      <c r="HI5" s="136" t="n"/>
      <c r="HJ5" s="136" t="n"/>
      <c r="HL5" s="139" t="n"/>
      <c r="HM5" s="136" t="n"/>
      <c r="HS5" s="20" t="n"/>
      <c r="IB5" s="124" t="n"/>
    </row>
    <row r="6" ht="20.25" customHeight="1">
      <c r="B6" s="121" t="n"/>
      <c r="C6" s="508" t="n"/>
      <c r="D6" s="508" t="n"/>
      <c r="E6" s="508" t="n"/>
      <c r="F6" s="496" t="n"/>
      <c r="G6" s="509" t="n"/>
      <c r="H6" s="168" t="n"/>
      <c r="I6" s="168" t="n"/>
      <c r="J6" s="168" t="n"/>
      <c r="K6" s="168" t="n"/>
      <c r="L6" s="510" t="n"/>
      <c r="M6" s="23" t="n"/>
      <c r="N6" s="172" t="n"/>
      <c r="O6" s="191" t="n"/>
      <c r="P6" s="172" t="n"/>
      <c r="Q6" s="172" t="n"/>
      <c r="R6" s="191" t="n"/>
      <c r="S6" s="23" t="n"/>
      <c r="T6" s="23" t="n"/>
      <c r="U6" s="23" t="n"/>
      <c r="V6" s="23" t="n"/>
      <c r="W6" s="23" t="n"/>
      <c r="X6" s="23" t="n"/>
      <c r="Y6" s="23" t="n"/>
      <c r="Z6" s="172" t="n"/>
      <c r="AA6" s="23" t="n"/>
      <c r="AB6" s="23" t="n"/>
      <c r="AC6" s="127" t="n"/>
      <c r="AD6" s="127" t="n"/>
      <c r="AE6" s="127" t="n"/>
      <c r="AF6" s="127" t="n"/>
      <c r="AG6" s="511" t="n"/>
      <c r="AH6" s="511" t="n"/>
      <c r="AI6" s="511" t="n"/>
      <c r="AJ6" s="512" t="n"/>
      <c r="AK6" s="513" t="n"/>
      <c r="AL6" s="513" t="n"/>
      <c r="AM6" s="513" t="n"/>
      <c r="AN6" s="513" t="n"/>
      <c r="AO6" s="513" t="n"/>
      <c r="AP6" s="513" t="n"/>
      <c r="AQ6" s="513" t="n"/>
      <c r="AR6" s="513" t="n"/>
      <c r="AS6" s="513" t="n"/>
      <c r="AT6" s="127" t="n"/>
      <c r="AU6" s="127" t="n"/>
      <c r="AV6" s="127" t="n"/>
      <c r="AW6" s="127" t="n"/>
      <c r="AX6" s="23" t="n"/>
      <c r="AY6" s="23" t="n"/>
      <c r="AZ6" s="348" t="n"/>
      <c r="BA6" s="23" t="n"/>
      <c r="BB6" s="23" t="n"/>
      <c r="BC6" s="23" t="n"/>
      <c r="BD6" s="136" t="n"/>
      <c r="BE6" s="23" t="n"/>
      <c r="BF6" s="23" t="n"/>
      <c r="BG6" s="23" t="n"/>
      <c r="BH6" s="23" t="n"/>
      <c r="BI6" s="23" t="n"/>
      <c r="BJ6" s="23" t="n"/>
      <c r="BK6" s="23" t="n"/>
      <c r="BL6" s="23" t="n"/>
      <c r="BM6" s="23" t="n"/>
      <c r="BN6" s="23" t="n"/>
      <c r="BO6" s="23" t="n"/>
      <c r="BP6" s="23" t="n"/>
      <c r="BQ6" s="23" t="n"/>
      <c r="BR6" s="23" t="n"/>
      <c r="BS6" s="23" t="n"/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23" t="n"/>
      <c r="CE6" s="23" t="n"/>
      <c r="CF6" s="23" t="n"/>
      <c r="CG6" s="23" t="n"/>
      <c r="CH6" s="23" t="n"/>
      <c r="CI6" s="23" t="n"/>
      <c r="CJ6" s="23" t="n"/>
      <c r="CK6" s="23" t="n"/>
      <c r="CL6" s="23" t="n"/>
      <c r="CM6" s="23" t="n"/>
      <c r="CN6" s="23" t="n"/>
      <c r="CO6" s="23" t="n"/>
      <c r="CP6" s="23" t="n"/>
      <c r="CQ6" s="23" t="n"/>
      <c r="CR6" s="23" t="n"/>
      <c r="CS6" s="23" t="n"/>
      <c r="CT6" s="23" t="n"/>
      <c r="CU6" s="23" t="n"/>
      <c r="CV6" s="23" t="n"/>
      <c r="CW6" s="23" t="n"/>
      <c r="CX6" s="132" t="n"/>
      <c r="CY6" s="132" t="n"/>
      <c r="CZ6" s="132" t="n"/>
      <c r="DA6" s="132" t="n"/>
      <c r="DB6" s="132" t="n"/>
      <c r="DC6" s="132" t="n"/>
      <c r="DD6" s="191" t="n"/>
      <c r="DE6" s="505">
        <f>SUM(DE10:DE406)</f>
        <v/>
      </c>
      <c r="DF6" s="505">
        <f>SUM(DF10:DF406)</f>
        <v/>
      </c>
      <c r="DG6" s="505">
        <f>SUM(DG10:DG406)</f>
        <v/>
      </c>
      <c r="DH6" s="505">
        <f>SUM(DH10:DH406)</f>
        <v/>
      </c>
      <c r="DI6" s="505">
        <f>SUM(DI10:DI406)</f>
        <v/>
      </c>
      <c r="DJ6" s="505" t="n"/>
      <c r="DK6" s="505" t="n"/>
      <c r="DL6" s="505">
        <f>SUM(DL10:DL406)</f>
        <v/>
      </c>
      <c r="DM6" s="132" t="inlineStr">
        <is>
          <t>Haircut</t>
        </is>
      </c>
      <c r="DN6" s="192">
        <f>IF(DN4&lt;0.01,0,DN5/DN4)</f>
        <v/>
      </c>
      <c r="DO6" s="505">
        <f>SUM(DO10:DO406)</f>
        <v/>
      </c>
      <c r="DP6" s="505">
        <f>SUM(DP10:DP406)</f>
        <v/>
      </c>
      <c r="DQ6" s="192">
        <f>IF(DQ4&lt;0.01,0,DQ5/DQ4)</f>
        <v/>
      </c>
      <c r="DR6" s="505">
        <f>SUM(DR10:DR406)</f>
        <v/>
      </c>
      <c r="DS6" s="505">
        <f>SUM(DS10:DS406)</f>
        <v/>
      </c>
      <c r="DT6" s="192">
        <f>IF(DT4&lt;0.01,0,DT5/DT4)</f>
        <v/>
      </c>
      <c r="DU6" s="505">
        <f>SUM(DU10:DU117)</f>
        <v/>
      </c>
      <c r="DV6" s="505">
        <f>SUM(DV10:DV117)</f>
        <v/>
      </c>
      <c r="DW6" s="192">
        <f>IF(DW4&lt;0.01,0,DW5/DW4)</f>
        <v/>
      </c>
      <c r="DX6" s="505">
        <f>SUM(DX10:DX406)</f>
        <v/>
      </c>
      <c r="DY6" s="505">
        <f>SUM(DY10:DY406)</f>
        <v/>
      </c>
      <c r="DZ6" s="192">
        <f>IF(DZ4&lt;0.01,0,DZ5/DZ4)</f>
        <v/>
      </c>
      <c r="EA6" s="505">
        <f>SUM(EA10:EA406)</f>
        <v/>
      </c>
      <c r="EB6" s="505">
        <f>SUM(EB10:EB406)</f>
        <v/>
      </c>
      <c r="EC6" s="192">
        <f>IF(EC4&lt;0.01,0,EC5/EC4)</f>
        <v/>
      </c>
      <c r="ED6" s="505">
        <f>SUM(ED10:ED406)</f>
        <v/>
      </c>
      <c r="EE6" s="505">
        <f>SUM(EE10:EE406)</f>
        <v/>
      </c>
      <c r="EF6" s="192">
        <f>IF(EF4&lt;0.01,0,EF5/EF4)</f>
        <v/>
      </c>
      <c r="EG6" s="505">
        <f>SUM(EG10:EG406)</f>
        <v/>
      </c>
      <c r="EH6" s="505">
        <f>SUM(EH10:EH406)</f>
        <v/>
      </c>
      <c r="EI6" s="192">
        <f>IF(EI4&lt;0.01,0,EI5/EI4)</f>
        <v/>
      </c>
      <c r="EJ6" s="505">
        <f>SUM(EJ10:EJ406)</f>
        <v/>
      </c>
      <c r="EK6" s="505">
        <f>SUM(EK10:EK406)</f>
        <v/>
      </c>
      <c r="EL6" s="192">
        <f>IF(EL4&lt;0.01,0,EL5/EL4)</f>
        <v/>
      </c>
      <c r="EM6" s="505">
        <f>SUM(EM10:EM406)</f>
        <v/>
      </c>
      <c r="EN6" s="505">
        <f>SUM(EN10:EN406)</f>
        <v/>
      </c>
      <c r="EO6" s="192">
        <f>IF(EO4&lt;0.01,0,EO5/EO4)</f>
        <v/>
      </c>
      <c r="EP6" s="505">
        <f>SUM(EP10:EP406)</f>
        <v/>
      </c>
      <c r="EQ6" s="505">
        <f>SUM(EQ10:EQ406)</f>
        <v/>
      </c>
      <c r="ER6" s="192">
        <f>IF(ER4&lt;0.01,0,ER5/ER4)</f>
        <v/>
      </c>
      <c r="ES6" s="505">
        <f>SUM(ES10:ES406)</f>
        <v/>
      </c>
      <c r="ET6" s="505">
        <f>SUM(ET10:ET406)</f>
        <v/>
      </c>
      <c r="EU6" s="192">
        <f>IF(EU4&lt;0.01,0,EU5/EU4)</f>
        <v/>
      </c>
      <c r="EV6" s="505">
        <f>SUM(EV10:EV406)</f>
        <v/>
      </c>
      <c r="EW6" s="505">
        <f>SUM(EW10:EW406)</f>
        <v/>
      </c>
      <c r="EX6" s="192">
        <f>IF(EX4&lt;0.01,0,EX5/EX4)</f>
        <v/>
      </c>
      <c r="EY6" s="505">
        <f>SUM(EY10:EY406)</f>
        <v/>
      </c>
      <c r="EZ6" s="505">
        <f>SUM(EZ10:EZ406)</f>
        <v/>
      </c>
      <c r="FA6" s="192">
        <f>IF(FA4&lt;0.01,0,FA5/FA4)</f>
        <v/>
      </c>
      <c r="FB6" s="505">
        <f>SUM(FB10:FB406)</f>
        <v/>
      </c>
      <c r="FC6" s="505">
        <f>SUM(FC10:FC406)</f>
        <v/>
      </c>
      <c r="FD6" s="192">
        <f>IF(FD4&lt;0.01,0,FD5/FD4)</f>
        <v/>
      </c>
      <c r="FE6" s="505">
        <f>SUM(FE10:FE406)</f>
        <v/>
      </c>
      <c r="FF6" s="505">
        <f>SUM(FF10:FF406)</f>
        <v/>
      </c>
      <c r="FG6" s="191" t="n"/>
      <c r="FH6" s="505">
        <f>SUM(FH10:FH406)</f>
        <v/>
      </c>
      <c r="FI6" s="505">
        <f>SUM(FI10:FI406)</f>
        <v/>
      </c>
      <c r="FJ6" s="505">
        <f>SUM(FJ10:FJ406)</f>
        <v/>
      </c>
      <c r="FK6" s="505">
        <f>SUM(FK10:FK406)</f>
        <v/>
      </c>
      <c r="FL6" s="505">
        <f>SUM(FL10:FL406)</f>
        <v/>
      </c>
      <c r="FM6" s="505" t="n"/>
      <c r="FN6" s="505">
        <f>SUM(FN10:FN406)</f>
        <v/>
      </c>
      <c r="FO6" s="505">
        <f>SUM(FO10:FO406)</f>
        <v/>
      </c>
      <c r="FP6" s="192">
        <f>IF(FP4&lt;0.01,0,FP5/FP4)</f>
        <v/>
      </c>
      <c r="FQ6" s="505">
        <f>SUM(FQ10:FQ406)</f>
        <v/>
      </c>
      <c r="FR6" s="505">
        <f>SUM(FR10:FR406)</f>
        <v/>
      </c>
      <c r="FS6" s="192">
        <f>IF(FS4&lt;0.01,0,FS5/FS4)</f>
        <v/>
      </c>
      <c r="FT6" s="505">
        <f>SUM(FT10:FT406)</f>
        <v/>
      </c>
      <c r="FU6" s="505">
        <f>SUM(FU10:FU406)</f>
        <v/>
      </c>
      <c r="FV6" s="192">
        <f>IF(SUM(FV4:FY4)&lt;0.01,0,FV5/SUM(FY4:FY4))</f>
        <v/>
      </c>
      <c r="FW6" s="192" t="n"/>
      <c r="FX6" s="192" t="n"/>
      <c r="FY6" s="192" t="n"/>
      <c r="FZ6" s="505">
        <f>SUM(FZ10:FZ406)</f>
        <v/>
      </c>
      <c r="GA6" s="505">
        <f>SUM(GA10:GA406)</f>
        <v/>
      </c>
      <c r="GB6" s="505">
        <f>SUM(GB10:GB406)</f>
        <v/>
      </c>
      <c r="GC6" s="505">
        <f>SUM(GC10:GC406)</f>
        <v/>
      </c>
      <c r="GD6" s="505" t="n"/>
      <c r="GE6" s="489" t="n"/>
      <c r="GF6" s="514" t="n"/>
      <c r="GG6" s="505">
        <f>SUM(GG10:GG406)</f>
        <v/>
      </c>
      <c r="GH6" s="505">
        <f>GG5</f>
        <v/>
      </c>
      <c r="GI6" s="505">
        <f>SUM(GI10:GI406)</f>
        <v/>
      </c>
      <c r="GJ6" s="489" t="n"/>
      <c r="GK6" s="505">
        <f>SUM(GK10:GK406)</f>
        <v/>
      </c>
      <c r="GM6" s="191" t="n"/>
      <c r="GP6" s="505">
        <f>SUM(GP10:GP406)</f>
        <v/>
      </c>
      <c r="GQ6" s="505">
        <f>GP5</f>
        <v/>
      </c>
      <c r="GR6" s="505">
        <f>SUM(GR10:GR406)</f>
        <v/>
      </c>
      <c r="GS6" s="489" t="n"/>
      <c r="GT6" s="505">
        <f>SUM(GT10:GT406)</f>
        <v/>
      </c>
      <c r="GU6" s="505" t="n"/>
      <c r="GV6" s="505" t="n"/>
      <c r="GW6" s="505" t="n"/>
      <c r="GY6" s="505">
        <f>SUM(GY10:GY406)</f>
        <v/>
      </c>
      <c r="GZ6" s="505">
        <f>GY5</f>
        <v/>
      </c>
      <c r="HA6" s="505">
        <f>SUM(HA10:HA406)</f>
        <v/>
      </c>
      <c r="HB6" s="489" t="n"/>
      <c r="HC6" s="505">
        <f>SUM(HC10:HC406)</f>
        <v/>
      </c>
      <c r="HD6" s="505" t="n"/>
      <c r="HE6" s="505" t="n"/>
      <c r="HF6" s="505" t="n"/>
      <c r="HG6" s="505">
        <f>SUM(HG10:HG406)</f>
        <v/>
      </c>
      <c r="HH6" s="505">
        <f>SUM(HH10:HH117)</f>
        <v/>
      </c>
      <c r="HI6" s="136" t="n"/>
      <c r="HJ6" s="136" t="n"/>
      <c r="HL6" s="191" t="n"/>
      <c r="HM6" s="136" t="n"/>
      <c r="HS6" s="20" t="n"/>
      <c r="HU6" s="515" t="inlineStr">
        <is>
          <t>Eligible Unfunded</t>
        </is>
      </c>
      <c r="IB6" s="124" t="n"/>
    </row>
    <row r="7" ht="20.25" customHeight="1">
      <c r="B7" s="121" t="n"/>
      <c r="C7" s="508" t="n"/>
      <c r="D7" s="508" t="n"/>
      <c r="E7" s="508" t="n"/>
      <c r="F7" s="496" t="n"/>
      <c r="G7" s="172">
        <f>SUM(G10:G406)</f>
        <v/>
      </c>
      <c r="H7" s="172">
        <f>SUM(H10:H406)</f>
        <v/>
      </c>
      <c r="I7" s="172" t="n"/>
      <c r="J7" s="172">
        <f>SUM(J10:J406)</f>
        <v/>
      </c>
      <c r="K7" s="172">
        <f>SUM(K10:K406)</f>
        <v/>
      </c>
      <c r="L7" s="172">
        <f>SUM(L10:L406)</f>
        <v/>
      </c>
      <c r="M7" s="172">
        <f>SUM(M10:M406)</f>
        <v/>
      </c>
      <c r="N7" s="172" t="n"/>
      <c r="O7" s="172">
        <f>SUMIF(N10:N406,"Yes",K10:K406)</f>
        <v/>
      </c>
      <c r="P7" s="172" t="n"/>
      <c r="Q7" s="191" t="n"/>
      <c r="R7" s="172" t="n"/>
      <c r="S7" s="191" t="n"/>
      <c r="T7" s="172" t="n"/>
      <c r="U7" s="172" t="n"/>
      <c r="V7" s="172" t="n"/>
      <c r="W7" s="172">
        <f>SUM(W10:W406)</f>
        <v/>
      </c>
      <c r="X7" s="172" t="n"/>
      <c r="Y7" s="516" t="n"/>
      <c r="Z7" s="172" t="n"/>
      <c r="AA7" s="517" t="n"/>
      <c r="AB7" s="517" t="n"/>
      <c r="AC7" s="127" t="n"/>
      <c r="AD7" s="127" t="n"/>
      <c r="AE7" s="127" t="n"/>
      <c r="AF7" s="127" t="n"/>
      <c r="AG7" s="172" t="n"/>
      <c r="AI7" s="172" t="n"/>
      <c r="AJ7" s="172" t="n"/>
      <c r="AL7" s="172" t="n"/>
      <c r="AM7" s="172" t="n"/>
      <c r="AN7" s="196" t="n"/>
      <c r="AO7" s="172" t="n"/>
      <c r="AP7" s="127" t="n"/>
      <c r="AQ7" s="127" t="n"/>
      <c r="AR7" s="127" t="n"/>
      <c r="AS7" s="127" t="n"/>
      <c r="AT7" s="127" t="n"/>
      <c r="AU7" s="127" t="n"/>
      <c r="AV7" s="127" t="n"/>
      <c r="AW7" s="127" t="n"/>
      <c r="AX7" s="10" t="n"/>
      <c r="AY7" s="10" t="n"/>
      <c r="AZ7" s="10" t="n"/>
      <c r="BA7" s="172" t="n"/>
      <c r="BB7" s="172" t="n"/>
      <c r="BC7" s="172" t="n"/>
      <c r="BD7" s="172" t="n"/>
      <c r="BE7" s="172" t="n"/>
      <c r="BF7" s="172" t="n"/>
      <c r="BG7" s="172" t="n"/>
      <c r="BH7" s="172" t="n"/>
      <c r="BI7" s="172" t="n"/>
      <c r="BJ7" s="172" t="n"/>
      <c r="BK7" s="23" t="n"/>
      <c r="BL7" s="23" t="n"/>
      <c r="BM7" s="23" t="n"/>
      <c r="BN7" s="172" t="n"/>
      <c r="BO7" s="172" t="n"/>
      <c r="BP7" s="172" t="n"/>
      <c r="BQ7" s="172" t="n"/>
      <c r="BR7" s="172" t="n"/>
      <c r="BS7" s="172" t="n"/>
      <c r="BT7" s="172" t="n"/>
      <c r="BU7" s="172" t="n"/>
      <c r="BV7" s="23" t="n"/>
      <c r="BW7" s="172" t="n"/>
      <c r="BX7" s="172" t="n"/>
      <c r="BY7" s="23" t="n"/>
      <c r="BZ7" s="172" t="n"/>
      <c r="CA7" s="172" t="n"/>
      <c r="CB7" s="172" t="n"/>
      <c r="CC7" s="172" t="n"/>
      <c r="CD7" s="172" t="n"/>
      <c r="CE7" s="172" t="n"/>
      <c r="CF7" s="172" t="n"/>
      <c r="CG7" s="172" t="n"/>
      <c r="CH7" s="172" t="n"/>
      <c r="CI7" s="172" t="n"/>
      <c r="CJ7" s="172" t="n"/>
      <c r="CK7" s="172" t="n"/>
      <c r="CL7" s="172" t="n"/>
      <c r="CM7" s="172" t="n"/>
      <c r="CN7" s="172" t="n"/>
      <c r="CO7" s="172" t="n"/>
      <c r="CP7" s="172" t="n"/>
      <c r="CQ7" s="172" t="n"/>
      <c r="CR7" s="172" t="n"/>
      <c r="CS7" s="172" t="n"/>
      <c r="CT7" s="172" t="n"/>
      <c r="CU7" s="172" t="n"/>
      <c r="CV7" s="172" t="n"/>
      <c r="CW7" s="172" t="n"/>
      <c r="CX7" s="191" t="n"/>
      <c r="CY7" s="191" t="n"/>
      <c r="CZ7" s="518" t="n"/>
      <c r="DA7" s="519" t="n"/>
      <c r="DB7" s="519" t="n"/>
      <c r="DC7" s="519" t="n"/>
      <c r="DD7" s="191" t="n"/>
      <c r="DE7" s="191" t="n"/>
      <c r="DF7" s="191" t="n"/>
      <c r="DG7" s="191" t="n"/>
      <c r="DH7" s="191" t="n"/>
      <c r="DI7" s="191" t="n"/>
      <c r="DJ7" s="191" t="n"/>
      <c r="DK7" s="191" t="n"/>
      <c r="DL7" s="191" t="n"/>
      <c r="DM7" s="132" t="n"/>
      <c r="DN7" s="192" t="n"/>
      <c r="DO7" s="191" t="n"/>
      <c r="DP7" s="191" t="n"/>
      <c r="DQ7" s="191" t="n"/>
      <c r="DR7" s="191" t="n"/>
      <c r="DS7" s="191" t="n"/>
      <c r="DT7" s="192" t="n"/>
      <c r="DU7" s="191" t="n"/>
      <c r="DV7" s="191" t="n"/>
      <c r="DW7" s="192" t="n"/>
      <c r="DX7" s="191" t="n"/>
      <c r="DY7" s="191" t="n"/>
      <c r="DZ7" s="191" t="n"/>
      <c r="EA7" s="191" t="n"/>
      <c r="EB7" s="191" t="n"/>
      <c r="EC7" s="192" t="n"/>
      <c r="ED7" s="191" t="n"/>
      <c r="EE7" s="191" t="n"/>
      <c r="EF7" s="192" t="n"/>
      <c r="EG7" s="191" t="n"/>
      <c r="EH7" s="191" t="n"/>
      <c r="EI7" s="192" t="n"/>
      <c r="EJ7" s="191" t="n"/>
      <c r="EK7" s="191" t="n"/>
      <c r="EL7" s="191" t="n"/>
      <c r="EM7" s="191" t="n"/>
      <c r="EN7" s="191" t="n"/>
      <c r="EO7" s="192" t="n"/>
      <c r="EP7" s="191" t="n"/>
      <c r="EQ7" s="191" t="n"/>
      <c r="ER7" s="192" t="n"/>
      <c r="ES7" s="191" t="n"/>
      <c r="ET7" s="191" t="n"/>
      <c r="EU7" s="191" t="n"/>
      <c r="EV7" s="191" t="n"/>
      <c r="EW7" s="191" t="n"/>
      <c r="EX7" s="191" t="n"/>
      <c r="EY7" s="191" t="n"/>
      <c r="EZ7" s="191" t="n"/>
      <c r="FA7" s="191" t="n"/>
      <c r="FB7" s="191" t="n"/>
      <c r="FC7" s="191" t="n"/>
      <c r="FD7" s="191" t="n"/>
      <c r="FE7" s="191" t="n"/>
      <c r="FF7" s="191" t="n"/>
      <c r="FG7" s="191" t="n"/>
      <c r="FH7" s="191" t="n"/>
      <c r="FI7" s="191" t="n"/>
      <c r="FJ7" s="191" t="n"/>
      <c r="FK7" s="191" t="n"/>
      <c r="FL7" s="191" t="n"/>
      <c r="FM7" s="191" t="n"/>
      <c r="FN7" s="191" t="n"/>
      <c r="FO7" s="191" t="n"/>
      <c r="FP7" s="192" t="n"/>
      <c r="FR7" s="191" t="n"/>
      <c r="FS7" s="192" t="n"/>
      <c r="FU7" s="191" t="n"/>
      <c r="FV7" s="192" t="n"/>
      <c r="FW7" s="192" t="n"/>
      <c r="FX7" s="192" t="n"/>
      <c r="FY7" s="192" t="n"/>
      <c r="FZ7" s="505" t="n"/>
      <c r="GA7" s="505" t="n"/>
      <c r="GB7" s="505" t="n"/>
      <c r="GC7" s="136" t="n"/>
      <c r="GD7" s="136" t="n"/>
      <c r="GE7" s="136" t="n"/>
      <c r="GG7" s="191" t="n"/>
      <c r="GH7" s="139" t="n"/>
      <c r="GI7" s="191" t="n"/>
      <c r="GK7" s="191" t="n"/>
      <c r="GM7" s="191" t="n"/>
      <c r="GP7" s="505" t="n"/>
      <c r="GQ7" s="505" t="n"/>
      <c r="GR7" s="197" t="n"/>
      <c r="GS7" s="489" t="n"/>
      <c r="GT7" s="505" t="n"/>
      <c r="GV7" s="505" t="n"/>
      <c r="GW7" s="505" t="n"/>
      <c r="GY7" s="505" t="n"/>
      <c r="GZ7" s="505" t="n"/>
      <c r="HA7" s="197" t="n"/>
      <c r="HB7" s="489" t="n"/>
      <c r="HC7" s="505" t="n"/>
      <c r="HE7" s="505" t="n"/>
      <c r="HF7" s="505" t="n"/>
      <c r="HG7" s="520" t="n"/>
      <c r="HH7" s="520" t="n"/>
      <c r="HI7" s="136" t="n"/>
      <c r="HJ7" s="136" t="n"/>
      <c r="HL7" s="191" t="n"/>
      <c r="HM7" s="136" t="n"/>
      <c r="HN7" s="521" t="n"/>
      <c r="HO7" s="133" t="n"/>
      <c r="HS7" s="522">
        <f>SUM(HS10:HS406)</f>
        <v/>
      </c>
      <c r="HU7" s="523" t="n"/>
      <c r="HX7" s="524" t="n"/>
    </row>
    <row r="8" ht="18.75" customHeight="1">
      <c r="B8" s="121" t="n"/>
      <c r="C8" s="121" t="n"/>
      <c r="D8" s="121" t="n"/>
      <c r="E8" s="121" t="n"/>
      <c r="F8" s="121" t="n"/>
      <c r="G8" s="168" t="n"/>
      <c r="H8" s="168" t="n"/>
      <c r="I8" s="127" t="n"/>
      <c r="J8" s="203" t="n"/>
      <c r="K8" s="127" t="n"/>
      <c r="L8" s="204" t="inlineStr">
        <is>
          <t>Eligible Balances</t>
        </is>
      </c>
      <c r="M8" s="205" t="n"/>
      <c r="N8" s="206" t="inlineStr">
        <is>
          <t>Loan Value Criteria</t>
        </is>
      </c>
      <c r="O8" s="207" t="n"/>
      <c r="P8" s="207" t="n"/>
      <c r="Q8" s="207" t="n"/>
      <c r="R8" s="207" t="n"/>
      <c r="S8" s="207" t="n"/>
      <c r="T8" s="207" t="n"/>
      <c r="U8" s="207" t="n"/>
      <c r="V8" s="207" t="n"/>
      <c r="W8" s="208" t="n"/>
      <c r="X8" s="207" t="n"/>
      <c r="Y8" s="207" t="n"/>
      <c r="Z8" s="208" t="n"/>
      <c r="AA8" s="206" t="inlineStr">
        <is>
          <t>Credit/Performance Metrics</t>
        </is>
      </c>
      <c r="AB8" s="207" t="n"/>
      <c r="AC8" s="207" t="n"/>
      <c r="AD8" s="408" t="n"/>
      <c r="AE8" s="408" t="n"/>
      <c r="AF8" s="207" t="n"/>
      <c r="AG8" s="207" t="n"/>
      <c r="AH8" s="207" t="n"/>
      <c r="AI8" s="207" t="n"/>
      <c r="AJ8" s="207" t="n"/>
      <c r="AK8" s="207" t="n"/>
      <c r="AL8" s="208" t="n"/>
      <c r="AM8" s="207" t="n"/>
      <c r="AN8" s="207" t="n"/>
      <c r="AO8" s="207" t="n"/>
      <c r="AP8" s="207" t="n"/>
      <c r="AQ8" s="208" t="n"/>
      <c r="AR8" s="209" t="inlineStr">
        <is>
          <t>Interest Metrics</t>
        </is>
      </c>
      <c r="AS8" s="210" t="n"/>
      <c r="AT8" s="210" t="n"/>
      <c r="AU8" s="210" t="n"/>
      <c r="AV8" s="210" t="n"/>
      <c r="AW8" s="210" t="n"/>
      <c r="AX8" s="210" t="n"/>
      <c r="AY8" s="210" t="n"/>
      <c r="AZ8" s="210" t="n"/>
      <c r="BA8" s="210" t="n"/>
      <c r="BB8" s="210" t="n"/>
      <c r="BC8" s="210" t="n"/>
      <c r="BD8" s="210" t="n"/>
      <c r="BE8" s="211" t="inlineStr">
        <is>
          <t>Other Loan Characteristics</t>
        </is>
      </c>
      <c r="BF8" s="212" t="n"/>
      <c r="BG8" s="212" t="n"/>
      <c r="BH8" s="213" t="n"/>
      <c r="BI8" s="213" t="n"/>
      <c r="BJ8" s="213" t="n"/>
      <c r="BK8" s="213" t="n"/>
      <c r="BL8" s="213" t="n"/>
      <c r="BM8" s="205" t="n"/>
      <c r="BN8" s="213" t="inlineStr">
        <is>
          <t>Eligibility Criteria</t>
        </is>
      </c>
      <c r="BO8" s="213" t="n"/>
      <c r="BP8" s="213" t="n"/>
      <c r="BQ8" s="213" t="n"/>
      <c r="BR8" s="213" t="n"/>
      <c r="BS8" s="213" t="n"/>
      <c r="BT8" s="213" t="n"/>
      <c r="BU8" s="213" t="n"/>
      <c r="BV8" s="213" t="n"/>
      <c r="BW8" s="213" t="n"/>
      <c r="BX8" s="213" t="n"/>
      <c r="BY8" s="205" t="n"/>
      <c r="BZ8" s="213" t="n"/>
      <c r="CA8" s="213" t="n"/>
      <c r="CB8" s="302" t="n"/>
      <c r="CC8" s="302" t="n"/>
      <c r="CD8" s="139" t="n"/>
      <c r="CE8" s="204" t="inlineStr">
        <is>
          <t>Eligibility Criteria</t>
        </is>
      </c>
      <c r="CF8" s="204" t="n"/>
      <c r="CG8" s="204" t="n"/>
      <c r="CH8" s="204" t="n"/>
      <c r="CI8" s="204" t="n"/>
      <c r="CJ8" s="204" t="n"/>
      <c r="CK8" s="204" t="n"/>
      <c r="CL8" s="204" t="n"/>
      <c r="CM8" s="204" t="n"/>
      <c r="CN8" s="204" t="n"/>
      <c r="CO8" s="204" t="n"/>
      <c r="CP8" s="204" t="n"/>
      <c r="CQ8" s="204" t="n"/>
      <c r="CR8" s="204" t="n"/>
      <c r="CS8" s="204" t="n"/>
      <c r="CT8" s="204" t="n"/>
      <c r="CU8" s="204" t="n"/>
      <c r="CV8" s="204" t="n"/>
      <c r="CW8" s="204" t="n"/>
      <c r="CX8" s="204" t="n"/>
      <c r="CY8" s="204" t="n"/>
      <c r="CZ8" s="204" t="n"/>
      <c r="DA8" s="204" t="n"/>
      <c r="DB8" s="204" t="n"/>
      <c r="DC8" s="214" t="n"/>
      <c r="DD8" s="139" t="n"/>
      <c r="DE8" s="139" t="n"/>
      <c r="DF8" s="139" t="n"/>
      <c r="DG8" s="139" t="n"/>
      <c r="DH8" s="139" t="n"/>
      <c r="DI8" s="139" t="n"/>
      <c r="DJ8" s="139" t="n"/>
      <c r="DK8" s="139" t="n"/>
      <c r="DL8" s="139" t="n"/>
      <c r="DN8" s="204" t="inlineStr">
        <is>
          <t>Excess Concentrations</t>
        </is>
      </c>
      <c r="DO8" s="204" t="n"/>
      <c r="DP8" s="204" t="n"/>
      <c r="DQ8" s="204" t="n"/>
      <c r="DR8" s="204" t="n"/>
      <c r="DS8" s="204" t="n"/>
      <c r="DT8" s="204" t="n"/>
      <c r="DU8" s="204" t="n"/>
      <c r="DV8" s="204" t="n"/>
      <c r="DW8" s="204" t="n"/>
      <c r="DX8" s="204" t="n"/>
      <c r="DY8" s="204" t="n"/>
      <c r="DZ8" s="204" t="n"/>
      <c r="EA8" s="204" t="n"/>
      <c r="EB8" s="204" t="n"/>
      <c r="EC8" s="204" t="n"/>
      <c r="ED8" s="204" t="n"/>
      <c r="EE8" s="204" t="n"/>
      <c r="EF8" s="204" t="n"/>
      <c r="EG8" s="204" t="n"/>
      <c r="EH8" s="204" t="n"/>
      <c r="EI8" s="204" t="n"/>
      <c r="EJ8" s="204" t="n"/>
      <c r="EK8" s="204" t="n"/>
      <c r="EL8" s="204" t="n"/>
      <c r="EM8" s="204" t="n"/>
      <c r="EN8" s="204" t="n"/>
      <c r="EO8" s="204" t="n"/>
      <c r="EP8" s="204" t="n"/>
      <c r="EQ8" s="204" t="n"/>
      <c r="ER8" s="204" t="n"/>
      <c r="ES8" s="204" t="n"/>
      <c r="ET8" s="204" t="n"/>
      <c r="EU8" s="204" t="n"/>
      <c r="EV8" s="204" t="n"/>
      <c r="EW8" s="204" t="n"/>
      <c r="EX8" s="204" t="n"/>
      <c r="EY8" s="204" t="n"/>
      <c r="EZ8" s="204" t="n"/>
      <c r="FA8" s="204" t="n"/>
      <c r="FB8" s="204" t="n"/>
      <c r="FC8" s="204" t="n"/>
      <c r="FD8" s="204" t="n"/>
      <c r="FE8" s="204" t="n"/>
      <c r="FF8" s="204" t="n"/>
      <c r="FG8" s="204" t="n"/>
      <c r="FH8" s="204" t="n"/>
      <c r="FI8" s="204" t="n"/>
      <c r="FJ8" s="204" t="n"/>
      <c r="FK8" s="204" t="n"/>
      <c r="FL8" s="204" t="n"/>
      <c r="FM8" s="204" t="n"/>
      <c r="FN8" s="204" t="n"/>
      <c r="FO8" s="204" t="n"/>
      <c r="FP8" s="204" t="n"/>
      <c r="FQ8" s="204" t="n"/>
      <c r="FR8" s="204" t="n"/>
      <c r="FS8" s="204" t="n"/>
      <c r="FT8" s="204" t="n"/>
      <c r="FU8" s="204" t="n"/>
      <c r="FV8" s="204" t="n"/>
      <c r="FW8" s="204" t="n"/>
      <c r="FX8" s="204" t="n"/>
      <c r="FY8" s="204" t="n"/>
      <c r="FZ8" s="214" t="n"/>
      <c r="GA8" s="136" t="n"/>
      <c r="GB8" s="136" t="n"/>
      <c r="GC8" s="525" t="n"/>
      <c r="GD8" s="136" t="n"/>
      <c r="GE8" s="136" t="n"/>
      <c r="GF8" s="136" t="n"/>
      <c r="GG8" s="136" t="n"/>
      <c r="GP8" s="136" t="n"/>
      <c r="GY8" s="136" t="n"/>
      <c r="HL8" s="136" t="n"/>
      <c r="HN8" s="526">
        <f>SUM(HN10:HN406)</f>
        <v/>
      </c>
      <c r="HO8" s="526">
        <f>SUM(HO10:HO406)</f>
        <v/>
      </c>
      <c r="HU8" s="527">
        <f>SUMIF($HT$10:$HT$117,"",$HU$10:$HU$117)</f>
        <v/>
      </c>
      <c r="HV8" s="524">
        <f>SUMIF(HV10:HV406,"&gt; 0",HO10:HO406)</f>
        <v/>
      </c>
      <c r="HW8" s="524">
        <f>SUM(HW10:HW406)</f>
        <v/>
      </c>
      <c r="HX8" s="524">
        <f>SUM(HX10:HX406)</f>
        <v/>
      </c>
      <c r="HY8" s="524">
        <f>SUM(HY10:HY406)</f>
        <v/>
      </c>
      <c r="HZ8" s="524">
        <f>SUM(HZ10:HZ406)</f>
        <v/>
      </c>
      <c r="IA8" s="524">
        <f>SUM(IA10:IA406)</f>
        <v/>
      </c>
    </row>
    <row r="9" ht="60.4" customHeight="1">
      <c r="B9" s="218" t="inlineStr">
        <is>
          <t>Loan Number</t>
        </is>
      </c>
      <c r="C9" s="219" t="inlineStr">
        <is>
          <t>Obligor</t>
        </is>
      </c>
      <c r="D9" s="219" t="inlineStr">
        <is>
          <t>Obligor Name</t>
        </is>
      </c>
      <c r="E9" s="219" t="inlineStr">
        <is>
          <t>Security Name</t>
        </is>
      </c>
      <c r="F9" s="218" t="inlineStr">
        <is>
          <t>Purchase Date 
(Date Loan contributed to the facility)</t>
        </is>
      </c>
      <c r="G9" s="218" t="inlineStr">
        <is>
          <t>Total
Commitment
(Issue Currency)</t>
        </is>
      </c>
      <c r="H9" s="218" t="inlineStr">
        <is>
          <t>Outstanding Principal Balance
(Issue Currency)</t>
        </is>
      </c>
      <c r="I9" s="218" t="inlineStr">
        <is>
          <t>Exchange Rate</t>
        </is>
      </c>
      <c r="J9" s="218" t="inlineStr">
        <is>
          <t>Total
Commitment
(USD)</t>
        </is>
      </c>
      <c r="K9" s="218" t="inlineStr">
        <is>
          <t>Outstanding Principal Balance
(USD)</t>
        </is>
      </c>
      <c r="L9" s="218" t="inlineStr">
        <is>
          <t>Eligible
Commitment
(USD)</t>
        </is>
      </c>
      <c r="M9" s="218" t="inlineStr">
        <is>
          <t>Eligible Outstanding Principal Balance
(USD)</t>
        </is>
      </c>
      <c r="N9" s="218" t="inlineStr">
        <is>
          <t>Defaulted Collateral Loan / Material Mod
(Y/N)</t>
        </is>
      </c>
      <c r="O9" s="218" t="inlineStr">
        <is>
          <t>Date of Default</t>
        </is>
      </c>
      <c r="P9" s="218" t="inlineStr">
        <is>
          <t>Months Since Default</t>
        </is>
      </c>
      <c r="Q9" s="218" t="inlineStr">
        <is>
          <t>Credit Improved Loan
(Y/N)</t>
        </is>
      </c>
      <c r="R9" s="220" t="inlineStr">
        <is>
          <t>Purchase Price</t>
        </is>
      </c>
      <c r="S9" s="218" t="inlineStr">
        <is>
          <t>Discount Collateral Loan
(Y/N)</t>
        </is>
      </c>
      <c r="T9" s="220" t="inlineStr">
        <is>
          <t>Market Value</t>
        </is>
      </c>
      <c r="U9" s="220" t="inlineStr">
        <is>
          <t>Applicable Recovery Rate</t>
        </is>
      </c>
      <c r="V9" s="220" t="inlineStr">
        <is>
          <t>Advance Rate</t>
        </is>
      </c>
      <c r="W9" s="220" t="inlineStr">
        <is>
          <t>Aggregate 
Collateral Balance (Pre-Eligibility; Excluding Unfunded; Excluding Principal Acct)</t>
        </is>
      </c>
      <c r="X9" s="218" t="inlineStr">
        <is>
          <t>Stretch Senior Loan
(Y/N)</t>
        </is>
      </c>
      <c r="Y9" s="218" t="inlineStr">
        <is>
          <t>Lien Type (First Lien / Split First Lien / Split Lien / Second Lien)</t>
        </is>
      </c>
      <c r="Z9" s="221" t="inlineStr">
        <is>
          <t>Loan
Type (Term / Delayed Draw / Revolver)</t>
        </is>
      </c>
      <c r="AA9" s="218" t="inlineStr">
        <is>
          <t>Current Moody's Rating</t>
        </is>
      </c>
      <c r="AB9" s="218" t="inlineStr">
        <is>
          <t>Current 
S&amp;P
 Rating</t>
        </is>
      </c>
      <c r="AC9" s="218" t="inlineStr">
        <is>
          <t xml:space="preserve"> Initial Fixed Charge Coverage Ratio</t>
        </is>
      </c>
      <c r="AD9" s="409" t="inlineStr">
        <is>
          <t>Current Fixed Charge Coverage Ratio</t>
        </is>
      </c>
      <c r="AE9" s="409" t="inlineStr">
        <is>
          <t>Current Interest Coverage Ratio</t>
        </is>
      </c>
      <c r="AF9" s="218" t="inlineStr">
        <is>
          <t>Initial Debt to Capitalization Ratio</t>
        </is>
      </c>
      <c r="AG9" s="220" t="inlineStr">
        <is>
          <t>Initial Senior Debt/
EBITDA</t>
        </is>
      </c>
      <c r="AH9" s="220" t="inlineStr">
        <is>
          <t>Initial Total Debt/
EBITDA</t>
        </is>
      </c>
      <c r="AI9" s="220" t="inlineStr">
        <is>
          <t>Current Senior Debt/
EBITDA</t>
        </is>
      </c>
      <c r="AJ9" s="220" t="inlineStr">
        <is>
          <t>Current Total Debt/
EBITDA</t>
        </is>
      </c>
      <c r="AK9" s="220" t="inlineStr">
        <is>
          <t>Initial TTM EBITDA</t>
        </is>
      </c>
      <c r="AL9" s="220" t="inlineStr">
        <is>
          <t>Current TTM EBITDA</t>
        </is>
      </c>
      <c r="AM9" s="220" t="inlineStr">
        <is>
          <t>Current As of Date For Leverage and EBITDA</t>
        </is>
      </c>
      <c r="AN9" s="220" t="inlineStr">
        <is>
          <t>Tier 1 / Tier 2 Obligor</t>
        </is>
      </c>
      <c r="AO9" s="221" t="inlineStr">
        <is>
          <t>Maturity Date</t>
        </is>
      </c>
      <c r="AP9" s="218" t="inlineStr">
        <is>
          <t>Rem. Term to Maturity</t>
        </is>
      </c>
      <c r="AQ9" s="218" t="inlineStr">
        <is>
          <t>Avg Life</t>
        </is>
      </c>
      <c r="AR9" s="218" t="inlineStr">
        <is>
          <t>Fixed Rate (Y/N)</t>
        </is>
      </c>
      <c r="AS9" s="222" t="inlineStr">
        <is>
          <t>Coupon incl. PIK and PIK'able (if Fixed)</t>
        </is>
      </c>
      <c r="AT9" s="222" t="inlineStr">
        <is>
          <t>Floor Obligation
(Y/N)</t>
        </is>
      </c>
      <c r="AU9" s="222" t="inlineStr">
        <is>
          <t>Floor</t>
        </is>
      </c>
      <c r="AV9" s="222" t="inlineStr">
        <is>
          <t>Spread incl. PIK and PIK'able</t>
        </is>
      </c>
      <c r="AW9" s="222" t="inlineStr">
        <is>
          <t>Base Rate</t>
        </is>
      </c>
      <c r="AX9" s="222" t="inlineStr">
        <is>
          <t>Greater of Base Rate and Floor</t>
        </is>
      </c>
      <c r="AY9" s="222" t="inlineStr">
        <is>
          <t>For Revolvers/Delayed Draw, commitment or other unused fee</t>
        </is>
      </c>
      <c r="AZ9" s="222" t="inlineStr">
        <is>
          <t>PIK / PIK'able For Floating Rate Loans</t>
        </is>
      </c>
      <c r="BA9" s="222" t="inlineStr">
        <is>
          <t>PIK / PIK'able For Fixed Rate Loans</t>
        </is>
      </c>
      <c r="BB9" s="222" t="inlineStr">
        <is>
          <t>Cash Spread On Floating Rate Loans</t>
        </is>
      </c>
      <c r="BC9" s="222" t="inlineStr">
        <is>
          <t>Cash Spread On Fixed Rate Loans</t>
        </is>
      </c>
      <c r="BD9" s="221" t="inlineStr">
        <is>
          <t>Interest 
Paid</t>
        </is>
      </c>
      <c r="BE9" s="223" t="inlineStr">
        <is>
          <t>Obligor Industry</t>
        </is>
      </c>
      <c r="BF9" s="223" t="inlineStr">
        <is>
          <t>Currency (USD / CAD / GBP / AUD / EUR)</t>
        </is>
      </c>
      <c r="BG9" s="223" t="inlineStr">
        <is>
          <t>Obligor Country</t>
        </is>
      </c>
      <c r="BH9" s="223" t="inlineStr">
        <is>
          <t>DIP Loan (Y/N)</t>
        </is>
      </c>
      <c r="BI9" s="223" t="inlineStr">
        <is>
          <t>Partial PIK Loan
(Y/N)</t>
        </is>
      </c>
      <c r="BJ9" s="223" t="inlineStr">
        <is>
          <t>Non-Cash PIK Loan (Y/N)</t>
        </is>
      </c>
      <c r="BK9" s="218" t="inlineStr">
        <is>
          <t>Warrants to Purchase Equity (Y/N)</t>
        </is>
      </c>
      <c r="BL9" s="218" t="inlineStr">
        <is>
          <t>LBO Loan (Y/N)</t>
        </is>
      </c>
      <c r="BM9" s="218" t="inlineStr">
        <is>
          <t>Parti-cipation (Y/N)</t>
        </is>
      </c>
      <c r="BN9" s="218" t="inlineStr">
        <is>
          <t>Convertible to Equity (Y/N)</t>
        </is>
      </c>
      <c r="BO9" s="218" t="inlineStr">
        <is>
          <t>Equity Security (Y/N)</t>
        </is>
      </c>
      <c r="BP9" s="218" t="inlineStr">
        <is>
          <t>At Acquisition - Subject to offer or called for redemption (Y/N)</t>
        </is>
      </c>
      <c r="BQ9" s="218" t="inlineStr">
        <is>
          <t>Margin Stock (Y/N)</t>
        </is>
      </c>
      <c r="BR9" s="218" t="inlineStr">
        <is>
          <t>Subject to withholding tax (Y/N)</t>
        </is>
      </c>
      <c r="BS9" s="218" t="inlineStr">
        <is>
          <t>At Acquisition - Defaulted Collateral Loan</t>
        </is>
      </c>
      <c r="BT9" s="218" t="inlineStr">
        <is>
          <t>Zero Coupon Obligation(Y/N)</t>
        </is>
      </c>
      <c r="BU9" s="218" t="inlineStr">
        <is>
          <t>Covenant Lite
(Y/N)</t>
        </is>
      </c>
      <c r="BV9" s="218" t="inlineStr">
        <is>
          <t>Eligible Covenant Lite
(Y/N)</t>
        </is>
      </c>
      <c r="BW9" s="218" t="inlineStr">
        <is>
          <t>Structured Finance Obligation, finance lease or chattel paper (Y/N)</t>
        </is>
      </c>
      <c r="BX9" s="218" t="inlineStr">
        <is>
          <t>Material Non-Credit Related Risk
(Y/N)</t>
        </is>
      </c>
      <c r="BY9" s="218" t="inlineStr">
        <is>
          <t>Primarily Secured by Real Estate, Construction Loan or Project Finance Loan
(Y/N)</t>
        </is>
      </c>
      <c r="BZ9" s="218" t="inlineStr">
        <is>
          <t>Interest Only Security
(Y/N)</t>
        </is>
      </c>
      <c r="CA9" s="218" t="inlineStr">
        <is>
          <t>Satisfies all Other Eligibility Criteria
(Y/N)</t>
        </is>
      </c>
      <c r="CB9" s="218" t="inlineStr">
        <is>
          <t>Aggregate Funded Spread</t>
        </is>
      </c>
      <c r="CC9" s="218" t="inlineStr">
        <is>
          <t>Aggregate Unfunded Spread</t>
        </is>
      </c>
      <c r="CD9" s="224" t="n"/>
      <c r="CE9" s="225" t="inlineStr">
        <is>
          <t>Purchased Below 85% of Par</t>
        </is>
      </c>
      <c r="CF9" s="225" t="inlineStr">
        <is>
          <t>Eligible Currency</t>
        </is>
      </c>
      <c r="CG9" s="225" t="inlineStr">
        <is>
          <t>Eligible Country</t>
        </is>
      </c>
      <c r="CH9" s="225" t="inlineStr">
        <is>
          <t>Convertible to Equity</t>
        </is>
      </c>
      <c r="CI9" s="225" t="inlineStr">
        <is>
          <t>Equity Security</t>
        </is>
      </c>
      <c r="CJ9" s="225" t="inlineStr">
        <is>
          <t>Subject to offer or called for redemption</t>
        </is>
      </c>
      <c r="CK9" s="225" t="inlineStr">
        <is>
          <t>Margin Stock</t>
        </is>
      </c>
      <c r="CL9" s="225" t="inlineStr">
        <is>
          <t>Subject to withholding tax</t>
        </is>
      </c>
      <c r="CM9" s="225" t="inlineStr">
        <is>
          <t>At Acquisition - Defaulted Collateral Loan</t>
        </is>
      </c>
      <c r="CN9" s="225" t="inlineStr">
        <is>
          <t>Non-cash PIK</t>
        </is>
      </c>
      <c r="CO9" s="225" t="inlineStr">
        <is>
          <t>Zero Coupon Obligation</t>
        </is>
      </c>
      <c r="CP9" s="225" t="inlineStr">
        <is>
          <t>Covenant Lite</t>
        </is>
      </c>
      <c r="CQ9" s="225" t="inlineStr">
        <is>
          <t>Structured Finance Obligation</t>
        </is>
      </c>
      <c r="CR9" s="225" t="inlineStr">
        <is>
          <t>Remaining term &gt; 7 yrs</t>
        </is>
      </c>
      <c r="CS9" s="225" t="inlineStr">
        <is>
          <t>Interest Paid At Least Semi Annually</t>
        </is>
      </c>
      <c r="CT9" s="225" t="inlineStr">
        <is>
          <t>Material Non-Credit Related Risk</t>
        </is>
      </c>
      <c r="CU9" s="225" t="inlineStr">
        <is>
          <t>Real Estate, Construction or Project Finance Loan</t>
        </is>
      </c>
      <c r="CV9" s="225" t="inlineStr">
        <is>
          <t>Interest Only Security</t>
        </is>
      </c>
      <c r="CW9" s="225" t="inlineStr">
        <is>
          <t>Satisfies all Other Eligibility Criteria</t>
        </is>
      </c>
      <c r="CX9" s="225" t="inlineStr">
        <is>
          <t>EBITDA Requirement at Acquisition</t>
        </is>
      </c>
      <c r="CY9" s="225" t="inlineStr">
        <is>
          <t>EBITDA Requirement Ongoing</t>
        </is>
      </c>
      <c r="CZ9" s="225" t="inlineStr">
        <is>
          <t>Leverage 10% Haircut</t>
        </is>
      </c>
      <c r="DA9" s="225" t="inlineStr">
        <is>
          <t>Leverage 20% Haircut</t>
        </is>
      </c>
      <c r="DB9" s="225" t="inlineStr">
        <is>
          <t>Leverage 35% Haircut</t>
        </is>
      </c>
      <c r="DC9" s="225" t="inlineStr">
        <is>
          <t>Leverage - Final Haircut - 50%</t>
        </is>
      </c>
      <c r="DD9" s="225" t="inlineStr">
        <is>
          <t>Total Ineligible (excl. EBITDA and Leverage Ongoing)</t>
        </is>
      </c>
      <c r="DE9" s="225" t="inlineStr">
        <is>
          <t>Aggregate
 Collateral
 Balance (Post Eligibility; Including Haircut Ineligible; Excluding Unfunded)</t>
        </is>
      </c>
      <c r="DF9" s="225" t="inlineStr">
        <is>
          <t>Eligible Unfunded</t>
        </is>
      </c>
      <c r="DG9" s="225" t="inlineStr">
        <is>
          <t>Aggregate 
Collateral Balance (Post Eligibility; Including Eligible Unfunded)</t>
        </is>
      </c>
      <c r="DH9" s="225" t="inlineStr">
        <is>
          <t>Concentration Test Balance - OPB + Eligible Unfunded</t>
        </is>
      </c>
      <c r="DI9" s="225" t="inlineStr">
        <is>
          <t>Revolving Exposure</t>
        </is>
      </c>
      <c r="DJ9" s="225" t="inlineStr">
        <is>
          <t>Foreign Currency Loan OC Balance</t>
        </is>
      </c>
      <c r="DK9" s="225" t="inlineStr">
        <is>
          <t>Foreign Currency Variability Factor</t>
        </is>
      </c>
      <c r="DL9" s="225" t="inlineStr">
        <is>
          <t>Foreign Currency Variability Reserve</t>
        </is>
      </c>
      <c r="DN9" s="226" t="inlineStr">
        <is>
          <t>Second Lien and Split Lien</t>
        </is>
      </c>
      <c r="DO9" s="227" t="inlineStr">
        <is>
          <t>Excess</t>
        </is>
      </c>
      <c r="DP9" s="227" t="inlineStr">
        <is>
          <t>Net Loan Balance</t>
        </is>
      </c>
      <c r="DQ9" s="226" t="inlineStr">
        <is>
          <t>Second Lien</t>
        </is>
      </c>
      <c r="DR9" s="227" t="inlineStr">
        <is>
          <t>Excess</t>
        </is>
      </c>
      <c r="DS9" s="228" t="inlineStr">
        <is>
          <t>Net Loan Balance</t>
        </is>
      </c>
      <c r="DT9" s="229" t="inlineStr">
        <is>
          <t>DIP Collateral Loans</t>
        </is>
      </c>
      <c r="DU9" s="230" t="inlineStr">
        <is>
          <t>Excess</t>
        </is>
      </c>
      <c r="DV9" s="231" t="inlineStr">
        <is>
          <t>Net Loan Balance</t>
        </is>
      </c>
      <c r="DW9" s="229" t="inlineStr">
        <is>
          <t>Eligible Foreign Country</t>
        </is>
      </c>
      <c r="DX9" s="230" t="inlineStr">
        <is>
          <t>Excess</t>
        </is>
      </c>
      <c r="DY9" s="231" t="inlineStr">
        <is>
          <t>Net Loan Balance</t>
        </is>
      </c>
      <c r="DZ9" s="230" t="inlineStr">
        <is>
          <t>Partial PIK Loan</t>
        </is>
      </c>
      <c r="EA9" s="230" t="inlineStr">
        <is>
          <t>Excess</t>
        </is>
      </c>
      <c r="EB9" s="231" t="inlineStr">
        <is>
          <t>Net Loan Balance</t>
        </is>
      </c>
      <c r="EC9" s="229" t="inlineStr">
        <is>
          <t>Revolving / Delayed Drawdown</t>
        </is>
      </c>
      <c r="ED9" s="230" t="inlineStr">
        <is>
          <t>Excess</t>
        </is>
      </c>
      <c r="EE9" s="231" t="inlineStr">
        <is>
          <t>Net Loan Balance</t>
        </is>
      </c>
      <c r="EF9" s="226" t="inlineStr">
        <is>
          <t>Discount Loans</t>
        </is>
      </c>
      <c r="EG9" s="227" t="inlineStr">
        <is>
          <t>Excess</t>
        </is>
      </c>
      <c r="EH9" s="228" t="inlineStr">
        <is>
          <t>Net Loan Balance</t>
        </is>
      </c>
      <c r="EI9" s="229" t="inlineStr">
        <is>
          <t>Credit Improved Loans</t>
        </is>
      </c>
      <c r="EJ9" s="230" t="inlineStr">
        <is>
          <t>Excess</t>
        </is>
      </c>
      <c r="EK9" s="231" t="inlineStr">
        <is>
          <t>Net Loan Balance</t>
        </is>
      </c>
      <c r="EL9" s="230" t="inlineStr">
        <is>
          <t>Less than Quarterly Pay</t>
        </is>
      </c>
      <c r="EM9" s="230" t="inlineStr">
        <is>
          <t>Excess</t>
        </is>
      </c>
      <c r="EN9" s="230" t="inlineStr">
        <is>
          <t>Net Loan Balance</t>
        </is>
      </c>
      <c r="EO9" s="229" t="inlineStr">
        <is>
          <t>Warrants to Purchase Equity Securities</t>
        </is>
      </c>
      <c r="EP9" s="230" t="inlineStr">
        <is>
          <t>Excess</t>
        </is>
      </c>
      <c r="EQ9" s="231" t="inlineStr">
        <is>
          <t>Net Loan Balance</t>
        </is>
      </c>
      <c r="ER9" s="229" t="inlineStr">
        <is>
          <t>LBO Loan with Equity to Cap &lt;25%</t>
        </is>
      </c>
      <c r="ES9" s="230" t="inlineStr">
        <is>
          <t>Excess</t>
        </is>
      </c>
      <c r="ET9" s="231" t="inlineStr">
        <is>
          <t>Net Loan Balance</t>
        </is>
      </c>
      <c r="EU9" s="229" t="inlineStr">
        <is>
          <t>Participation Interests</t>
        </is>
      </c>
      <c r="EV9" s="230" t="inlineStr">
        <is>
          <t>Excess</t>
        </is>
      </c>
      <c r="EW9" s="231" t="inlineStr">
        <is>
          <t>Net Loan Balance</t>
        </is>
      </c>
      <c r="EX9" s="229" t="inlineStr">
        <is>
          <t>Eligible Covenant Lite Loans</t>
        </is>
      </c>
      <c r="EY9" s="230" t="inlineStr">
        <is>
          <t>Excess</t>
        </is>
      </c>
      <c r="EZ9" s="231" t="inlineStr">
        <is>
          <t>Net Loan Balance</t>
        </is>
      </c>
      <c r="FA9" s="230" t="inlineStr">
        <is>
          <t>Fixed Rate Loan</t>
        </is>
      </c>
      <c r="FB9" s="230" t="inlineStr">
        <is>
          <t>Excess</t>
        </is>
      </c>
      <c r="FC9" s="231" t="inlineStr">
        <is>
          <t>Net Loan Balance</t>
        </is>
      </c>
      <c r="FD9" s="230" t="inlineStr">
        <is>
          <t>Agreed Foreign Currency</t>
        </is>
      </c>
      <c r="FE9" s="230" t="inlineStr">
        <is>
          <t>Excess</t>
        </is>
      </c>
      <c r="FF9" s="231" t="inlineStr">
        <is>
          <t>Net Loan Balance</t>
        </is>
      </c>
      <c r="FG9" s="230" t="inlineStr">
        <is>
          <t>Obligor</t>
        </is>
      </c>
      <c r="FH9" s="230" t="inlineStr">
        <is>
          <t>Excess</t>
        </is>
      </c>
      <c r="FI9" s="231" t="inlineStr">
        <is>
          <t>Net Loan Balance</t>
        </is>
      </c>
      <c r="FJ9" s="230" t="inlineStr">
        <is>
          <t>Obligor 
Industry</t>
        </is>
      </c>
      <c r="FK9" s="230" t="inlineStr">
        <is>
          <t>Excess</t>
        </is>
      </c>
      <c r="FL9" s="231" t="inlineStr">
        <is>
          <t>Net Loan Balance</t>
        </is>
      </c>
      <c r="FM9" s="230" t="inlineStr">
        <is>
          <t>Top 5 Obligors</t>
        </is>
      </c>
      <c r="FN9" s="230" t="inlineStr">
        <is>
          <t>Excess</t>
        </is>
      </c>
      <c r="FO9" s="230" t="inlineStr">
        <is>
          <t>Net Loan Balance</t>
        </is>
      </c>
      <c r="FP9" s="229" t="inlineStr">
        <is>
          <t>LTM EBITDA &gt;= 5,000,000 but &lt; 7,500,000</t>
        </is>
      </c>
      <c r="FQ9" s="230" t="inlineStr">
        <is>
          <t>Excess; Haircut to 1-Recovery Rate</t>
        </is>
      </c>
      <c r="FR9" s="231" t="inlineStr">
        <is>
          <t>Net Loan Balance</t>
        </is>
      </c>
      <c r="FS9" s="229" t="inlineStr">
        <is>
          <t>LTM EBITDA &lt; 15,000,000</t>
        </is>
      </c>
      <c r="FT9" s="230" t="inlineStr">
        <is>
          <t>Excess; Haircut to 1-Recovery Rate</t>
        </is>
      </c>
      <c r="FU9" s="231" t="inlineStr">
        <is>
          <t>Net Loan Balance</t>
        </is>
      </c>
      <c r="FV9" s="230" t="inlineStr">
        <is>
          <t>LTM Snr Debt / EBITDA</t>
        </is>
      </c>
      <c r="FW9" s="230" t="inlineStr">
        <is>
          <t>LTM Total Debt / EBITDA</t>
        </is>
      </c>
      <c r="FX9" s="230" t="inlineStr">
        <is>
          <t>Stretch Senior LTM Total Debt / EBITDA</t>
        </is>
      </c>
      <c r="FY9" s="230" t="inlineStr">
        <is>
          <t>Exceeds Leverage Limitation</t>
        </is>
      </c>
      <c r="FZ9" s="230" t="inlineStr">
        <is>
          <t>Excess; Haircut to 1-Min(90% and Market Value)</t>
        </is>
      </c>
      <c r="GA9" s="231" t="inlineStr">
        <is>
          <t>Excess Concentration Test</t>
        </is>
      </c>
      <c r="GB9" s="231" t="inlineStr">
        <is>
          <t>Net Loan Balance</t>
        </is>
      </c>
      <c r="GC9" s="231" t="inlineStr">
        <is>
          <t>Borrowing Base</t>
        </is>
      </c>
      <c r="GD9" s="136" t="n"/>
      <c r="GE9" s="232" t="inlineStr">
        <is>
          <t>Industry No</t>
        </is>
      </c>
      <c r="GF9" s="232" t="inlineStr">
        <is>
          <t>Lookups'!F2:F3 Loan Balance</t>
        </is>
      </c>
      <c r="GG9" s="232" t="inlineStr">
        <is>
          <t>Industry Loan Balance</t>
        </is>
      </c>
      <c r="GH9" s="232" t="inlineStr">
        <is>
          <t>Industry Order</t>
        </is>
      </c>
      <c r="GI9" s="233" t="inlineStr">
        <is>
          <t>Outstanding Loan Balance</t>
        </is>
      </c>
      <c r="GJ9" s="233" t="inlineStr">
        <is>
          <t>Limit</t>
        </is>
      </c>
      <c r="GK9" s="233" t="inlineStr">
        <is>
          <t>Excess</t>
        </is>
      </c>
      <c r="GL9" s="232" t="inlineStr">
        <is>
          <t>Industry No (Matched)</t>
        </is>
      </c>
      <c r="GM9" s="233" t="inlineStr">
        <is>
          <t>Haircut</t>
        </is>
      </c>
      <c r="GN9" s="136" t="n"/>
      <c r="GO9" s="233" t="inlineStr">
        <is>
          <t>Obligor No</t>
        </is>
      </c>
      <c r="GP9" s="233" t="inlineStr">
        <is>
          <t>Obligor Loan Balance</t>
        </is>
      </c>
      <c r="GQ9" s="233" t="inlineStr">
        <is>
          <t>Obligor Order</t>
        </is>
      </c>
      <c r="GR9" s="233" t="inlineStr">
        <is>
          <t>Obligor Loan Balance</t>
        </is>
      </c>
      <c r="GS9" s="233" t="inlineStr">
        <is>
          <t>Limit</t>
        </is>
      </c>
      <c r="GT9" s="233" t="inlineStr">
        <is>
          <t>Excess</t>
        </is>
      </c>
      <c r="GU9" s="233" t="inlineStr">
        <is>
          <t>Obligor No</t>
        </is>
      </c>
      <c r="GV9" s="233" t="inlineStr">
        <is>
          <t>Haircut</t>
        </is>
      </c>
      <c r="GW9" s="417" t="n"/>
      <c r="GX9" s="418" t="inlineStr">
        <is>
          <t>Obligor No</t>
        </is>
      </c>
      <c r="GY9" s="418" t="inlineStr">
        <is>
          <t>Obligor Loan Balance</t>
        </is>
      </c>
      <c r="GZ9" s="418" t="inlineStr">
        <is>
          <t>Obligor Order</t>
        </is>
      </c>
      <c r="HA9" s="418" t="inlineStr">
        <is>
          <t>Obligor Loan Balance</t>
        </is>
      </c>
      <c r="HB9" s="418" t="inlineStr">
        <is>
          <t>Limit</t>
        </is>
      </c>
      <c r="HC9" s="418" t="inlineStr">
        <is>
          <t>Excess</t>
        </is>
      </c>
      <c r="HD9" s="418" t="inlineStr">
        <is>
          <t>Obligor No</t>
        </is>
      </c>
      <c r="HE9" s="418" t="inlineStr">
        <is>
          <t>Haircut</t>
        </is>
      </c>
      <c r="HG9" s="233" t="inlineStr">
        <is>
          <t>Excess Concentration Amount (Dynamic)</t>
        </is>
      </c>
      <c r="HH9" s="234" t="inlineStr">
        <is>
          <t>Excess Concentration Amount 
(HARD CODE on Last Day of Reinvestment Period)</t>
        </is>
      </c>
      <c r="HI9" s="234" t="inlineStr">
        <is>
          <t>Applicable Excess Concentration Amount (Last Day of Reinvestment Period)</t>
        </is>
      </c>
      <c r="HJ9" s="133" t="n"/>
      <c r="HK9" s="233" t="inlineStr">
        <is>
          <t>Obligor No</t>
        </is>
      </c>
      <c r="HL9" s="233" t="inlineStr">
        <is>
          <t>Obligor Loan Balance</t>
        </is>
      </c>
      <c r="HM9" s="133" t="n"/>
      <c r="HN9" s="235" t="inlineStr">
        <is>
          <t>Aggregate 
Collateral Balance (Pre-Eligibility; Excluding Unfunded; Excluding Principal Acct)</t>
        </is>
      </c>
      <c r="HO9" s="236" t="inlineStr">
        <is>
          <t>Outstanding Principal Balance</t>
        </is>
      </c>
      <c r="HP9" s="237" t="inlineStr">
        <is>
          <t>Defaulted Collateral Loan Balance</t>
        </is>
      </c>
      <c r="HQ9" s="237" t="inlineStr">
        <is>
          <t>Discount Loan Balance</t>
        </is>
      </c>
      <c r="HR9" s="237" t="inlineStr">
        <is>
          <t>Credit Improved Balance</t>
        </is>
      </c>
      <c r="HS9" s="237" t="inlineStr">
        <is>
          <t>Haircut Ineligible</t>
        </is>
      </c>
      <c r="HT9" s="237" t="inlineStr">
        <is>
          <t>Ineligibles</t>
        </is>
      </c>
      <c r="HU9" s="238" t="inlineStr">
        <is>
          <t>Total Unfunded</t>
        </is>
      </c>
      <c r="HV9" s="239" t="inlineStr">
        <is>
          <t>APB (Other Than Def, Inelib, Restructured, Haircut)</t>
        </is>
      </c>
      <c r="HW9" s="240" t="inlineStr">
        <is>
          <t>Ineligibles Test</t>
        </is>
      </c>
      <c r="HX9" s="240" t="inlineStr">
        <is>
          <t>Haircut Test</t>
        </is>
      </c>
      <c r="HY9" s="240" t="inlineStr">
        <is>
          <t>Credit Improved Test</t>
        </is>
      </c>
      <c r="HZ9" s="240" t="inlineStr">
        <is>
          <t>Discount Test</t>
        </is>
      </c>
      <c r="IA9" s="241" t="inlineStr">
        <is>
          <t>Defaulted Test</t>
        </is>
      </c>
      <c r="IB9" s="235" t="inlineStr">
        <is>
          <t>Lookups'!F2:F3 No</t>
        </is>
      </c>
      <c r="IE9" s="361" t="inlineStr">
        <is>
          <t>Initial Haircut Level</t>
        </is>
      </c>
    </row>
    <row r="10" ht="15" customHeight="1">
      <c r="A10">
        <f>D10</f>
        <v/>
      </c>
      <c r="B10" s="242" t="n">
        <v>1</v>
      </c>
      <c r="C10" s="242" t="n">
        <v>1</v>
      </c>
      <c r="D10" s="428" t="inlineStr">
        <is>
          <t>Northgate Holdings, LLC</t>
        </is>
      </c>
      <c r="E10" s="243" t="inlineStr">
        <is>
          <t>Northgate (TL)</t>
        </is>
      </c>
      <c r="F10" s="244" t="n"/>
      <c r="G10" s="528" t="n">
        <v>18406747.23</v>
      </c>
      <c r="H10" s="528" t="n">
        <v>18406747.23</v>
      </c>
      <c r="I10" s="246" t="n">
        <v>1</v>
      </c>
      <c r="J10" s="529">
        <f>IF(B10="","",G10*I10)</f>
        <v/>
      </c>
      <c r="K10" s="529">
        <f>IF(B10="","",H10*I10)</f>
        <v/>
      </c>
      <c r="L10" s="529">
        <f>IF(B10="","",IF(COUNTIF($CE10:$CX10,1)&gt;0,0,J10))</f>
        <v/>
      </c>
      <c r="M10" s="529">
        <f>IF(B10="","",IF(COUNTIF($CE10:$CX10,1)&gt;0,0,K10))</f>
        <v/>
      </c>
      <c r="N10" s="248" t="inlineStr">
        <is>
          <t>No</t>
        </is>
      </c>
      <c r="O10" s="248" t="inlineStr">
        <is>
          <t>N/A</t>
        </is>
      </c>
      <c r="P10" s="249">
        <f>IF(B10="","",IF(OR(O10="N/A",O10=""),0,YEARFRAC('Borrowing Base'!$J$4,'Loan List'!O10)*12))</f>
        <v/>
      </c>
      <c r="Q10" s="248" t="inlineStr">
        <is>
          <t>No</t>
        </is>
      </c>
      <c r="R10" s="250" t="n">
        <v>0.9975000000000001</v>
      </c>
      <c r="S10" s="251">
        <f>IF(B10="","",IF(R10&lt;95%,"Yes","No"))</f>
        <v/>
      </c>
      <c r="T10" s="250" t="n">
        <v>0.9899999994331212</v>
      </c>
      <c r="U10" s="252">
        <f>IF(B10="","",IF(OR(Y10="First Lien",Y10="Split First Lien",Y10="Tier 1 Split Lien",Y10="Tier 2 Split Lien"),50%,30%))</f>
        <v/>
      </c>
      <c r="V10" s="252">
        <f>IF(B10="",0,IF(AND(Y10="First Lien",AN10="Tier 1"),IF(AND(X10="Yes",MIN(AH10,$AJ$5)&gt;4.5),(((4.5/MIN(AH10,$AJ$5))*72.5%)+(((MIN(AH10,$AJ$5)-4.5)/MIN(AH10,$AJ$5))*35%)),72.5%),IF(AND(Y10="First Lien",AN10="Tier 2"),IF(AND(X10="Yes",MIN(AH10,$AK$5)&gt;4.5),(((4.5/MIN(AH10,$AK$5))*72.5%)+(((MIN(AH10,$AK$5)-4.5)/MIN(AH10,$AK$5))*35%)),72.5%),IF(AND(X10="Yes",MIN(AH10,$AL$5)&gt;4),(((4/MIN(AH10,$AL$5))*72.5%)+(((MIN(AH10,$AL$5)-4)/MIN(AH10,$AL$5))*35%)),IF(OR(Y10="First Lien",Y10="Split First Lien"),72.5%,IF(Y10="Split Lien", 53%,35%))))))</f>
        <v/>
      </c>
      <c r="W10" s="530">
        <f>IF($C10="","",MIN($HO10:$HS10))</f>
        <v/>
      </c>
      <c r="X10" s="248" t="inlineStr">
        <is>
          <t>Yes</t>
        </is>
      </c>
      <c r="Y10" s="254" t="inlineStr">
        <is>
          <t>First Lien</t>
        </is>
      </c>
      <c r="Z10" s="254" t="inlineStr">
        <is>
          <t>Term</t>
        </is>
      </c>
      <c r="AA10" s="531" t="inlineStr">
        <is>
          <t>NR</t>
        </is>
      </c>
      <c r="AB10" s="531" t="inlineStr">
        <is>
          <t xml:space="preserve"> NR</t>
        </is>
      </c>
      <c r="AC10" s="532" t="n">
        <v>1.117444826012201</v>
      </c>
      <c r="AD10" s="532" t="n">
        <v>5.187029462327344</v>
      </c>
      <c r="AE10" s="532" t="n">
        <v>4.606090185742184</v>
      </c>
      <c r="AF10" s="257" t="n">
        <v>0.4590766002098636</v>
      </c>
      <c r="AG10" s="533" t="n">
        <v>5.187029462327344</v>
      </c>
      <c r="AH10" s="533" t="n">
        <v>5.187029462327344</v>
      </c>
      <c r="AI10" s="533" t="n">
        <v>4.606090185742184</v>
      </c>
      <c r="AJ10" s="533" t="n">
        <v>4.606090185742184</v>
      </c>
      <c r="AK10" s="534" t="n">
        <v>33738000.00000001</v>
      </c>
      <c r="AL10" s="534" t="n">
        <v>77650021.0758182</v>
      </c>
      <c r="AM10" s="260" t="n">
        <v>45747</v>
      </c>
      <c r="AN10" s="529">
        <f>IF(C10="","",(IF(AK10&gt;=50000000,"Tier 1",(IF(OR(AK10&gt;=20000000,AND(AK10&gt;5000000,AC10&gt;=1.25,AF10&lt;=0.65)),"Tier 2","Tier 3")))))</f>
        <v/>
      </c>
      <c r="AO10" s="244" t="n">
        <v>47393</v>
      </c>
      <c r="AP10" s="535" t="n">
        <v>4.172222222222222</v>
      </c>
      <c r="AQ10" s="535">
        <f>IF(C10="","",AP10)</f>
        <v/>
      </c>
      <c r="AR10" s="248" t="inlineStr">
        <is>
          <t>No</t>
        </is>
      </c>
      <c r="AS10" s="250" t="n">
        <v>0</v>
      </c>
      <c r="AT10" s="248" t="inlineStr">
        <is>
          <t>Yes</t>
        </is>
      </c>
      <c r="AU10" s="250" t="n">
        <v>0.01</v>
      </c>
      <c r="AV10" s="250" t="n">
        <v>0.0475</v>
      </c>
      <c r="AW10" s="250" t="n">
        <v>0.042906</v>
      </c>
      <c r="AX10" s="262">
        <f>IF(C10="","",MAX(AU10,AW10))</f>
        <v/>
      </c>
      <c r="AY10" s="250" t="n">
        <v>0</v>
      </c>
      <c r="AZ10" s="250" t="n">
        <v>0</v>
      </c>
      <c r="BA10" s="250" t="n">
        <v>0</v>
      </c>
      <c r="BB10" s="412">
        <f>IF(B10="","",IF(AR10="No",AV10-AZ10,""))</f>
        <v/>
      </c>
      <c r="BC10" s="412">
        <f>IF(B10="","",IF(AR10="Yes",AS10-BA10,""))</f>
        <v/>
      </c>
      <c r="BD10" s="254" t="inlineStr">
        <is>
          <t>Quarterly</t>
        </is>
      </c>
      <c r="BE10" s="536" t="inlineStr">
        <is>
          <t>IT Services</t>
        </is>
      </c>
      <c r="BF10" s="254" t="inlineStr">
        <is>
          <t>USD</t>
        </is>
      </c>
      <c r="BG10" s="254" t="inlineStr">
        <is>
          <t>United States</t>
        </is>
      </c>
      <c r="BH10" s="248" t="inlineStr">
        <is>
          <t>No</t>
        </is>
      </c>
      <c r="BI10" s="413">
        <f>IF(B10="","",IF(OR(AND(AZ10&gt;0,BB10&gt;=2.5%,BB10&lt;4%),AND(BA10&gt;0,BC10&gt;=6%,BC10&lt;8%)),"Yes","No"))</f>
        <v/>
      </c>
      <c r="BJ10" s="413">
        <f>IF(B10="","",IF(OR(AND(AZ10&gt;0,BB10&lt;2.5%),AND(BA10&gt;0,BC10&lt;6%)),"Yes","No"))</f>
        <v/>
      </c>
      <c r="BK10" s="248" t="inlineStr">
        <is>
          <t>No</t>
        </is>
      </c>
      <c r="BL10" s="248" t="inlineStr">
        <is>
          <t>No</t>
        </is>
      </c>
      <c r="BM10" s="248" t="inlineStr">
        <is>
          <t>No</t>
        </is>
      </c>
      <c r="BN10" s="248" t="inlineStr">
        <is>
          <t>No</t>
        </is>
      </c>
      <c r="BO10" s="248" t="inlineStr">
        <is>
          <t>No</t>
        </is>
      </c>
      <c r="BP10" s="248" t="inlineStr">
        <is>
          <t>No</t>
        </is>
      </c>
      <c r="BQ10" s="248" t="inlineStr">
        <is>
          <t>No</t>
        </is>
      </c>
      <c r="BR10" s="248" t="inlineStr">
        <is>
          <t>No</t>
        </is>
      </c>
      <c r="BS10" s="248" t="inlineStr">
        <is>
          <t>No</t>
        </is>
      </c>
      <c r="BT10" s="248" t="inlineStr">
        <is>
          <t>No</t>
        </is>
      </c>
      <c r="BU10" s="248" t="inlineStr">
        <is>
          <t>No</t>
        </is>
      </c>
      <c r="BV10" s="248" t="inlineStr">
        <is>
          <t>No</t>
        </is>
      </c>
      <c r="BW10" s="248" t="inlineStr">
        <is>
          <t>No</t>
        </is>
      </c>
      <c r="BX10" s="248" t="inlineStr">
        <is>
          <t>No</t>
        </is>
      </c>
      <c r="BY10" s="248" t="inlineStr">
        <is>
          <t>No</t>
        </is>
      </c>
      <c r="BZ10" s="248" t="inlineStr">
        <is>
          <t>No</t>
        </is>
      </c>
      <c r="CA10" s="248" t="inlineStr">
        <is>
          <t>Yes</t>
        </is>
      </c>
      <c r="CB10" s="537">
        <f>IF(B10="","",IF(AT10="No",((BB10+AW10)-$AZ$4),((BB10+AX10)-$AZ$4))*IF(DD10&gt;0,0,M10))</f>
        <v/>
      </c>
      <c r="CC10" s="537">
        <f>IF(B10="","",AY10*(L10-M10)*IF(DD10&gt;0,0,1))</f>
        <v/>
      </c>
      <c r="CD10" s="265" t="n"/>
      <c r="CE10" s="265">
        <f>IF(AND(B10&lt;&gt;"",R10&lt;=85%),1,0)</f>
        <v/>
      </c>
      <c r="CF10" s="265">
        <f>IF(B10="",0,(IF(OR(BF10="USD",BF10="CAD",BF10="GBP",BF10="AUD",BF10="EUR"),0,1)))</f>
        <v/>
      </c>
      <c r="CG10" s="265">
        <f>IF(B10="",0,(IF(OR(BG10="United States",BG10="Canada",BG10="United Kingdom",BG10="Australia",BG10="Netherlands Antilles",BG10="Bermuda",BG10="Cayman Islands",BG10="British Virgin Islands",BG10="Channel Islands",BG10="Isle of Man",BG10="Australia",BG10="Netherlands",BG10="Germany",BG10="Sweden",BG10="Switzerland",BG10="Austria",BG10="Belgium",BG10="Denmark",BG10="Finland",BG10="Iceland",BG10="Ireland",BG10="Lichtenstein",BG10="Luxemborg",BG10="Norway"),0,1)))</f>
        <v/>
      </c>
      <c r="CH10" s="265">
        <f>IF(BN10="Yes",1,0)</f>
        <v/>
      </c>
      <c r="CI10" s="265">
        <f>IF(BO10="Yes",1,0)</f>
        <v/>
      </c>
      <c r="CJ10" s="265">
        <f>IF(BP10="Yes",1,0)</f>
        <v/>
      </c>
      <c r="CK10" s="265">
        <f>IF(BQ10="Yes",1,0)</f>
        <v/>
      </c>
      <c r="CL10" s="265">
        <f>IF(BR10="Yes",1,0)</f>
        <v/>
      </c>
      <c r="CM10" s="265">
        <f>IF(BS10="Yes",1,0)</f>
        <v/>
      </c>
      <c r="CN10" s="265">
        <f>IF(OR(AND(BJ10="Yes",N10="No"),AND(BJ10="Yes",N10="Yes",P10&gt;=6)),1,0)</f>
        <v/>
      </c>
      <c r="CO10" s="265">
        <f>IF(BT10="Yes",1,0)</f>
        <v/>
      </c>
      <c r="CP10" s="265">
        <f>IF(AND(BU10="Yes",BV10="No"),1,0)</f>
        <v/>
      </c>
      <c r="CQ10" s="265">
        <f>IF(BW10="Yes",1,0)</f>
        <v/>
      </c>
      <c r="CR10" s="265">
        <f>IF(AP10="",0,IF(AP10&gt;7,1,0))</f>
        <v/>
      </c>
      <c r="CS10" s="265">
        <f>IF(OR(BD10&lt;&gt;"Monthly",BD10&lt;&gt;"Quarterly",BD10&lt;&gt;"Semi-Annually"),0,1)</f>
        <v/>
      </c>
      <c r="CT10" s="265">
        <f>IF(BX10="Yes",1,0)</f>
        <v/>
      </c>
      <c r="CU10" s="265">
        <f>IF(BY10="Yes",1,0)</f>
        <v/>
      </c>
      <c r="CV10" s="265">
        <f>IF(BZ10="Yes",1,0)</f>
        <v/>
      </c>
      <c r="CW10" s="265">
        <f>IF(CA10="No",1,0)</f>
        <v/>
      </c>
      <c r="CX10" s="265">
        <f>IF(B10="",0,IF(AK10&gt;=5000000,0,1))</f>
        <v/>
      </c>
      <c r="CY10" s="265">
        <f>IF(B10="",0,IF(AL10&gt;=5000000,0,1))</f>
        <v/>
      </c>
      <c r="CZ10" s="265">
        <f>IF(OR(DA10=1,DB10=1,DC10=1),0,IF(B10="",0,IF(OR(AND(AN10="Tier 1",X10="No",OR(AI10&gt;$AJ$3,AJ10&gt;$AJ$4)),(AND(AN10="Tier 1",X10="Yes",AJ10&gt;$AJ$5)),(AND(AN10="Tier 2",X10="No",OR(AI10&gt;$AK$3,AJ10&gt;$AK$4))),(AND(AN10="Tier 2",X10="Yes",AJ10&gt;$AK$5)),(AND(AN10="Tier 3",X10="No",OR(AI10&gt;$AL$3,AJ10&gt;$AL$4))),(AND(AN10="Tier 3",X10="Yes",AJ10&gt;$AL$5))),1,0)))</f>
        <v/>
      </c>
      <c r="DA10" s="265">
        <f>IF(OR(DB10=1,DC10=1),0,IF(B10="",0,IF(OR(AND(AN10="Tier 1",X10="No",OR(AI10&gt;$AM$3,AJ10&gt;$AM$4)),(AND(AN10="Tier 1",X10="Yes",AJ10&gt;$AM$5)),(AND(AN10="Tier 2",X10="No",OR(AI10&gt;$AN$3,AJ10&gt;$AN$4))),(AND(AN10="Tier 2",X10="Yes",AJ10&gt;$AN$5)),(AND(AN10="Tier 3",X10="No",OR(AI10&gt;$AO$3,AJ10&gt;$AO$4))),(AND(AN10="Tier 3",X10="Yes",AJ10&gt;$AO$5))),1,0)))</f>
        <v/>
      </c>
      <c r="DB10" s="265">
        <f>IF(DC10=1,0,IF(B10="",0,IF(OR(AND(AN10="Tier 1",X10="No",OR(AI10&gt;$AP$3,AJ10&gt;$AP$4)),(AND(AN10="Tier 1",X10="Yes",AJ10&gt;$AP$5)),(AND(AN10="Tier 2",X10="No",OR(AI10&gt;$AQ$3,AJ10&gt;$AQ$4))),(AND(AN10="Tier 2",X10="Yes",AJ10&gt;$AQ$5)),(AND(AN10="Tier 3",X10="No",OR(AI10&gt;$AR$3,AJ10&gt;$AR$4))),(AND(AN10="Tier 3",X10="Yes",AJ10&gt;$AR$5))),1,0)))</f>
        <v/>
      </c>
      <c r="DC10" s="265">
        <f>IF(B10="",0,IF(OR(AND(AN10="Tier 1",X10="No",OR(AI10&gt;$AS$3,AJ10&gt;$AS$4)),(AND(AN10="Tier 1",X10="Yes",AJ10&gt;$AS$5)),(AND(AN10="Tier 2",X10="No",OR(AI10&gt;$AT$3,AJ10&gt;$AT$4))),(AND(AN10="Tier 2",X10="Yes",AJ10&gt;$AT$5)),(AND(AN10="Tier 3",X10="No",OR(AI10&gt;$AU$3,AJ10&gt;$AU$4))),(AND(AN10="Tier 3",X10="Yes",AJ10&gt;$AU$5))),1,0))</f>
        <v/>
      </c>
      <c r="DD10" s="265">
        <f>IF((SUM(CE10:CX10)=0),0,W10)</f>
        <v/>
      </c>
      <c r="DE10" s="265">
        <f>IF(OR(B10="",DD10&gt;0),0,W10)</f>
        <v/>
      </c>
      <c r="DF10" s="265">
        <f>IF(B10="",0,IF(COUNTIF(CE10:CX10,1)&gt;0,0,L10-M10))</f>
        <v/>
      </c>
      <c r="DG10" s="265">
        <f>DE10+IF(DD10&gt;0,0,DF10)</f>
        <v/>
      </c>
      <c r="DH10" s="265">
        <f>IF(B10="","",M10+DF10)</f>
        <v/>
      </c>
      <c r="DI10" s="265">
        <f>IF(B10="",0,J10-K10)</f>
        <v/>
      </c>
      <c r="DJ10" s="265">
        <f>IF(OR(BF10="EUR",BF10="CAD",BF10="GBP",BF10="AUD"),(GA10*(1-V10))+(HG10)+IF(HX10="",0,HX10*(1-U10)),0)</f>
        <v/>
      </c>
      <c r="DK10" s="265">
        <f>IF(BF10="EUR",33%,IF(BF10="CAD",38%,IF(BF10="GBP",51%,IF(BF10="AUD",61%,0))))</f>
        <v/>
      </c>
      <c r="DL10" s="265">
        <f>DJ10*DK10</f>
        <v/>
      </c>
      <c r="DN10" s="538">
        <f>IF(OR(Y10="Second Lien",Y10="Tier 1 Split Lien",Y10="Tier 2 Split Lien"),DG10,0)</f>
        <v/>
      </c>
      <c r="DO10" s="539">
        <f>DN10*DN$6</f>
        <v/>
      </c>
      <c r="DP10" s="538">
        <f>DG10-DO10</f>
        <v/>
      </c>
      <c r="DQ10" s="538">
        <f>IF(Y10="Second Lien",DP10,0)</f>
        <v/>
      </c>
      <c r="DR10" s="539">
        <f>DQ10*DQ$6</f>
        <v/>
      </c>
      <c r="DS10" s="538">
        <f>DP10-DR10</f>
        <v/>
      </c>
      <c r="DT10" s="538">
        <f>IF(BH10="Yes",DS10,0)</f>
        <v/>
      </c>
      <c r="DU10" s="539">
        <f>DT10*DT$6</f>
        <v/>
      </c>
      <c r="DV10" s="538">
        <f>DS10-DU10</f>
        <v/>
      </c>
      <c r="DW10" s="538">
        <f>IF(OR(BG10="Canada",BG10="United Kingdom",BG10="Australia",BG10="Netherlands Antilles",BG10="Bermuda",BG10="Cayman Islands",BG10="British Virgin Islands",BG10="Channel Islands",BG10="Isle of Man",BG10="Australia",BG10="Netherlands",BG10="Germany",BG10="Sweden",BG10="Switzerland",BG10="Austria",BG10="Belgium",BG10="Denmark",BG10="Finland",BG10="Iceland",BG10="Ireland",BG10="Lichtenstein",BG10="Luxemborg",BG10="Norway"),DV10,0)</f>
        <v/>
      </c>
      <c r="DX10" s="539">
        <f>DW10*DW$6</f>
        <v/>
      </c>
      <c r="DY10" s="538">
        <f>DV10-DX10</f>
        <v/>
      </c>
      <c r="DZ10" s="538">
        <f>IF(BI10="Yes",DY10,0)</f>
        <v/>
      </c>
      <c r="EA10" s="539">
        <f>DZ10*DZ$6</f>
        <v/>
      </c>
      <c r="EB10" s="538">
        <f>DY10-EA10</f>
        <v/>
      </c>
      <c r="EC10" s="538">
        <f>IF(OR(Z10="Delayed Draw",Z10="Revolver"),EB10,0)</f>
        <v/>
      </c>
      <c r="ED10" s="539">
        <f>EC10*EC$6</f>
        <v/>
      </c>
      <c r="EE10" s="538">
        <f>EB10-ED10</f>
        <v/>
      </c>
      <c r="EF10" s="538">
        <f>IF(S10="Yes",EE10,0)</f>
        <v/>
      </c>
      <c r="EG10" s="539">
        <f>EF10*EF$6</f>
        <v/>
      </c>
      <c r="EH10" s="538">
        <f>EE10-EG10</f>
        <v/>
      </c>
      <c r="EI10" s="538">
        <f>IF(Q10="Yes",EH10,0)</f>
        <v/>
      </c>
      <c r="EJ10" s="539">
        <f>EI10*EI$6</f>
        <v/>
      </c>
      <c r="EK10" s="538">
        <f>EH10-EJ10</f>
        <v/>
      </c>
      <c r="EL10" s="538">
        <f>IF(BD10="Semi-Annually",EK10,0)</f>
        <v/>
      </c>
      <c r="EM10" s="539">
        <f>EL10*EL$6</f>
        <v/>
      </c>
      <c r="EN10" s="538">
        <f>EK10-EM10</f>
        <v/>
      </c>
      <c r="EO10" s="538">
        <f>IF(BK10="Yes",EN10,0)</f>
        <v/>
      </c>
      <c r="EP10" s="539">
        <f>EO10*EO$6</f>
        <v/>
      </c>
      <c r="EQ10" s="538">
        <f>EN10-EP10</f>
        <v/>
      </c>
      <c r="ER10" s="538">
        <f>IF(BL10="Yes",EQ10,0)</f>
        <v/>
      </c>
      <c r="ES10" s="539">
        <f>ER10*ER$6</f>
        <v/>
      </c>
      <c r="ET10" s="538">
        <f>EQ10-ES10</f>
        <v/>
      </c>
      <c r="EU10" s="538">
        <f>IF(BM10="Yes",ET10,0)</f>
        <v/>
      </c>
      <c r="EV10" s="539">
        <f>EU10*EU$6</f>
        <v/>
      </c>
      <c r="EW10" s="538">
        <f>ET10-EV10</f>
        <v/>
      </c>
      <c r="EX10" s="538">
        <f>IF(BV10="Yes",EW10,0)</f>
        <v/>
      </c>
      <c r="EY10" s="539">
        <f>EX10*EX$6</f>
        <v/>
      </c>
      <c r="EZ10" s="538">
        <f>EW10-EY10</f>
        <v/>
      </c>
      <c r="FA10" s="538">
        <f>IF(AR10="Yes",EZ10,0)</f>
        <v/>
      </c>
      <c r="FB10" s="539">
        <f>FA10*FA$6</f>
        <v/>
      </c>
      <c r="FC10" s="538">
        <f>EZ10-FB10</f>
        <v/>
      </c>
      <c r="FD10" s="538">
        <f>IF(OR(BF10="EUR",BF10="AUD",BF10="CAD",BF10="GBP"),FC10,0)</f>
        <v/>
      </c>
      <c r="FE10" s="539">
        <f>FD10*FD$6</f>
        <v/>
      </c>
      <c r="FF10" s="538">
        <f>FC10-FE10</f>
        <v/>
      </c>
      <c r="FG10" s="538">
        <f>FF10</f>
        <v/>
      </c>
      <c r="FH10" s="538">
        <f>IF(FF10=0,0,VLOOKUP(C10,$GU$10:$GV$406,2,FALSE)*FF10)</f>
        <v/>
      </c>
      <c r="FI10" s="538">
        <f>FF10-FH10</f>
        <v/>
      </c>
      <c r="FJ10" s="538">
        <f>FI10</f>
        <v/>
      </c>
      <c r="FK10" s="538">
        <f>IF(OR(IB10="",FI10&lt;0.01),,VLOOKUP(IB10,$GL$10:$GM$406,2,FALSE)*FI10)</f>
        <v/>
      </c>
      <c r="FL10" s="538">
        <f>FI10-FK10</f>
        <v/>
      </c>
      <c r="FM10" s="538">
        <f>FL10</f>
        <v/>
      </c>
      <c r="FN10" s="538">
        <f>IF(FL10=0,0,VLOOKUP(C10,$HD$10:$HE$406,2,FALSE)*FL10)</f>
        <v/>
      </c>
      <c r="FO10" s="538">
        <f>FL10-FN10</f>
        <v/>
      </c>
      <c r="FP10" s="538">
        <f>IF(SUM(CY10:DC10)&gt;0,0,IF(AND(AL10&gt;=5000000,AL10&lt;7500000),FO10,0))</f>
        <v/>
      </c>
      <c r="FQ10" s="539">
        <f>IF(B10="",0,FP10*FP$6*(1-$U10))</f>
        <v/>
      </c>
      <c r="FR10" s="538">
        <f>FO10-FQ10</f>
        <v/>
      </c>
      <c r="FS10" s="538">
        <f>IF(SUM(CY10:DC10)&gt;0,0,IF(AL10&lt;15000000,FR10,0))</f>
        <v/>
      </c>
      <c r="FT10" s="539">
        <f>IF(B10="",0,FS10*FS$6*(1-$U10))</f>
        <v/>
      </c>
      <c r="FU10" s="538">
        <f>FR10-FT10</f>
        <v/>
      </c>
      <c r="FV10" s="538">
        <f>IF(SUM(CY10:DC10)&gt;0,0,IF(OR(AND(X10="No",AN10="Tier 1",AI10&gt;$AG$3),AND(X10="No",AN10="Tier 2",AI10&gt;$AH$3),AND(X10="No",AN10="Tier 3",AI10&gt;$AI$3)),FU10,0))</f>
        <v/>
      </c>
      <c r="FW10" s="538">
        <f>IF(SUM(CY10:DC10)&gt;0,0,IF(OR(AND(X10="No",AN10="Tier 1",AJ10&gt;$AG$4),AND(X10="No",AN10="Tier 2",AJ10&gt;$AH$4),AND(X10="No",AN10="Tier 3",AJ10&gt;$AI$4)),FU10,0))</f>
        <v/>
      </c>
      <c r="FX10" s="538">
        <f>IF(SUM(CY10:DC10)&gt;0,0,IF(OR(AND(X10="Yes",AN10="Tier 1",AJ10&gt;$AG$5),AND(X10="Yes",AN10="Tier 2",AJ10&gt;$AH$5),AND(X10="Yes",AN10="Tier 3",AJ10&gt;$AI$5)),FU10,0))</f>
        <v/>
      </c>
      <c r="FY10" s="538">
        <f>IF(SUM(FV10:FX10)&gt;0,FU10,0)</f>
        <v/>
      </c>
      <c r="FZ10" s="539">
        <f>IF(B10="",0,FY10*FV$6*(1-MIN(90%,T10)))</f>
        <v/>
      </c>
      <c r="GA10" s="538">
        <f>FU10-FZ10</f>
        <v/>
      </c>
      <c r="GB10" s="538">
        <f>IF(AND(N10="No",DI10=0),GA10,IF(AND(N10="No",DI10&lt;&gt;0,K10=0),0,IF(AND(N10="No",DI10&lt;&gt;0,K10&gt;0,J10&lt;&gt;K10),MAX(0,M10-(DH10-GA10)),DG10)))</f>
        <v/>
      </c>
      <c r="GC10" s="540">
        <f>+GB10*V10</f>
        <v/>
      </c>
      <c r="GD10" s="138">
        <f>IFERROR(GC10/K10,"")</f>
        <v/>
      </c>
      <c r="GE10" s="541">
        <f>IF(IB10="","",IB10)</f>
        <v/>
      </c>
      <c r="GF10" s="538">
        <f t="array" ref="GF10">IF(SUM(IF(IB$9:IB9=IB10,1,0))&gt;0,0,SUMIF($IB$10:$IB$406,IB10,$FI$10:$FI$406))</f>
        <v/>
      </c>
      <c r="GG10" s="270">
        <f>GF10</f>
        <v/>
      </c>
      <c r="GH10" s="137" t="n">
        <v>1</v>
      </c>
      <c r="GI10" s="542">
        <f>LARGE($GG$10:$GG$406,GH10)</f>
        <v/>
      </c>
      <c r="GJ10" s="542">
        <f>IF(GH10&gt;GH$6,0,IF(GH10=$GH$2,$GJ$2,IF(GH10&lt;4,$GJ$3,$GJ$4)))</f>
        <v/>
      </c>
      <c r="GK10" s="489">
        <f>MAX(0,GI10-GJ10)</f>
        <v/>
      </c>
      <c r="GL10" s="137">
        <f t="array" ref="GL10">IF(GI10=0,0,LARGE(IF($GF$10:$GF$406=GI10,$GE$10:$GE$406,0),COUNTIF($GI$10:$GI$406,GI10)-COUNTIF(GI$9:GI9,GI10)))</f>
        <v/>
      </c>
      <c r="GM10" s="272">
        <f>IF(GI10=0,0,GK10/GI10)</f>
        <v/>
      </c>
      <c r="GO10" s="137" t="n">
        <v>1</v>
      </c>
      <c r="GP10" s="538">
        <f>IF(COUNTIF($A$10:A10,A10)&lt;=1,SUMIF($A$10:$A$406,A10,$FG$10:$FG$406),0)</f>
        <v/>
      </c>
      <c r="GQ10" s="137" t="n">
        <v>1</v>
      </c>
      <c r="GR10" s="542">
        <f>LARGE($GP$10:$GP$406,GQ10)</f>
        <v/>
      </c>
      <c r="GS10" s="542">
        <f>IF(GQ10&gt;GQ$6,0,IF(GQ10&lt;=GQ$2,GS$2,IF(AND(GQ10&lt;=$GQ$3,GQ10&gt;$GQ$2),GS$3,GS$4)))</f>
        <v/>
      </c>
      <c r="GT10" s="489">
        <f>MAX(0,GR10-GS10)</f>
        <v/>
      </c>
      <c r="GU10" s="137">
        <f t="array" ref="GU10">IF(GR10=0,0,LARGE(IF($GP$10:$GP$406=GR10,$GO$10:$GO$406,0),COUNTIF($GR$10:$GR$406,GR10)-COUNTIF(GR$9:GR9,GR10)))</f>
        <v/>
      </c>
      <c r="GV10" s="272">
        <f>IF(GR10=0,0,GT10/GR10)</f>
        <v/>
      </c>
      <c r="GW10" s="272" t="n"/>
      <c r="GX10" s="137" t="n">
        <v>1</v>
      </c>
      <c r="GY10" s="538">
        <f>IF(COUNTIF($A$10:A10,A10)&lt;=1,SUMIF($A$10:$A$406,A10,$FG$10:$FG$406),0)</f>
        <v/>
      </c>
      <c r="GZ10" s="137" t="n">
        <v>1</v>
      </c>
      <c r="HA10" s="542">
        <f>LARGE($GY$10:$GY$406,GZ10)</f>
        <v/>
      </c>
      <c r="HB10" s="543" t="inlineStr">
        <is>
          <t>-</t>
        </is>
      </c>
      <c r="HC10" s="489">
        <f>IF(GZ10&lt;6,MAX(0,$HC$2/5),0)</f>
        <v/>
      </c>
      <c r="HD10" s="137">
        <f t="array" ref="HD10">IF(HA10=0,0,LARGE(IF($GY$10:$GY$406=HA10,$GX$10:$GX$406,0),COUNTIF($HA$10:$HA$406,HA10)-COUNTIF(HA$9:HA9,HA10)))</f>
        <v/>
      </c>
      <c r="HE10" s="272">
        <f>IF(HA10=0,0,HC10/HA10)</f>
        <v/>
      </c>
      <c r="HG10" s="270">
        <f>DG10-GA10</f>
        <v/>
      </c>
      <c r="HH10" s="544" t="n">
        <v>0</v>
      </c>
      <c r="HI10" s="538">
        <f>MIN(HH10,DE10)</f>
        <v/>
      </c>
      <c r="HK10" s="137" t="n">
        <v>1</v>
      </c>
      <c r="HL10" s="538">
        <f>SUMIF($C$10:$C$406,HK10,$DG$10:$DG$406)</f>
        <v/>
      </c>
      <c r="HN10" s="521">
        <f>MIN(HO10:HS10)</f>
        <v/>
      </c>
      <c r="HO10" s="521">
        <f>IF(B10="","",$M10)</f>
        <v/>
      </c>
      <c r="HP10" s="521">
        <f>IF($N10="Yes",IF(P10&gt;=6,0,MIN($T10*$M10,$U10*$M10)),"")</f>
        <v/>
      </c>
      <c r="HQ10" s="521">
        <f>IF(AND(N10="Yes",P10&gt;=6),"",IF($S10="Yes",$R10*$M10,""))</f>
        <v/>
      </c>
      <c r="HR10" s="521">
        <f>IF($Q10="Yes",MIN($M10,$T10*$M10),"")</f>
        <v/>
      </c>
      <c r="HS10" s="521">
        <f>IF(AND($N10="Yes",$P10&gt;=6),"",IF(OR(CY10=1,DC10=1,),MIN($T10*$M10,$U10*$M10),IF(OR(CZ10=1,DA10=1,DB10=1),IF(AK10&gt;=5000000,MIN($T10*$M10,$IE10*$M10),MIN($T10*$M10,$U10*$M10)),"")))</f>
        <v/>
      </c>
      <c r="HT10" s="521">
        <f>IF(DD10&gt;0,DD10,"")</f>
        <v/>
      </c>
      <c r="HU10" s="522">
        <f>IF(B10="",0,$L10-$M10)</f>
        <v/>
      </c>
      <c r="HV10" s="274">
        <f>IF(OR(SUM(HP10:HT10)&gt;0,P10&gt;=6),"",IF($B10="","",1))</f>
        <v/>
      </c>
      <c r="HW10" s="522">
        <f>IF(AND($HT10&lt;&gt;0,OR(HT10&lt;=MIN(HP10:HS10),SUM(HP10:HS10)=0)),$HT10,0)</f>
        <v/>
      </c>
      <c r="HX10" s="522">
        <f>IF(AND($HS10&lt;&gt;0,OR(AND($HS10&lt;&gt;$HT10,$HS10&lt;&gt;$HR10,$HS10&lt;&gt;$HQ10,$HS10&lt;&gt;$HP10,$HS10&lt;MIN($HP10:$HR10),$HS10&lt;HT10),SUM($HP10:$HR10)+SUM(HT10)=0),IA10&lt;=0),$HS10,0)</f>
        <v/>
      </c>
      <c r="HY10" s="522">
        <f>IF(AND($HR10&lt;&gt;0,OR(AND($HR10&lt;&gt;$HT10,$HR10&lt;&gt;$HS10,$HR10&lt;&gt;$HQ10,$HR10&lt;&gt;$HP10),$HR10&lt;MIN($HP10:$HQ10),$HR10&lt;MIN($HS10:$HT10),SUM($HP10:$HQ10)+SUM($HS10:$HT10)=0)),$HR10,0)</f>
        <v/>
      </c>
      <c r="HZ10" s="522">
        <f>IF(AND($HQ10&lt;&gt;0,OR(AND($HQ10&lt;&gt;$HT10,HQ10&lt;&gt;HS10,HQ10&lt;&gt;HR10,HQ10&lt;&gt;HP10,HQ10&lt;MIN(HR10:HT10)),SUM(HP10)+SUM(HR10:HT10)=0)),$HQ10,0)</f>
        <v/>
      </c>
      <c r="IA10" s="522">
        <f>IF(AND($HP10&lt;&gt;0,OR(HP10&lt;=MIN(HQ10:HT10),SUM(HQ10:HT10)=0)),$HP10,0)</f>
        <v/>
      </c>
      <c r="IB10" s="545" t="n">
        <v>41</v>
      </c>
      <c r="IC10">
        <f>HU10=DF10</f>
        <v/>
      </c>
      <c r="IE10" s="351">
        <f>IF(B10="","",IF(AND(Y10="Second Lien",OR(CZ10=1,DA10=1,DB10=1)),50%,IF(CZ10=1,90%,IF(DA10=1,80%,IF(DB10=1,65%,"No Initial Haircut")))))</f>
        <v/>
      </c>
    </row>
    <row r="11">
      <c r="A11">
        <f>D11</f>
        <v/>
      </c>
      <c r="B11" s="242">
        <f>IF(D11="","",B10+1)</f>
        <v/>
      </c>
      <c r="C11" s="242">
        <f>IF(COUNTIF($A$10:A10,A11)&gt;0,C10,C10+1)</f>
        <v/>
      </c>
      <c r="D11" s="243" t="inlineStr">
        <is>
          <t>Cedar Ridge Holdings, LLC</t>
        </is>
      </c>
      <c r="E11" s="243" t="inlineStr">
        <is>
          <t>Cedar Ridge (Term Loan)</t>
        </is>
      </c>
      <c r="F11" s="244" t="n"/>
      <c r="G11" s="528" t="n">
        <v>6009486.5</v>
      </c>
      <c r="H11" s="528" t="n">
        <v>6009486.5</v>
      </c>
      <c r="I11" s="246" t="n">
        <v>1</v>
      </c>
      <c r="J11" s="529">
        <f>IF(B11="","",G11*I11)</f>
        <v/>
      </c>
      <c r="K11" s="529">
        <f>IF(B11="","",H11*I11)</f>
        <v/>
      </c>
      <c r="L11" s="529">
        <f>IF(B11="","",IF(COUNTIF($CE11:$CX11,1)&gt;0,0,J11))</f>
        <v/>
      </c>
      <c r="M11" s="529">
        <f>IF(B11="","",IF(COUNTIF($CE11:$CX11,1)&gt;0,0,K11))</f>
        <v/>
      </c>
      <c r="N11" s="248" t="inlineStr">
        <is>
          <t>No</t>
        </is>
      </c>
      <c r="O11" s="248" t="inlineStr">
        <is>
          <t>N/A</t>
        </is>
      </c>
      <c r="P11" s="249">
        <f>IF(B11="","",IF(OR(O11="N/A",O11=""),0,YEARFRAC('Borrowing Base'!$J$4,'Loan List'!O11)*12))</f>
        <v/>
      </c>
      <c r="Q11" s="431" t="inlineStr">
        <is>
          <t>No</t>
        </is>
      </c>
      <c r="R11" s="432" t="n">
        <v>0.9975000000000001</v>
      </c>
      <c r="S11" s="251">
        <f>IF(B11="","",IF(R11&lt;95%,"Yes","No"))</f>
        <v/>
      </c>
      <c r="T11" s="432" t="n">
        <v>0.995000000416009</v>
      </c>
      <c r="U11" s="252">
        <f>IF(B11="","",IF(OR(Y11="First Lien",Y11="Split First Lien",Y11="Tier 1 Split Lien",Y11="Tier 2 Split Lien"),50%,30%))</f>
        <v/>
      </c>
      <c r="V11" s="252">
        <f>IF(B11="",0,IF(AND(Y11="First Lien",AN11="Tier 1"),IF(AND(X11="Yes",MIN(AH11,$AJ$5)&gt;4.5),(((4.5/MIN(AH11,$AJ$5))*72.5%)+(((MIN(AH11,$AJ$5)-4.5)/MIN(AH11,$AJ$5))*35%)),72.5%),IF(AND(Y11="First Lien",AN11="Tier 2"),IF(AND(X11="Yes",MIN(AH11,$AK$5)&gt;4.5),(((4.5/MIN(AH11,$AK$5))*72.5%)+(((MIN(AH11,$AK$5)-4.5)/MIN(AH11,$AK$5))*35%)),72.5%),IF(AND(X11="Yes",MIN(AH11,$AL$5)&gt;4),(((4/MIN(AH11,$AL$5))*72.5%)+(((MIN(AH11,$AL$5)-4)/MIN(AH11,$AL$5))*35%)),IF(OR(Y11="First Lien",Y11="Split First Lien"),72.5%,IF(Y11="Split Lien", 53%,35%))))))</f>
        <v/>
      </c>
      <c r="W11" s="530">
        <f>IF($C11="","",MIN($HO11:$HS11))</f>
        <v/>
      </c>
      <c r="X11" s="431" t="inlineStr">
        <is>
          <t>Yes</t>
        </is>
      </c>
      <c r="Y11" s="433" t="inlineStr">
        <is>
          <t>First Lien</t>
        </is>
      </c>
      <c r="Z11" s="433" t="inlineStr">
        <is>
          <t>Term</t>
        </is>
      </c>
      <c r="AA11" s="546" t="inlineStr">
        <is>
          <t>NR</t>
        </is>
      </c>
      <c r="AB11" s="546" t="inlineStr">
        <is>
          <t xml:space="preserve"> NR</t>
        </is>
      </c>
      <c r="AC11" s="547" t="n">
        <v>2.68</v>
      </c>
      <c r="AD11" s="547" t="n">
        <v>3.76</v>
      </c>
      <c r="AE11" s="547" t="n">
        <v>4.370465692225513</v>
      </c>
      <c r="AF11" s="436" t="n">
        <v>0.4275493819536157</v>
      </c>
      <c r="AG11" s="547" t="n">
        <v>3.76</v>
      </c>
      <c r="AH11" s="547" t="n">
        <v>3.76</v>
      </c>
      <c r="AI11" s="547" t="n">
        <v>4.370465692225513</v>
      </c>
      <c r="AJ11" s="547" t="n">
        <v>4.370465692225513</v>
      </c>
      <c r="AK11" s="548" t="n">
        <v>35900000</v>
      </c>
      <c r="AL11" s="548" t="n">
        <v>61779000</v>
      </c>
      <c r="AM11" s="438" t="n">
        <v>45747</v>
      </c>
      <c r="AN11" s="529">
        <f>IF(C11="","",(IF(AK11&gt;=50000000,"Tier 1",(IF(OR(AK11&gt;=20000000,AND(AK11&gt;5000000,AC11&gt;=1.25,AF11&lt;=0.65)),"Tier 2","Tier 3")))))</f>
        <v/>
      </c>
      <c r="AO11" s="430" t="n">
        <v>48149</v>
      </c>
      <c r="AP11" s="535" t="n">
        <v>6.244444444444444</v>
      </c>
      <c r="AQ11" s="535">
        <f>IF(C11="","",AP11)</f>
        <v/>
      </c>
      <c r="AR11" s="431" t="inlineStr">
        <is>
          <t>No</t>
        </is>
      </c>
      <c r="AS11" s="432" t="n">
        <v>0</v>
      </c>
      <c r="AT11" s="431" t="inlineStr">
        <is>
          <t>Yes</t>
        </is>
      </c>
      <c r="AU11" s="432" t="n">
        <v>0.01</v>
      </c>
      <c r="AV11" s="432" t="n">
        <v>0.05</v>
      </c>
      <c r="AW11" s="432" t="n">
        <v>0.04307899999999999</v>
      </c>
      <c r="AX11" s="262">
        <f>IF(C11="","",MAX(AU11,AW11))</f>
        <v/>
      </c>
      <c r="AY11" s="432" t="n">
        <v>0</v>
      </c>
      <c r="AZ11" s="432" t="n">
        <v>0</v>
      </c>
      <c r="BA11" s="432" t="n">
        <v>0</v>
      </c>
      <c r="BB11" s="432">
        <f>IF(B11="","",IF(AR11="No",AV11-AZ11,""))</f>
        <v/>
      </c>
      <c r="BC11" s="432">
        <f>IF(B11="","",IF(AR11="Yes",AS11-BA11,""))</f>
        <v/>
      </c>
      <c r="BD11" s="433" t="inlineStr">
        <is>
          <t>Quarterly</t>
        </is>
      </c>
      <c r="BE11" s="549" t="inlineStr">
        <is>
          <t>Aerospace &amp; Defense</t>
        </is>
      </c>
      <c r="BF11" s="433" t="inlineStr">
        <is>
          <t>USD</t>
        </is>
      </c>
      <c r="BG11" s="433" t="inlineStr">
        <is>
          <t>United States</t>
        </is>
      </c>
      <c r="BH11" s="431" t="inlineStr">
        <is>
          <t>No</t>
        </is>
      </c>
      <c r="BI11" s="251">
        <f>IF(B11="","",IF(OR(AND(AZ11&gt;0,BB11&gt;=2.5%,BB11&lt;4%),AND(BA11&gt;0,BC11&gt;=6%,BC11&lt;8%)),"Yes","No"))</f>
        <v/>
      </c>
      <c r="BJ11" s="251">
        <f>IF(B11="","",IF(OR(AND(AZ11&gt;0,BB11&lt;2.5%),AND(BA11&gt;0,BC11&lt;6%)),"Yes","No"))</f>
        <v/>
      </c>
      <c r="BK11" s="431" t="inlineStr">
        <is>
          <t>No</t>
        </is>
      </c>
      <c r="BL11" s="431" t="inlineStr">
        <is>
          <t>No</t>
        </is>
      </c>
      <c r="BM11" s="431" t="inlineStr">
        <is>
          <t>No</t>
        </is>
      </c>
      <c r="BN11" s="431" t="inlineStr">
        <is>
          <t>No</t>
        </is>
      </c>
      <c r="BO11" s="431" t="inlineStr">
        <is>
          <t>No</t>
        </is>
      </c>
      <c r="BP11" s="431" t="inlineStr">
        <is>
          <t>No</t>
        </is>
      </c>
      <c r="BQ11" s="431" t="inlineStr">
        <is>
          <t>No</t>
        </is>
      </c>
      <c r="BR11" s="431" t="inlineStr">
        <is>
          <t>No</t>
        </is>
      </c>
      <c r="BS11" s="431" t="inlineStr">
        <is>
          <t>No</t>
        </is>
      </c>
      <c r="BT11" s="431" t="inlineStr">
        <is>
          <t>No</t>
        </is>
      </c>
      <c r="BU11" s="431" t="inlineStr">
        <is>
          <t>No</t>
        </is>
      </c>
      <c r="BV11" s="431" t="inlineStr">
        <is>
          <t>No</t>
        </is>
      </c>
      <c r="BW11" s="431" t="inlineStr">
        <is>
          <t>No</t>
        </is>
      </c>
      <c r="BX11" s="431" t="inlineStr">
        <is>
          <t>No</t>
        </is>
      </c>
      <c r="BY11" s="431" t="inlineStr">
        <is>
          <t>No</t>
        </is>
      </c>
      <c r="BZ11" s="431" t="inlineStr">
        <is>
          <t>No</t>
        </is>
      </c>
      <c r="CA11" s="431" t="inlineStr">
        <is>
          <t>Yes</t>
        </is>
      </c>
      <c r="CB11" s="550">
        <f>IF(B11="","",IF(AT11="No",((BB11+AW11)-$AZ$4),((BB11+AX11)-$AZ$4))*IF(DD11&gt;0,0,M11))</f>
        <v/>
      </c>
      <c r="CC11" s="550">
        <f>IF(B11="","",AY11*(L11-M11)*IF(DD11&gt;0,0,1))</f>
        <v/>
      </c>
      <c r="CD11" s="265" t="n"/>
      <c r="CE11" s="265">
        <f>IF(AND(B11&lt;&gt;"",R11&lt;=85%),1,0)</f>
        <v/>
      </c>
      <c r="CF11" s="265">
        <f>IF(B11="",0,(IF(OR(BF11="USD",BF11="CAD",BF11="GBP",BF11="AUD",BF11="EUR"),0,1)))</f>
        <v/>
      </c>
      <c r="CG11" s="265">
        <f>IF(B11="",0,(IF(OR(BG11="United States",BG11="Canada",BG11="United Kingdom",BG11="Australia",BG11="Netherlands Antilles",BG11="Bermuda",BG11="Cayman Islands",BG11="British Virgin Islands",BG11="Channel Islands",BG11="Isle of Man",BG11="Australia",BG11="Netherlands",BG11="Germany",BG11="Sweden",BG11="Switzerland",BG11="Austria",BG11="Belgium",BG11="Denmark",BG11="Finland",BG11="Iceland",BG11="Ireland",BG11="Lichtenstein",BG11="Luxemborg",BG11="Norway"),0,1)))</f>
        <v/>
      </c>
      <c r="CH11" s="265">
        <f>IF(BN11="Yes",1,0)</f>
        <v/>
      </c>
      <c r="CI11" s="265">
        <f>IF(BO11="Yes",1,0)</f>
        <v/>
      </c>
      <c r="CJ11" s="265">
        <f>IF(BP11="Yes",1,0)</f>
        <v/>
      </c>
      <c r="CK11" s="265">
        <f>IF(BQ11="Yes",1,0)</f>
        <v/>
      </c>
      <c r="CL11" s="265">
        <f>IF(BR11="Yes",1,0)</f>
        <v/>
      </c>
      <c r="CM11" s="265">
        <f>IF(BS11="Yes",1,0)</f>
        <v/>
      </c>
      <c r="CN11" s="265">
        <f>IF(OR(AND(BJ11="Yes",N11="No"),AND(BJ11="Yes",N11="Yes",P11&gt;=6)),1,0)</f>
        <v/>
      </c>
      <c r="CO11" s="265">
        <f>IF(BT11="Yes",1,0)</f>
        <v/>
      </c>
      <c r="CP11" s="265">
        <f>IF(AND(BU11="Yes",BV11="No"),1,0)</f>
        <v/>
      </c>
      <c r="CQ11" s="265">
        <f>IF(BW11="Yes",1,0)</f>
        <v/>
      </c>
      <c r="CR11" s="265">
        <f>IF(AP11="",0,IF(AP11&gt;7,1,0))</f>
        <v/>
      </c>
      <c r="CS11" s="265">
        <f>IF(OR(BD11&lt;&gt;"Monthly",BD11&lt;&gt;"Quarterly",BD11&lt;&gt;"Semi-Annually"),0,1)</f>
        <v/>
      </c>
      <c r="CT11" s="265">
        <f>IF(BX11="Yes",1,0)</f>
        <v/>
      </c>
      <c r="CU11" s="265">
        <f>IF(BY11="Yes",1,0)</f>
        <v/>
      </c>
      <c r="CV11" s="265">
        <f>IF(BZ11="Yes",1,0)</f>
        <v/>
      </c>
      <c r="CW11" s="265">
        <f>IF(CA11="No",1,0)</f>
        <v/>
      </c>
      <c r="CX11" s="265">
        <f>IF(B11="",0,IF(AK11&gt;=5000000,0,1))</f>
        <v/>
      </c>
      <c r="CY11" s="265">
        <f>IF(B11="",0,IF(AL11&gt;=5000000,0,1))</f>
        <v/>
      </c>
      <c r="CZ11" s="265">
        <f>IF(OR(DA11=1,DB11=1,DC11=1),0,IF(B11="",0,IF(OR(AND(AN11="Tier 1",X11="No",OR(AI11&gt;$AJ$3,AJ11&gt;$AJ$4)),(AND(AN11="Tier 1",X11="Yes",AJ11&gt;$AJ$5)),(AND(AN11="Tier 2",X11="No",OR(AI11&gt;$AK$3,AJ11&gt;$AK$4))),(AND(AN11="Tier 2",X11="Yes",AJ11&gt;$AK$5)),(AND(AN11="Tier 3",X11="No",OR(AI11&gt;$AL$3,AJ11&gt;$AL$4))),(AND(AN11="Tier 3",X11="Yes",AJ11&gt;$AL$5))),1,0)))</f>
        <v/>
      </c>
      <c r="DA11" s="265">
        <f>IF(OR(DB11=1,DC11=1),0,IF(B11="",0,IF(OR(AND(AN11="Tier 1",X11="No",OR(AI11&gt;$AM$3,AJ11&gt;$AM$4)),(AND(AN11="Tier 1",X11="Yes",AJ11&gt;$AM$5)),(AND(AN11="Tier 2",X11="No",OR(AI11&gt;$AN$3,AJ11&gt;$AN$4))),(AND(AN11="Tier 2",X11="Yes",AJ11&gt;$AN$5)),(AND(AN11="Tier 3",X11="No",OR(AI11&gt;$AO$3,AJ11&gt;$AO$4))),(AND(AN11="Tier 3",X11="Yes",AJ11&gt;$AO$5))),1,0)))</f>
        <v/>
      </c>
      <c r="DB11" s="265">
        <f>IF(DC11=1,0,IF(B11="",0,IF(OR(AND(AN11="Tier 1",X11="No",OR(AI11&gt;$AP$3,AJ11&gt;$AP$4)),(AND(AN11="Tier 1",X11="Yes",AJ11&gt;$AP$5)),(AND(AN11="Tier 2",X11="No",OR(AI11&gt;$AQ$3,AJ11&gt;$AQ$4))),(AND(AN11="Tier 2",X11="Yes",AJ11&gt;$AQ$5)),(AND(AN11="Tier 3",X11="No",OR(AI11&gt;$AR$3,AJ11&gt;$AR$4))),(AND(AN11="Tier 3",X11="Yes",AJ11&gt;$AR$5))),1,0)))</f>
        <v/>
      </c>
      <c r="DC11" s="265">
        <f>IF(B11="",0,IF(OR(AND(AN11="Tier 1",X11="No",OR(AI11&gt;$AS$3,AJ11&gt;$AS$4)),(AND(AN11="Tier 1",X11="Yes",AJ11&gt;$AS$5)),(AND(AN11="Tier 2",X11="No",OR(AI11&gt;$AT$3,AJ11&gt;$AT$4))),(AND(AN11="Tier 2",X11="Yes",AJ11&gt;$AT$5)),(AND(AN11="Tier 3",X11="No",OR(AI11&gt;$AU$3,AJ11&gt;$AU$4))),(AND(AN11="Tier 3",X11="Yes",AJ11&gt;$AU$5))),1,0))</f>
        <v/>
      </c>
      <c r="DD11" s="265">
        <f>IF((SUM(CE11:CX11)=0),0,W11)</f>
        <v/>
      </c>
      <c r="DE11" s="265">
        <f>IF(OR(B11="",DD11&gt;0),0,W11)</f>
        <v/>
      </c>
      <c r="DF11" s="265">
        <f>IF(B11="",0,IF(COUNTIF(CE11:CX11,1)&gt;0,0,L11-M11))</f>
        <v/>
      </c>
      <c r="DG11" s="265">
        <f>DE11+IF(DD11&gt;0,0,DF11)</f>
        <v/>
      </c>
      <c r="DH11" s="265">
        <f>IF(B11="","",M11+DF11)</f>
        <v/>
      </c>
      <c r="DI11" s="265">
        <f>IF(B11="",0,J11-K11)</f>
        <v/>
      </c>
      <c r="DJ11" s="265">
        <f>IF(OR(BF11="EUR",BF11="CAD",BF11="GBP",BF11="AUD"),(GA11*(1-V11))+(HG11)+IF(HX11="",0,HX11*(1-U11)),0)</f>
        <v/>
      </c>
      <c r="DK11" s="265">
        <f>IF(BF11="EUR",33%,IF(BF11="CAD",38%,IF(BF11="GBP",51%,IF(BF11="AUD",61%,0))))</f>
        <v/>
      </c>
      <c r="DL11" s="265">
        <f>DJ11*DK11</f>
        <v/>
      </c>
      <c r="DN11" s="538">
        <f>IF(OR(Y11="Second Lien",Y11="Tier 1 Split Lien",Y11="Tier 2 Split Lien"),DG11,0)</f>
        <v/>
      </c>
      <c r="DO11" s="539">
        <f>DN11*DN$6</f>
        <v/>
      </c>
      <c r="DP11" s="538">
        <f>DG11-DO11</f>
        <v/>
      </c>
      <c r="DQ11" s="538">
        <f>IF(Y11="Second Lien",DP11,0)</f>
        <v/>
      </c>
      <c r="DR11" s="539">
        <f>DQ11*DQ$6</f>
        <v/>
      </c>
      <c r="DS11" s="538">
        <f>DP11-DR11</f>
        <v/>
      </c>
      <c r="DT11" s="538">
        <f>IF(BH11="Yes",DS11,0)</f>
        <v/>
      </c>
      <c r="DU11" s="539">
        <f>DT11*DT$6</f>
        <v/>
      </c>
      <c r="DV11" s="538">
        <f>DS11-DU11</f>
        <v/>
      </c>
      <c r="DW11" s="538">
        <f>IF(OR(BG11="Canada",BG11="United Kingdom",BG11="Australia",BG11="Netherlands Antilles",BG11="Bermuda",BG11="Cayman Islands",BG11="British Virgin Islands",BG11="Channel Islands",BG11="Isle of Man",BG11="Australia",BG11="Netherlands",BG11="Germany",BG11="Sweden",BG11="Switzerland",BG11="Austria",BG11="Belgium",BG11="Denmark",BG11="Finland",BG11="Iceland",BG11="Ireland",BG11="Lichtenstein",BG11="Luxemborg",BG11="Norway"),DV11,0)</f>
        <v/>
      </c>
      <c r="DX11" s="539">
        <f>DW11*DW$6</f>
        <v/>
      </c>
      <c r="DY11" s="538">
        <f>DV11-DX11</f>
        <v/>
      </c>
      <c r="DZ11" s="538">
        <f>IF(BI11="Yes",DY11,0)</f>
        <v/>
      </c>
      <c r="EA11" s="539">
        <f>DZ11*DZ$6</f>
        <v/>
      </c>
      <c r="EB11" s="538">
        <f>DY11-EA11</f>
        <v/>
      </c>
      <c r="EC11" s="538">
        <f>IF(OR(Z11="Delayed Draw",Z11="Revolver"),EB11,0)</f>
        <v/>
      </c>
      <c r="ED11" s="539">
        <f>EC11*EC$6</f>
        <v/>
      </c>
      <c r="EE11" s="538">
        <f>EB11-ED11</f>
        <v/>
      </c>
      <c r="EF11" s="538">
        <f>IF(S11="Yes",EE11,0)</f>
        <v/>
      </c>
      <c r="EG11" s="539">
        <f>EF11*EF$6</f>
        <v/>
      </c>
      <c r="EH11" s="538">
        <f>EE11-EG11</f>
        <v/>
      </c>
      <c r="EI11" s="538">
        <f>IF(Q11="Yes",EH11,0)</f>
        <v/>
      </c>
      <c r="EJ11" s="539">
        <f>EI11*EI$6</f>
        <v/>
      </c>
      <c r="EK11" s="538">
        <f>EH11-EJ11</f>
        <v/>
      </c>
      <c r="EL11" s="538">
        <f>IF(BD11="Semi-Annually",EK11,0)</f>
        <v/>
      </c>
      <c r="EM11" s="539">
        <f>EL11*EL$6</f>
        <v/>
      </c>
      <c r="EN11" s="538">
        <f>EK11-EM11</f>
        <v/>
      </c>
      <c r="EO11" s="538">
        <f>IF(BK11="Yes",EN11,0)</f>
        <v/>
      </c>
      <c r="EP11" s="539">
        <f>EO11*EO$6</f>
        <v/>
      </c>
      <c r="EQ11" s="538">
        <f>EN11-EP11</f>
        <v/>
      </c>
      <c r="ER11" s="538">
        <f>IF(BL11="Yes",EQ11,0)</f>
        <v/>
      </c>
      <c r="ES11" s="539">
        <f>ER11*ER$6</f>
        <v/>
      </c>
      <c r="ET11" s="538">
        <f>EQ11-ES11</f>
        <v/>
      </c>
      <c r="EU11" s="538">
        <f>IF(BM11="Yes",ET11,0)</f>
        <v/>
      </c>
      <c r="EV11" s="539">
        <f>EU11*EU$6</f>
        <v/>
      </c>
      <c r="EW11" s="538">
        <f>ET11-EV11</f>
        <v/>
      </c>
      <c r="EX11" s="538">
        <f>IF(BV11="Yes",EW11,0)</f>
        <v/>
      </c>
      <c r="EY11" s="539">
        <f>EX11*EX$6</f>
        <v/>
      </c>
      <c r="EZ11" s="538">
        <f>EW11-EY11</f>
        <v/>
      </c>
      <c r="FA11" s="538">
        <f>IF(AR11="Yes",EZ11,0)</f>
        <v/>
      </c>
      <c r="FB11" s="539">
        <f>FA11*FA$6</f>
        <v/>
      </c>
      <c r="FC11" s="538">
        <f>EZ11-FB11</f>
        <v/>
      </c>
      <c r="FD11" s="538">
        <f>IF(OR(BF11="EUR",BF11="AUD",BF11="CAD",BF11="GBP"),FC11,0)</f>
        <v/>
      </c>
      <c r="FE11" s="539">
        <f>FD11*FD$6</f>
        <v/>
      </c>
      <c r="FF11" s="538">
        <f>FC11-FE11</f>
        <v/>
      </c>
      <c r="FG11" s="538">
        <f>FF11</f>
        <v/>
      </c>
      <c r="FH11" s="538">
        <f>IF(FF11=0,0,VLOOKUP(C11,$GU$10:$GV$406,2,FALSE)*FF11)</f>
        <v/>
      </c>
      <c r="FI11" s="538">
        <f>FF11-FH11</f>
        <v/>
      </c>
      <c r="FJ11" s="538">
        <f>FI11</f>
        <v/>
      </c>
      <c r="FK11" s="538">
        <f>IF(OR(IB11="",FI11&lt;0.01),,VLOOKUP(IB11,$GL$10:$GM$406,2,FALSE)*FI11)</f>
        <v/>
      </c>
      <c r="FL11" s="538">
        <f>FI11-FK11</f>
        <v/>
      </c>
      <c r="FM11" s="538">
        <f>FL11</f>
        <v/>
      </c>
      <c r="FN11" s="538">
        <f>IF(FL11=0,0,VLOOKUP(C11,$HD$10:$HE$406,2,FALSE)*FL11)</f>
        <v/>
      </c>
      <c r="FO11" s="538">
        <f>FL11-FN11</f>
        <v/>
      </c>
      <c r="FP11" s="538">
        <f>IF(SUM(CY11:DC11)&gt;0,0,IF(AND(AL11&gt;=5000000,AL11&lt;7500000),FO11,0))</f>
        <v/>
      </c>
      <c r="FQ11" s="539">
        <f>IF(B11="",0,FP11*FP$6*(1-$U11))</f>
        <v/>
      </c>
      <c r="FR11" s="538">
        <f>FO11-FQ11</f>
        <v/>
      </c>
      <c r="FS11" s="538">
        <f>IF(SUM(CY11:DC11)&gt;0,0,IF(AL11&lt;15000000,FR11,0))</f>
        <v/>
      </c>
      <c r="FT11" s="539">
        <f>IF(B11="",0,FS11*FS$6*(1-$U11))</f>
        <v/>
      </c>
      <c r="FU11" s="538">
        <f>FR11-FT11</f>
        <v/>
      </c>
      <c r="FV11" s="538">
        <f>IF(SUM(CY11:DC11)&gt;0,0,IF(OR(AND(X11="No",AN11="Tier 1",AI11&gt;$AG$3),AND(X11="No",AN11="Tier 2",AI11&gt;$AH$3),AND(X11="No",AN11="Tier 3",AI11&gt;$AI$3)),FU11,0))</f>
        <v/>
      </c>
      <c r="FW11" s="538">
        <f>IF(SUM(CY11:DC11)&gt;0,0,IF(OR(AND(X11="No",AN11="Tier 1",AJ11&gt;$AG$4),AND(X11="No",AN11="Tier 2",AJ11&gt;$AH$4),AND(X11="No",AN11="Tier 3",AJ11&gt;$AI$4)),FU11,0))</f>
        <v/>
      </c>
      <c r="FX11" s="538">
        <f>IF(SUM(CY11:DC11)&gt;0,0,IF(OR(AND(X11="Yes",AN11="Tier 1",AJ11&gt;$AG$5),AND(X11="Yes",AN11="Tier 2",AJ11&gt;$AH$5),AND(X11="Yes",AN11="Tier 3",AJ11&gt;$AI$5)),FU11,0))</f>
        <v/>
      </c>
      <c r="FY11" s="538">
        <f>IF(SUM(FV11:FX11)&gt;0,FU11,0)</f>
        <v/>
      </c>
      <c r="FZ11" s="539">
        <f>IF(B11="",0,FY11*FV$6*(1-MIN(90%,T11)))</f>
        <v/>
      </c>
      <c r="GA11" s="538">
        <f>FU11-FZ11</f>
        <v/>
      </c>
      <c r="GB11" s="538">
        <f>IF(AND(N11="No",DI11=0),GA11,IF(AND(N11="No",DI11&lt;&gt;0,K11=0),0,IF(AND(N11="No",DI11&lt;&gt;0,K11&gt;0,J11&lt;&gt;K11),MAX(0,M11-(DH11-GA11)),DG11)))</f>
        <v/>
      </c>
      <c r="GC11" s="540">
        <f>+GB11*V11</f>
        <v/>
      </c>
      <c r="GD11" s="138">
        <f>IFERROR(GC11/K11,"")</f>
        <v/>
      </c>
      <c r="GE11" s="541">
        <f>IF(IB11="","",IB11)</f>
        <v/>
      </c>
      <c r="GF11" s="538">
        <f t="array" ref="GF11">IF(SUM(IF(IB$9:IB10=IB11,1,0))&gt;0,0,SUMIF($IB$10:$IB$406,IB11,$FI$10:$FI$406))</f>
        <v/>
      </c>
      <c r="GG11" s="270">
        <f>GF11</f>
        <v/>
      </c>
      <c r="GH11" s="137">
        <f>GH10+1</f>
        <v/>
      </c>
      <c r="GI11" s="542">
        <f>LARGE($GG$10:$GG$406,GH11)</f>
        <v/>
      </c>
      <c r="GJ11" s="542">
        <f>IF(GH11&gt;GH$6,0,IF(GH11=$GH$2,$GJ$2,IF(GH11&lt;4,$GJ$3,$GJ$4)))</f>
        <v/>
      </c>
      <c r="GK11" s="489">
        <f>MAX(0,GI11-GJ11)</f>
        <v/>
      </c>
      <c r="GL11" s="137">
        <f t="array" ref="GL11">IF(GI11=0,0,LARGE(IF($GF$10:$GF$406=GI11,$GE$10:$GE$406,0),COUNTIF($GI$10:$GI$406,GI11)-COUNTIF(GI$9:GI10,GI11)))</f>
        <v/>
      </c>
      <c r="GM11" s="272">
        <f>IF(GI11=0,0,GK11/GI11)</f>
        <v/>
      </c>
      <c r="GO11" s="137">
        <f>IF(C11="","",IF(ISERROR(MATCH(C11,C10:C$10,0)),MAX(GO10:GO$10)+1,INDEX(GO10:GO$10,MATCH(C11,C10:C$10,0))))</f>
        <v/>
      </c>
      <c r="GP11" s="538">
        <f>IF(COUNTIF($A$10:A11,A11)&lt;=1,SUMIF($A$10:$A$406,A11,$FG$10:$FG$406),0)</f>
        <v/>
      </c>
      <c r="GQ11" s="137">
        <f>GQ10+1</f>
        <v/>
      </c>
      <c r="GR11" s="542">
        <f>LARGE($GP$10:$GP$406,GQ11)</f>
        <v/>
      </c>
      <c r="GS11" s="542">
        <f>IF(GQ11&gt;GQ$6,0,IF(GQ11&lt;=GQ$2,GS$2,IF(AND(GQ11&lt;=$GQ$3,GQ11&gt;$GQ$2),GS$3,GS$4)))</f>
        <v/>
      </c>
      <c r="GT11" s="489">
        <f>MAX(0,GR11-GS11)</f>
        <v/>
      </c>
      <c r="GU11" s="137">
        <f t="array" ref="GU11">IF(GR11=0,0,LARGE(IF($GP$10:$GP$406=GR11,$GO$10:$GO$406,0),COUNTIF($GR$10:$GR$406,GR11)-COUNTIF(GR$9:GR10,GR11)))</f>
        <v/>
      </c>
      <c r="GV11" s="272">
        <f>IF(GR11=0,0,GT11/GR11)</f>
        <v/>
      </c>
      <c r="GW11" s="272" t="n"/>
      <c r="GX11" s="137">
        <f>IF(C11="","",IF(ISERROR(MATCH(C11,C10:C$10,0)),MAX(GO10:GO$10)+1,INDEX(GO10:GO$10,MATCH(C11,C10:C$10,0))))</f>
        <v/>
      </c>
      <c r="GY11" s="538">
        <f>IF(COUNTIF($A$10:A11,A11)&lt;=1,SUMIF($A$10:$A$406,A11,$FG$10:$FG$406),0)</f>
        <v/>
      </c>
      <c r="GZ11" s="137">
        <f>GZ10+1</f>
        <v/>
      </c>
      <c r="HA11" s="542">
        <f>LARGE($GY$10:$GY$406,GZ11)</f>
        <v/>
      </c>
      <c r="HB11" s="543" t="inlineStr">
        <is>
          <t>-</t>
        </is>
      </c>
      <c r="HC11" s="489">
        <f>IF(GZ11&lt;6,MAX(0,$HC$2/5),0)</f>
        <v/>
      </c>
      <c r="HD11" s="137">
        <f t="array" ref="HD11">IF(HA11=0,0,LARGE(IF($GY$10:$GY$406=HA11,$GX$10:$GX$406,0),COUNTIF($HA$10:$HA$406,HA11)-COUNTIF(HA$9:HA10,HA11)))</f>
        <v/>
      </c>
      <c r="HE11" s="272">
        <f>IF(HA11=0,0,HC11/HA11)</f>
        <v/>
      </c>
      <c r="HG11" s="270">
        <f>DG11-GA11</f>
        <v/>
      </c>
      <c r="HH11" s="551" t="n">
        <v>0</v>
      </c>
      <c r="HI11" s="538">
        <f>MIN(HH11,DE11)</f>
        <v/>
      </c>
      <c r="HK11" s="137">
        <f>IF(COUNTIF($C$10:$C$406,HK10+1),HK10+1,"")</f>
        <v/>
      </c>
      <c r="HL11" s="538">
        <f>SUMIF($C$10:$C$406,HK11,$DG$10:$DG$406)</f>
        <v/>
      </c>
      <c r="HN11" s="521">
        <f>MIN(HO11:HS11)</f>
        <v/>
      </c>
      <c r="HO11" s="521">
        <f>IF(B11="","",$M11)</f>
        <v/>
      </c>
      <c r="HP11" s="521">
        <f>IF($N11="Yes",IF(P11&gt;=6,0,MIN($T11*$M11,$U11*$M11)),"")</f>
        <v/>
      </c>
      <c r="HQ11" s="521">
        <f>IF(AND(N11="Yes",P11&gt;=6),"",IF($S11="Yes",$R11*$M11,""))</f>
        <v/>
      </c>
      <c r="HR11" s="521">
        <f>IF($Q11="Yes",MIN($M11,$T11*$M11),"")</f>
        <v/>
      </c>
      <c r="HS11" s="521">
        <f>IF(AND($N11="Yes",$P11&gt;=6),"",IF(OR(CY11=1,DC11=1,),MIN($T11*$M11,$U11*$M11),IF(OR(CZ11=1,DA11=1,DB11=1),IF(AK11&gt;=5000000,MIN($T11*$M11,$IE11*$M11),MIN($T11*$M11,$U11*$M11)),"")))</f>
        <v/>
      </c>
      <c r="HT11" s="521">
        <f>IF(DD11&gt;0,DD11,"")</f>
        <v/>
      </c>
      <c r="HU11" s="522">
        <f>IF(B11="",0,$L11-$M11)</f>
        <v/>
      </c>
      <c r="HV11" s="274">
        <f>IF(OR(SUM(HP11:HT11)&gt;0,P11&gt;=6),"",IF($B11="","",1))</f>
        <v/>
      </c>
      <c r="HW11" s="522">
        <f>IF(AND($HT11&lt;&gt;0,OR(HT11&lt;=MIN(HP11:HS11),SUM(HP11:HS11)=0)),$HT11,0)</f>
        <v/>
      </c>
      <c r="HX11" s="522">
        <f>IF(AND($HS11&lt;&gt;0,OR(AND($HS11&lt;&gt;$HT11,$HS11&lt;&gt;$HR11,$HS11&lt;&gt;$HQ11,$HS11&lt;&gt;$HP11,$HS11&lt;MIN($HP11:$HR11),$HS11&lt;HT11),SUM($HP11:$HR11)+SUM(HT11)=0),IA11&lt;=0),$HS11,0)</f>
        <v/>
      </c>
      <c r="HY11" s="522">
        <f>IF(AND($HR11&lt;&gt;0,OR(AND($HR11&lt;&gt;$HT11,$HR11&lt;&gt;$HS11,$HR11&lt;&gt;$HQ11,$HR11&lt;&gt;$HP11),$HR11&lt;MIN($HP11:$HQ11),$HR11&lt;MIN($HS11:$HT11),SUM($HP11:$HQ11)+SUM($HS11:$HT11)=0)),$HR11,0)</f>
        <v/>
      </c>
      <c r="HZ11" s="522">
        <f>IF(AND($HQ11&lt;&gt;0,OR(AND($HQ11&lt;&gt;$HT11,HQ11&lt;&gt;HS11,HQ11&lt;&gt;HR11,HQ11&lt;&gt;HP11,HQ11&lt;MIN(HR11:HT11)),SUM(HP11)+SUM(HR11:HT11)=0)),$HQ11,0)</f>
        <v/>
      </c>
      <c r="IA11" s="522">
        <f>IF(AND($HP11&lt;&gt;0,OR(HP11&lt;=MIN(HQ11:HT11),SUM(HQ11:HT11)=0)),$HP11,0)</f>
        <v/>
      </c>
      <c r="IB11" s="545" t="n">
        <v>1</v>
      </c>
      <c r="IC11">
        <f>HU11=DF11</f>
        <v/>
      </c>
      <c r="IE11" s="442">
        <f>IF(B11="","",IF(AND(Y11="Second Lien",OR(CZ11=1,DA11=1,DB11=1)),50%,IF(CZ11=1,90%,IF(DA11=1,80%,IF(DB11=1,65%,"No Initial Haircut")))))</f>
        <v/>
      </c>
    </row>
    <row r="12">
      <c r="A12">
        <f>D12</f>
        <v/>
      </c>
      <c r="B12" s="242">
        <f>IF(D12="","",B11+1)</f>
        <v/>
      </c>
      <c r="C12" s="242">
        <f>IF(COUNTIF($A$10:A11,A12)&gt;0,C11,C11+1)</f>
        <v/>
      </c>
      <c r="D12" s="243" t="inlineStr">
        <is>
          <t>Bluewater Holdings, LLC</t>
        </is>
      </c>
      <c r="E12" s="243" t="inlineStr">
        <is>
          <t>Bluewater (Term Loan)</t>
        </is>
      </c>
      <c r="F12" s="244" t="n"/>
      <c r="G12" s="528" t="n">
        <v>5271860.19</v>
      </c>
      <c r="H12" s="528" t="n">
        <v>5271860.19</v>
      </c>
      <c r="I12" s="246" t="n">
        <v>1</v>
      </c>
      <c r="J12" s="529">
        <f>IF(B12="","",G12*I12)</f>
        <v/>
      </c>
      <c r="K12" s="529">
        <f>IF(B12="","",H12*I12)</f>
        <v/>
      </c>
      <c r="L12" s="529">
        <f>IF(B12="","",IF(COUNTIF($CE12:$CX12,1)&gt;0,0,J12))</f>
        <v/>
      </c>
      <c r="M12" s="529">
        <f>IF(B12="","",IF(COUNTIF($CE12:$CX12,1)&gt;0,0,K12))</f>
        <v/>
      </c>
      <c r="N12" s="248" t="inlineStr">
        <is>
          <t>No</t>
        </is>
      </c>
      <c r="O12" s="248" t="inlineStr">
        <is>
          <t>N/A</t>
        </is>
      </c>
      <c r="P12" s="249">
        <f>IF(B12="","",IF(OR(O12="N/A",O12=""),0,YEARFRAC('Borrowing Base'!$J$4,'Loan List'!O12)*12))</f>
        <v/>
      </c>
      <c r="Q12" s="248" t="inlineStr">
        <is>
          <t>No</t>
        </is>
      </c>
      <c r="R12" s="250" t="n">
        <v>0.9900052425871281</v>
      </c>
      <c r="S12" s="251">
        <f>IF(B12="","",IF(R12&lt;95%,"Yes","No"))</f>
        <v/>
      </c>
      <c r="T12" s="250" t="n">
        <v>1</v>
      </c>
      <c r="U12" s="252">
        <f>IF(B12="","",IF(OR(Y12="First Lien",Y12="Split First Lien",Y12="Tier 1 Split Lien",Y12="Tier 2 Split Lien"),50%,30%))</f>
        <v/>
      </c>
      <c r="V12" s="252">
        <f>IF(B12="",0,IF(AND(Y12="First Lien",AN12="Tier 1"),IF(AND(X12="Yes",MIN(AH12,$AJ$5)&gt;4.5),(((4.5/MIN(AH12,$AJ$5))*72.5%)+(((MIN(AH12,$AJ$5)-4.5)/MIN(AH12,$AJ$5))*35%)),72.5%),IF(AND(Y12="First Lien",AN12="Tier 2"),IF(AND(X12="Yes",MIN(AH12,$AK$5)&gt;4.5),(((4.5/MIN(AH12,$AK$5))*72.5%)+(((MIN(AH12,$AK$5)-4.5)/MIN(AH12,$AK$5))*35%)),72.5%),IF(AND(X12="Yes",MIN(AH12,$AL$5)&gt;4),(((4/MIN(AH12,$AL$5))*72.5%)+(((MIN(AH12,$AL$5)-4)/MIN(AH12,$AL$5))*35%)),IF(OR(Y12="First Lien",Y12="Split First Lien"),72.5%,IF(Y12="Split Lien", 53%,35%))))))</f>
        <v/>
      </c>
      <c r="W12" s="530">
        <f>IF($C12="","",MIN($HO12:$HS12))</f>
        <v/>
      </c>
      <c r="X12" s="248" t="inlineStr">
        <is>
          <t>No</t>
        </is>
      </c>
      <c r="Y12" s="254" t="inlineStr">
        <is>
          <t>First Lien</t>
        </is>
      </c>
      <c r="Z12" s="254" t="inlineStr">
        <is>
          <t>Term</t>
        </is>
      </c>
      <c r="AA12" s="531" t="inlineStr">
        <is>
          <t>NR</t>
        </is>
      </c>
      <c r="AB12" s="531" t="inlineStr">
        <is>
          <t xml:space="preserve"> NR</t>
        </is>
      </c>
      <c r="AC12" s="532" t="n">
        <v>1.633067965196813</v>
      </c>
      <c r="AD12" s="532" t="n">
        <v>3.436428744459353</v>
      </c>
      <c r="AE12" s="532" t="n">
        <v>3.578507736680385</v>
      </c>
      <c r="AF12" s="257" t="n">
        <v>0.4822085889570553</v>
      </c>
      <c r="AG12" s="533" t="n">
        <v>3.436428744459353</v>
      </c>
      <c r="AH12" s="533" t="n">
        <v>3.436428744459353</v>
      </c>
      <c r="AI12" s="533" t="n">
        <v>3.837635497565012</v>
      </c>
      <c r="AJ12" s="533" t="n">
        <v>3.837635497565012</v>
      </c>
      <c r="AK12" s="534" t="n">
        <v>11436291.25538088</v>
      </c>
      <c r="AL12" s="534" t="n">
        <v>15496060.5189661</v>
      </c>
      <c r="AM12" s="260" t="n">
        <v>45838</v>
      </c>
      <c r="AN12" s="529">
        <f>IF(C12="","",(IF(AK12&gt;=50000000,"Tier 1",(IF(OR(AK12&gt;=20000000,AND(AK12&gt;5000000,AC12&gt;=1.25,AF12&lt;=0.65)),"Tier 2","Tier 3")))))</f>
        <v/>
      </c>
      <c r="AO12" s="244" t="n">
        <v>47358</v>
      </c>
      <c r="AP12" s="535" t="n">
        <v>4.077777777777778</v>
      </c>
      <c r="AQ12" s="535">
        <f>IF(C12="","",AP12)</f>
        <v/>
      </c>
      <c r="AR12" s="248" t="inlineStr">
        <is>
          <t>No</t>
        </is>
      </c>
      <c r="AS12" s="250" t="n">
        <v>0</v>
      </c>
      <c r="AT12" s="248" t="inlineStr">
        <is>
          <t>Yes</t>
        </is>
      </c>
      <c r="AU12" s="250" t="n">
        <v>0.01</v>
      </c>
      <c r="AV12" s="250" t="n">
        <v>0.0575</v>
      </c>
      <c r="AW12" s="250" t="n">
        <v>0.042956</v>
      </c>
      <c r="AX12" s="262">
        <f>IF(C12="","",MAX(AU12,AW12))</f>
        <v/>
      </c>
      <c r="AY12" s="250" t="n">
        <v>0</v>
      </c>
      <c r="AZ12" s="250" t="n">
        <v>0</v>
      </c>
      <c r="BA12" s="250" t="n">
        <v>0</v>
      </c>
      <c r="BB12" s="412">
        <f>IF(B12="","",IF(AR12="No",AV12-AZ12,""))</f>
        <v/>
      </c>
      <c r="BC12" s="412">
        <f>IF(B12="","",IF(AR12="Yes",AS12-BA12,""))</f>
        <v/>
      </c>
      <c r="BD12" s="254" t="inlineStr">
        <is>
          <t>Quarterly</t>
        </is>
      </c>
      <c r="BE12" s="536" t="inlineStr">
        <is>
          <t>Diversified Financial Services</t>
        </is>
      </c>
      <c r="BF12" s="254" t="inlineStr">
        <is>
          <t>USD</t>
        </is>
      </c>
      <c r="BG12" s="254" t="inlineStr">
        <is>
          <t>United States</t>
        </is>
      </c>
      <c r="BH12" s="248" t="inlineStr">
        <is>
          <t>No</t>
        </is>
      </c>
      <c r="BI12" s="413">
        <f>IF(B12="","",IF(OR(AND(AZ12&gt;0,BB12&gt;=2.5%,BB12&lt;4%),AND(BA12&gt;0,BC12&gt;=6%,BC12&lt;8%)),"Yes","No"))</f>
        <v/>
      </c>
      <c r="BJ12" s="413">
        <f>IF(B12="","",IF(OR(AND(AZ12&gt;0,BB12&lt;2.5%),AND(BA12&gt;0,BC12&lt;6%)),"Yes","No"))</f>
        <v/>
      </c>
      <c r="BK12" s="248" t="inlineStr">
        <is>
          <t>No</t>
        </is>
      </c>
      <c r="BL12" s="248" t="inlineStr">
        <is>
          <t>No</t>
        </is>
      </c>
      <c r="BM12" s="248" t="inlineStr">
        <is>
          <t>No</t>
        </is>
      </c>
      <c r="BN12" s="248" t="inlineStr">
        <is>
          <t>No</t>
        </is>
      </c>
      <c r="BO12" s="248" t="inlineStr">
        <is>
          <t>No</t>
        </is>
      </c>
      <c r="BP12" s="248" t="inlineStr">
        <is>
          <t>No</t>
        </is>
      </c>
      <c r="BQ12" s="248" t="inlineStr">
        <is>
          <t>No</t>
        </is>
      </c>
      <c r="BR12" s="248" t="inlineStr">
        <is>
          <t>No</t>
        </is>
      </c>
      <c r="BS12" s="248" t="inlineStr">
        <is>
          <t>No</t>
        </is>
      </c>
      <c r="BT12" s="248" t="inlineStr">
        <is>
          <t>No</t>
        </is>
      </c>
      <c r="BU12" s="248" t="inlineStr">
        <is>
          <t>No</t>
        </is>
      </c>
      <c r="BV12" s="248" t="inlineStr">
        <is>
          <t>No</t>
        </is>
      </c>
      <c r="BW12" s="248" t="inlineStr">
        <is>
          <t>No</t>
        </is>
      </c>
      <c r="BX12" s="248" t="inlineStr">
        <is>
          <t>No</t>
        </is>
      </c>
      <c r="BY12" s="248" t="inlineStr">
        <is>
          <t>No</t>
        </is>
      </c>
      <c r="BZ12" s="248" t="inlineStr">
        <is>
          <t>No</t>
        </is>
      </c>
      <c r="CA12" s="248" t="inlineStr">
        <is>
          <t>Yes</t>
        </is>
      </c>
      <c r="CB12" s="537">
        <f>IF(B12="","",IF(AT12="No",((BB12+AW12)-$AZ$4),((BB12+AX12)-$AZ$4))*IF(DD12&gt;0,0,M12))</f>
        <v/>
      </c>
      <c r="CC12" s="537">
        <f>IF(B12="","",AY12*(L12-M12)*IF(DD12&gt;0,0,1))</f>
        <v/>
      </c>
      <c r="CD12" s="265" t="n"/>
      <c r="CE12" s="265">
        <f>IF(AND(B12&lt;&gt;"",R12&lt;=85%),1,0)</f>
        <v/>
      </c>
      <c r="CF12" s="265">
        <f>IF(B12="",0,(IF(OR(BF12="USD",BF12="CAD",BF12="GBP",BF12="AUD",BF12="EUR"),0,1)))</f>
        <v/>
      </c>
      <c r="CG12" s="265">
        <f>IF(B12="",0,(IF(OR(BG12="United States",BG12="Canada",BG12="United Kingdom",BG12="Australia",BG12="Netherlands Antilles",BG12="Bermuda",BG12="Cayman Islands",BG12="British Virgin Islands",BG12="Channel Islands",BG12="Isle of Man",BG12="Australia",BG12="Netherlands",BG12="Germany",BG12="Sweden",BG12="Switzerland",BG12="Austria",BG12="Belgium",BG12="Denmark",BG12="Finland",BG12="Iceland",BG12="Ireland",BG12="Lichtenstein",BG12="Luxemborg",BG12="Norway"),0,1)))</f>
        <v/>
      </c>
      <c r="CH12" s="265">
        <f>IF(BN12="Yes",1,0)</f>
        <v/>
      </c>
      <c r="CI12" s="265">
        <f>IF(BO12="Yes",1,0)</f>
        <v/>
      </c>
      <c r="CJ12" s="265">
        <f>IF(BP12="Yes",1,0)</f>
        <v/>
      </c>
      <c r="CK12" s="265">
        <f>IF(BQ12="Yes",1,0)</f>
        <v/>
      </c>
      <c r="CL12" s="265">
        <f>IF(BR12="Yes",1,0)</f>
        <v/>
      </c>
      <c r="CM12" s="265">
        <f>IF(BS12="Yes",1,0)</f>
        <v/>
      </c>
      <c r="CN12" s="265">
        <f>IF(OR(AND(BJ12="Yes",N12="No"),AND(BJ12="Yes",N12="Yes",P12&gt;=6)),1,0)</f>
        <v/>
      </c>
      <c r="CO12" s="265">
        <f>IF(BT12="Yes",1,0)</f>
        <v/>
      </c>
      <c r="CP12" s="265">
        <f>IF(AND(BU12="Yes",BV12="No"),1,0)</f>
        <v/>
      </c>
      <c r="CQ12" s="265">
        <f>IF(BW12="Yes",1,0)</f>
        <v/>
      </c>
      <c r="CR12" s="265">
        <f>IF(AP12="",0,IF(AP12&gt;7,1,0))</f>
        <v/>
      </c>
      <c r="CS12" s="265">
        <f>IF(OR(BD12&lt;&gt;"Monthly",BD12&lt;&gt;"Quarterly",BD12&lt;&gt;"Semi-Annually"),0,1)</f>
        <v/>
      </c>
      <c r="CT12" s="265">
        <f>IF(BX12="Yes",1,0)</f>
        <v/>
      </c>
      <c r="CU12" s="265">
        <f>IF(BY12="Yes",1,0)</f>
        <v/>
      </c>
      <c r="CV12" s="265">
        <f>IF(BZ12="Yes",1,0)</f>
        <v/>
      </c>
      <c r="CW12" s="265">
        <f>IF(CA12="No",1,0)</f>
        <v/>
      </c>
      <c r="CX12" s="265">
        <f>IF(B12="",0,IF(AK12&gt;=5000000,0,1))</f>
        <v/>
      </c>
      <c r="CY12" s="265">
        <f>IF(B12="",0,IF(AL12&gt;=5000000,0,1))</f>
        <v/>
      </c>
      <c r="CZ12" s="265">
        <f>IF(OR(DA12=1,DB12=1,DC12=1),0,IF(B12="",0,IF(OR(AND(AN12="Tier 1",X12="No",OR(AI12&gt;$AJ$3,AJ12&gt;$AJ$4)),(AND(AN12="Tier 1",X12="Yes",AJ12&gt;$AJ$5)),(AND(AN12="Tier 2",X12="No",OR(AI12&gt;$AK$3,AJ12&gt;$AK$4))),(AND(AN12="Tier 2",X12="Yes",AJ12&gt;$AK$5)),(AND(AN12="Tier 3",X12="No",OR(AI12&gt;$AL$3,AJ12&gt;$AL$4))),(AND(AN12="Tier 3",X12="Yes",AJ12&gt;$AL$5))),1,0)))</f>
        <v/>
      </c>
      <c r="DA12" s="265">
        <f>IF(OR(DB12=1,DC12=1),0,IF(B12="",0,IF(OR(AND(AN12="Tier 1",X12="No",OR(AI12&gt;$AM$3,AJ12&gt;$AM$4)),(AND(AN12="Tier 1",X12="Yes",AJ12&gt;$AM$5)),(AND(AN12="Tier 2",X12="No",OR(AI12&gt;$AN$3,AJ12&gt;$AN$4))),(AND(AN12="Tier 2",X12="Yes",AJ12&gt;$AN$5)),(AND(AN12="Tier 3",X12="No",OR(AI12&gt;$AO$3,AJ12&gt;$AO$4))),(AND(AN12="Tier 3",X12="Yes",AJ12&gt;$AO$5))),1,0)))</f>
        <v/>
      </c>
      <c r="DB12" s="265">
        <f>IF(DC12=1,0,IF(B12="",0,IF(OR(AND(AN12="Tier 1",X12="No",OR(AI12&gt;$AP$3,AJ12&gt;$AP$4)),(AND(AN12="Tier 1",X12="Yes",AJ12&gt;$AP$5)),(AND(AN12="Tier 2",X12="No",OR(AI12&gt;$AQ$3,AJ12&gt;$AQ$4))),(AND(AN12="Tier 2",X12="Yes",AJ12&gt;$AQ$5)),(AND(AN12="Tier 3",X12="No",OR(AI12&gt;$AR$3,AJ12&gt;$AR$4))),(AND(AN12="Tier 3",X12="Yes",AJ12&gt;$AR$5))),1,0)))</f>
        <v/>
      </c>
      <c r="DC12" s="265">
        <f>IF(B12="",0,IF(OR(AND(AN12="Tier 1",X12="No",OR(AI12&gt;$AS$3,AJ12&gt;$AS$4)),(AND(AN12="Tier 1",X12="Yes",AJ12&gt;$AS$5)),(AND(AN12="Tier 2",X12="No",OR(AI12&gt;$AT$3,AJ12&gt;$AT$4))),(AND(AN12="Tier 2",X12="Yes",AJ12&gt;$AT$5)),(AND(AN12="Tier 3",X12="No",OR(AI12&gt;$AU$3,AJ12&gt;$AU$4))),(AND(AN12="Tier 3",X12="Yes",AJ12&gt;$AU$5))),1,0))</f>
        <v/>
      </c>
      <c r="DD12" s="265">
        <f>IF((SUM(CE12:CX12)=0),0,W12)</f>
        <v/>
      </c>
      <c r="DE12" s="265">
        <f>IF(OR(B12="",DD12&gt;0),0,W12)</f>
        <v/>
      </c>
      <c r="DF12" s="265">
        <f>IF(B12="",0,IF(COUNTIF(CE12:CX12,1)&gt;0,0,L12-M12))</f>
        <v/>
      </c>
      <c r="DG12" s="265">
        <f>DE12+IF(DD12&gt;0,0,DF12)</f>
        <v/>
      </c>
      <c r="DH12" s="265">
        <f>IF(B12="","",M12+DF12)</f>
        <v/>
      </c>
      <c r="DI12" s="265">
        <f>IF(B12="",0,J12-K12)</f>
        <v/>
      </c>
      <c r="DJ12" s="265">
        <f>IF(OR(BF12="EUR",BF12="CAD",BF12="GBP",BF12="AUD"),(GA12*(1-V12))+(HG12)+IF(HX12="",0,HX12*(1-U12)),0)</f>
        <v/>
      </c>
      <c r="DK12" s="265">
        <f>IF(BF12="EUR",33%,IF(BF12="CAD",38%,IF(BF12="GBP",51%,IF(BF12="AUD",61%,0))))</f>
        <v/>
      </c>
      <c r="DL12" s="265">
        <f>DJ12*DK12</f>
        <v/>
      </c>
      <c r="DN12" s="538">
        <f>IF(OR(Y12="Second Lien",Y12="Tier 1 Split Lien",Y12="Tier 2 Split Lien"),DG12,0)</f>
        <v/>
      </c>
      <c r="DO12" s="539">
        <f>DN12*DN$6</f>
        <v/>
      </c>
      <c r="DP12" s="538">
        <f>DG12-DO12</f>
        <v/>
      </c>
      <c r="DQ12" s="538">
        <f>IF(Y12="Second Lien",DP12,0)</f>
        <v/>
      </c>
      <c r="DR12" s="539">
        <f>DQ12*DQ$6</f>
        <v/>
      </c>
      <c r="DS12" s="538">
        <f>DP12-DR12</f>
        <v/>
      </c>
      <c r="DT12" s="538">
        <f>IF(BH12="Yes",DS12,0)</f>
        <v/>
      </c>
      <c r="DU12" s="539">
        <f>DT12*DT$6</f>
        <v/>
      </c>
      <c r="DV12" s="538">
        <f>DS12-DU12</f>
        <v/>
      </c>
      <c r="DW12" s="538">
        <f>IF(OR(BG12="Canada",BG12="United Kingdom",BG12="Australia",BG12="Netherlands Antilles",BG12="Bermuda",BG12="Cayman Islands",BG12="British Virgin Islands",BG12="Channel Islands",BG12="Isle of Man",BG12="Australia",BG12="Netherlands",BG12="Germany",BG12="Sweden",BG12="Switzerland",BG12="Austria",BG12="Belgium",BG12="Denmark",BG12="Finland",BG12="Iceland",BG12="Ireland",BG12="Lichtenstein",BG12="Luxemborg",BG12="Norway"),DV12,0)</f>
        <v/>
      </c>
      <c r="DX12" s="539">
        <f>DW12*DW$6</f>
        <v/>
      </c>
      <c r="DY12" s="538">
        <f>DV12-DX12</f>
        <v/>
      </c>
      <c r="DZ12" s="538">
        <f>IF(BI12="Yes",DY12,0)</f>
        <v/>
      </c>
      <c r="EA12" s="539">
        <f>DZ12*DZ$6</f>
        <v/>
      </c>
      <c r="EB12" s="538">
        <f>DY12-EA12</f>
        <v/>
      </c>
      <c r="EC12" s="538">
        <f>IF(OR(Z12="Delayed Draw",Z12="Revolver"),EB12,0)</f>
        <v/>
      </c>
      <c r="ED12" s="539">
        <f>EC12*EC$6</f>
        <v/>
      </c>
      <c r="EE12" s="538">
        <f>EB12-ED12</f>
        <v/>
      </c>
      <c r="EF12" s="538">
        <f>IF(S12="Yes",EE12,0)</f>
        <v/>
      </c>
      <c r="EG12" s="539">
        <f>EF12*EF$6</f>
        <v/>
      </c>
      <c r="EH12" s="538">
        <f>EE12-EG12</f>
        <v/>
      </c>
      <c r="EI12" s="538">
        <f>IF(Q12="Yes",EH12,0)</f>
        <v/>
      </c>
      <c r="EJ12" s="539">
        <f>EI12*EI$6</f>
        <v/>
      </c>
      <c r="EK12" s="538">
        <f>EH12-EJ12</f>
        <v/>
      </c>
      <c r="EL12" s="538">
        <f>IF(BD12="Semi-Annually",EK12,0)</f>
        <v/>
      </c>
      <c r="EM12" s="539">
        <f>EL12*EL$6</f>
        <v/>
      </c>
      <c r="EN12" s="538">
        <f>EK12-EM12</f>
        <v/>
      </c>
      <c r="EO12" s="538">
        <f>IF(BK12="Yes",EN12,0)</f>
        <v/>
      </c>
      <c r="EP12" s="539">
        <f>EO12*EO$6</f>
        <v/>
      </c>
      <c r="EQ12" s="538">
        <f>EN12-EP12</f>
        <v/>
      </c>
      <c r="ER12" s="538">
        <f>IF(BL12="Yes",EQ12,0)</f>
        <v/>
      </c>
      <c r="ES12" s="539">
        <f>ER12*ER$6</f>
        <v/>
      </c>
      <c r="ET12" s="538">
        <f>EQ12-ES12</f>
        <v/>
      </c>
      <c r="EU12" s="538">
        <f>IF(BM12="Yes",ET12,0)</f>
        <v/>
      </c>
      <c r="EV12" s="539">
        <f>EU12*EU$6</f>
        <v/>
      </c>
      <c r="EW12" s="538">
        <f>ET12-EV12</f>
        <v/>
      </c>
      <c r="EX12" s="538">
        <f>IF(BV12="Yes",EW12,0)</f>
        <v/>
      </c>
      <c r="EY12" s="539">
        <f>EX12*EX$6</f>
        <v/>
      </c>
      <c r="EZ12" s="538">
        <f>EW12-EY12</f>
        <v/>
      </c>
      <c r="FA12" s="538">
        <f>IF(AR12="Yes",EZ12,0)</f>
        <v/>
      </c>
      <c r="FB12" s="539">
        <f>FA12*FA$6</f>
        <v/>
      </c>
      <c r="FC12" s="538">
        <f>EZ12-FB12</f>
        <v/>
      </c>
      <c r="FD12" s="538">
        <f>IF(OR(BF12="EUR",BF12="AUD",BF12="CAD",BF12="GBP"),FC12,0)</f>
        <v/>
      </c>
      <c r="FE12" s="539">
        <f>FD12*FD$6</f>
        <v/>
      </c>
      <c r="FF12" s="538">
        <f>FC12-FE12</f>
        <v/>
      </c>
      <c r="FG12" s="538">
        <f>FF12</f>
        <v/>
      </c>
      <c r="FH12" s="538">
        <f>IF(FF12=0,0,VLOOKUP(C12,$GU$10:$GV$406,2,FALSE)*FF12)</f>
        <v/>
      </c>
      <c r="FI12" s="538">
        <f>FF12-FH12</f>
        <v/>
      </c>
      <c r="FJ12" s="538">
        <f>FI12</f>
        <v/>
      </c>
      <c r="FK12" s="538">
        <f>IF(OR(IB12="",FI12&lt;0.01),,VLOOKUP(IB12,$GL$10:$GM$406,2,FALSE)*FI12)</f>
        <v/>
      </c>
      <c r="FL12" s="538">
        <f>FI12-FK12</f>
        <v/>
      </c>
      <c r="FM12" s="538">
        <f>FL12</f>
        <v/>
      </c>
      <c r="FN12" s="538">
        <f>IF(FL12=0,0,VLOOKUP(C12,$HD$10:$HE$406,2,FALSE)*FL12)</f>
        <v/>
      </c>
      <c r="FO12" s="538">
        <f>FL12-FN12</f>
        <v/>
      </c>
      <c r="FP12" s="538">
        <f>IF(SUM(CY12:DC12)&gt;0,0,IF(AND(AL12&gt;=5000000,AL12&lt;7500000),FO12,0))</f>
        <v/>
      </c>
      <c r="FQ12" s="539">
        <f>IF(B12="",0,FP12*FP$6*(1-$U12))</f>
        <v/>
      </c>
      <c r="FR12" s="538">
        <f>FO12-FQ12</f>
        <v/>
      </c>
      <c r="FS12" s="538">
        <f>IF(SUM(CY12:DC12)&gt;0,0,IF(AL12&lt;15000000,FR12,0))</f>
        <v/>
      </c>
      <c r="FT12" s="539">
        <f>IF(B12="",0,FS12*FS$6*(1-$U12))</f>
        <v/>
      </c>
      <c r="FU12" s="538">
        <f>FR12-FT12</f>
        <v/>
      </c>
      <c r="FV12" s="538">
        <f>IF(SUM(CY12:DC12)&gt;0,0,IF(OR(AND(X12="No",AN12="Tier 1",AI12&gt;$AG$3),AND(X12="No",AN12="Tier 2",AI12&gt;$AH$3),AND(X12="No",AN12="Tier 3",AI12&gt;$AI$3)),FU12,0))</f>
        <v/>
      </c>
      <c r="FW12" s="538">
        <f>IF(SUM(CY12:DC12)&gt;0,0,IF(OR(AND(X12="No",AN12="Tier 1",AJ12&gt;$AG$4),AND(X12="No",AN12="Tier 2",AJ12&gt;$AH$4),AND(X12="No",AN12="Tier 3",AJ12&gt;$AI$4)),FU12,0))</f>
        <v/>
      </c>
      <c r="FX12" s="538">
        <f>IF(SUM(CY12:DC12)&gt;0,0,IF(OR(AND(X12="Yes",AN12="Tier 1",AJ12&gt;$AG$5),AND(X12="Yes",AN12="Tier 2",AJ12&gt;$AH$5),AND(X12="Yes",AN12="Tier 3",AJ12&gt;$AI$5)),FU12,0))</f>
        <v/>
      </c>
      <c r="FY12" s="538">
        <f>IF(SUM(FV12:FX12)&gt;0,FU12,0)</f>
        <v/>
      </c>
      <c r="FZ12" s="539">
        <f>IF(B12="",0,FY12*FV$6*(1-MIN(90%,T12)))</f>
        <v/>
      </c>
      <c r="GA12" s="538">
        <f>FU12-FZ12</f>
        <v/>
      </c>
      <c r="GB12" s="538">
        <f>IF(AND(N12="No",DI12=0),GA12,IF(AND(N12="No",DI12&lt;&gt;0,K12=0),0,IF(AND(N12="No",DI12&lt;&gt;0,K12&gt;0,J12&lt;&gt;K12),MAX(0,M12-(DH12-GA12)),DG12)))</f>
        <v/>
      </c>
      <c r="GC12" s="540">
        <f>+GB12*V12</f>
        <v/>
      </c>
      <c r="GD12" s="138">
        <f>IFERROR(GC12/K12,"")</f>
        <v/>
      </c>
      <c r="GE12" s="541">
        <f>IF(IB12="","",IB12)</f>
        <v/>
      </c>
      <c r="GF12" s="538">
        <f t="array" ref="GF12">IF(SUM(IF(IB$9:IB11=IB12,1,0))&gt;0,0,SUMIF($IB$10:$IB$406,IB12,$FI$10:$FI$406))</f>
        <v/>
      </c>
      <c r="GG12" s="270">
        <f>GF12</f>
        <v/>
      </c>
      <c r="GH12" s="137">
        <f>GH11+1</f>
        <v/>
      </c>
      <c r="GI12" s="542">
        <f>LARGE($GG$10:$GG$406,GH12)</f>
        <v/>
      </c>
      <c r="GJ12" s="542">
        <f>IF(GH12&gt;GH$6,0,IF(GH12=$GH$2,$GJ$2,IF(GH12&lt;4,$GJ$3,$GJ$4)))</f>
        <v/>
      </c>
      <c r="GK12" s="489">
        <f>MAX(0,GI12-GJ12)</f>
        <v/>
      </c>
      <c r="GL12" s="137">
        <f t="array" ref="GL12">IF(GI12=0,0,LARGE(IF($GF$10:$GF$406=GI12,$GE$10:$GE$406,0),COUNTIF($GI$10:$GI$406,GI12)-COUNTIF(GI$9:GI11,GI12)))</f>
        <v/>
      </c>
      <c r="GM12" s="272">
        <f>IF(GI12=0,0,GK12/GI12)</f>
        <v/>
      </c>
      <c r="GO12" s="137">
        <f>IF(C12="","",IF(ISERROR(MATCH(C12,C$10:C11,0)),MAX(GO$10:GO11)+1,INDEX(GO$10:GO11,MATCH(C12,C$10:C11,0))))</f>
        <v/>
      </c>
      <c r="GP12" s="538">
        <f>IF(COUNTIF($A$10:A12,A12)&lt;=1,SUMIF($A$10:$A$406,A12,$FG$10:$FG$406),0)</f>
        <v/>
      </c>
      <c r="GQ12" s="137">
        <f>GQ11+1</f>
        <v/>
      </c>
      <c r="GR12" s="542">
        <f>LARGE($GP$10:$GP$406,GQ12)</f>
        <v/>
      </c>
      <c r="GS12" s="542">
        <f>IF(GQ12&gt;GQ$6,0,IF(GQ12&lt;=GQ$2,GS$2,IF(AND(GQ12&lt;=$GQ$3,GQ12&gt;$GQ$2),GS$3,GS$4)))</f>
        <v/>
      </c>
      <c r="GT12" s="489">
        <f>MAX(0,GR12-GS12)</f>
        <v/>
      </c>
      <c r="GU12" s="137">
        <f t="array" ref="GU12">IF(GR12=0,0,LARGE(IF($GP$10:$GP$406=GR12,$GO$10:$GO$406,0),COUNTIF($GR$10:$GR$406,GR12)-COUNTIF(GR$9:GR11,GR12)))</f>
        <v/>
      </c>
      <c r="GV12" s="272">
        <f>IF(GR12=0,0,GT12/GR12)</f>
        <v/>
      </c>
      <c r="GW12" s="272" t="n"/>
      <c r="GX12" s="137">
        <f>IF(C12="","",IF(ISERROR(MATCH(C12,C$10:C11,0)),MAX(GO$10:GO11)+1,INDEX(GO$10:GO11,MATCH(C12,C$10:C11,0))))</f>
        <v/>
      </c>
      <c r="GY12" s="538">
        <f>IF(COUNTIF($A$10:A12,A12)&lt;=1,SUMIF($A$10:$A$406,A12,$FG$10:$FG$406),0)</f>
        <v/>
      </c>
      <c r="GZ12" s="137">
        <f>GZ11+1</f>
        <v/>
      </c>
      <c r="HA12" s="542">
        <f>LARGE($GY$10:$GY$406,GZ12)</f>
        <v/>
      </c>
      <c r="HB12" s="543" t="inlineStr">
        <is>
          <t>-</t>
        </is>
      </c>
      <c r="HC12" s="489">
        <f>IF(GZ12&lt;6,MAX(0,$HC$2/5),0)</f>
        <v/>
      </c>
      <c r="HD12" s="137">
        <f t="array" ref="HD12">IF(HA12=0,0,LARGE(IF($GY$10:$GY$406=HA12,$GX$10:$GX$406,0),COUNTIF($HA$10:$HA$406,HA12)-COUNTIF(HA$9:HA11,HA12)))</f>
        <v/>
      </c>
      <c r="HE12" s="272">
        <f>IF(HA12=0,0,HC12/HA12)</f>
        <v/>
      </c>
      <c r="HG12" s="270">
        <f>DG12-GA12</f>
        <v/>
      </c>
      <c r="HH12" s="544" t="n">
        <v>0</v>
      </c>
      <c r="HI12" s="538">
        <f>MIN(HH12,DE12)</f>
        <v/>
      </c>
      <c r="HK12" s="137">
        <f>IF(COUNTIF($C$10:$C$406,HK11+1),HK11+1,"")</f>
        <v/>
      </c>
      <c r="HL12" s="538">
        <f>SUMIF($C$10:$C$406,HK12,$DG$10:$DG$406)</f>
        <v/>
      </c>
      <c r="HN12" s="521">
        <f>MIN(HO12:HS12)</f>
        <v/>
      </c>
      <c r="HO12" s="521">
        <f>IF(B12="","",$M12)</f>
        <v/>
      </c>
      <c r="HP12" s="521">
        <f>IF($N12="Yes",IF(P12&gt;=6,0,MIN($T12*$M12,$U12*$M12)),"")</f>
        <v/>
      </c>
      <c r="HQ12" s="521">
        <f>IF(AND(N12="Yes",P12&gt;=6),"",IF($S12="Yes",$R12*$M12,""))</f>
        <v/>
      </c>
      <c r="HR12" s="521">
        <f>IF($Q12="Yes",MIN($M12,$T12*$M12),"")</f>
        <v/>
      </c>
      <c r="HS12" s="521">
        <f>IF(AND($N12="Yes",$P12&gt;=6),"",IF(OR(CY12=1,DC12=1,),MIN($T12*$M12,$U12*$M12),IF(OR(CZ12=1,DA12=1,DB12=1),IF(AK12&gt;=5000000,MIN($T12*$M12,$IE12*$M12),MIN($T12*$M12,$U12*$M12)),"")))</f>
        <v/>
      </c>
      <c r="HT12" s="521">
        <f>IF(DD12&gt;0,DD12,"")</f>
        <v/>
      </c>
      <c r="HU12" s="522">
        <f>IF(B12="",0,$L12-$M12)</f>
        <v/>
      </c>
      <c r="HV12" s="274">
        <f>IF(OR(SUM(HP12:HT12)&gt;0,P12&gt;=6),"",IF($B12="","",1))</f>
        <v/>
      </c>
      <c r="HW12" s="522">
        <f>IF(AND($HT12&lt;&gt;0,OR(HT12&lt;=MIN(HP12:HS12),SUM(HP12:HS12)=0)),$HT12,0)</f>
        <v/>
      </c>
      <c r="HX12" s="522">
        <f>IF(AND($HS12&lt;&gt;0,OR(AND($HS12&lt;&gt;$HT12,$HS12&lt;&gt;$HR12,$HS12&lt;&gt;$HQ12,$HS12&lt;&gt;$HP12,$HS12&lt;MIN($HP12:$HR12),$HS12&lt;HT12),SUM($HP12:$HR12)+SUM(HT12)=0),IA12&lt;=0),$HS12,0)</f>
        <v/>
      </c>
      <c r="HY12" s="522">
        <f>IF(AND($HR12&lt;&gt;0,OR(AND($HR12&lt;&gt;$HT12,$HR12&lt;&gt;$HS12,$HR12&lt;&gt;$HQ12,$HR12&lt;&gt;$HP12),$HR12&lt;MIN($HP12:$HQ12),$HR12&lt;MIN($HS12:$HT12),SUM($HP12:$HQ12)+SUM($HS12:$HT12)=0)),$HR12,0)</f>
        <v/>
      </c>
      <c r="HZ12" s="522">
        <f>IF(AND($HQ12&lt;&gt;0,OR(AND($HQ12&lt;&gt;$HT12,HQ12&lt;&gt;HS12,HQ12&lt;&gt;HR12,HQ12&lt;&gt;HP12,HQ12&lt;MIN(HR12:HT12)),SUM(HP12)+SUM(HR12:HT12)=0)),$HQ12,0)</f>
        <v/>
      </c>
      <c r="IA12" s="522">
        <f>IF(AND($HP12&lt;&gt;0,OR(HP12&lt;=MIN(HQ12:HT12),SUM(HQ12:HT12)=0)),$HP12,0)</f>
        <v/>
      </c>
      <c r="IB12" s="545" t="n">
        <v>20</v>
      </c>
      <c r="IC12">
        <f>HU12=DF12</f>
        <v/>
      </c>
      <c r="IE12" s="351">
        <f>IF(B12="","",IF(AND(Y12="Second Lien",OR(CZ12=1,DA12=1,DB12=1)),50%,IF(CZ12=1,90%,IF(DA12=1,80%,IF(DB12=1,65%,"No Initial Haircut")))))</f>
        <v/>
      </c>
    </row>
    <row r="13">
      <c r="A13">
        <f>D13</f>
        <v/>
      </c>
      <c r="B13" s="242">
        <f>IF(D13="","",B12+1)</f>
        <v/>
      </c>
      <c r="C13" s="242">
        <f>IF(COUNTIF($A$10:A12,A13)&gt;0,C12,C12+1)</f>
        <v/>
      </c>
      <c r="D13" s="243" t="inlineStr">
        <is>
          <t>Ironwood Holdings, LLC</t>
        </is>
      </c>
      <c r="E13" s="243" t="inlineStr">
        <is>
          <t>Ironwood (Term Loan)</t>
        </is>
      </c>
      <c r="F13" s="244" t="n"/>
      <c r="G13" s="528" t="n">
        <v>34673920.38</v>
      </c>
      <c r="H13" s="528" t="n">
        <v>34673920.38</v>
      </c>
      <c r="I13" s="246" t="n">
        <v>1</v>
      </c>
      <c r="J13" s="529">
        <f>IF(B13="","",G13*I13)</f>
        <v/>
      </c>
      <c r="K13" s="529">
        <f>IF(B13="","",H13*I13)</f>
        <v/>
      </c>
      <c r="L13" s="529">
        <f>IF(B13="","",IF(COUNTIF($CE13:$CX13,1)&gt;0,0,J13))</f>
        <v/>
      </c>
      <c r="M13" s="529">
        <f>IF(B13="","",IF(COUNTIF($CE13:$CX13,1)&gt;0,0,K13))</f>
        <v/>
      </c>
      <c r="N13" s="248" t="inlineStr">
        <is>
          <t>No</t>
        </is>
      </c>
      <c r="O13" s="248" t="inlineStr">
        <is>
          <t>N/A</t>
        </is>
      </c>
      <c r="P13" s="249">
        <f>IF(B13="","",IF(OR(O13="N/A",O13=""),0,YEARFRAC('Borrowing Base'!$J$4,'Loan List'!O13)*12))</f>
        <v/>
      </c>
      <c r="Q13" s="248" t="inlineStr">
        <is>
          <t>No</t>
        </is>
      </c>
      <c r="R13" s="250" t="n">
        <v>0.9901009278306727</v>
      </c>
      <c r="S13" s="251">
        <f>IF(B13="","",IF(R13&lt;95%,"Yes","No"))</f>
        <v/>
      </c>
      <c r="T13" s="250" t="n">
        <v>0.9910000001038246</v>
      </c>
      <c r="U13" s="252">
        <f>IF(B13="","",IF(OR(Y13="First Lien",Y13="Split First Lien",Y13="Tier 1 Split Lien",Y13="Tier 2 Split Lien"),50%,30%))</f>
        <v/>
      </c>
      <c r="V13" s="252">
        <f>IF(B13="",0,IF(AND(Y13="First Lien",AN13="Tier 1"),IF(AND(X13="Yes",MIN(AH13,$AJ$5)&gt;4.5),(((4.5/MIN(AH13,$AJ$5))*72.5%)+(((MIN(AH13,$AJ$5)-4.5)/MIN(AH13,$AJ$5))*35%)),72.5%),IF(AND(Y13="First Lien",AN13="Tier 2"),IF(AND(X13="Yes",MIN(AH13,$AK$5)&gt;4.5),(((4.5/MIN(AH13,$AK$5))*72.5%)+(((MIN(AH13,$AK$5)-4.5)/MIN(AH13,$AK$5))*35%)),72.5%),IF(AND(X13="Yes",MIN(AH13,$AL$5)&gt;4),(((4/MIN(AH13,$AL$5))*72.5%)+(((MIN(AH13,$AL$5)-4)/MIN(AH13,$AL$5))*35%)),IF(OR(Y13="First Lien",Y13="Split First Lien"),72.5%,IF(Y13="Split Lien", 53%,35%))))))</f>
        <v/>
      </c>
      <c r="W13" s="530">
        <f>IF($C13="","",MIN($HO13:$HS13))</f>
        <v/>
      </c>
      <c r="X13" s="248" t="inlineStr">
        <is>
          <t>No</t>
        </is>
      </c>
      <c r="Y13" s="254" t="inlineStr">
        <is>
          <t>First Lien</t>
        </is>
      </c>
      <c r="Z13" s="254" t="inlineStr">
        <is>
          <t>Term</t>
        </is>
      </c>
      <c r="AA13" s="531" t="inlineStr">
        <is>
          <t>NR</t>
        </is>
      </c>
      <c r="AB13" s="531" t="inlineStr">
        <is>
          <t xml:space="preserve"> NR</t>
        </is>
      </c>
      <c r="AC13" s="532" t="n">
        <v>1.830148079051384</v>
      </c>
      <c r="AD13" s="532" t="n">
        <v>3.519124757623208</v>
      </c>
      <c r="AE13" s="532" t="n">
        <v>4.791559040450826</v>
      </c>
      <c r="AF13" s="257" t="n">
        <v>0.3442748091603053</v>
      </c>
      <c r="AG13" s="533" t="n">
        <v>3.519124757623208</v>
      </c>
      <c r="AH13" s="533" t="n">
        <v>3.519124757623208</v>
      </c>
      <c r="AI13" s="533" t="n">
        <v>5.137173307556921</v>
      </c>
      <c r="AJ13" s="533" t="n">
        <v>6.959051086376003</v>
      </c>
      <c r="AK13" s="534" t="n">
        <v>64078433.00000001</v>
      </c>
      <c r="AL13" s="534" t="n">
        <v>82332636</v>
      </c>
      <c r="AM13" s="260" t="n">
        <v>45838</v>
      </c>
      <c r="AN13" s="529">
        <f>IF(C13="","",(IF(AK13&gt;=50000000,"Tier 1",(IF(OR(AK13&gt;=20000000,AND(AK13&gt;5000000,AC13&gt;=1.25,AF13&lt;=0.65)),"Tier 2","Tier 3")))))</f>
        <v/>
      </c>
      <c r="AO13" s="244" t="n">
        <v>47374</v>
      </c>
      <c r="AP13" s="535" t="n">
        <v>4.119444444444444</v>
      </c>
      <c r="AQ13" s="535">
        <f>IF(C13="","",AP13)</f>
        <v/>
      </c>
      <c r="AR13" s="248" t="inlineStr">
        <is>
          <t>No</t>
        </is>
      </c>
      <c r="AS13" s="250" t="n">
        <v>0</v>
      </c>
      <c r="AT13" s="248" t="inlineStr">
        <is>
          <t>Yes</t>
        </is>
      </c>
      <c r="AU13" s="250" t="n">
        <v>0.01</v>
      </c>
      <c r="AV13" s="250" t="n">
        <v>0.0575</v>
      </c>
      <c r="AW13" s="250" t="n">
        <v>0.043507</v>
      </c>
      <c r="AX13" s="262">
        <f>IF(C13="","",MAX(AU13,AW13))</f>
        <v/>
      </c>
      <c r="AY13" s="250" t="n">
        <v>0</v>
      </c>
      <c r="AZ13" s="250" t="n">
        <v>0</v>
      </c>
      <c r="BA13" s="250" t="n">
        <v>0</v>
      </c>
      <c r="BB13" s="412">
        <f>IF(B13="","",IF(AR13="No",AV13-AZ13,""))</f>
        <v/>
      </c>
      <c r="BC13" s="412">
        <f>IF(B13="","",IF(AR13="Yes",AS13-BA13,""))</f>
        <v/>
      </c>
      <c r="BD13" s="254" t="inlineStr">
        <is>
          <t>Quarterly</t>
        </is>
      </c>
      <c r="BE13" s="536" t="inlineStr">
        <is>
          <t>IT Services</t>
        </is>
      </c>
      <c r="BF13" s="254" t="inlineStr">
        <is>
          <t>USD</t>
        </is>
      </c>
      <c r="BG13" s="254" t="inlineStr">
        <is>
          <t>United States</t>
        </is>
      </c>
      <c r="BH13" s="248" t="inlineStr">
        <is>
          <t>No</t>
        </is>
      </c>
      <c r="BI13" s="413">
        <f>IF(B13="","",IF(OR(AND(AZ13&gt;0,BB13&gt;=2.5%,BB13&lt;4%),AND(BA13&gt;0,BC13&gt;=6%,BC13&lt;8%)),"Yes","No"))</f>
        <v/>
      </c>
      <c r="BJ13" s="413">
        <f>IF(B13="","",IF(OR(AND(AZ13&gt;0,BB13&lt;2.5%),AND(BA13&gt;0,BC13&lt;6%)),"Yes","No"))</f>
        <v/>
      </c>
      <c r="BK13" s="248" t="inlineStr">
        <is>
          <t>No</t>
        </is>
      </c>
      <c r="BL13" s="248" t="inlineStr">
        <is>
          <t>No</t>
        </is>
      </c>
      <c r="BM13" s="248" t="inlineStr">
        <is>
          <t>No</t>
        </is>
      </c>
      <c r="BN13" s="248" t="inlineStr">
        <is>
          <t>No</t>
        </is>
      </c>
      <c r="BO13" s="248" t="inlineStr">
        <is>
          <t>No</t>
        </is>
      </c>
      <c r="BP13" s="248" t="inlineStr">
        <is>
          <t>No</t>
        </is>
      </c>
      <c r="BQ13" s="248" t="inlineStr">
        <is>
          <t>No</t>
        </is>
      </c>
      <c r="BR13" s="248" t="inlineStr">
        <is>
          <t>No</t>
        </is>
      </c>
      <c r="BS13" s="248" t="inlineStr">
        <is>
          <t>No</t>
        </is>
      </c>
      <c r="BT13" s="248" t="inlineStr">
        <is>
          <t>No</t>
        </is>
      </c>
      <c r="BU13" s="248" t="inlineStr">
        <is>
          <t>No</t>
        </is>
      </c>
      <c r="BV13" s="248" t="inlineStr">
        <is>
          <t>No</t>
        </is>
      </c>
      <c r="BW13" s="248" t="inlineStr">
        <is>
          <t>No</t>
        </is>
      </c>
      <c r="BX13" s="248" t="inlineStr">
        <is>
          <t>No</t>
        </is>
      </c>
      <c r="BY13" s="248" t="inlineStr">
        <is>
          <t>No</t>
        </is>
      </c>
      <c r="BZ13" s="248" t="inlineStr">
        <is>
          <t>No</t>
        </is>
      </c>
      <c r="CA13" s="248" t="inlineStr">
        <is>
          <t>Yes</t>
        </is>
      </c>
      <c r="CB13" s="537">
        <f>IF(B13="","",IF(AT13="No",((BB13+AW13)-$AZ$4),((BB13+AX13)-$AZ$4))*IF(DD13&gt;0,0,M13))</f>
        <v/>
      </c>
      <c r="CC13" s="537">
        <f>IF(B13="","",AY13*(L13-M13)*IF(DD13&gt;0,0,1))</f>
        <v/>
      </c>
      <c r="CD13" s="265" t="n"/>
      <c r="CE13" s="265">
        <f>IF(AND(B13&lt;&gt;"",R13&lt;=85%),1,0)</f>
        <v/>
      </c>
      <c r="CF13" s="265">
        <f>IF(B13="",0,(IF(OR(BF13="USD",BF13="CAD",BF13="GBP",BF13="AUD",BF13="EUR"),0,1)))</f>
        <v/>
      </c>
      <c r="CG13" s="265">
        <f>IF(B13="",0,(IF(OR(BG13="United States",BG13="Canada",BG13="United Kingdom",BG13="Australia",BG13="Netherlands Antilles",BG13="Bermuda",BG13="Cayman Islands",BG13="British Virgin Islands",BG13="Channel Islands",BG13="Isle of Man",BG13="Australia",BG13="Netherlands",BG13="Germany",BG13="Sweden",BG13="Switzerland",BG13="Austria",BG13="Belgium",BG13="Denmark",BG13="Finland",BG13="Iceland",BG13="Ireland",BG13="Lichtenstein",BG13="Luxemborg",BG13="Norway"),0,1)))</f>
        <v/>
      </c>
      <c r="CH13" s="265">
        <f>IF(BN13="Yes",1,0)</f>
        <v/>
      </c>
      <c r="CI13" s="265">
        <f>IF(BO13="Yes",1,0)</f>
        <v/>
      </c>
      <c r="CJ13" s="265">
        <f>IF(BP13="Yes",1,0)</f>
        <v/>
      </c>
      <c r="CK13" s="265">
        <f>IF(BQ13="Yes",1,0)</f>
        <v/>
      </c>
      <c r="CL13" s="265">
        <f>IF(BR13="Yes",1,0)</f>
        <v/>
      </c>
      <c r="CM13" s="265">
        <f>IF(BS13="Yes",1,0)</f>
        <v/>
      </c>
      <c r="CN13" s="265">
        <f>IF(OR(AND(BJ13="Yes",N13="No"),AND(BJ13="Yes",N13="Yes",P13&gt;=6)),1,0)</f>
        <v/>
      </c>
      <c r="CO13" s="265">
        <f>IF(BT13="Yes",1,0)</f>
        <v/>
      </c>
      <c r="CP13" s="265">
        <f>IF(AND(BU13="Yes",BV13="No"),1,0)</f>
        <v/>
      </c>
      <c r="CQ13" s="265">
        <f>IF(BW13="Yes",1,0)</f>
        <v/>
      </c>
      <c r="CR13" s="265">
        <f>IF(AP13="",0,IF(AP13&gt;7,1,0))</f>
        <v/>
      </c>
      <c r="CS13" s="265">
        <f>IF(OR(BD13&lt;&gt;"Monthly",BD13&lt;&gt;"Quarterly",BD13&lt;&gt;"Semi-Annually"),0,1)</f>
        <v/>
      </c>
      <c r="CT13" s="265">
        <f>IF(BX13="Yes",1,0)</f>
        <v/>
      </c>
      <c r="CU13" s="265">
        <f>IF(BY13="Yes",1,0)</f>
        <v/>
      </c>
      <c r="CV13" s="265">
        <f>IF(BZ13="Yes",1,0)</f>
        <v/>
      </c>
      <c r="CW13" s="265">
        <f>IF(CA13="No",1,0)</f>
        <v/>
      </c>
      <c r="CX13" s="265">
        <f>IF(B13="",0,IF(AK13&gt;=5000000,0,1))</f>
        <v/>
      </c>
      <c r="CY13" s="265">
        <f>IF(B13="",0,IF(AL13&gt;=5000000,0,1))</f>
        <v/>
      </c>
      <c r="CZ13" s="265">
        <f>IF(OR(DA13=1,DB13=1,DC13=1),0,IF(B13="",0,IF(OR(AND(AN13="Tier 1",X13="No",OR(AI13&gt;$AJ$3,AJ13&gt;$AJ$4)),(AND(AN13="Tier 1",X13="Yes",AJ13&gt;$AJ$5)),(AND(AN13="Tier 2",X13="No",OR(AI13&gt;$AK$3,AJ13&gt;$AK$4))),(AND(AN13="Tier 2",X13="Yes",AJ13&gt;$AK$5)),(AND(AN13="Tier 3",X13="No",OR(AI13&gt;$AL$3,AJ13&gt;$AL$4))),(AND(AN13="Tier 3",X13="Yes",AJ13&gt;$AL$5))),1,0)))</f>
        <v/>
      </c>
      <c r="DA13" s="265">
        <f>IF(OR(DB13=1,DC13=1),0,IF(B13="",0,IF(OR(AND(AN13="Tier 1",X13="No",OR(AI13&gt;$AM$3,AJ13&gt;$AM$4)),(AND(AN13="Tier 1",X13="Yes",AJ13&gt;$AM$5)),(AND(AN13="Tier 2",X13="No",OR(AI13&gt;$AN$3,AJ13&gt;$AN$4))),(AND(AN13="Tier 2",X13="Yes",AJ13&gt;$AN$5)),(AND(AN13="Tier 3",X13="No",OR(AI13&gt;$AO$3,AJ13&gt;$AO$4))),(AND(AN13="Tier 3",X13="Yes",AJ13&gt;$AO$5))),1,0)))</f>
        <v/>
      </c>
      <c r="DB13" s="265">
        <f>IF(DC13=1,0,IF(B13="",0,IF(OR(AND(AN13="Tier 1",X13="No",OR(AI13&gt;$AP$3,AJ13&gt;$AP$4)),(AND(AN13="Tier 1",X13="Yes",AJ13&gt;$AP$5)),(AND(AN13="Tier 2",X13="No",OR(AI13&gt;$AQ$3,AJ13&gt;$AQ$4))),(AND(AN13="Tier 2",X13="Yes",AJ13&gt;$AQ$5)),(AND(AN13="Tier 3",X13="No",OR(AI13&gt;$AR$3,AJ13&gt;$AR$4))),(AND(AN13="Tier 3",X13="Yes",AJ13&gt;$AR$5))),1,0)))</f>
        <v/>
      </c>
      <c r="DC13" s="265">
        <f>IF(B13="",0,IF(OR(AND(AN13="Tier 1",X13="No",OR(AI13&gt;$AS$3,AJ13&gt;$AS$4)),(AND(AN13="Tier 1",X13="Yes",AJ13&gt;$AS$5)),(AND(AN13="Tier 2",X13="No",OR(AI13&gt;$AT$3,AJ13&gt;$AT$4))),(AND(AN13="Tier 2",X13="Yes",AJ13&gt;$AT$5)),(AND(AN13="Tier 3",X13="No",OR(AI13&gt;$AU$3,AJ13&gt;$AU$4))),(AND(AN13="Tier 3",X13="Yes",AJ13&gt;$AU$5))),1,0))</f>
        <v/>
      </c>
      <c r="DD13" s="265">
        <f>IF((SUM(CE13:CX13)=0),0,W13)</f>
        <v/>
      </c>
      <c r="DE13" s="265">
        <f>IF(OR(B13="",DD13&gt;0),0,W13)</f>
        <v/>
      </c>
      <c r="DF13" s="265">
        <f>IF(B13="",0,IF(COUNTIF(CE13:CX13,1)&gt;0,0,L13-M13))</f>
        <v/>
      </c>
      <c r="DG13" s="265">
        <f>DE13+IF(DD13&gt;0,0,DF13)</f>
        <v/>
      </c>
      <c r="DH13" s="265">
        <f>IF(B13="","",M13+DF13)</f>
        <v/>
      </c>
      <c r="DI13" s="265">
        <f>IF(B13="",0,J13-K13)</f>
        <v/>
      </c>
      <c r="DJ13" s="265">
        <f>IF(OR(BF13="EUR",BF13="CAD",BF13="GBP",BF13="AUD"),(GA13*(1-V13))+(HG13)+IF(HX13="",0,HX13*(1-U13)),0)</f>
        <v/>
      </c>
      <c r="DK13" s="265">
        <f>IF(BF13="EUR",33%,IF(BF13="CAD",38%,IF(BF13="GBP",51%,IF(BF13="AUD",61%,0))))</f>
        <v/>
      </c>
      <c r="DL13" s="265">
        <f>DJ13*DK13</f>
        <v/>
      </c>
      <c r="DN13" s="538">
        <f>IF(OR(Y13="Second Lien",Y13="Tier 1 Split Lien",Y13="Tier 2 Split Lien"),DG13,0)</f>
        <v/>
      </c>
      <c r="DO13" s="539">
        <f>DN13*DN$6</f>
        <v/>
      </c>
      <c r="DP13" s="538">
        <f>DG13-DO13</f>
        <v/>
      </c>
      <c r="DQ13" s="538">
        <f>IF(Y13="Second Lien",DP13,0)</f>
        <v/>
      </c>
      <c r="DR13" s="539">
        <f>DQ13*DQ$6</f>
        <v/>
      </c>
      <c r="DS13" s="538">
        <f>DP13-DR13</f>
        <v/>
      </c>
      <c r="DT13" s="538">
        <f>IF(BH13="Yes",DS13,0)</f>
        <v/>
      </c>
      <c r="DU13" s="539">
        <f>DT13*DT$6</f>
        <v/>
      </c>
      <c r="DV13" s="538">
        <f>DS13-DU13</f>
        <v/>
      </c>
      <c r="DW13" s="538">
        <f>IF(OR(BG13="Canada",BG13="United Kingdom",BG13="Australia",BG13="Netherlands Antilles",BG13="Bermuda",BG13="Cayman Islands",BG13="British Virgin Islands",BG13="Channel Islands",BG13="Isle of Man",BG13="Australia",BG13="Netherlands",BG13="Germany",BG13="Sweden",BG13="Switzerland",BG13="Austria",BG13="Belgium",BG13="Denmark",BG13="Finland",BG13="Iceland",BG13="Ireland",BG13="Lichtenstein",BG13="Luxemborg",BG13="Norway"),DV13,0)</f>
        <v/>
      </c>
      <c r="DX13" s="539">
        <f>DW13*DW$6</f>
        <v/>
      </c>
      <c r="DY13" s="538">
        <f>DV13-DX13</f>
        <v/>
      </c>
      <c r="DZ13" s="538">
        <f>IF(BI13="Yes",DY13,0)</f>
        <v/>
      </c>
      <c r="EA13" s="539">
        <f>DZ13*DZ$6</f>
        <v/>
      </c>
      <c r="EB13" s="538">
        <f>DY13-EA13</f>
        <v/>
      </c>
      <c r="EC13" s="538">
        <f>IF(OR(Z13="Delayed Draw",Z13="Revolver"),EB13,0)</f>
        <v/>
      </c>
      <c r="ED13" s="539">
        <f>EC13*EC$6</f>
        <v/>
      </c>
      <c r="EE13" s="538">
        <f>EB13-ED13</f>
        <v/>
      </c>
      <c r="EF13" s="538">
        <f>IF(S13="Yes",EE13,0)</f>
        <v/>
      </c>
      <c r="EG13" s="539">
        <f>EF13*EF$6</f>
        <v/>
      </c>
      <c r="EH13" s="538">
        <f>EE13-EG13</f>
        <v/>
      </c>
      <c r="EI13" s="538">
        <f>IF(Q13="Yes",EH13,0)</f>
        <v/>
      </c>
      <c r="EJ13" s="539">
        <f>EI13*EI$6</f>
        <v/>
      </c>
      <c r="EK13" s="538">
        <f>EH13-EJ13</f>
        <v/>
      </c>
      <c r="EL13" s="538">
        <f>IF(BD13="Semi-Annually",EK13,0)</f>
        <v/>
      </c>
      <c r="EM13" s="539">
        <f>EL13*EL$6</f>
        <v/>
      </c>
      <c r="EN13" s="538">
        <f>EK13-EM13</f>
        <v/>
      </c>
      <c r="EO13" s="538">
        <f>IF(BK13="Yes",EN13,0)</f>
        <v/>
      </c>
      <c r="EP13" s="539">
        <f>EO13*EO$6</f>
        <v/>
      </c>
      <c r="EQ13" s="538">
        <f>EN13-EP13</f>
        <v/>
      </c>
      <c r="ER13" s="538">
        <f>IF(BL13="Yes",EQ13,0)</f>
        <v/>
      </c>
      <c r="ES13" s="539">
        <f>ER13*ER$6</f>
        <v/>
      </c>
      <c r="ET13" s="538">
        <f>EQ13-ES13</f>
        <v/>
      </c>
      <c r="EU13" s="538">
        <f>IF(BM13="Yes",ET13,0)</f>
        <v/>
      </c>
      <c r="EV13" s="539">
        <f>EU13*EU$6</f>
        <v/>
      </c>
      <c r="EW13" s="538">
        <f>ET13-EV13</f>
        <v/>
      </c>
      <c r="EX13" s="538">
        <f>IF(BV13="Yes",EW13,0)</f>
        <v/>
      </c>
      <c r="EY13" s="539">
        <f>EX13*EX$6</f>
        <v/>
      </c>
      <c r="EZ13" s="538">
        <f>EW13-EY13</f>
        <v/>
      </c>
      <c r="FA13" s="538">
        <f>IF(AR13="Yes",EZ13,0)</f>
        <v/>
      </c>
      <c r="FB13" s="539">
        <f>FA13*FA$6</f>
        <v/>
      </c>
      <c r="FC13" s="538">
        <f>EZ13-FB13</f>
        <v/>
      </c>
      <c r="FD13" s="538">
        <f>IF(OR(BF13="EUR",BF13="AUD",BF13="CAD",BF13="GBP"),FC13,0)</f>
        <v/>
      </c>
      <c r="FE13" s="539">
        <f>FD13*FD$6</f>
        <v/>
      </c>
      <c r="FF13" s="538">
        <f>FC13-FE13</f>
        <v/>
      </c>
      <c r="FG13" s="538">
        <f>FF13</f>
        <v/>
      </c>
      <c r="FH13" s="538">
        <f>IF(FF13=0,0,VLOOKUP(C13,$GU$10:$GV$406,2,FALSE)*FF13)</f>
        <v/>
      </c>
      <c r="FI13" s="538">
        <f>FF13-FH13</f>
        <v/>
      </c>
      <c r="FJ13" s="538">
        <f>FI13</f>
        <v/>
      </c>
      <c r="FK13" s="538">
        <f>IF(OR(IB13="",FI13&lt;0.01),,VLOOKUP(IB13,$GL$10:$GM$406,2,FALSE)*FI13)</f>
        <v/>
      </c>
      <c r="FL13" s="538">
        <f>FI13-FK13</f>
        <v/>
      </c>
      <c r="FM13" s="538">
        <f>FL13</f>
        <v/>
      </c>
      <c r="FN13" s="538">
        <f>IF(FL13=0,0,VLOOKUP(C13,$HD$10:$HE$406,2,FALSE)*FL13)</f>
        <v/>
      </c>
      <c r="FO13" s="538">
        <f>FL13-FN13</f>
        <v/>
      </c>
      <c r="FP13" s="538">
        <f>IF(SUM(CY13:DC13)&gt;0,0,IF(AND(AL13&gt;=5000000,AL13&lt;7500000),FO13,0))</f>
        <v/>
      </c>
      <c r="FQ13" s="539">
        <f>IF(B13="",0,FP13*FP$6*(1-$U13))</f>
        <v/>
      </c>
      <c r="FR13" s="538">
        <f>FO13-FQ13</f>
        <v/>
      </c>
      <c r="FS13" s="538">
        <f>IF(SUM(CY13:DC13)&gt;0,0,IF(AL13&lt;15000000,FR13,0))</f>
        <v/>
      </c>
      <c r="FT13" s="539">
        <f>IF(B13="",0,FS13*FS$6*(1-$U13))</f>
        <v/>
      </c>
      <c r="FU13" s="538">
        <f>FR13-FT13</f>
        <v/>
      </c>
      <c r="FV13" s="538">
        <f>IF(SUM(CY13:DC13)&gt;0,0,IF(OR(AND(X13="No",AN13="Tier 1",AI13&gt;$AG$3),AND(X13="No",AN13="Tier 2",AI13&gt;$AH$3),AND(X13="No",AN13="Tier 3",AI13&gt;$AI$3)),FU13,0))</f>
        <v/>
      </c>
      <c r="FW13" s="538">
        <f>IF(SUM(CY13:DC13)&gt;0,0,IF(OR(AND(X13="No",AN13="Tier 1",AJ13&gt;$AG$4),AND(X13="No",AN13="Tier 2",AJ13&gt;$AH$4),AND(X13="No",AN13="Tier 3",AJ13&gt;$AI$4)),FU13,0))</f>
        <v/>
      </c>
      <c r="FX13" s="538">
        <f>IF(SUM(CY13:DC13)&gt;0,0,IF(OR(AND(X13="Yes",AN13="Tier 1",AJ13&gt;$AG$5),AND(X13="Yes",AN13="Tier 2",AJ13&gt;$AH$5),AND(X13="Yes",AN13="Tier 3",AJ13&gt;$AI$5)),FU13,0))</f>
        <v/>
      </c>
      <c r="FY13" s="538">
        <f>IF(SUM(FV13:FX13)&gt;0,FU13,0)</f>
        <v/>
      </c>
      <c r="FZ13" s="539">
        <f>IF(B13="",0,FY13*FV$6*(1-MIN(90%,T13)))</f>
        <v/>
      </c>
      <c r="GA13" s="538">
        <f>FU13-FZ13</f>
        <v/>
      </c>
      <c r="GB13" s="538">
        <f>IF(AND(N13="No",DI13=0),GA13,IF(AND(N13="No",DI13&lt;&gt;0,K13=0),0,IF(AND(N13="No",DI13&lt;&gt;0,K13&gt;0,J13&lt;&gt;K13),MAX(0,M13-(DH13-GA13)),DG13)))</f>
        <v/>
      </c>
      <c r="GC13" s="540">
        <f>+GB13*V13</f>
        <v/>
      </c>
      <c r="GD13" s="138">
        <f>IFERROR(GC13/K13,"")</f>
        <v/>
      </c>
      <c r="GE13" s="541">
        <f>IF(IB13="","",IB13)</f>
        <v/>
      </c>
      <c r="GF13" s="538">
        <f t="array" ref="GF13">IF(SUM(IF(IB$9:IB12=IB13,1,0))&gt;0,0,SUMIF($IB$10:$IB$406,IB13,$FI$10:$FI$406))</f>
        <v/>
      </c>
      <c r="GG13" s="270">
        <f>GF13</f>
        <v/>
      </c>
      <c r="GH13" s="137">
        <f>GH12+1</f>
        <v/>
      </c>
      <c r="GI13" s="542">
        <f>LARGE($GG$10:$GG$406,GH13)</f>
        <v/>
      </c>
      <c r="GJ13" s="542">
        <f>IF(GH13&gt;GH$6,0,IF(GH13=$GH$2,$GJ$2,IF(GH13&lt;4,$GJ$3,$GJ$4)))</f>
        <v/>
      </c>
      <c r="GK13" s="489">
        <f>MAX(0,GI13-GJ13)</f>
        <v/>
      </c>
      <c r="GL13" s="137">
        <f t="array" ref="GL13">IF(GI13=0,0,LARGE(IF($GF$10:$GF$406=GI13,$GE$10:$GE$406,0),COUNTIF($GI$10:$GI$406,GI13)-COUNTIF(GI$9:GI12,GI13)))</f>
        <v/>
      </c>
      <c r="GM13" s="272">
        <f>IF(GI13=0,0,GK13/GI13)</f>
        <v/>
      </c>
      <c r="GO13" s="137">
        <f>IF(C13="","",IF(ISERROR(MATCH(C13,C$10:C12,0)),MAX(GO$10:GO12)+1,INDEX(GO$10:GO12,MATCH(C13,C$10:C12,0))))</f>
        <v/>
      </c>
      <c r="GP13" s="538">
        <f>IF(COUNTIF($A$10:A13,A13)&lt;=1,SUMIF($A$10:$A$406,A13,$FG$10:$FG$406),0)</f>
        <v/>
      </c>
      <c r="GQ13" s="137">
        <f>GQ12+1</f>
        <v/>
      </c>
      <c r="GR13" s="542">
        <f>LARGE($GP$10:$GP$406,GQ13)</f>
        <v/>
      </c>
      <c r="GS13" s="542">
        <f>IF(GQ13&gt;GQ$6,0,IF(GQ13&lt;=GQ$2,GS$2,IF(AND(GQ13&lt;=$GQ$3,GQ13&gt;$GQ$2),GS$3,GS$4)))</f>
        <v/>
      </c>
      <c r="GT13" s="489">
        <f>MAX(0,GR13-GS13)</f>
        <v/>
      </c>
      <c r="GU13" s="137">
        <f t="array" ref="GU13">IF(GR13=0,0,LARGE(IF($GP$10:$GP$406=GR13,$GO$10:$GO$406,0),COUNTIF($GR$10:$GR$406,GR13)-COUNTIF(GR$9:GR12,GR13)))</f>
        <v/>
      </c>
      <c r="GV13" s="272">
        <f>IF(GR13=0,0,GT13/GR13)</f>
        <v/>
      </c>
      <c r="GW13" s="272" t="n"/>
      <c r="GX13" s="137">
        <f>IF(C13="","",IF(ISERROR(MATCH(C13,C$10:C12,0)),MAX(GO$10:GO12)+1,INDEX(GO$10:GO12,MATCH(C13,C$10:C12,0))))</f>
        <v/>
      </c>
      <c r="GY13" s="538">
        <f>IF(COUNTIF($A$10:A13,A13)&lt;=1,SUMIF($A$10:$A$406,A13,$FG$10:$FG$406),0)</f>
        <v/>
      </c>
      <c r="GZ13" s="137">
        <f>GZ12+1</f>
        <v/>
      </c>
      <c r="HA13" s="542">
        <f>LARGE($GY$10:$GY$406,GZ13)</f>
        <v/>
      </c>
      <c r="HB13" s="543" t="inlineStr">
        <is>
          <t>-</t>
        </is>
      </c>
      <c r="HC13" s="489">
        <f>IF(GZ13&lt;6,MAX(0,$HC$2/5),0)</f>
        <v/>
      </c>
      <c r="HD13" s="137">
        <f t="array" ref="HD13">IF(HA13=0,0,LARGE(IF($GY$10:$GY$406=HA13,$GX$10:$GX$406,0),COUNTIF($HA$10:$HA$406,HA13)-COUNTIF(HA$9:HA12,HA13)))</f>
        <v/>
      </c>
      <c r="HE13" s="272">
        <f>IF(HA13=0,0,HC13/HA13)</f>
        <v/>
      </c>
      <c r="HG13" s="270">
        <f>DG13-GA13</f>
        <v/>
      </c>
      <c r="HH13" s="544" t="n">
        <v>0</v>
      </c>
      <c r="HI13" s="538">
        <f>MIN(HH13,DE13)</f>
        <v/>
      </c>
      <c r="HK13" s="137">
        <f>IF(COUNTIF($C$10:$C$406,HK12+1),HK12+1,"")</f>
        <v/>
      </c>
      <c r="HL13" s="538">
        <f>SUMIF($C$10:$C$406,HK13,$DG$10:$DG$406)</f>
        <v/>
      </c>
      <c r="HN13" s="521">
        <f>MIN(HO13:HS13)</f>
        <v/>
      </c>
      <c r="HO13" s="521">
        <f>IF(B13="","",$M13)</f>
        <v/>
      </c>
      <c r="HP13" s="521">
        <f>IF($N13="Yes",IF(P13&gt;=6,0,MIN($T13*$M13,$U13*$M13)),"")</f>
        <v/>
      </c>
      <c r="HQ13" s="521">
        <f>IF(AND(N13="Yes",P13&gt;=6),"",IF($S13="Yes",$R13*$M13,""))</f>
        <v/>
      </c>
      <c r="HR13" s="521">
        <f>IF($Q13="Yes",MIN($M13,$T13*$M13),"")</f>
        <v/>
      </c>
      <c r="HS13" s="521">
        <f>IF(AND($N13="Yes",$P13&gt;=6),"",IF(OR(CY13=1,DC13=1,),MIN($T13*$M13,$U13*$M13),IF(OR(CZ13=1,DA13=1,DB13=1),IF(AK13&gt;=5000000,MIN($T13*$M13,$IE13*$M13),MIN($T13*$M13,$U13*$M13)),"")))</f>
        <v/>
      </c>
      <c r="HT13" s="521">
        <f>IF(DD13&gt;0,DD13,"")</f>
        <v/>
      </c>
      <c r="HU13" s="522">
        <f>IF(B13="",0,$L13-$M13)</f>
        <v/>
      </c>
      <c r="HV13" s="274">
        <f>IF(OR(SUM(HP13:HT13)&gt;0,P13&gt;=6),"",IF($B13="","",1))</f>
        <v/>
      </c>
      <c r="HW13" s="522">
        <f>IF(AND($HT13&lt;&gt;0,OR(HT13&lt;=MIN(HP13:HS13),SUM(HP13:HS13)=0)),$HT13,0)</f>
        <v/>
      </c>
      <c r="HX13" s="522">
        <f>IF(AND($HS13&lt;&gt;0,OR(AND($HS13&lt;&gt;$HT13,$HS13&lt;&gt;$HR13,$HS13&lt;&gt;$HQ13,$HS13&lt;&gt;$HP13,$HS13&lt;MIN($HP13:$HR13),$HS13&lt;HT13),SUM($HP13:$HR13)+SUM(HT13)=0),IA13&lt;=0),$HS13,0)</f>
        <v/>
      </c>
      <c r="HY13" s="522">
        <f>IF(AND($HR13&lt;&gt;0,OR(AND($HR13&lt;&gt;$HT13,$HR13&lt;&gt;$HS13,$HR13&lt;&gt;$HQ13,$HR13&lt;&gt;$HP13),$HR13&lt;MIN($HP13:$HQ13),$HR13&lt;MIN($HS13:$HT13),SUM($HP13:$HQ13)+SUM($HS13:$HT13)=0)),$HR13,0)</f>
        <v/>
      </c>
      <c r="HZ13" s="522">
        <f>IF(AND($HQ13&lt;&gt;0,OR(AND($HQ13&lt;&gt;$HT13,HQ13&lt;&gt;HS13,HQ13&lt;&gt;HR13,HQ13&lt;&gt;HP13,HQ13&lt;MIN(HR13:HT13)),SUM(HP13)+SUM(HR13:HT13)=0)),$HQ13,0)</f>
        <v/>
      </c>
      <c r="IA13" s="522">
        <f>IF(AND($HP13&lt;&gt;0,OR(HP13&lt;=MIN(HQ13:HT13),SUM(HQ13:HT13)=0)),$HP13,0)</f>
        <v/>
      </c>
      <c r="IB13" s="545" t="n">
        <v>41</v>
      </c>
      <c r="IC13">
        <f>HU13=DF13</f>
        <v/>
      </c>
      <c r="IE13" s="351">
        <f>IF(B13="","",IF(AND(Y13="Second Lien",OR(CZ13=1,DA13=1,DB13=1)),50%,IF(CZ13=1,90%,IF(DA13=1,80%,IF(DB13=1,65%,"No Initial Haircut")))))</f>
        <v/>
      </c>
    </row>
    <row r="14">
      <c r="A14">
        <f>D14</f>
        <v/>
      </c>
      <c r="B14" s="242">
        <f>IF(D14="","",B13+1)</f>
        <v/>
      </c>
      <c r="C14" s="242">
        <f>IF(COUNTIF($A$10:A13,A14)&gt;0,C13,C13+1)</f>
        <v/>
      </c>
      <c r="D14" s="243" t="inlineStr">
        <is>
          <t>Silverline Holdings, LLC</t>
        </is>
      </c>
      <c r="E14" s="243" t="inlineStr">
        <is>
          <t>Silverline (Term Loan)</t>
        </is>
      </c>
      <c r="F14" s="244" t="n"/>
      <c r="G14" s="528" t="n">
        <v>26250412.03</v>
      </c>
      <c r="H14" s="528" t="n">
        <v>26250412.03</v>
      </c>
      <c r="I14" s="246" t="n">
        <v>1</v>
      </c>
      <c r="J14" s="529">
        <f>IF(B14="","",G14*I14)</f>
        <v/>
      </c>
      <c r="K14" s="529">
        <f>IF(B14="","",H14*I14)</f>
        <v/>
      </c>
      <c r="L14" s="529">
        <f>IF(B14="","",IF(COUNTIF($CE14:$CX14,1)&gt;0,0,J14))</f>
        <v/>
      </c>
      <c r="M14" s="529">
        <f>IF(B14="","",IF(COUNTIF($CE14:$CX14,1)&gt;0,0,K14))</f>
        <v/>
      </c>
      <c r="N14" s="248" t="inlineStr">
        <is>
          <t>No</t>
        </is>
      </c>
      <c r="O14" s="248" t="inlineStr">
        <is>
          <t>N/A</t>
        </is>
      </c>
      <c r="P14" s="249">
        <f>IF(B14="","",IF(OR(O14="N/A",O14=""),0,YEARFRAC('Borrowing Base'!$J$4,'Loan List'!O14)*12))</f>
        <v/>
      </c>
      <c r="Q14" s="248" t="inlineStr">
        <is>
          <t>No</t>
        </is>
      </c>
      <c r="R14" s="250" t="n">
        <v>0.9918199321926986</v>
      </c>
      <c r="S14" s="251">
        <f>IF(B14="","",IF(R14&lt;95%,"Yes","No"))</f>
        <v/>
      </c>
      <c r="T14" s="250" t="n">
        <v>0.9917856470308515</v>
      </c>
      <c r="U14" s="252">
        <f>IF(B14="","",IF(OR(Y14="First Lien",Y14="Split First Lien",Y14="Tier 1 Split Lien",Y14="Tier 2 Split Lien"),50%,30%))</f>
        <v/>
      </c>
      <c r="V14" s="252">
        <f>IF(B14="",0,IF(AND(Y14="First Lien",AN14="Tier 1"),IF(AND(X14="Yes",MIN(AH14,$AJ$5)&gt;4.5),(((4.5/MIN(AH14,$AJ$5))*72.5%)+(((MIN(AH14,$AJ$5)-4.5)/MIN(AH14,$AJ$5))*35%)),72.5%),IF(AND(Y14="First Lien",AN14="Tier 2"),IF(AND(X14="Yes",MIN(AH14,$AK$5)&gt;4.5),(((4.5/MIN(AH14,$AK$5))*72.5%)+(((MIN(AH14,$AK$5)-4.5)/MIN(AH14,$AK$5))*35%)),72.5%),IF(AND(X14="Yes",MIN(AH14,$AL$5)&gt;4),(((4/MIN(AH14,$AL$5))*72.5%)+(((MIN(AH14,$AL$5)-4)/MIN(AH14,$AL$5))*35%)),IF(OR(Y14="First Lien",Y14="Split First Lien"),72.5%,IF(Y14="Split Lien", 53%,35%))))))</f>
        <v/>
      </c>
      <c r="W14" s="530">
        <f>IF($C14="","",MIN($HO14:$HS14))</f>
        <v/>
      </c>
      <c r="X14" s="248" t="inlineStr">
        <is>
          <t>No</t>
        </is>
      </c>
      <c r="Y14" s="254" t="inlineStr">
        <is>
          <t>First Lien</t>
        </is>
      </c>
      <c r="Z14" s="254" t="inlineStr">
        <is>
          <t>Term</t>
        </is>
      </c>
      <c r="AA14" s="531" t="inlineStr">
        <is>
          <t>NR</t>
        </is>
      </c>
      <c r="AB14" s="531" t="inlineStr">
        <is>
          <t xml:space="preserve"> NR</t>
        </is>
      </c>
      <c r="AC14" s="532" t="n">
        <v>1.540011268139389</v>
      </c>
      <c r="AD14" s="532" t="n">
        <v>1.35</v>
      </c>
      <c r="AE14" s="532" t="n">
        <v>1.9</v>
      </c>
      <c r="AF14" s="257" t="n">
        <v>0.3615384615384615</v>
      </c>
      <c r="AG14" s="533" t="n">
        <v>4.447008874133144</v>
      </c>
      <c r="AH14" s="533" t="n">
        <v>4.447008874133144</v>
      </c>
      <c r="AI14" s="533" t="n">
        <v>4.447008874133144</v>
      </c>
      <c r="AJ14" s="533" t="n">
        <v>4.447008874133144</v>
      </c>
      <c r="AK14" s="534" t="n">
        <v>10568901.77876286</v>
      </c>
      <c r="AL14" s="534" t="n">
        <v>10568901.77876286</v>
      </c>
      <c r="AM14" s="260" t="n">
        <v>45777</v>
      </c>
      <c r="AN14" s="529">
        <f>IF(C14="","",(IF(AK14&gt;=50000000,"Tier 1",(IF(OR(AK14&gt;=20000000,AND(AK14&gt;5000000,AC14&gt;=1.25,AF14&lt;=0.65)),"Tier 2","Tier 3")))))</f>
        <v/>
      </c>
      <c r="AO14" s="244" t="n">
        <v>48046</v>
      </c>
      <c r="AP14" s="535" t="n">
        <v>5.963888888888889</v>
      </c>
      <c r="AQ14" s="535">
        <f>IF(C14="","",AP14)</f>
        <v/>
      </c>
      <c r="AR14" s="248" t="inlineStr">
        <is>
          <t>No</t>
        </is>
      </c>
      <c r="AS14" s="250" t="n">
        <v>0</v>
      </c>
      <c r="AT14" s="248" t="inlineStr">
        <is>
          <t>Yes</t>
        </is>
      </c>
      <c r="AU14" s="250" t="n">
        <v>0.01</v>
      </c>
      <c r="AV14" s="250" t="n">
        <v>0.055</v>
      </c>
      <c r="AW14" s="250" t="n">
        <v>0.035931</v>
      </c>
      <c r="AX14" s="262">
        <f>IF(C14="","",MAX(AU14,AW14))</f>
        <v/>
      </c>
      <c r="AY14" s="250" t="n">
        <v>0</v>
      </c>
      <c r="AZ14" s="250" t="n">
        <v>0</v>
      </c>
      <c r="BA14" s="250" t="n">
        <v>0</v>
      </c>
      <c r="BB14" s="412">
        <f>IF(B14="","",IF(AR14="No",AV14-AZ14,""))</f>
        <v/>
      </c>
      <c r="BC14" s="412">
        <f>IF(B14="","",IF(AR14="Yes",AS14-BA14,""))</f>
        <v/>
      </c>
      <c r="BD14" s="254" t="inlineStr">
        <is>
          <t>Quarterly</t>
        </is>
      </c>
      <c r="BE14" s="536" t="inlineStr">
        <is>
          <t>Commercial Services &amp; Supplies</t>
        </is>
      </c>
      <c r="BF14" s="254" t="inlineStr">
        <is>
          <t>USD</t>
        </is>
      </c>
      <c r="BG14" s="254" t="inlineStr">
        <is>
          <t>United States</t>
        </is>
      </c>
      <c r="BH14" s="248" t="inlineStr">
        <is>
          <t>No</t>
        </is>
      </c>
      <c r="BI14" s="413">
        <f>IF(B14="","",IF(OR(AND(AZ14&gt;0,BB14&gt;=2.5%,BB14&lt;4%),AND(BA14&gt;0,BC14&gt;=6%,BC14&lt;8%)),"Yes","No"))</f>
        <v/>
      </c>
      <c r="BJ14" s="413">
        <f>IF(B14="","",IF(OR(AND(AZ14&gt;0,BB14&lt;2.5%),AND(BA14&gt;0,BC14&lt;6%)),"Yes","No"))</f>
        <v/>
      </c>
      <c r="BK14" s="248" t="inlineStr">
        <is>
          <t>No</t>
        </is>
      </c>
      <c r="BL14" s="248" t="inlineStr">
        <is>
          <t>No</t>
        </is>
      </c>
      <c r="BM14" s="248" t="inlineStr">
        <is>
          <t>No</t>
        </is>
      </c>
      <c r="BN14" s="248" t="inlineStr">
        <is>
          <t>No</t>
        </is>
      </c>
      <c r="BO14" s="248" t="inlineStr">
        <is>
          <t>No</t>
        </is>
      </c>
      <c r="BP14" s="248" t="inlineStr">
        <is>
          <t>No</t>
        </is>
      </c>
      <c r="BQ14" s="248" t="inlineStr">
        <is>
          <t>No</t>
        </is>
      </c>
      <c r="BR14" s="248" t="inlineStr">
        <is>
          <t>No</t>
        </is>
      </c>
      <c r="BS14" s="248" t="inlineStr">
        <is>
          <t>No</t>
        </is>
      </c>
      <c r="BT14" s="248" t="inlineStr">
        <is>
          <t>No</t>
        </is>
      </c>
      <c r="BU14" s="248" t="inlineStr">
        <is>
          <t>No</t>
        </is>
      </c>
      <c r="BV14" s="248" t="inlineStr">
        <is>
          <t>No</t>
        </is>
      </c>
      <c r="BW14" s="248" t="inlineStr">
        <is>
          <t>No</t>
        </is>
      </c>
      <c r="BX14" s="248" t="inlineStr">
        <is>
          <t>No</t>
        </is>
      </c>
      <c r="BY14" s="248" t="inlineStr">
        <is>
          <t>No</t>
        </is>
      </c>
      <c r="BZ14" s="248" t="inlineStr">
        <is>
          <t>No</t>
        </is>
      </c>
      <c r="CA14" s="248" t="inlineStr">
        <is>
          <t>Yes</t>
        </is>
      </c>
      <c r="CB14" s="537">
        <f>IF(B14="","",IF(AT14="No",((BB14+AW14)-$AZ$4),((BB14+AX14)-$AZ$4))*IF(DD14&gt;0,0,M14))</f>
        <v/>
      </c>
      <c r="CC14" s="537">
        <f>IF(B14="","",AY14*(L14-M14)*IF(DD14&gt;0,0,1))</f>
        <v/>
      </c>
      <c r="CD14" s="265" t="n"/>
      <c r="CE14" s="265">
        <f>IF(AND(B14&lt;&gt;"",R14&lt;=85%),1,0)</f>
        <v/>
      </c>
      <c r="CF14" s="265">
        <f>IF(B14="",0,(IF(OR(BF14="USD",BF14="CAD",BF14="GBP",BF14="AUD",BF14="EUR"),0,1)))</f>
        <v/>
      </c>
      <c r="CG14" s="265">
        <f>IF(B14="",0,(IF(OR(BG14="United States",BG14="Canada",BG14="United Kingdom",BG14="Australia",BG14="Netherlands Antilles",BG14="Bermuda",BG14="Cayman Islands",BG14="British Virgin Islands",BG14="Channel Islands",BG14="Isle of Man",BG14="Australia",BG14="Netherlands",BG14="Germany",BG14="Sweden",BG14="Switzerland",BG14="Austria",BG14="Belgium",BG14="Denmark",BG14="Finland",BG14="Iceland",BG14="Ireland",BG14="Lichtenstein",BG14="Luxemborg",BG14="Norway"),0,1)))</f>
        <v/>
      </c>
      <c r="CH14" s="265">
        <f>IF(BN14="Yes",1,0)</f>
        <v/>
      </c>
      <c r="CI14" s="265">
        <f>IF(BO14="Yes",1,0)</f>
        <v/>
      </c>
      <c r="CJ14" s="265">
        <f>IF(BP14="Yes",1,0)</f>
        <v/>
      </c>
      <c r="CK14" s="265">
        <f>IF(BQ14="Yes",1,0)</f>
        <v/>
      </c>
      <c r="CL14" s="265">
        <f>IF(BR14="Yes",1,0)</f>
        <v/>
      </c>
      <c r="CM14" s="265">
        <f>IF(BS14="Yes",1,0)</f>
        <v/>
      </c>
      <c r="CN14" s="265">
        <f>IF(OR(AND(BJ14="Yes",N14="No"),AND(BJ14="Yes",N14="Yes",P14&gt;=6)),1,0)</f>
        <v/>
      </c>
      <c r="CO14" s="265">
        <f>IF(BT14="Yes",1,0)</f>
        <v/>
      </c>
      <c r="CP14" s="265">
        <f>IF(AND(BU14="Yes",BV14="No"),1,0)</f>
        <v/>
      </c>
      <c r="CQ14" s="265">
        <f>IF(BW14="Yes",1,0)</f>
        <v/>
      </c>
      <c r="CR14" s="265">
        <f>IF(AP14="",0,IF(AP14&gt;7,1,0))</f>
        <v/>
      </c>
      <c r="CS14" s="265">
        <f>IF(OR(BD14&lt;&gt;"Monthly",BD14&lt;&gt;"Quarterly",BD14&lt;&gt;"Semi-Annually"),0,1)</f>
        <v/>
      </c>
      <c r="CT14" s="265">
        <f>IF(BX14="Yes",1,0)</f>
        <v/>
      </c>
      <c r="CU14" s="265">
        <f>IF(BY14="Yes",1,0)</f>
        <v/>
      </c>
      <c r="CV14" s="265">
        <f>IF(BZ14="Yes",1,0)</f>
        <v/>
      </c>
      <c r="CW14" s="265">
        <f>IF(CA14="No",1,0)</f>
        <v/>
      </c>
      <c r="CX14" s="265">
        <f>IF(B14="",0,IF(AK14&gt;=5000000,0,1))</f>
        <v/>
      </c>
      <c r="CY14" s="265">
        <f>IF(B14="",0,IF(AL14&gt;=5000000,0,1))</f>
        <v/>
      </c>
      <c r="CZ14" s="265">
        <f>IF(OR(DA14=1,DB14=1,DC14=1),0,IF(B14="",0,IF(OR(AND(AN14="Tier 1",X14="No",OR(AI14&gt;$AJ$3,AJ14&gt;$AJ$4)),(AND(AN14="Tier 1",X14="Yes",AJ14&gt;$AJ$5)),(AND(AN14="Tier 2",X14="No",OR(AI14&gt;$AK$3,AJ14&gt;$AK$4))),(AND(AN14="Tier 2",X14="Yes",AJ14&gt;$AK$5)),(AND(AN14="Tier 3",X14="No",OR(AI14&gt;$AL$3,AJ14&gt;$AL$4))),(AND(AN14="Tier 3",X14="Yes",AJ14&gt;$AL$5))),1,0)))</f>
        <v/>
      </c>
      <c r="DA14" s="265">
        <f>IF(OR(DB14=1,DC14=1),0,IF(B14="",0,IF(OR(AND(AN14="Tier 1",X14="No",OR(AI14&gt;$AM$3,AJ14&gt;$AM$4)),(AND(AN14="Tier 1",X14="Yes",AJ14&gt;$AM$5)),(AND(AN14="Tier 2",X14="No",OR(AI14&gt;$AN$3,AJ14&gt;$AN$4))),(AND(AN14="Tier 2",X14="Yes",AJ14&gt;$AN$5)),(AND(AN14="Tier 3",X14="No",OR(AI14&gt;$AO$3,AJ14&gt;$AO$4))),(AND(AN14="Tier 3",X14="Yes",AJ14&gt;$AO$5))),1,0)))</f>
        <v/>
      </c>
      <c r="DB14" s="265">
        <f>IF(DC14=1,0,IF(B14="",0,IF(OR(AND(AN14="Tier 1",X14="No",OR(AI14&gt;$AP$3,AJ14&gt;$AP$4)),(AND(AN14="Tier 1",X14="Yes",AJ14&gt;$AP$5)),(AND(AN14="Tier 2",X14="No",OR(AI14&gt;$AQ$3,AJ14&gt;$AQ$4))),(AND(AN14="Tier 2",X14="Yes",AJ14&gt;$AQ$5)),(AND(AN14="Tier 3",X14="No",OR(AI14&gt;$AR$3,AJ14&gt;$AR$4))),(AND(AN14="Tier 3",X14="Yes",AJ14&gt;$AR$5))),1,0)))</f>
        <v/>
      </c>
      <c r="DC14" s="265">
        <f>IF(B14="",0,IF(OR(AND(AN14="Tier 1",X14="No",OR(AI14&gt;$AS$3,AJ14&gt;$AS$4)),(AND(AN14="Tier 1",X14="Yes",AJ14&gt;$AS$5)),(AND(AN14="Tier 2",X14="No",OR(AI14&gt;$AT$3,AJ14&gt;$AT$4))),(AND(AN14="Tier 2",X14="Yes",AJ14&gt;$AT$5)),(AND(AN14="Tier 3",X14="No",OR(AI14&gt;$AU$3,AJ14&gt;$AU$4))),(AND(AN14="Tier 3",X14="Yes",AJ14&gt;$AU$5))),1,0))</f>
        <v/>
      </c>
      <c r="DD14" s="265">
        <f>IF((SUM(CE14:CX14)=0),0,W14)</f>
        <v/>
      </c>
      <c r="DE14" s="265">
        <f>IF(OR(B14="",DD14&gt;0),0,W14)</f>
        <v/>
      </c>
      <c r="DF14" s="265">
        <f>IF(B14="",0,IF(COUNTIF(CE14:CX14,1)&gt;0,0,L14-M14))</f>
        <v/>
      </c>
      <c r="DG14" s="265">
        <f>DE14+IF(DD14&gt;0,0,DF14)</f>
        <v/>
      </c>
      <c r="DH14" s="265">
        <f>IF(B14="","",M14+DF14)</f>
        <v/>
      </c>
      <c r="DI14" s="265">
        <f>IF(B14="",0,J14-K14)</f>
        <v/>
      </c>
      <c r="DJ14" s="265">
        <f>IF(OR(BF14="EUR",BF14="CAD",BF14="GBP",BF14="AUD"),(GA14*(1-V14))+(HG14)+IF(HX14="",0,HX14*(1-U14)),0)</f>
        <v/>
      </c>
      <c r="DK14" s="265">
        <f>IF(BF14="EUR",33%,IF(BF14="CAD",38%,IF(BF14="GBP",51%,IF(BF14="AUD",61%,0))))</f>
        <v/>
      </c>
      <c r="DL14" s="265">
        <f>DJ14*DK14</f>
        <v/>
      </c>
      <c r="DN14" s="538">
        <f>IF(OR(Y14="Second Lien",Y14="Tier 1 Split Lien",Y14="Tier 2 Split Lien"),DG14,0)</f>
        <v/>
      </c>
      <c r="DO14" s="539">
        <f>DN14*DN$6</f>
        <v/>
      </c>
      <c r="DP14" s="538">
        <f>DG14-DO14</f>
        <v/>
      </c>
      <c r="DQ14" s="538">
        <f>IF(Y14="Second Lien",DP14,0)</f>
        <v/>
      </c>
      <c r="DR14" s="539">
        <f>DQ14*DQ$6</f>
        <v/>
      </c>
      <c r="DS14" s="538">
        <f>DP14-DR14</f>
        <v/>
      </c>
      <c r="DT14" s="538">
        <f>IF(BH14="Yes",DS14,0)</f>
        <v/>
      </c>
      <c r="DU14" s="539">
        <f>DT14*DT$6</f>
        <v/>
      </c>
      <c r="DV14" s="538">
        <f>DS14-DU14</f>
        <v/>
      </c>
      <c r="DW14" s="538">
        <f>IF(OR(BG14="Canada",BG14="United Kingdom",BG14="Australia",BG14="Netherlands Antilles",BG14="Bermuda",BG14="Cayman Islands",BG14="British Virgin Islands",BG14="Channel Islands",BG14="Isle of Man",BG14="Australia",BG14="Netherlands",BG14="Germany",BG14="Sweden",BG14="Switzerland",BG14="Austria",BG14="Belgium",BG14="Denmark",BG14="Finland",BG14="Iceland",BG14="Ireland",BG14="Lichtenstein",BG14="Luxemborg",BG14="Norway"),DV14,0)</f>
        <v/>
      </c>
      <c r="DX14" s="539">
        <f>DW14*DW$6</f>
        <v/>
      </c>
      <c r="DY14" s="538">
        <f>DV14-DX14</f>
        <v/>
      </c>
      <c r="DZ14" s="538">
        <f>IF(BI14="Yes",DY14,0)</f>
        <v/>
      </c>
      <c r="EA14" s="539">
        <f>DZ14*DZ$6</f>
        <v/>
      </c>
      <c r="EB14" s="538">
        <f>DY14-EA14</f>
        <v/>
      </c>
      <c r="EC14" s="538">
        <f>IF(OR(Z14="Delayed Draw",Z14="Revolver"),EB14,0)</f>
        <v/>
      </c>
      <c r="ED14" s="539">
        <f>EC14*EC$6</f>
        <v/>
      </c>
      <c r="EE14" s="538">
        <f>EB14-ED14</f>
        <v/>
      </c>
      <c r="EF14" s="538">
        <f>IF(S14="Yes",EE14,0)</f>
        <v/>
      </c>
      <c r="EG14" s="539">
        <f>EF14*EF$6</f>
        <v/>
      </c>
      <c r="EH14" s="538">
        <f>EE14-EG14</f>
        <v/>
      </c>
      <c r="EI14" s="538">
        <f>IF(Q14="Yes",EH14,0)</f>
        <v/>
      </c>
      <c r="EJ14" s="539">
        <f>EI14*EI$6</f>
        <v/>
      </c>
      <c r="EK14" s="538">
        <f>EH14-EJ14</f>
        <v/>
      </c>
      <c r="EL14" s="538">
        <f>IF(BD14="Semi-Annually",EK14,0)</f>
        <v/>
      </c>
      <c r="EM14" s="539">
        <f>EL14*EL$6</f>
        <v/>
      </c>
      <c r="EN14" s="538">
        <f>EK14-EM14</f>
        <v/>
      </c>
      <c r="EO14" s="538">
        <f>IF(BK14="Yes",EN14,0)</f>
        <v/>
      </c>
      <c r="EP14" s="539">
        <f>EO14*EO$6</f>
        <v/>
      </c>
      <c r="EQ14" s="538">
        <f>EN14-EP14</f>
        <v/>
      </c>
      <c r="ER14" s="538">
        <f>IF(BL14="Yes",EQ14,0)</f>
        <v/>
      </c>
      <c r="ES14" s="539">
        <f>ER14*ER$6</f>
        <v/>
      </c>
      <c r="ET14" s="538">
        <f>EQ14-ES14</f>
        <v/>
      </c>
      <c r="EU14" s="538">
        <f>IF(BM14="Yes",ET14,0)</f>
        <v/>
      </c>
      <c r="EV14" s="539">
        <f>EU14*EU$6</f>
        <v/>
      </c>
      <c r="EW14" s="538">
        <f>ET14-EV14</f>
        <v/>
      </c>
      <c r="EX14" s="538">
        <f>IF(BV14="Yes",EW14,0)</f>
        <v/>
      </c>
      <c r="EY14" s="539">
        <f>EX14*EX$6</f>
        <v/>
      </c>
      <c r="EZ14" s="538">
        <f>EW14-EY14</f>
        <v/>
      </c>
      <c r="FA14" s="538">
        <f>IF(AR14="Yes",EZ14,0)</f>
        <v/>
      </c>
      <c r="FB14" s="539">
        <f>FA14*FA$6</f>
        <v/>
      </c>
      <c r="FC14" s="538">
        <f>EZ14-FB14</f>
        <v/>
      </c>
      <c r="FD14" s="538">
        <f>IF(OR(BF14="EUR",BF14="AUD",BF14="CAD",BF14="GBP"),FC14,0)</f>
        <v/>
      </c>
      <c r="FE14" s="539">
        <f>FD14*FD$6</f>
        <v/>
      </c>
      <c r="FF14" s="538">
        <f>FC14-FE14</f>
        <v/>
      </c>
      <c r="FG14" s="538">
        <f>FF14</f>
        <v/>
      </c>
      <c r="FH14" s="538">
        <f>IF(FF14=0,0,VLOOKUP(C14,$GU$10:$GV$406,2,FALSE)*FF14)</f>
        <v/>
      </c>
      <c r="FI14" s="538">
        <f>FF14-FH14</f>
        <v/>
      </c>
      <c r="FJ14" s="538">
        <f>FI14</f>
        <v/>
      </c>
      <c r="FK14" s="538">
        <f>IF(OR(IB14="",FI14&lt;0.01),,VLOOKUP(IB14,$GL$10:$GM$406,2,FALSE)*FI14)</f>
        <v/>
      </c>
      <c r="FL14" s="538">
        <f>FI14-FK14</f>
        <v/>
      </c>
      <c r="FM14" s="538">
        <f>FL14</f>
        <v/>
      </c>
      <c r="FN14" s="538">
        <f>IF(FL14=0,0,VLOOKUP(C14,$HD$10:$HE$406,2,FALSE)*FL14)</f>
        <v/>
      </c>
      <c r="FO14" s="538">
        <f>FL14-FN14</f>
        <v/>
      </c>
      <c r="FP14" s="538">
        <f>IF(SUM(CY14:DC14)&gt;0,0,IF(AND(AL14&gt;=5000000,AL14&lt;7500000),FO14,0))</f>
        <v/>
      </c>
      <c r="FQ14" s="539">
        <f>IF(B14="",0,FP14*FP$6*(1-$U14))</f>
        <v/>
      </c>
      <c r="FR14" s="538">
        <f>FO14-FQ14</f>
        <v/>
      </c>
      <c r="FS14" s="538">
        <f>IF(SUM(CY14:DC14)&gt;0,0,IF(AL14&lt;15000000,FR14,0))</f>
        <v/>
      </c>
      <c r="FT14" s="539">
        <f>IF(B14="",0,FS14*FS$6*(1-$U14))</f>
        <v/>
      </c>
      <c r="FU14" s="538">
        <f>FR14-FT14</f>
        <v/>
      </c>
      <c r="FV14" s="538">
        <f>IF(SUM(CY14:DC14)&gt;0,0,IF(OR(AND(X14="No",AN14="Tier 1",AI14&gt;$AG$3),AND(X14="No",AN14="Tier 2",AI14&gt;$AH$3),AND(X14="No",AN14="Tier 3",AI14&gt;$AI$3)),FU14,0))</f>
        <v/>
      </c>
      <c r="FW14" s="538">
        <f>IF(SUM(CY14:DC14)&gt;0,0,IF(OR(AND(X14="No",AN14="Tier 1",AJ14&gt;$AG$4),AND(X14="No",AN14="Tier 2",AJ14&gt;$AH$4),AND(X14="No",AN14="Tier 3",AJ14&gt;$AI$4)),FU14,0))</f>
        <v/>
      </c>
      <c r="FX14" s="538">
        <f>IF(SUM(CY14:DC14)&gt;0,0,IF(OR(AND(X14="Yes",AN14="Tier 1",AJ14&gt;$AG$5),AND(X14="Yes",AN14="Tier 2",AJ14&gt;$AH$5),AND(X14="Yes",AN14="Tier 3",AJ14&gt;$AI$5)),FU14,0))</f>
        <v/>
      </c>
      <c r="FY14" s="538">
        <f>IF(SUM(FV14:FX14)&gt;0,FU14,0)</f>
        <v/>
      </c>
      <c r="FZ14" s="539">
        <f>IF(B14="",0,FY14*FV$6*(1-MIN(90%,T14)))</f>
        <v/>
      </c>
      <c r="GA14" s="538">
        <f>FU14-FZ14</f>
        <v/>
      </c>
      <c r="GB14" s="538">
        <f>IF(AND(N14="No",DI14=0),GA14,IF(AND(N14="No",DI14&lt;&gt;0,K14=0),0,IF(AND(N14="No",DI14&lt;&gt;0,K14&gt;0,J14&lt;&gt;K14),MAX(0,M14-(DH14-GA14)),DG14)))</f>
        <v/>
      </c>
      <c r="GC14" s="540">
        <f>+GB14*V14</f>
        <v/>
      </c>
      <c r="GD14" s="138">
        <f>IFERROR(GC14/K14,"")</f>
        <v/>
      </c>
      <c r="GE14" s="541">
        <f>IF(IB14="","",IB14)</f>
        <v/>
      </c>
      <c r="GF14" s="538">
        <f t="array" ref="GF14">IF(SUM(IF(IB$9:IB13=IB14,1,0))&gt;0,0,SUMIF($IB$10:$IB$406,IB14,$FI$10:$FI$406))</f>
        <v/>
      </c>
      <c r="GG14" s="270">
        <f>GF14</f>
        <v/>
      </c>
      <c r="GH14" s="137">
        <f>GH13+1</f>
        <v/>
      </c>
      <c r="GI14" s="542">
        <f>LARGE($GG$10:$GG$406,GH14)</f>
        <v/>
      </c>
      <c r="GJ14" s="542">
        <f>IF(GH14&gt;GH$6,0,IF(GH14=$GH$2,$GJ$2,IF(GH14&lt;4,$GJ$3,$GJ$4)))</f>
        <v/>
      </c>
      <c r="GK14" s="489">
        <f>MAX(0,GI14-GJ14)</f>
        <v/>
      </c>
      <c r="GL14" s="137">
        <f t="array" ref="GL14">IF(GI14=0,0,LARGE(IF($GF$10:$GF$406=GI14,$GE$10:$GE$406,0),COUNTIF($GI$10:$GI$406,GI14)-COUNTIF(GI$9:GI13,GI14)))</f>
        <v/>
      </c>
      <c r="GM14" s="272">
        <f>IF(GI14=0,0,GK14/GI14)</f>
        <v/>
      </c>
      <c r="GO14" s="137">
        <f>IF(C14="","",IF(ISERROR(MATCH(C14,C$10:C13,0)),MAX(GO$10:GO13)+1,INDEX(GO$10:GO13,MATCH(C14,C$10:C13,0))))</f>
        <v/>
      </c>
      <c r="GP14" s="538">
        <f>IF(COUNTIF($A$10:A14,A14)&lt;=1,SUMIF($A$10:$A$406,A14,$FG$10:$FG$406),0)</f>
        <v/>
      </c>
      <c r="GQ14" s="137">
        <f>GQ13+1</f>
        <v/>
      </c>
      <c r="GR14" s="542">
        <f>LARGE($GP$10:$GP$406,GQ14)</f>
        <v/>
      </c>
      <c r="GS14" s="542">
        <f>IF(GQ14&gt;GQ$6,0,IF(GQ14&lt;=GQ$2,GS$2,IF(AND(GQ14&lt;=$GQ$3,GQ14&gt;$GQ$2),GS$3,GS$4)))</f>
        <v/>
      </c>
      <c r="GT14" s="489">
        <f>MAX(0,GR14-GS14)</f>
        <v/>
      </c>
      <c r="GU14" s="137">
        <f t="array" ref="GU14">IF(GR14=0,0,LARGE(IF($GP$10:$GP$406=GR14,$GO$10:$GO$406,0),COUNTIF($GR$10:$GR$406,GR14)-COUNTIF(GR$9:GR13,GR14)))</f>
        <v/>
      </c>
      <c r="GV14" s="272">
        <f>IF(GR14=0,0,GT14/GR14)</f>
        <v/>
      </c>
      <c r="GW14" s="272" t="n"/>
      <c r="GX14" s="137">
        <f>IF(C14="","",IF(ISERROR(MATCH(C14,C$10:C13,0)),MAX(GO$10:GO13)+1,INDEX(GO$10:GO13,MATCH(C14,C$10:C13,0))))</f>
        <v/>
      </c>
      <c r="GY14" s="538">
        <f>IF(COUNTIF($A$10:A14,A14)&lt;=1,SUMIF($A$10:$A$406,A14,$FG$10:$FG$406),0)</f>
        <v/>
      </c>
      <c r="GZ14" s="137">
        <f>GZ13+1</f>
        <v/>
      </c>
      <c r="HA14" s="542">
        <f>LARGE($GY$10:$GY$406,GZ14)</f>
        <v/>
      </c>
      <c r="HB14" s="543" t="inlineStr">
        <is>
          <t>-</t>
        </is>
      </c>
      <c r="HC14" s="489">
        <f>IF(GZ14&lt;6,MAX(0,$HC$2/5),0)</f>
        <v/>
      </c>
      <c r="HD14" s="137">
        <f t="array" ref="HD14">IF(HA14=0,0,LARGE(IF($GY$10:$GY$406=HA14,$GX$10:$GX$406,0),COUNTIF($HA$10:$HA$406,HA14)-COUNTIF(HA$9:HA13,HA14)))</f>
        <v/>
      </c>
      <c r="HE14" s="272">
        <f>IF(HA14=0,0,HC14/HA14)</f>
        <v/>
      </c>
      <c r="HG14" s="270">
        <f>DG14-GA14</f>
        <v/>
      </c>
      <c r="HH14" s="544" t="n">
        <v>0</v>
      </c>
      <c r="HI14" s="538">
        <f>MIN(HH14,DE14)</f>
        <v/>
      </c>
      <c r="HK14" s="137">
        <f>IF(COUNTIF($C$10:$C$406,HK13+1),HK13+1,"")</f>
        <v/>
      </c>
      <c r="HL14" s="538">
        <f>SUMIF($C$10:$C$406,HK14,$DG$10:$DG$406)</f>
        <v/>
      </c>
      <c r="HN14" s="521">
        <f>MIN(HO14:HS14)</f>
        <v/>
      </c>
      <c r="HO14" s="521">
        <f>IF(B14="","",$M14)</f>
        <v/>
      </c>
      <c r="HP14" s="521">
        <f>IF($N14="Yes",IF(P14&gt;=6,0,MIN($T14*$M14,$U14*$M14)),"")</f>
        <v/>
      </c>
      <c r="HQ14" s="521">
        <f>IF(AND(N14="Yes",P14&gt;=6),"",IF($S14="Yes",$R14*$M14,""))</f>
        <v/>
      </c>
      <c r="HR14" s="521">
        <f>IF($Q14="Yes",MIN($M14,$T14*$M14),"")</f>
        <v/>
      </c>
      <c r="HS14" s="521">
        <f>IF(AND($N14="Yes",$P14&gt;=6),"",IF(OR(CY14=1,DC14=1,),MIN($T14*$M14,$U14*$M14),IF(OR(CZ14=1,DA14=1,DB14=1),IF(AK14&gt;=5000000,MIN($T14*$M14,$IE14*$M14),MIN($T14*$M14,$U14*$M14)),"")))</f>
        <v/>
      </c>
      <c r="HT14" s="521">
        <f>IF(DD14&gt;0,DD14,"")</f>
        <v/>
      </c>
      <c r="HU14" s="522">
        <f>IF(B14="",0,$L14-$M14)</f>
        <v/>
      </c>
      <c r="HV14" s="274">
        <f>IF(OR(SUM(HP14:HT14)&gt;0,P14&gt;=6),"",IF($B14="","",1))</f>
        <v/>
      </c>
      <c r="HW14" s="522">
        <f>IF(AND($HT14&lt;&gt;0,OR(HT14&lt;=MIN(HP14:HS14),SUM(HP14:HS14)=0)),$HT14,0)</f>
        <v/>
      </c>
      <c r="HX14" s="522">
        <f>IF(AND($HS14&lt;&gt;0,OR(AND($HS14&lt;&gt;$HT14,$HS14&lt;&gt;$HR14,$HS14&lt;&gt;$HQ14,$HS14&lt;&gt;$HP14,$HS14&lt;MIN($HP14:$HR14),$HS14&lt;HT14),SUM($HP14:$HR14)+SUM(HT14)=0),IA14&lt;=0),$HS14,0)</f>
        <v/>
      </c>
      <c r="HY14" s="522">
        <f>IF(AND($HR14&lt;&gt;0,OR(AND($HR14&lt;&gt;$HT14,$HR14&lt;&gt;$HS14,$HR14&lt;&gt;$HQ14,$HR14&lt;&gt;$HP14),$HR14&lt;MIN($HP14:$HQ14),$HR14&lt;MIN($HS14:$HT14),SUM($HP14:$HQ14)+SUM($HS14:$HT14)=0)),$HR14,0)</f>
        <v/>
      </c>
      <c r="HZ14" s="522">
        <f>IF(AND($HQ14&lt;&gt;0,OR(AND($HQ14&lt;&gt;$HT14,HQ14&lt;&gt;HS14,HQ14&lt;&gt;HR14,HQ14&lt;&gt;HP14,HQ14&lt;MIN(HR14:HT14)),SUM(HP14)+SUM(HR14:HT14)=0)),$HQ14,0)</f>
        <v/>
      </c>
      <c r="IA14" s="522">
        <f>IF(AND($HP14&lt;&gt;0,OR(HP14&lt;=MIN(HQ14:HT14),SUM(HQ14:HT14)=0)),$HP14,0)</f>
        <v/>
      </c>
      <c r="IB14" s="545" t="n">
        <v>12</v>
      </c>
      <c r="IC14">
        <f>HU14=DF14</f>
        <v/>
      </c>
      <c r="IE14" s="351" t="n"/>
    </row>
    <row r="15">
      <c r="A15">
        <f>D15</f>
        <v/>
      </c>
      <c r="B15" s="242">
        <f>IF(D15="","",B14+1)</f>
        <v/>
      </c>
      <c r="C15" s="242">
        <f>IF(COUNTIF($A$10:A14,A15)&gt;0,C14,C14+1)</f>
        <v/>
      </c>
      <c r="D15" s="243" t="inlineStr">
        <is>
          <t>Harborview Holdings, LLC</t>
        </is>
      </c>
      <c r="E15" s="243" t="inlineStr">
        <is>
          <t>Harborview (Term Loan)</t>
        </is>
      </c>
      <c r="F15" s="244" t="n"/>
      <c r="G15" s="528" t="n">
        <v>4247877.11</v>
      </c>
      <c r="H15" s="528" t="n">
        <v>4247877.11</v>
      </c>
      <c r="I15" s="246" t="n">
        <v>1</v>
      </c>
      <c r="J15" s="529">
        <f>IF(B15="","",G15*I15)</f>
        <v/>
      </c>
      <c r="K15" s="529">
        <f>IF(B15="","",H15*I15)</f>
        <v/>
      </c>
      <c r="L15" s="529">
        <f>IF(B15="","",IF(COUNTIF($CE15:$CX15,1)&gt;0,0,J15))</f>
        <v/>
      </c>
      <c r="M15" s="529">
        <f>IF(B15="","",IF(COUNTIF($CE15:$CX15,1)&gt;0,0,K15))</f>
        <v/>
      </c>
      <c r="N15" s="248" t="inlineStr">
        <is>
          <t>No</t>
        </is>
      </c>
      <c r="O15" s="248" t="inlineStr">
        <is>
          <t>N/A</t>
        </is>
      </c>
      <c r="P15" s="249">
        <f>IF(B15="","",IF(OR(O15="N/A",O15=""),0,YEARFRAC('Borrowing Base'!$J$4,'Loan List'!O15)*12))</f>
        <v/>
      </c>
      <c r="Q15" s="248" t="inlineStr">
        <is>
          <t>No</t>
        </is>
      </c>
      <c r="R15" s="250" t="n">
        <v>0.9901553000000001</v>
      </c>
      <c r="S15" s="251">
        <f>IF(B15="","",IF(R15&lt;95%,"Yes","No"))</f>
        <v/>
      </c>
      <c r="T15" s="250" t="n">
        <v>0.9769999984768861</v>
      </c>
      <c r="U15" s="252">
        <f>IF(B15="","",IF(OR(Y15="First Lien",Y15="Split First Lien",Y15="Tier 1 Split Lien",Y15="Tier 2 Split Lien"),50%,30%))</f>
        <v/>
      </c>
      <c r="V15" s="252">
        <f>IF(B15="",0,IF(AND(Y15="First Lien",AN15="Tier 1"),IF(AND(X15="Yes",MIN(AH15,$AJ$5)&gt;4.5),(((4.5/MIN(AH15,$AJ$5))*72.5%)+(((MIN(AH15,$AJ$5)-4.5)/MIN(AH15,$AJ$5))*35%)),72.5%),IF(AND(Y15="First Lien",AN15="Tier 2"),IF(AND(X15="Yes",MIN(AH15,$AK$5)&gt;4.5),(((4.5/MIN(AH15,$AK$5))*72.5%)+(((MIN(AH15,$AK$5)-4.5)/MIN(AH15,$AK$5))*35%)),72.5%),IF(AND(X15="Yes",MIN(AH15,$AL$5)&gt;4),(((4/MIN(AH15,$AL$5))*72.5%)+(((MIN(AH15,$AL$5)-4)/MIN(AH15,$AL$5))*35%)),IF(OR(Y15="First Lien",Y15="Split First Lien"),72.5%,IF(Y15="Split Lien", 53%,35%))))))</f>
        <v/>
      </c>
      <c r="W15" s="530">
        <f>IF($C15="","",MIN($HO15:$HS15))</f>
        <v/>
      </c>
      <c r="X15" s="248" t="inlineStr">
        <is>
          <t>No</t>
        </is>
      </c>
      <c r="Y15" s="254" t="inlineStr">
        <is>
          <t>First Lien</t>
        </is>
      </c>
      <c r="Z15" s="254" t="inlineStr">
        <is>
          <t>Term</t>
        </is>
      </c>
      <c r="AA15" s="531" t="inlineStr">
        <is>
          <t>NR</t>
        </is>
      </c>
      <c r="AB15" s="531" t="inlineStr">
        <is>
          <t xml:space="preserve"> NR</t>
        </is>
      </c>
      <c r="AC15" s="532" t="n">
        <v>2.030902202054435</v>
      </c>
      <c r="AD15" s="532" t="n">
        <v>2.308021452498147</v>
      </c>
      <c r="AE15" s="532" t="n">
        <v>3.238424636075153</v>
      </c>
      <c r="AF15" s="257" t="n">
        <v>0.3283824913769764</v>
      </c>
      <c r="AG15" s="533" t="n">
        <v>2.308021452498147</v>
      </c>
      <c r="AH15" s="533" t="n">
        <v>2.308021452498147</v>
      </c>
      <c r="AI15" s="533" t="n">
        <v>3.238424636075153</v>
      </c>
      <c r="AJ15" s="533" t="n">
        <v>3.238424636075153</v>
      </c>
      <c r="AK15" s="534" t="n">
        <v>7235634.6523228</v>
      </c>
      <c r="AL15" s="534" t="n">
        <v>13442170.5588179</v>
      </c>
      <c r="AM15" s="260" t="n">
        <v>45838</v>
      </c>
      <c r="AN15" s="529">
        <f>IF(C15="","",(IF(AK15&gt;=50000000,"Tier 1",(IF(OR(AK15&gt;=20000000,AND(AK15&gt;5000000,AC15&gt;=1.25,AF15&lt;=0.65)),"Tier 2","Tier 3")))))</f>
        <v/>
      </c>
      <c r="AO15" s="244" t="n">
        <v>47295</v>
      </c>
      <c r="AP15" s="535" t="n">
        <v>3.905555555555555</v>
      </c>
      <c r="AQ15" s="535">
        <f>IF(C15="","",AP15)</f>
        <v/>
      </c>
      <c r="AR15" s="248" t="inlineStr">
        <is>
          <t>No</t>
        </is>
      </c>
      <c r="AS15" s="250" t="n">
        <v>0</v>
      </c>
      <c r="AT15" s="248" t="inlineStr">
        <is>
          <t>Yes</t>
        </is>
      </c>
      <c r="AU15" s="250" t="n">
        <v>0.01</v>
      </c>
      <c r="AV15" s="250" t="n">
        <v>0.0575</v>
      </c>
      <c r="AW15" s="250" t="n">
        <v>0.043507</v>
      </c>
      <c r="AX15" s="262">
        <f>IF(C15="","",MAX(AU15,AW15))</f>
        <v/>
      </c>
      <c r="AY15" s="250" t="n">
        <v>0</v>
      </c>
      <c r="AZ15" s="250" t="n">
        <v>0</v>
      </c>
      <c r="BA15" s="250" t="n">
        <v>0</v>
      </c>
      <c r="BB15" s="412">
        <f>IF(B15="","",IF(AR15="No",AV15-AZ15,""))</f>
        <v/>
      </c>
      <c r="BC15" s="412">
        <f>IF(B15="","",IF(AR15="Yes",AS15-BA15,""))</f>
        <v/>
      </c>
      <c r="BD15" s="254" t="inlineStr">
        <is>
          <t>Quarterly</t>
        </is>
      </c>
      <c r="BE15" s="536" t="inlineStr">
        <is>
          <t>Diversified Consumer Services</t>
        </is>
      </c>
      <c r="BF15" s="254" t="inlineStr">
        <is>
          <t>USD</t>
        </is>
      </c>
      <c r="BG15" s="254" t="inlineStr">
        <is>
          <t>United States</t>
        </is>
      </c>
      <c r="BH15" s="248" t="inlineStr">
        <is>
          <t>No</t>
        </is>
      </c>
      <c r="BI15" s="413">
        <f>IF(B15="","",IF(OR(AND(AZ15&gt;0,BB15&gt;=2.5%,BB15&lt;4%),AND(BA15&gt;0,BC15&gt;=6%,BC15&lt;8%)),"Yes","No"))</f>
        <v/>
      </c>
      <c r="BJ15" s="413">
        <f>IF(B15="","",IF(OR(AND(AZ15&gt;0,BB15&lt;2.5%),AND(BA15&gt;0,BC15&lt;6%)),"Yes","No"))</f>
        <v/>
      </c>
      <c r="BK15" s="248" t="inlineStr">
        <is>
          <t>No</t>
        </is>
      </c>
      <c r="BL15" s="248" t="inlineStr">
        <is>
          <t>No</t>
        </is>
      </c>
      <c r="BM15" s="248" t="inlineStr">
        <is>
          <t>No</t>
        </is>
      </c>
      <c r="BN15" s="248" t="inlineStr">
        <is>
          <t>No</t>
        </is>
      </c>
      <c r="BO15" s="248" t="inlineStr">
        <is>
          <t>No</t>
        </is>
      </c>
      <c r="BP15" s="248" t="inlineStr">
        <is>
          <t>No</t>
        </is>
      </c>
      <c r="BQ15" s="248" t="inlineStr">
        <is>
          <t>No</t>
        </is>
      </c>
      <c r="BR15" s="248" t="inlineStr">
        <is>
          <t>No</t>
        </is>
      </c>
      <c r="BS15" s="248" t="inlineStr">
        <is>
          <t>No</t>
        </is>
      </c>
      <c r="BT15" s="248" t="inlineStr">
        <is>
          <t>No</t>
        </is>
      </c>
      <c r="BU15" s="248" t="inlineStr">
        <is>
          <t>No</t>
        </is>
      </c>
      <c r="BV15" s="248" t="inlineStr">
        <is>
          <t>No</t>
        </is>
      </c>
      <c r="BW15" s="248" t="inlineStr">
        <is>
          <t>No</t>
        </is>
      </c>
      <c r="BX15" s="248" t="inlineStr">
        <is>
          <t>No</t>
        </is>
      </c>
      <c r="BY15" s="248" t="inlineStr">
        <is>
          <t>No</t>
        </is>
      </c>
      <c r="BZ15" s="248" t="inlineStr">
        <is>
          <t>No</t>
        </is>
      </c>
      <c r="CA15" s="248" t="inlineStr">
        <is>
          <t>Yes</t>
        </is>
      </c>
      <c r="CB15" s="537">
        <f>IF(B15="","",IF(AT15="No",((BB15+AW15)-$AZ$4),((BB15+AX15)-$AZ$4))*IF(DD15&gt;0,0,M15))</f>
        <v/>
      </c>
      <c r="CC15" s="537">
        <f>IF(B15="","",AY15*(L15-M15)*IF(DD15&gt;0,0,1))</f>
        <v/>
      </c>
      <c r="CD15" s="265" t="n"/>
      <c r="CE15" s="265">
        <f>IF(AND(B15&lt;&gt;"",R15&lt;=85%),1,0)</f>
        <v/>
      </c>
      <c r="CF15" s="265">
        <f>IF(B15="",0,(IF(OR(BF15="USD",BF15="CAD",BF15="GBP",BF15="AUD",BF15="EUR"),0,1)))</f>
        <v/>
      </c>
      <c r="CG15" s="265">
        <f>IF(B15="",0,(IF(OR(BG15="United States",BG15="Canada",BG15="United Kingdom",BG15="Australia",BG15="Netherlands Antilles",BG15="Bermuda",BG15="Cayman Islands",BG15="British Virgin Islands",BG15="Channel Islands",BG15="Isle of Man",BG15="Australia",BG15="Netherlands",BG15="Germany",BG15="Sweden",BG15="Switzerland",BG15="Austria",BG15="Belgium",BG15="Denmark",BG15="Finland",BG15="Iceland",BG15="Ireland",BG15="Lichtenstein",BG15="Luxemborg",BG15="Norway"),0,1)))</f>
        <v/>
      </c>
      <c r="CH15" s="265">
        <f>IF(BN15="Yes",1,0)</f>
        <v/>
      </c>
      <c r="CI15" s="265">
        <f>IF(BO15="Yes",1,0)</f>
        <v/>
      </c>
      <c r="CJ15" s="265">
        <f>IF(BP15="Yes",1,0)</f>
        <v/>
      </c>
      <c r="CK15" s="265">
        <f>IF(BQ15="Yes",1,0)</f>
        <v/>
      </c>
      <c r="CL15" s="265">
        <f>IF(BR15="Yes",1,0)</f>
        <v/>
      </c>
      <c r="CM15" s="265">
        <f>IF(BS15="Yes",1,0)</f>
        <v/>
      </c>
      <c r="CN15" s="265">
        <f>IF(OR(AND(BJ15="Yes",N15="No"),AND(BJ15="Yes",N15="Yes",P15&gt;=6)),1,0)</f>
        <v/>
      </c>
      <c r="CO15" s="265">
        <f>IF(BT15="Yes",1,0)</f>
        <v/>
      </c>
      <c r="CP15" s="265">
        <f>IF(AND(BU15="Yes",BV15="No"),1,0)</f>
        <v/>
      </c>
      <c r="CQ15" s="265">
        <f>IF(BW15="Yes",1,0)</f>
        <v/>
      </c>
      <c r="CR15" s="265">
        <f>IF(AP15="",0,IF(AP15&gt;7,1,0))</f>
        <v/>
      </c>
      <c r="CS15" s="265">
        <f>IF(OR(BD15&lt;&gt;"Monthly",BD15&lt;&gt;"Quarterly",BD15&lt;&gt;"Semi-Annually"),0,1)</f>
        <v/>
      </c>
      <c r="CT15" s="265">
        <f>IF(BX15="Yes",1,0)</f>
        <v/>
      </c>
      <c r="CU15" s="265">
        <f>IF(BY15="Yes",1,0)</f>
        <v/>
      </c>
      <c r="CV15" s="265">
        <f>IF(BZ15="Yes",1,0)</f>
        <v/>
      </c>
      <c r="CW15" s="265">
        <f>IF(CA15="No",1,0)</f>
        <v/>
      </c>
      <c r="CX15" s="265">
        <f>IF(B15="",0,IF(AK15&gt;=5000000,0,1))</f>
        <v/>
      </c>
      <c r="CY15" s="265">
        <f>IF(B15="",0,IF(AL15&gt;=5000000,0,1))</f>
        <v/>
      </c>
      <c r="CZ15" s="265">
        <f>IF(OR(DA15=1,DB15=1,DC15=1),0,IF(B15="",0,IF(OR(AND(AN15="Tier 1",X15="No",OR(AI15&gt;$AJ$3,AJ15&gt;$AJ$4)),(AND(AN15="Tier 1",X15="Yes",AJ15&gt;$AJ$5)),(AND(AN15="Tier 2",X15="No",OR(AI15&gt;$AK$3,AJ15&gt;$AK$4))),(AND(AN15="Tier 2",X15="Yes",AJ15&gt;$AK$5)),(AND(AN15="Tier 3",X15="No",OR(AI15&gt;$AL$3,AJ15&gt;$AL$4))),(AND(AN15="Tier 3",X15="Yes",AJ15&gt;$AL$5))),1,0)))</f>
        <v/>
      </c>
      <c r="DA15" s="265">
        <f>IF(OR(DB15=1,DC15=1),0,IF(B15="",0,IF(OR(AND(AN15="Tier 1",X15="No",OR(AI15&gt;$AM$3,AJ15&gt;$AM$4)),(AND(AN15="Tier 1",X15="Yes",AJ15&gt;$AM$5)),(AND(AN15="Tier 2",X15="No",OR(AI15&gt;$AN$3,AJ15&gt;$AN$4))),(AND(AN15="Tier 2",X15="Yes",AJ15&gt;$AN$5)),(AND(AN15="Tier 3",X15="No",OR(AI15&gt;$AO$3,AJ15&gt;$AO$4))),(AND(AN15="Tier 3",X15="Yes",AJ15&gt;$AO$5))),1,0)))</f>
        <v/>
      </c>
      <c r="DB15" s="265">
        <f>IF(DC15=1,0,IF(B15="",0,IF(OR(AND(AN15="Tier 1",X15="No",OR(AI15&gt;$AP$3,AJ15&gt;$AP$4)),(AND(AN15="Tier 1",X15="Yes",AJ15&gt;$AP$5)),(AND(AN15="Tier 2",X15="No",OR(AI15&gt;$AQ$3,AJ15&gt;$AQ$4))),(AND(AN15="Tier 2",X15="Yes",AJ15&gt;$AQ$5)),(AND(AN15="Tier 3",X15="No",OR(AI15&gt;$AR$3,AJ15&gt;$AR$4))),(AND(AN15="Tier 3",X15="Yes",AJ15&gt;$AR$5))),1,0)))</f>
        <v/>
      </c>
      <c r="DC15" s="265">
        <f>IF(B15="",0,IF(OR(AND(AN15="Tier 1",X15="No",OR(AI15&gt;$AS$3,AJ15&gt;$AS$4)),(AND(AN15="Tier 1",X15="Yes",AJ15&gt;$AS$5)),(AND(AN15="Tier 2",X15="No",OR(AI15&gt;$AT$3,AJ15&gt;$AT$4))),(AND(AN15="Tier 2",X15="Yes",AJ15&gt;$AT$5)),(AND(AN15="Tier 3",X15="No",OR(AI15&gt;$AU$3,AJ15&gt;$AU$4))),(AND(AN15="Tier 3",X15="Yes",AJ15&gt;$AU$5))),1,0))</f>
        <v/>
      </c>
      <c r="DD15" s="265">
        <f>IF((SUM(CE15:CX15)=0),0,W15)</f>
        <v/>
      </c>
      <c r="DE15" s="265">
        <f>IF(OR(B15="",DD15&gt;0),0,W15)</f>
        <v/>
      </c>
      <c r="DF15" s="265">
        <f>IF(B15="",0,IF(COUNTIF(CE15:CX15,1)&gt;0,0,L15-M15))</f>
        <v/>
      </c>
      <c r="DG15" s="265">
        <f>DE15+IF(DD15&gt;0,0,DF15)</f>
        <v/>
      </c>
      <c r="DH15" s="265">
        <f>IF(B15="","",M15+DF15)</f>
        <v/>
      </c>
      <c r="DI15" s="265">
        <f>IF(B15="",0,J15-K15)</f>
        <v/>
      </c>
      <c r="DJ15" s="265">
        <f>IF(OR(BF15="EUR",BF15="CAD",BF15="GBP",BF15="AUD"),(GA15*(1-V15))+(HG15)+IF(HX15="",0,HX15*(1-U15)),0)</f>
        <v/>
      </c>
      <c r="DK15" s="265">
        <f>IF(BF15="EUR",33%,IF(BF15="CAD",38%,IF(BF15="GBP",51%,IF(BF15="AUD",61%,0))))</f>
        <v/>
      </c>
      <c r="DL15" s="265">
        <f>DJ15*DK15</f>
        <v/>
      </c>
      <c r="DN15" s="538">
        <f>IF(OR(Y15="Second Lien",Y15="Tier 1 Split Lien",Y15="Tier 2 Split Lien"),DG15,0)</f>
        <v/>
      </c>
      <c r="DO15" s="539">
        <f>DN15*DN$6</f>
        <v/>
      </c>
      <c r="DP15" s="538">
        <f>DG15-DO15</f>
        <v/>
      </c>
      <c r="DQ15" s="538">
        <f>IF(Y15="Second Lien",DP15,0)</f>
        <v/>
      </c>
      <c r="DR15" s="539">
        <f>DQ15*DQ$6</f>
        <v/>
      </c>
      <c r="DS15" s="538">
        <f>DP15-DR15</f>
        <v/>
      </c>
      <c r="DT15" s="538">
        <f>IF(BH15="Yes",DS15,0)</f>
        <v/>
      </c>
      <c r="DU15" s="539">
        <f>DT15*DT$6</f>
        <v/>
      </c>
      <c r="DV15" s="538">
        <f>DS15-DU15</f>
        <v/>
      </c>
      <c r="DW15" s="538">
        <f>IF(OR(BG15="Canada",BG15="United Kingdom",BG15="Australia",BG15="Netherlands Antilles",BG15="Bermuda",BG15="Cayman Islands",BG15="British Virgin Islands",BG15="Channel Islands",BG15="Isle of Man",BG15="Australia",BG15="Netherlands",BG15="Germany",BG15="Sweden",BG15="Switzerland",BG15="Austria",BG15="Belgium",BG15="Denmark",BG15="Finland",BG15="Iceland",BG15="Ireland",BG15="Lichtenstein",BG15="Luxemborg",BG15="Norway"),DV15,0)</f>
        <v/>
      </c>
      <c r="DX15" s="539">
        <f>DW15*DW$6</f>
        <v/>
      </c>
      <c r="DY15" s="538">
        <f>DV15-DX15</f>
        <v/>
      </c>
      <c r="DZ15" s="538">
        <f>IF(BI15="Yes",DY15,0)</f>
        <v/>
      </c>
      <c r="EA15" s="539">
        <f>DZ15*DZ$6</f>
        <v/>
      </c>
      <c r="EB15" s="538">
        <f>DY15-EA15</f>
        <v/>
      </c>
      <c r="EC15" s="538">
        <f>IF(OR(Z15="Delayed Draw",Z15="Revolver"),EB15,0)</f>
        <v/>
      </c>
      <c r="ED15" s="539">
        <f>EC15*EC$6</f>
        <v/>
      </c>
      <c r="EE15" s="538">
        <f>EB15-ED15</f>
        <v/>
      </c>
      <c r="EF15" s="538">
        <f>IF(S15="Yes",EE15,0)</f>
        <v/>
      </c>
      <c r="EG15" s="539">
        <f>EF15*EF$6</f>
        <v/>
      </c>
      <c r="EH15" s="538">
        <f>EE15-EG15</f>
        <v/>
      </c>
      <c r="EI15" s="538">
        <f>IF(Q15="Yes",EH15,0)</f>
        <v/>
      </c>
      <c r="EJ15" s="539">
        <f>EI15*EI$6</f>
        <v/>
      </c>
      <c r="EK15" s="538">
        <f>EH15-EJ15</f>
        <v/>
      </c>
      <c r="EL15" s="538">
        <f>IF(BD15="Semi-Annually",EK15,0)</f>
        <v/>
      </c>
      <c r="EM15" s="539">
        <f>EL15*EL$6</f>
        <v/>
      </c>
      <c r="EN15" s="538">
        <f>EK15-EM15</f>
        <v/>
      </c>
      <c r="EO15" s="538">
        <f>IF(BK15="Yes",EN15,0)</f>
        <v/>
      </c>
      <c r="EP15" s="539">
        <f>EO15*EO$6</f>
        <v/>
      </c>
      <c r="EQ15" s="538">
        <f>EN15-EP15</f>
        <v/>
      </c>
      <c r="ER15" s="538">
        <f>IF(BL15="Yes",EQ15,0)</f>
        <v/>
      </c>
      <c r="ES15" s="539">
        <f>ER15*ER$6</f>
        <v/>
      </c>
      <c r="ET15" s="538">
        <f>EQ15-ES15</f>
        <v/>
      </c>
      <c r="EU15" s="538">
        <f>IF(BM15="Yes",ET15,0)</f>
        <v/>
      </c>
      <c r="EV15" s="539">
        <f>EU15*EU$6</f>
        <v/>
      </c>
      <c r="EW15" s="538">
        <f>ET15-EV15</f>
        <v/>
      </c>
      <c r="EX15" s="538">
        <f>IF(BV15="Yes",EW15,0)</f>
        <v/>
      </c>
      <c r="EY15" s="539">
        <f>EX15*EX$6</f>
        <v/>
      </c>
      <c r="EZ15" s="538">
        <f>EW15-EY15</f>
        <v/>
      </c>
      <c r="FA15" s="538">
        <f>IF(AR15="Yes",EZ15,0)</f>
        <v/>
      </c>
      <c r="FB15" s="539">
        <f>FA15*FA$6</f>
        <v/>
      </c>
      <c r="FC15" s="538">
        <f>EZ15-FB15</f>
        <v/>
      </c>
      <c r="FD15" s="538">
        <f>IF(OR(BF15="EUR",BF15="AUD",BF15="CAD",BF15="GBP"),FC15,0)</f>
        <v/>
      </c>
      <c r="FE15" s="539">
        <f>FD15*FD$6</f>
        <v/>
      </c>
      <c r="FF15" s="538">
        <f>FC15-FE15</f>
        <v/>
      </c>
      <c r="FG15" s="538">
        <f>FF15</f>
        <v/>
      </c>
      <c r="FH15" s="538">
        <f>IF(FF15=0,0,VLOOKUP(C15,$GU$10:$GV$406,2,FALSE)*FF15)</f>
        <v/>
      </c>
      <c r="FI15" s="538">
        <f>FF15-FH15</f>
        <v/>
      </c>
      <c r="FJ15" s="538">
        <f>FI15</f>
        <v/>
      </c>
      <c r="FK15" s="538">
        <f>IF(OR(IB15="",FI15&lt;0.01),,VLOOKUP(IB15,$GL$10:$GM$406,2,FALSE)*FI15)</f>
        <v/>
      </c>
      <c r="FL15" s="538">
        <f>FI15-FK15</f>
        <v/>
      </c>
      <c r="FM15" s="538">
        <f>FL15</f>
        <v/>
      </c>
      <c r="FN15" s="538">
        <f>IF(FL15=0,0,VLOOKUP(C15,$HD$10:$HE$406,2,FALSE)*FL15)</f>
        <v/>
      </c>
      <c r="FO15" s="538">
        <f>FL15-FN15</f>
        <v/>
      </c>
      <c r="FP15" s="538">
        <f>IF(SUM(CY15:DC15)&gt;0,0,IF(AND(AL15&gt;=5000000,AL15&lt;7500000),FO15,0))</f>
        <v/>
      </c>
      <c r="FQ15" s="539">
        <f>IF(B15="",0,FP15*FP$6*(1-$U15))</f>
        <v/>
      </c>
      <c r="FR15" s="538">
        <f>FO15-FQ15</f>
        <v/>
      </c>
      <c r="FS15" s="538">
        <f>IF(SUM(CY15:DC15)&gt;0,0,IF(AL15&lt;15000000,FR15,0))</f>
        <v/>
      </c>
      <c r="FT15" s="539">
        <f>IF(B15="",0,FS15*FS$6*(1-$U15))</f>
        <v/>
      </c>
      <c r="FU15" s="538">
        <f>FR15-FT15</f>
        <v/>
      </c>
      <c r="FV15" s="538">
        <f>IF(SUM(CY15:DC15)&gt;0,0,IF(OR(AND(X15="No",AN15="Tier 1",AI15&gt;$AG$3),AND(X15="No",AN15="Tier 2",AI15&gt;$AH$3),AND(X15="No",AN15="Tier 3",AI15&gt;$AI$3)),FU15,0))</f>
        <v/>
      </c>
      <c r="FW15" s="538">
        <f>IF(SUM(CY15:DC15)&gt;0,0,IF(OR(AND(X15="No",AN15="Tier 1",AJ15&gt;$AG$4),AND(X15="No",AN15="Tier 2",AJ15&gt;$AH$4),AND(X15="No",AN15="Tier 3",AJ15&gt;$AI$4)),FU15,0))</f>
        <v/>
      </c>
      <c r="FX15" s="538">
        <f>IF(SUM(CY15:DC15)&gt;0,0,IF(OR(AND(X15="Yes",AN15="Tier 1",AJ15&gt;$AG$5),AND(X15="Yes",AN15="Tier 2",AJ15&gt;$AH$5),AND(X15="Yes",AN15="Tier 3",AJ15&gt;$AI$5)),FU15,0))</f>
        <v/>
      </c>
      <c r="FY15" s="538">
        <f>IF(SUM(FV15:FX15)&gt;0,FU15,0)</f>
        <v/>
      </c>
      <c r="FZ15" s="539">
        <f>IF(B15="",0,FY15*FV$6*(1-MIN(90%,T15)))</f>
        <v/>
      </c>
      <c r="GA15" s="538">
        <f>FU15-FZ15</f>
        <v/>
      </c>
      <c r="GB15" s="538">
        <f>IF(AND(N15="No",DI15=0),GA15,IF(AND(N15="No",DI15&lt;&gt;0,K15=0),0,IF(AND(N15="No",DI15&lt;&gt;0,K15&gt;0,J15&lt;&gt;K15),MAX(0,M15-(DH15-GA15)),DG15)))</f>
        <v/>
      </c>
      <c r="GC15" s="540">
        <f>+GB15*V15</f>
        <v/>
      </c>
      <c r="GD15" s="138">
        <f>IFERROR(GC15/K15,"")</f>
        <v/>
      </c>
      <c r="GE15" s="541">
        <f>IF(IB15="","",IB15)</f>
        <v/>
      </c>
      <c r="GF15" s="538">
        <f t="array" ref="GF15">IF(SUM(IF(IB$9:IB14=IB15,1,0))&gt;0,0,SUMIF($IB$10:$IB$406,IB15,$FI$10:$FI$406))</f>
        <v/>
      </c>
      <c r="GG15" s="270">
        <f>GF15</f>
        <v/>
      </c>
      <c r="GH15" s="137">
        <f>GH14+1</f>
        <v/>
      </c>
      <c r="GI15" s="542">
        <f>LARGE($GG$10:$GG$406,GH15)</f>
        <v/>
      </c>
      <c r="GJ15" s="542">
        <f>IF(GH15&gt;GH$6,0,IF(GH15=$GH$2,$GJ$2,IF(GH15&lt;4,$GJ$3,$GJ$4)))</f>
        <v/>
      </c>
      <c r="GK15" s="489">
        <f>MAX(0,GI15-GJ15)</f>
        <v/>
      </c>
      <c r="GL15" s="137">
        <f t="array" ref="GL15">IF(GI15=0,0,LARGE(IF($GF$10:$GF$406=GI15,$GE$10:$GE$406,0),COUNTIF($GI$10:$GI$406,GI15)-COUNTIF(GI$9:GI14,GI15)))</f>
        <v/>
      </c>
      <c r="GM15" s="272">
        <f>IF(GI15=0,0,GK15/GI15)</f>
        <v/>
      </c>
      <c r="GO15" s="137">
        <f>IF(C15="","",IF(ISERROR(MATCH(C15,C$10:C14,0)),MAX(GO$10:GO14)+1,INDEX(GO$10:GO14,MATCH(C15,C$10:C14,0))))</f>
        <v/>
      </c>
      <c r="GP15" s="538">
        <f>IF(COUNTIF($A$10:A15,A15)&lt;=1,SUMIF($A$10:$A$406,A15,$FG$10:$FG$406),0)</f>
        <v/>
      </c>
      <c r="GQ15" s="137">
        <f>GQ14+1</f>
        <v/>
      </c>
      <c r="GR15" s="542">
        <f>LARGE($GP$10:$GP$406,GQ15)</f>
        <v/>
      </c>
      <c r="GS15" s="542">
        <f>IF(GQ15&gt;GQ$6,0,IF(GQ15&lt;=GQ$2,GS$2,IF(AND(GQ15&lt;=$GQ$3,GQ15&gt;$GQ$2),GS$3,GS$4)))</f>
        <v/>
      </c>
      <c r="GT15" s="489">
        <f>MAX(0,GR15-GS15)</f>
        <v/>
      </c>
      <c r="GU15" s="137">
        <f t="array" ref="GU15">IF(GR15=0,0,LARGE(IF($GP$10:$GP$406=GR15,$GO$10:$GO$406,0),COUNTIF($GR$10:$GR$406,GR15)-COUNTIF(GR$9:GR14,GR15)))</f>
        <v/>
      </c>
      <c r="GV15" s="272">
        <f>IF(GR15=0,0,GT15/GR15)</f>
        <v/>
      </c>
      <c r="GW15" s="272" t="n"/>
      <c r="GX15" s="137">
        <f>IF(C15="","",IF(ISERROR(MATCH(C15,C$10:C14,0)),MAX(GO$10:GO14)+1,INDEX(GO$10:GO14,MATCH(C15,C$10:C14,0))))</f>
        <v/>
      </c>
      <c r="GY15" s="538">
        <f>IF(COUNTIF($A$10:A15,A15)&lt;=1,SUMIF($A$10:$A$406,A15,$FG$10:$FG$406),0)</f>
        <v/>
      </c>
      <c r="GZ15" s="137">
        <f>GZ14+1</f>
        <v/>
      </c>
      <c r="HA15" s="542">
        <f>LARGE($GY$10:$GY$406,GZ15)</f>
        <v/>
      </c>
      <c r="HB15" s="543" t="inlineStr">
        <is>
          <t>-</t>
        </is>
      </c>
      <c r="HC15" s="489">
        <f>IF(GZ15&lt;6,MAX(0,$HC$2/5),0)</f>
        <v/>
      </c>
      <c r="HD15" s="137">
        <f t="array" ref="HD15">IF(HA15=0,0,LARGE(IF($GY$10:$GY$406=HA15,$GX$10:$GX$406,0),COUNTIF($HA$10:$HA$406,HA15)-COUNTIF(HA$9:HA14,HA15)))</f>
        <v/>
      </c>
      <c r="HE15" s="272">
        <f>IF(HA15=0,0,HC15/HA15)</f>
        <v/>
      </c>
      <c r="HG15" s="270">
        <f>DG15-GA15</f>
        <v/>
      </c>
      <c r="HH15" s="544" t="n">
        <v>0</v>
      </c>
      <c r="HI15" s="538">
        <f>MIN(HH15,DE15)</f>
        <v/>
      </c>
      <c r="HK15" s="137">
        <f>IF(COUNTIF($C$10:$C$406,HK14+1),HK14+1,"")</f>
        <v/>
      </c>
      <c r="HL15" s="538">
        <f>SUMIF($C$10:$C$406,HK15,$DG$10:$DG$406)</f>
        <v/>
      </c>
      <c r="HN15" s="521">
        <f>MIN(HO15:HS15)</f>
        <v/>
      </c>
      <c r="HO15" s="521">
        <f>IF(B15="","",$M15)</f>
        <v/>
      </c>
      <c r="HP15" s="521">
        <f>IF($N15="Yes",IF(P15&gt;=6,0,MIN($T15*$M15,$U15*$M15)),"")</f>
        <v/>
      </c>
      <c r="HQ15" s="521">
        <f>IF(AND(N15="Yes",P15&gt;=6),"",IF($S15="Yes",$R15*$M15,""))</f>
        <v/>
      </c>
      <c r="HR15" s="521">
        <f>IF($Q15="Yes",MIN($M15,$T15*$M15),"")</f>
        <v/>
      </c>
      <c r="HS15" s="521">
        <f>IF(AND($N15="Yes",$P15&gt;=6),"",IF(OR(CY15=1,DC15=1,),MIN($T15*$M15,$U15*$M15),IF(OR(CZ15=1,DA15=1,DB15=1),IF(AK15&gt;=5000000,MIN($T15*$M15,$IE15*$M15),MIN($T15*$M15,$U15*$M15)),"")))</f>
        <v/>
      </c>
      <c r="HT15" s="521">
        <f>IF(DD15&gt;0,DD15,"")</f>
        <v/>
      </c>
      <c r="HU15" s="522">
        <f>IF(B15="",0,$L15-$M15)</f>
        <v/>
      </c>
      <c r="HV15" s="274">
        <f>IF(OR(SUM(HP15:HT15)&gt;0,P15&gt;=6),"",IF($B15="","",1))</f>
        <v/>
      </c>
      <c r="HW15" s="522">
        <f>IF(AND($HT15&lt;&gt;0,OR(HT15&lt;=MIN(HP15:HS15),SUM(HP15:HS15)=0)),$HT15,0)</f>
        <v/>
      </c>
      <c r="HX15" s="522">
        <f>IF(AND($HS15&lt;&gt;0,OR(AND($HS15&lt;&gt;$HT15,$HS15&lt;&gt;$HR15,$HS15&lt;&gt;$HQ15,$HS15&lt;&gt;$HP15,$HS15&lt;MIN($HP15:$HR15),$HS15&lt;HT15),SUM($HP15:$HR15)+SUM(HT15)=0),IA15&lt;=0),$HS15,0)</f>
        <v/>
      </c>
      <c r="HY15" s="522">
        <f>IF(AND($HR15&lt;&gt;0,OR(AND($HR15&lt;&gt;$HT15,$HR15&lt;&gt;$HS15,$HR15&lt;&gt;$HQ15,$HR15&lt;&gt;$HP15),$HR15&lt;MIN($HP15:$HQ15),$HR15&lt;MIN($HS15:$HT15),SUM($HP15:$HQ15)+SUM($HS15:$HT15)=0)),$HR15,0)</f>
        <v/>
      </c>
      <c r="HZ15" s="522">
        <f>IF(AND($HQ15&lt;&gt;0,OR(AND($HQ15&lt;&gt;$HT15,HQ15&lt;&gt;HS15,HQ15&lt;&gt;HR15,HQ15&lt;&gt;HP15,HQ15&lt;MIN(HR15:HT15)),SUM(HP15)+SUM(HR15:HT15)=0)),$HQ15,0)</f>
        <v/>
      </c>
      <c r="IA15" s="522">
        <f>IF(AND($HP15&lt;&gt;0,OR(HP15&lt;=MIN(HQ15:HT15),SUM(HQ15:HT15)=0)),$HP15,0)</f>
        <v/>
      </c>
      <c r="IB15" s="545" t="n">
        <v>19</v>
      </c>
      <c r="IC15">
        <f>HU15=DF15</f>
        <v/>
      </c>
      <c r="IE15" s="351">
        <f>IF(B15="","",IF(AND(Y15="Second Lien",OR(CZ15=1,DA15=1,DB15=1)),50%,IF(CZ15=1,90%,IF(DA15=1,80%,IF(DB15=1,65%,"No Initial Haircut")))))</f>
        <v/>
      </c>
    </row>
    <row r="16">
      <c r="A16">
        <f>D16</f>
        <v/>
      </c>
      <c r="B16" s="242">
        <f>IF(D16="","",B15+1)</f>
        <v/>
      </c>
      <c r="C16" s="242">
        <f>IF(COUNTIF($A$10:A15,A16)&gt;0,C15,C15+1)</f>
        <v/>
      </c>
      <c r="D16" s="243" t="inlineStr">
        <is>
          <t>Meridian Holdings, LLC</t>
        </is>
      </c>
      <c r="E16" s="243" t="inlineStr">
        <is>
          <t>Meridian (Term Loan)</t>
        </is>
      </c>
      <c r="F16" s="244" t="n"/>
      <c r="G16" s="528" t="n">
        <v>17387195.83</v>
      </c>
      <c r="H16" s="528" t="n">
        <v>17387195.83</v>
      </c>
      <c r="I16" s="246" t="n">
        <v>1</v>
      </c>
      <c r="J16" s="529">
        <f>IF(B16="","",G16*I16)</f>
        <v/>
      </c>
      <c r="K16" s="529">
        <f>IF(B16="","",H16*I16)</f>
        <v/>
      </c>
      <c r="L16" s="529">
        <f>IF(B16="","",IF(COUNTIF($CE16:$CX16,1)&gt;0,0,J16))</f>
        <v/>
      </c>
      <c r="M16" s="529">
        <f>IF(B16="","",IF(COUNTIF($CE16:$CX16,1)&gt;0,0,K16))</f>
        <v/>
      </c>
      <c r="N16" s="248" t="inlineStr">
        <is>
          <t>No</t>
        </is>
      </c>
      <c r="O16" s="248" t="inlineStr">
        <is>
          <t>N/A</t>
        </is>
      </c>
      <c r="P16" s="249">
        <f>IF(B16="","",IF(OR(O16="N/A",O16=""),0,YEARFRAC('Borrowing Base'!$J$4,'Loan List'!O16)*12))</f>
        <v/>
      </c>
      <c r="Q16" s="248" t="inlineStr">
        <is>
          <t>No</t>
        </is>
      </c>
      <c r="R16" s="250" t="n">
        <v>0.9888114413086423</v>
      </c>
      <c r="S16" s="251">
        <f>IF(B16="","",IF(R16&lt;95%,"Yes","No"))</f>
        <v/>
      </c>
      <c r="T16" s="250" t="n">
        <v>0.9899999999022271</v>
      </c>
      <c r="U16" s="252">
        <f>IF(B16="","",IF(OR(Y16="First Lien",Y16="Split First Lien",Y16="Tier 1 Split Lien",Y16="Tier 2 Split Lien"),50%,30%))</f>
        <v/>
      </c>
      <c r="V16" s="252">
        <f>IF(B16="",0,IF(AND(Y16="First Lien",AN16="Tier 1"),IF(AND(X16="Yes",MIN(AH16,$AJ$5)&gt;4.5),(((4.5/MIN(AH16,$AJ$5))*72.5%)+(((MIN(AH16,$AJ$5)-4.5)/MIN(AH16,$AJ$5))*35%)),72.5%),IF(AND(Y16="First Lien",AN16="Tier 2"),IF(AND(X16="Yes",MIN(AH16,$AK$5)&gt;4.5),(((4.5/MIN(AH16,$AK$5))*72.5%)+(((MIN(AH16,$AK$5)-4.5)/MIN(AH16,$AK$5))*35%)),72.5%),IF(AND(X16="Yes",MIN(AH16,$AL$5)&gt;4),(((4/MIN(AH16,$AL$5))*72.5%)+(((MIN(AH16,$AL$5)-4)/MIN(AH16,$AL$5))*35%)),IF(OR(Y16="First Lien",Y16="Split First Lien"),72.5%,IF(Y16="Split Lien", 53%,35%))))))</f>
        <v/>
      </c>
      <c r="W16" s="530">
        <f>IF($C16="","",MIN($HO16:$HS16))</f>
        <v/>
      </c>
      <c r="X16" s="248" t="inlineStr">
        <is>
          <t>No</t>
        </is>
      </c>
      <c r="Y16" s="254" t="inlineStr">
        <is>
          <t>First Lien</t>
        </is>
      </c>
      <c r="Z16" s="254" t="inlineStr">
        <is>
          <t>Term</t>
        </is>
      </c>
      <c r="AA16" s="531" t="inlineStr">
        <is>
          <t>NR</t>
        </is>
      </c>
      <c r="AB16" s="531" t="inlineStr">
        <is>
          <t xml:space="preserve"> NR</t>
        </is>
      </c>
      <c r="AC16" s="532" t="n">
        <v>1.80434884951807</v>
      </c>
      <c r="AD16" s="532" t="n">
        <v>4.424473171118998</v>
      </c>
      <c r="AE16" s="532" t="n">
        <v>5.816370354380267</v>
      </c>
      <c r="AF16" s="257" t="n">
        <v>0.4318074773823966</v>
      </c>
      <c r="AG16" s="533" t="n">
        <v>3.807624122487521</v>
      </c>
      <c r="AH16" s="533" t="n">
        <v>3.807624122487521</v>
      </c>
      <c r="AI16" s="533" t="n">
        <v>5.184002398254465</v>
      </c>
      <c r="AJ16" s="533" t="n">
        <v>5.185565515684608</v>
      </c>
      <c r="AK16" s="534" t="n">
        <v>16872357.6856189</v>
      </c>
      <c r="AL16" s="534" t="n">
        <v>21286315</v>
      </c>
      <c r="AM16" s="260" t="n">
        <v>45838</v>
      </c>
      <c r="AN16" s="529">
        <f>IF(C16="","",(IF(AK16&gt;=50000000,"Tier 1",(IF(OR(AK16&gt;=20000000,AND(AK16&gt;5000000,AC16&gt;=1.25,AF16&lt;=0.65)),"Tier 2","Tier 3")))))</f>
        <v/>
      </c>
      <c r="AO16" s="244" t="n">
        <v>47290</v>
      </c>
      <c r="AP16" s="535" t="n">
        <v>3.891666666666667</v>
      </c>
      <c r="AQ16" s="535">
        <f>IF(C16="","",AP16)</f>
        <v/>
      </c>
      <c r="AR16" s="248" t="inlineStr">
        <is>
          <t>No</t>
        </is>
      </c>
      <c r="AS16" s="250" t="n">
        <v>0</v>
      </c>
      <c r="AT16" s="248" t="inlineStr">
        <is>
          <t>Yes</t>
        </is>
      </c>
      <c r="AU16" s="250" t="n">
        <v>0.01</v>
      </c>
      <c r="AV16" s="250" t="n">
        <v>0.055</v>
      </c>
      <c r="AW16" s="250" t="n">
        <v>0.042956</v>
      </c>
      <c r="AX16" s="262">
        <f>IF(C16="","",MAX(AU16,AW16))</f>
        <v/>
      </c>
      <c r="AY16" s="250" t="n">
        <v>0</v>
      </c>
      <c r="AZ16" s="250" t="n">
        <v>0</v>
      </c>
      <c r="BA16" s="250" t="n">
        <v>0</v>
      </c>
      <c r="BB16" s="412">
        <f>IF(B16="","",IF(AR16="No",AV16-AZ16,""))</f>
        <v/>
      </c>
      <c r="BC16" s="412">
        <f>IF(B16="","",IF(AR16="Yes",AS16-BA16,""))</f>
        <v/>
      </c>
      <c r="BD16" s="254" t="inlineStr">
        <is>
          <t>Quarterly</t>
        </is>
      </c>
      <c r="BE16" s="536" t="inlineStr">
        <is>
          <t>Health Care Providers &amp; Services</t>
        </is>
      </c>
      <c r="BF16" s="254" t="inlineStr">
        <is>
          <t>USD</t>
        </is>
      </c>
      <c r="BG16" s="254" t="inlineStr">
        <is>
          <t>United States</t>
        </is>
      </c>
      <c r="BH16" s="248" t="inlineStr">
        <is>
          <t>No</t>
        </is>
      </c>
      <c r="BI16" s="413">
        <f>IF(B16="","",IF(OR(AND(AZ16&gt;0,BB16&gt;=2.5%,BB16&lt;4%),AND(BA16&gt;0,BC16&gt;=6%,BC16&lt;8%)),"Yes","No"))</f>
        <v/>
      </c>
      <c r="BJ16" s="413">
        <f>IF(B16="","",IF(OR(AND(AZ16&gt;0,BB16&lt;2.5%),AND(BA16&gt;0,BC16&lt;6%)),"Yes","No"))</f>
        <v/>
      </c>
      <c r="BK16" s="248" t="inlineStr">
        <is>
          <t>No</t>
        </is>
      </c>
      <c r="BL16" s="248" t="inlineStr">
        <is>
          <t>No</t>
        </is>
      </c>
      <c r="BM16" s="248" t="inlineStr">
        <is>
          <t>No</t>
        </is>
      </c>
      <c r="BN16" s="248" t="inlineStr">
        <is>
          <t>No</t>
        </is>
      </c>
      <c r="BO16" s="248" t="inlineStr">
        <is>
          <t>No</t>
        </is>
      </c>
      <c r="BP16" s="248" t="inlineStr">
        <is>
          <t>No</t>
        </is>
      </c>
      <c r="BQ16" s="248" t="inlineStr">
        <is>
          <t>No</t>
        </is>
      </c>
      <c r="BR16" s="248" t="inlineStr">
        <is>
          <t>No</t>
        </is>
      </c>
      <c r="BS16" s="248" t="inlineStr">
        <is>
          <t>No</t>
        </is>
      </c>
      <c r="BT16" s="248" t="inlineStr">
        <is>
          <t>No</t>
        </is>
      </c>
      <c r="BU16" s="248" t="inlineStr">
        <is>
          <t>No</t>
        </is>
      </c>
      <c r="BV16" s="248" t="inlineStr">
        <is>
          <t>No</t>
        </is>
      </c>
      <c r="BW16" s="248" t="inlineStr">
        <is>
          <t>No</t>
        </is>
      </c>
      <c r="BX16" s="248" t="inlineStr">
        <is>
          <t>No</t>
        </is>
      </c>
      <c r="BY16" s="248" t="inlineStr">
        <is>
          <t>No</t>
        </is>
      </c>
      <c r="BZ16" s="248" t="inlineStr">
        <is>
          <t>No</t>
        </is>
      </c>
      <c r="CA16" s="248" t="inlineStr">
        <is>
          <t>Yes</t>
        </is>
      </c>
      <c r="CB16" s="537">
        <f>IF(B16="","",IF(AT16="No",((BB16+AW16)-$AZ$4),((BB16+AX16)-$AZ$4))*IF(DD16&gt;0,0,M16))</f>
        <v/>
      </c>
      <c r="CC16" s="537">
        <f>IF(B16="","",AY16*(L16-M16)*IF(DD16&gt;0,0,1))</f>
        <v/>
      </c>
      <c r="CD16" s="265" t="n"/>
      <c r="CE16" s="265">
        <f>IF(AND(B16&lt;&gt;"",R16&lt;=85%),1,0)</f>
        <v/>
      </c>
      <c r="CF16" s="265">
        <f>IF(B16="",0,(IF(OR(BF16="USD",BF16="CAD",BF16="GBP",BF16="AUD",BF16="EUR"),0,1)))</f>
        <v/>
      </c>
      <c r="CG16" s="265">
        <f>IF(B16="",0,(IF(OR(BG16="United States",BG16="Canada",BG16="United Kingdom",BG16="Australia",BG16="Netherlands Antilles",BG16="Bermuda",BG16="Cayman Islands",BG16="British Virgin Islands",BG16="Channel Islands",BG16="Isle of Man",BG16="Australia",BG16="Netherlands",BG16="Germany",BG16="Sweden",BG16="Switzerland",BG16="Austria",BG16="Belgium",BG16="Denmark",BG16="Finland",BG16="Iceland",BG16="Ireland",BG16="Lichtenstein",BG16="Luxemborg",BG16="Norway"),0,1)))</f>
        <v/>
      </c>
      <c r="CH16" s="265">
        <f>IF(BN16="Yes",1,0)</f>
        <v/>
      </c>
      <c r="CI16" s="265">
        <f>IF(BO16="Yes",1,0)</f>
        <v/>
      </c>
      <c r="CJ16" s="265">
        <f>IF(BP16="Yes",1,0)</f>
        <v/>
      </c>
      <c r="CK16" s="265">
        <f>IF(BQ16="Yes",1,0)</f>
        <v/>
      </c>
      <c r="CL16" s="265">
        <f>IF(BR16="Yes",1,0)</f>
        <v/>
      </c>
      <c r="CM16" s="265">
        <f>IF(BS16="Yes",1,0)</f>
        <v/>
      </c>
      <c r="CN16" s="265">
        <f>IF(OR(AND(BJ16="Yes",N16="No"),AND(BJ16="Yes",N16="Yes",P16&gt;=6)),1,0)</f>
        <v/>
      </c>
      <c r="CO16" s="265">
        <f>IF(BT16="Yes",1,0)</f>
        <v/>
      </c>
      <c r="CP16" s="265">
        <f>IF(AND(BU16="Yes",BV16="No"),1,0)</f>
        <v/>
      </c>
      <c r="CQ16" s="265">
        <f>IF(BW16="Yes",1,0)</f>
        <v/>
      </c>
      <c r="CR16" s="265">
        <f>IF(AP16="",0,IF(AP16&gt;7,1,0))</f>
        <v/>
      </c>
      <c r="CS16" s="265">
        <f>IF(OR(BD16&lt;&gt;"Monthly",BD16&lt;&gt;"Quarterly",BD16&lt;&gt;"Semi-Annually"),0,1)</f>
        <v/>
      </c>
      <c r="CT16" s="265">
        <f>IF(BX16="Yes",1,0)</f>
        <v/>
      </c>
      <c r="CU16" s="265">
        <f>IF(BY16="Yes",1,0)</f>
        <v/>
      </c>
      <c r="CV16" s="265">
        <f>IF(BZ16="Yes",1,0)</f>
        <v/>
      </c>
      <c r="CW16" s="265">
        <f>IF(CA16="No",1,0)</f>
        <v/>
      </c>
      <c r="CX16" s="265">
        <f>IF(B16="",0,IF(AK16&gt;=5000000,0,1))</f>
        <v/>
      </c>
      <c r="CY16" s="265">
        <f>IF(B16="",0,IF(AL16&gt;=5000000,0,1))</f>
        <v/>
      </c>
      <c r="CZ16" s="265">
        <f>IF(OR(DA16=1,DB16=1,DC16=1),0,IF(B16="",0,IF(OR(AND(AN16="Tier 1",X16="No",OR(AI16&gt;$AJ$3,AJ16&gt;$AJ$4)),(AND(AN16="Tier 1",X16="Yes",AJ16&gt;$AJ$5)),(AND(AN16="Tier 2",X16="No",OR(AI16&gt;$AK$3,AJ16&gt;$AK$4))),(AND(AN16="Tier 2",X16="Yes",AJ16&gt;$AK$5)),(AND(AN16="Tier 3",X16="No",OR(AI16&gt;$AL$3,AJ16&gt;$AL$4))),(AND(AN16="Tier 3",X16="Yes",AJ16&gt;$AL$5))),1,0)))</f>
        <v/>
      </c>
      <c r="DA16" s="265">
        <f>IF(OR(DB16=1,DC16=1),0,IF(B16="",0,IF(OR(AND(AN16="Tier 1",X16="No",OR(AI16&gt;$AM$3,AJ16&gt;$AM$4)),(AND(AN16="Tier 1",X16="Yes",AJ16&gt;$AM$5)),(AND(AN16="Tier 2",X16="No",OR(AI16&gt;$AN$3,AJ16&gt;$AN$4))),(AND(AN16="Tier 2",X16="Yes",AJ16&gt;$AN$5)),(AND(AN16="Tier 3",X16="No",OR(AI16&gt;$AO$3,AJ16&gt;$AO$4))),(AND(AN16="Tier 3",X16="Yes",AJ16&gt;$AO$5))),1,0)))</f>
        <v/>
      </c>
      <c r="DB16" s="265">
        <f>IF(DC16=1,0,IF(B16="",0,IF(OR(AND(AN16="Tier 1",X16="No",OR(AI16&gt;$AP$3,AJ16&gt;$AP$4)),(AND(AN16="Tier 1",X16="Yes",AJ16&gt;$AP$5)),(AND(AN16="Tier 2",X16="No",OR(AI16&gt;$AQ$3,AJ16&gt;$AQ$4))),(AND(AN16="Tier 2",X16="Yes",AJ16&gt;$AQ$5)),(AND(AN16="Tier 3",X16="No",OR(AI16&gt;$AR$3,AJ16&gt;$AR$4))),(AND(AN16="Tier 3",X16="Yes",AJ16&gt;$AR$5))),1,0)))</f>
        <v/>
      </c>
      <c r="DC16" s="265">
        <f>IF(B16="",0,IF(OR(AND(AN16="Tier 1",X16="No",OR(AI16&gt;$AS$3,AJ16&gt;$AS$4)),(AND(AN16="Tier 1",X16="Yes",AJ16&gt;$AS$5)),(AND(AN16="Tier 2",X16="No",OR(AI16&gt;$AT$3,AJ16&gt;$AT$4))),(AND(AN16="Tier 2",X16="Yes",AJ16&gt;$AT$5)),(AND(AN16="Tier 3",X16="No",OR(AI16&gt;$AU$3,AJ16&gt;$AU$4))),(AND(AN16="Tier 3",X16="Yes",AJ16&gt;$AU$5))),1,0))</f>
        <v/>
      </c>
      <c r="DD16" s="265">
        <f>IF((SUM(CE16:CX16)=0),0,W16)</f>
        <v/>
      </c>
      <c r="DE16" s="265">
        <f>IF(OR(B16="",DD16&gt;0),0,W16)</f>
        <v/>
      </c>
      <c r="DF16" s="265">
        <f>IF(B16="",0,IF(COUNTIF(CE16:CX16,1)&gt;0,0,L16-M16))</f>
        <v/>
      </c>
      <c r="DG16" s="265">
        <f>DE16+IF(DD16&gt;0,0,DF16)</f>
        <v/>
      </c>
      <c r="DH16" s="265">
        <f>IF(B16="","",M16+DF16)</f>
        <v/>
      </c>
      <c r="DI16" s="265">
        <f>IF(B16="",0,J16-K16)</f>
        <v/>
      </c>
      <c r="DJ16" s="265">
        <f>IF(OR(BF16="EUR",BF16="CAD",BF16="GBP",BF16="AUD"),(GA16*(1-V16))+(HG16)+IF(HX16="",0,HX16*(1-U16)),0)</f>
        <v/>
      </c>
      <c r="DK16" s="265">
        <f>IF(BF16="EUR",33%,IF(BF16="CAD",38%,IF(BF16="GBP",51%,IF(BF16="AUD",61%,0))))</f>
        <v/>
      </c>
      <c r="DL16" s="265">
        <f>DJ16*DK16</f>
        <v/>
      </c>
      <c r="DN16" s="538">
        <f>IF(OR(Y16="Second Lien",Y16="Tier 1 Split Lien",Y16="Tier 2 Split Lien"),DG16,0)</f>
        <v/>
      </c>
      <c r="DO16" s="539">
        <f>DN16*DN$6</f>
        <v/>
      </c>
      <c r="DP16" s="538">
        <f>DG16-DO16</f>
        <v/>
      </c>
      <c r="DQ16" s="538">
        <f>IF(Y16="Second Lien",DP16,0)</f>
        <v/>
      </c>
      <c r="DR16" s="539">
        <f>DQ16*DQ$6</f>
        <v/>
      </c>
      <c r="DS16" s="538">
        <f>DP16-DR16</f>
        <v/>
      </c>
      <c r="DT16" s="538">
        <f>IF(BH16="Yes",DS16,0)</f>
        <v/>
      </c>
      <c r="DU16" s="539">
        <f>DT16*DT$6</f>
        <v/>
      </c>
      <c r="DV16" s="538">
        <f>DS16-DU16</f>
        <v/>
      </c>
      <c r="DW16" s="538">
        <f>IF(OR(BG16="Canada",BG16="United Kingdom",BG16="Australia",BG16="Netherlands Antilles",BG16="Bermuda",BG16="Cayman Islands",BG16="British Virgin Islands",BG16="Channel Islands",BG16="Isle of Man",BG16="Australia",BG16="Netherlands",BG16="Germany",BG16="Sweden",BG16="Switzerland",BG16="Austria",BG16="Belgium",BG16="Denmark",BG16="Finland",BG16="Iceland",BG16="Ireland",BG16="Lichtenstein",BG16="Luxemborg",BG16="Norway"),DV16,0)</f>
        <v/>
      </c>
      <c r="DX16" s="539">
        <f>DW16*DW$6</f>
        <v/>
      </c>
      <c r="DY16" s="538">
        <f>DV16-DX16</f>
        <v/>
      </c>
      <c r="DZ16" s="538">
        <f>IF(BI16="Yes",DY16,0)</f>
        <v/>
      </c>
      <c r="EA16" s="539">
        <f>DZ16*DZ$6</f>
        <v/>
      </c>
      <c r="EB16" s="538">
        <f>DY16-EA16</f>
        <v/>
      </c>
      <c r="EC16" s="538">
        <f>IF(OR(Z16="Delayed Draw",Z16="Revolver"),EB16,0)</f>
        <v/>
      </c>
      <c r="ED16" s="539">
        <f>EC16*EC$6</f>
        <v/>
      </c>
      <c r="EE16" s="538">
        <f>EB16-ED16</f>
        <v/>
      </c>
      <c r="EF16" s="538">
        <f>IF(S16="Yes",EE16,0)</f>
        <v/>
      </c>
      <c r="EG16" s="539">
        <f>EF16*EF$6</f>
        <v/>
      </c>
      <c r="EH16" s="538">
        <f>EE16-EG16</f>
        <v/>
      </c>
      <c r="EI16" s="538">
        <f>IF(Q16="Yes",EH16,0)</f>
        <v/>
      </c>
      <c r="EJ16" s="539">
        <f>EI16*EI$6</f>
        <v/>
      </c>
      <c r="EK16" s="538">
        <f>EH16-EJ16</f>
        <v/>
      </c>
      <c r="EL16" s="538">
        <f>IF(BD16="Semi-Annually",EK16,0)</f>
        <v/>
      </c>
      <c r="EM16" s="539">
        <f>EL16*EL$6</f>
        <v/>
      </c>
      <c r="EN16" s="538">
        <f>EK16-EM16</f>
        <v/>
      </c>
      <c r="EO16" s="538">
        <f>IF(BK16="Yes",EN16,0)</f>
        <v/>
      </c>
      <c r="EP16" s="539">
        <f>EO16*EO$6</f>
        <v/>
      </c>
      <c r="EQ16" s="538">
        <f>EN16-EP16</f>
        <v/>
      </c>
      <c r="ER16" s="538">
        <f>IF(BL16="Yes",EQ16,0)</f>
        <v/>
      </c>
      <c r="ES16" s="539">
        <f>ER16*ER$6</f>
        <v/>
      </c>
      <c r="ET16" s="538">
        <f>EQ16-ES16</f>
        <v/>
      </c>
      <c r="EU16" s="538">
        <f>IF(BM16="Yes",ET16,0)</f>
        <v/>
      </c>
      <c r="EV16" s="539">
        <f>EU16*EU$6</f>
        <v/>
      </c>
      <c r="EW16" s="538">
        <f>ET16-EV16</f>
        <v/>
      </c>
      <c r="EX16" s="538">
        <f>IF(BV16="Yes",EW16,0)</f>
        <v/>
      </c>
      <c r="EY16" s="539">
        <f>EX16*EX$6</f>
        <v/>
      </c>
      <c r="EZ16" s="538">
        <f>EW16-EY16</f>
        <v/>
      </c>
      <c r="FA16" s="538">
        <f>IF(AR16="Yes",EZ16,0)</f>
        <v/>
      </c>
      <c r="FB16" s="539">
        <f>FA16*FA$6</f>
        <v/>
      </c>
      <c r="FC16" s="538">
        <f>EZ16-FB16</f>
        <v/>
      </c>
      <c r="FD16" s="538">
        <f>IF(OR(BF16="EUR",BF16="AUD",BF16="CAD",BF16="GBP"),FC16,0)</f>
        <v/>
      </c>
      <c r="FE16" s="539">
        <f>FD16*FD$6</f>
        <v/>
      </c>
      <c r="FF16" s="538">
        <f>FC16-FE16</f>
        <v/>
      </c>
      <c r="FG16" s="538">
        <f>FF16</f>
        <v/>
      </c>
      <c r="FH16" s="538">
        <f>IF(FF16=0,0,VLOOKUP(C16,$GU$10:$GV$406,2,FALSE)*FF16)</f>
        <v/>
      </c>
      <c r="FI16" s="538">
        <f>FF16-FH16</f>
        <v/>
      </c>
      <c r="FJ16" s="538">
        <f>FI16</f>
        <v/>
      </c>
      <c r="FK16" s="538">
        <f>IF(OR(IB16="",FI16&lt;0.01),,VLOOKUP(IB16,$GL$10:$GM$406,2,FALSE)*FI16)</f>
        <v/>
      </c>
      <c r="FL16" s="538">
        <f>FI16-FK16</f>
        <v/>
      </c>
      <c r="FM16" s="538">
        <f>FL16</f>
        <v/>
      </c>
      <c r="FN16" s="538">
        <f>IF(FL16=0,0,VLOOKUP(C16,$HD$10:$HE$406,2,FALSE)*FL16)</f>
        <v/>
      </c>
      <c r="FO16" s="538">
        <f>FL16-FN16</f>
        <v/>
      </c>
      <c r="FP16" s="538">
        <f>IF(SUM(CY16:DC16)&gt;0,0,IF(AND(AL16&gt;=5000000,AL16&lt;7500000),FO16,0))</f>
        <v/>
      </c>
      <c r="FQ16" s="539">
        <f>IF(B16="",0,FP16*FP$6*(1-$U16))</f>
        <v/>
      </c>
      <c r="FR16" s="538">
        <f>FO16-FQ16</f>
        <v/>
      </c>
      <c r="FS16" s="538">
        <f>IF(SUM(CY16:DC16)&gt;0,0,IF(AL16&lt;15000000,FR16,0))</f>
        <v/>
      </c>
      <c r="FT16" s="539">
        <f>IF(B16="",0,FS16*FS$6*(1-$U16))</f>
        <v/>
      </c>
      <c r="FU16" s="538">
        <f>FR16-FT16</f>
        <v/>
      </c>
      <c r="FV16" s="538">
        <f>IF(SUM(CY16:DC16)&gt;0,0,IF(OR(AND(X16="No",AN16="Tier 1",AI16&gt;$AG$3),AND(X16="No",AN16="Tier 2",AI16&gt;$AH$3),AND(X16="No",AN16="Tier 3",AI16&gt;$AI$3)),FU16,0))</f>
        <v/>
      </c>
      <c r="FW16" s="538">
        <f>IF(SUM(CY16:DC16)&gt;0,0,IF(OR(AND(X16="No",AN16="Tier 1",AJ16&gt;$AG$4),AND(X16="No",AN16="Tier 2",AJ16&gt;$AH$4),AND(X16="No",AN16="Tier 3",AJ16&gt;$AI$4)),FU16,0))</f>
        <v/>
      </c>
      <c r="FX16" s="538">
        <f>IF(SUM(CY16:DC16)&gt;0,0,IF(OR(AND(X16="Yes",AN16="Tier 1",AJ16&gt;$AG$5),AND(X16="Yes",AN16="Tier 2",AJ16&gt;$AH$5),AND(X16="Yes",AN16="Tier 3",AJ16&gt;$AI$5)),FU16,0))</f>
        <v/>
      </c>
      <c r="FY16" s="538">
        <f>IF(SUM(FV16:FX16)&gt;0,FU16,0)</f>
        <v/>
      </c>
      <c r="FZ16" s="539">
        <f>IF(B16="",0,FY16*FV$6*(1-MIN(90%,T16)))</f>
        <v/>
      </c>
      <c r="GA16" s="538">
        <f>FU16-FZ16</f>
        <v/>
      </c>
      <c r="GB16" s="538">
        <f>IF(AND(N16="No",DI16=0),GA16,IF(AND(N16="No",DI16&lt;&gt;0,K16=0),0,IF(AND(N16="No",DI16&lt;&gt;0,K16&gt;0,J16&lt;&gt;K16),MAX(0,M16-(DH16-GA16)),DG16)))</f>
        <v/>
      </c>
      <c r="GC16" s="540">
        <f>+GB16*V16</f>
        <v/>
      </c>
      <c r="GD16" s="138">
        <f>IFERROR(GC16/K16,"")</f>
        <v/>
      </c>
      <c r="GE16" s="541">
        <f>IF(IB16="","",IB16)</f>
        <v/>
      </c>
      <c r="GF16" s="538">
        <f t="array" ref="GF16">IF(SUM(IF(IB$9:IB15=IB16,1,0))&gt;0,0,SUMIF($IB$10:$IB$406,IB16,$FI$10:$FI$406))</f>
        <v/>
      </c>
      <c r="GG16" s="270">
        <f>GF16</f>
        <v/>
      </c>
      <c r="GH16" s="137">
        <f>GH15+1</f>
        <v/>
      </c>
      <c r="GI16" s="542">
        <f>LARGE($GG$10:$GG$406,GH16)</f>
        <v/>
      </c>
      <c r="GJ16" s="542">
        <f>IF(GH16&gt;GH$6,0,IF(GH16=$GH$2,$GJ$2,IF(GH16&lt;4,$GJ$3,$GJ$4)))</f>
        <v/>
      </c>
      <c r="GK16" s="489">
        <f>MAX(0,GI16-GJ16)</f>
        <v/>
      </c>
      <c r="GL16" s="137">
        <f t="array" ref="GL16">IF(GI16=0,0,LARGE(IF($GF$10:$GF$406=GI16,$GE$10:$GE$406,0),COUNTIF($GI$10:$GI$406,GI16)-COUNTIF(GI$9:GI15,GI16)))</f>
        <v/>
      </c>
      <c r="GM16" s="272">
        <f>IF(GI16=0,0,GK16/GI16)</f>
        <v/>
      </c>
      <c r="GO16" s="137">
        <f>IF(C16="","",IF(ISERROR(MATCH(C16,C$10:C15,0)),MAX(GO$10:GO15)+1,INDEX(GO$10:GO15,MATCH(C16,C$10:C15,0))))</f>
        <v/>
      </c>
      <c r="GP16" s="538">
        <f>IF(COUNTIF($A$10:A16,A16)&lt;=1,SUMIF($A$10:$A$406,A16,$FG$10:$FG$406),0)</f>
        <v/>
      </c>
      <c r="GQ16" s="137">
        <f>GQ15+1</f>
        <v/>
      </c>
      <c r="GR16" s="542">
        <f>LARGE($GP$10:$GP$406,GQ16)</f>
        <v/>
      </c>
      <c r="GS16" s="542">
        <f>IF(GQ16&gt;GQ$6,0,IF(GQ16&lt;=GQ$2,GS$2,IF(AND(GQ16&lt;=$GQ$3,GQ16&gt;$GQ$2),GS$3,GS$4)))</f>
        <v/>
      </c>
      <c r="GT16" s="489">
        <f>MAX(0,GR16-GS16)</f>
        <v/>
      </c>
      <c r="GU16" s="137">
        <f t="array" ref="GU16">IF(GR16=0,0,LARGE(IF($GP$10:$GP$406=GR16,$GO$10:$GO$406,0),COUNTIF($GR$10:$GR$406,GR16)-COUNTIF(GR$9:GR15,GR16)))</f>
        <v/>
      </c>
      <c r="GV16" s="272">
        <f>IF(GR16=0,0,GT16/GR16)</f>
        <v/>
      </c>
      <c r="GW16" s="272" t="n"/>
      <c r="GX16" s="137">
        <f>IF(C16="","",IF(ISERROR(MATCH(C16,C$10:C15,0)),MAX(GO$10:GO15)+1,INDEX(GO$10:GO15,MATCH(C16,C$10:C15,0))))</f>
        <v/>
      </c>
      <c r="GY16" s="538">
        <f>IF(COUNTIF($A$10:A16,A16)&lt;=1,SUMIF($A$10:$A$406,A16,$FG$10:$FG$406),0)</f>
        <v/>
      </c>
      <c r="GZ16" s="137">
        <f>GZ15+1</f>
        <v/>
      </c>
      <c r="HA16" s="542">
        <f>LARGE($GY$10:$GY$406,GZ16)</f>
        <v/>
      </c>
      <c r="HB16" s="543" t="inlineStr">
        <is>
          <t>-</t>
        </is>
      </c>
      <c r="HC16" s="489">
        <f>IF(GZ16&lt;6,MAX(0,$HC$2/5),0)</f>
        <v/>
      </c>
      <c r="HD16" s="137">
        <f t="array" ref="HD16">IF(HA16=0,0,LARGE(IF($GY$10:$GY$406=HA16,$GX$10:$GX$406,0),COUNTIF($HA$10:$HA$406,HA16)-COUNTIF(HA$9:HA15,HA16)))</f>
        <v/>
      </c>
      <c r="HE16" s="272">
        <f>IF(HA16=0,0,HC16/HA16)</f>
        <v/>
      </c>
      <c r="HG16" s="270">
        <f>DG16-GA16</f>
        <v/>
      </c>
      <c r="HH16" s="544" t="n">
        <v>0</v>
      </c>
      <c r="HI16" s="538">
        <f>MIN(HH16,DE16)</f>
        <v/>
      </c>
      <c r="HK16" s="137">
        <f>IF(COUNTIF($C$10:$C$406,HK15+1),HK15+1,"")</f>
        <v/>
      </c>
      <c r="HL16" s="538">
        <f>SUMIF($C$10:$C$406,HK16,$DG$10:$DG$406)</f>
        <v/>
      </c>
      <c r="HN16" s="521">
        <f>MIN(HO16:HS16)</f>
        <v/>
      </c>
      <c r="HO16" s="521">
        <f>IF(B16="","",$M16)</f>
        <v/>
      </c>
      <c r="HP16" s="521">
        <f>IF($N16="Yes",IF(P16&gt;=6,0,MIN($T16*$M16,$U16*$M16)),"")</f>
        <v/>
      </c>
      <c r="HQ16" s="521">
        <f>IF(AND(N16="Yes",P16&gt;=6),"",IF($S16="Yes",$R16*$M16,""))</f>
        <v/>
      </c>
      <c r="HR16" s="521">
        <f>IF($Q16="Yes",MIN($M16,$T16*$M16),"")</f>
        <v/>
      </c>
      <c r="HS16" s="521">
        <f>IF(AND($N16="Yes",$P16&gt;=6),"",IF(OR(CY16=1,DC16=1,),MIN($T16*$M16,$U16*$M16),IF(OR(CZ16=1,DA16=1,DB16=1),IF(AK16&gt;=5000000,MIN($T16*$M16,$IE16*$M16),MIN($T16*$M16,$U16*$M16)),"")))</f>
        <v/>
      </c>
      <c r="HT16" s="521">
        <f>IF(DD16&gt;0,DD16,"")</f>
        <v/>
      </c>
      <c r="HU16" s="522">
        <f>IF(B16="",0,$L16-$M16)</f>
        <v/>
      </c>
      <c r="HV16" s="274">
        <f>IF(OR(SUM(HP16:HT16)&gt;0,P16&gt;=6),"",IF($B16="","",1))</f>
        <v/>
      </c>
      <c r="HW16" s="522">
        <f>IF(AND($HT16&lt;&gt;0,OR(HT16&lt;=MIN(HP16:HS16),SUM(HP16:HS16)=0)),$HT16,0)</f>
        <v/>
      </c>
      <c r="HX16" s="522">
        <f>IF(AND($HS16&lt;&gt;0,OR(AND($HS16&lt;&gt;$HT16,$HS16&lt;&gt;$HR16,$HS16&lt;&gt;$HQ16,$HS16&lt;&gt;$HP16,$HS16&lt;MIN($HP16:$HR16),$HS16&lt;HT16),SUM($HP16:$HR16)+SUM(HT16)=0),IA16&lt;=0),$HS16,0)</f>
        <v/>
      </c>
      <c r="HY16" s="522">
        <f>IF(AND($HR16&lt;&gt;0,OR(AND($HR16&lt;&gt;$HT16,$HR16&lt;&gt;$HS16,$HR16&lt;&gt;$HQ16,$HR16&lt;&gt;$HP16),$HR16&lt;MIN($HP16:$HQ16),$HR16&lt;MIN($HS16:$HT16),SUM($HP16:$HQ16)+SUM($HS16:$HT16)=0)),$HR16,0)</f>
        <v/>
      </c>
      <c r="HZ16" s="522">
        <f>IF(AND($HQ16&lt;&gt;0,OR(AND($HQ16&lt;&gt;$HT16,HQ16&lt;&gt;HS16,HQ16&lt;&gt;HR16,HQ16&lt;&gt;HP16,HQ16&lt;MIN(HR16:HT16)),SUM(HP16)+SUM(HR16:HT16)=0)),$HQ16,0)</f>
        <v/>
      </c>
      <c r="IA16" s="522">
        <f>IF(AND($HP16&lt;&gt;0,OR(HP16&lt;=MIN(HQ16:HT16),SUM(HQ16:HT16)=0)),$HP16,0)</f>
        <v/>
      </c>
      <c r="IB16" s="545" t="n">
        <v>31</v>
      </c>
      <c r="IC16">
        <f>HU16=DF16</f>
        <v/>
      </c>
      <c r="IE16" s="351">
        <f>IF(B16="","",IF(AND(Y16="Second Lien",OR(CZ16=1,DA16=1,DB16=1)),50%,IF(CZ16=1,90%,IF(DA16=1,80%,IF(DB16=1,65%,"No Initial Haircut")))))</f>
        <v/>
      </c>
    </row>
    <row r="17">
      <c r="A17">
        <f>D17</f>
        <v/>
      </c>
      <c r="B17" s="242">
        <f>IF(D17="","",B16+1)</f>
        <v/>
      </c>
      <c r="C17" s="242">
        <f>IF(COUNTIF($A$10:A16,A17)&gt;0,C16,C16+1)</f>
        <v/>
      </c>
      <c r="D17" s="243" t="inlineStr">
        <is>
          <t>Crestline Holdings, LLC</t>
        </is>
      </c>
      <c r="E17" s="243" t="inlineStr">
        <is>
          <t>Crestline (First Lien Term Loan)</t>
        </is>
      </c>
      <c r="F17" s="244" t="n"/>
      <c r="G17" s="528" t="n">
        <v>41568911</v>
      </c>
      <c r="H17" s="528" t="n">
        <v>41568911</v>
      </c>
      <c r="I17" s="246" t="n">
        <v>1</v>
      </c>
      <c r="J17" s="529">
        <f>IF(B17="","",G17*I17)</f>
        <v/>
      </c>
      <c r="K17" s="529">
        <f>IF(B17="","",H17*I17)</f>
        <v/>
      </c>
      <c r="L17" s="529">
        <f>IF(B17="","",IF(COUNTIF($CE17:$CX17,1)&gt;0,0,J17))</f>
        <v/>
      </c>
      <c r="M17" s="529">
        <f>IF(B17="","",IF(COUNTIF($CE17:$CX17,1)&gt;0,0,K17))</f>
        <v/>
      </c>
      <c r="N17" s="248" t="inlineStr">
        <is>
          <t>No</t>
        </is>
      </c>
      <c r="O17" s="248" t="inlineStr">
        <is>
          <t>N/A</t>
        </is>
      </c>
      <c r="P17" s="249">
        <f>IF(B17="","",IF(OR(O17="N/A",O17=""),0,YEARFRAC('Borrowing Base'!$J$4,'Loan List'!O17)*12))</f>
        <v/>
      </c>
      <c r="Q17" s="248" t="inlineStr">
        <is>
          <t>No</t>
        </is>
      </c>
      <c r="R17" s="250" t="n">
        <v>0.9850302202840374</v>
      </c>
      <c r="S17" s="251">
        <f>IF(B17="","",IF(R17&lt;95%,"Yes","No"))</f>
        <v/>
      </c>
      <c r="T17" s="250" t="n">
        <v>0.9874999999398589</v>
      </c>
      <c r="U17" s="252">
        <f>IF(B17="","",IF(OR(Y17="First Lien",Y17="Split First Lien",Y17="Tier 1 Split Lien",Y17="Tier 2 Split Lien"),50%,30%))</f>
        <v/>
      </c>
      <c r="V17" s="252">
        <f>IF(B17="",0,IF(AND(Y17="First Lien",AN17="Tier 1"),IF(AND(X17="Yes",MIN(AH17,$AJ$5)&gt;4.5),(((4.5/MIN(AH17,$AJ$5))*72.5%)+(((MIN(AH17,$AJ$5)-4.5)/MIN(AH17,$AJ$5))*35%)),72.5%),IF(AND(Y17="First Lien",AN17="Tier 2"),IF(AND(X17="Yes",MIN(AH17,$AK$5)&gt;4.5),(((4.5/MIN(AH17,$AK$5))*72.5%)+(((MIN(AH17,$AK$5)-4.5)/MIN(AH17,$AK$5))*35%)),72.5%),IF(AND(X17="Yes",MIN(AH17,$AL$5)&gt;4),(((4/MIN(AH17,$AL$5))*72.5%)+(((MIN(AH17,$AL$5)-4)/MIN(AH17,$AL$5))*35%)),IF(OR(Y17="First Lien",Y17="Split First Lien"),72.5%,IF(Y17="Split Lien", 53%,35%))))))</f>
        <v/>
      </c>
      <c r="W17" s="530">
        <f>IF($C17="","",MIN($HO17:$HS17))</f>
        <v/>
      </c>
      <c r="X17" s="248" t="inlineStr">
        <is>
          <t>No</t>
        </is>
      </c>
      <c r="Y17" s="254" t="inlineStr">
        <is>
          <t>First Lien</t>
        </is>
      </c>
      <c r="Z17" s="254" t="inlineStr">
        <is>
          <t>Term</t>
        </is>
      </c>
      <c r="AA17" s="531" t="inlineStr">
        <is>
          <t>NR</t>
        </is>
      </c>
      <c r="AB17" s="531" t="inlineStr">
        <is>
          <t xml:space="preserve"> NR</t>
        </is>
      </c>
      <c r="AC17" s="532" t="n">
        <v>1.233751425313569</v>
      </c>
      <c r="AD17" s="532" t="n">
        <v>5.330011897593986</v>
      </c>
      <c r="AE17" s="532" t="n">
        <v>4.808287961486695</v>
      </c>
      <c r="AF17" s="257" t="n">
        <v>0.5330011897593985</v>
      </c>
      <c r="AG17" s="533" t="n">
        <v>5.037593984962406</v>
      </c>
      <c r="AH17" s="533" t="n">
        <v>5.330011897593986</v>
      </c>
      <c r="AI17" s="533" t="n">
        <v>4.744556799364514</v>
      </c>
      <c r="AJ17" s="533" t="n">
        <v>5.103879947295433</v>
      </c>
      <c r="AK17" s="534" t="n">
        <v>47275000</v>
      </c>
      <c r="AL17" s="534" t="n">
        <v>67742897</v>
      </c>
      <c r="AM17" s="260" t="n">
        <v>45838</v>
      </c>
      <c r="AN17" s="529">
        <f>IF(C17="","",(IF(AK17&gt;=50000000,"Tier 1",(IF(OR(AK17&gt;=20000000,AND(AK17&gt;5000000,AC17&gt;=1.25,AF17&lt;=0.65)),"Tier 2","Tier 3")))))</f>
        <v/>
      </c>
      <c r="AO17" s="244" t="n">
        <v>47430</v>
      </c>
      <c r="AP17" s="535" t="n">
        <v>4.272222222222222</v>
      </c>
      <c r="AQ17" s="535">
        <f>IF(C17="","",AP17)</f>
        <v/>
      </c>
      <c r="AR17" s="248" t="inlineStr">
        <is>
          <t>No</t>
        </is>
      </c>
      <c r="AS17" s="250" t="n">
        <v>0</v>
      </c>
      <c r="AT17" s="248" t="inlineStr">
        <is>
          <t>Yes</t>
        </is>
      </c>
      <c r="AU17" s="250" t="n">
        <v>0.01</v>
      </c>
      <c r="AV17" s="250" t="n">
        <v>0.0675</v>
      </c>
      <c r="AW17" s="250" t="n">
        <v>0.04295599999999999</v>
      </c>
      <c r="AX17" s="262">
        <f>IF(C17="","",MAX(AU17,AW17))</f>
        <v/>
      </c>
      <c r="AY17" s="250" t="n">
        <v>0</v>
      </c>
      <c r="AZ17" s="250" t="n">
        <v>0</v>
      </c>
      <c r="BA17" s="250" t="n">
        <v>0</v>
      </c>
      <c r="BB17" s="412">
        <f>IF(B17="","",IF(AR17="No",AV17-AZ17,""))</f>
        <v/>
      </c>
      <c r="BC17" s="412">
        <f>IF(B17="","",IF(AR17="Yes",AS17-BA17,""))</f>
        <v/>
      </c>
      <c r="BD17" s="254" t="inlineStr">
        <is>
          <t>Quarterly</t>
        </is>
      </c>
      <c r="BE17" s="536" t="inlineStr">
        <is>
          <t>Aerospace &amp; Defense</t>
        </is>
      </c>
      <c r="BF17" s="254" t="inlineStr">
        <is>
          <t>USD</t>
        </is>
      </c>
      <c r="BG17" s="254" t="inlineStr">
        <is>
          <t>United States</t>
        </is>
      </c>
      <c r="BH17" s="248" t="inlineStr">
        <is>
          <t>No</t>
        </is>
      </c>
      <c r="BI17" s="413">
        <f>IF(B17="","",IF(OR(AND(AZ17&gt;0,BB17&gt;=2.5%,BB17&lt;4%),AND(BA17&gt;0,BC17&gt;=6%,BC17&lt;8%)),"Yes","No"))</f>
        <v/>
      </c>
      <c r="BJ17" s="413">
        <f>IF(B17="","",IF(OR(AND(AZ17&gt;0,BB17&lt;2.5%),AND(BA17&gt;0,BC17&lt;6%)),"Yes","No"))</f>
        <v/>
      </c>
      <c r="BK17" s="248" t="inlineStr">
        <is>
          <t>No</t>
        </is>
      </c>
      <c r="BL17" s="248" t="inlineStr">
        <is>
          <t>No</t>
        </is>
      </c>
      <c r="BM17" s="248" t="inlineStr">
        <is>
          <t>No</t>
        </is>
      </c>
      <c r="BN17" s="248" t="inlineStr">
        <is>
          <t>No</t>
        </is>
      </c>
      <c r="BO17" s="248" t="inlineStr">
        <is>
          <t>No</t>
        </is>
      </c>
      <c r="BP17" s="248" t="inlineStr">
        <is>
          <t>No</t>
        </is>
      </c>
      <c r="BQ17" s="248" t="inlineStr">
        <is>
          <t>No</t>
        </is>
      </c>
      <c r="BR17" s="248" t="inlineStr">
        <is>
          <t>No</t>
        </is>
      </c>
      <c r="BS17" s="248" t="inlineStr">
        <is>
          <t>No</t>
        </is>
      </c>
      <c r="BT17" s="248" t="inlineStr">
        <is>
          <t>No</t>
        </is>
      </c>
      <c r="BU17" s="248" t="inlineStr">
        <is>
          <t>No</t>
        </is>
      </c>
      <c r="BV17" s="248" t="inlineStr">
        <is>
          <t>No</t>
        </is>
      </c>
      <c r="BW17" s="248" t="inlineStr">
        <is>
          <t>No</t>
        </is>
      </c>
      <c r="BX17" s="248" t="inlineStr">
        <is>
          <t>No</t>
        </is>
      </c>
      <c r="BY17" s="248" t="inlineStr">
        <is>
          <t>No</t>
        </is>
      </c>
      <c r="BZ17" s="248" t="inlineStr">
        <is>
          <t>No</t>
        </is>
      </c>
      <c r="CA17" s="248" t="inlineStr">
        <is>
          <t>Yes</t>
        </is>
      </c>
      <c r="CB17" s="537">
        <f>IF(B17="","",IF(AT17="No",((BB17+AW17)-$AZ$4),((BB17+AX17)-$AZ$4))*IF(DD17&gt;0,0,M17))</f>
        <v/>
      </c>
      <c r="CC17" s="537">
        <f>IF(B17="","",AY17*(L17-M17)*IF(DD17&gt;0,0,1))</f>
        <v/>
      </c>
      <c r="CD17" s="265" t="n"/>
      <c r="CE17" s="265">
        <f>IF(AND(B17&lt;&gt;"",R17&lt;=85%),1,0)</f>
        <v/>
      </c>
      <c r="CF17" s="265">
        <f>IF(B17="",0,(IF(OR(BF17="USD",BF17="CAD",BF17="GBP",BF17="AUD",BF17="EUR"),0,1)))</f>
        <v/>
      </c>
      <c r="CG17" s="265">
        <f>IF(B17="",0,(IF(OR(BG17="United States",BG17="Canada",BG17="United Kingdom",BG17="Australia",BG17="Netherlands Antilles",BG17="Bermuda",BG17="Cayman Islands",BG17="British Virgin Islands",BG17="Channel Islands",BG17="Isle of Man",BG17="Australia",BG17="Netherlands",BG17="Germany",BG17="Sweden",BG17="Switzerland",BG17="Austria",BG17="Belgium",BG17="Denmark",BG17="Finland",BG17="Iceland",BG17="Ireland",BG17="Lichtenstein",BG17="Luxemborg",BG17="Norway"),0,1)))</f>
        <v/>
      </c>
      <c r="CH17" s="265">
        <f>IF(BN17="Yes",1,0)</f>
        <v/>
      </c>
      <c r="CI17" s="265">
        <f>IF(BO17="Yes",1,0)</f>
        <v/>
      </c>
      <c r="CJ17" s="265">
        <f>IF(BP17="Yes",1,0)</f>
        <v/>
      </c>
      <c r="CK17" s="265">
        <f>IF(BQ17="Yes",1,0)</f>
        <v/>
      </c>
      <c r="CL17" s="265">
        <f>IF(BR17="Yes",1,0)</f>
        <v/>
      </c>
      <c r="CM17" s="265">
        <f>IF(BS17="Yes",1,0)</f>
        <v/>
      </c>
      <c r="CN17" s="265">
        <f>IF(OR(AND(BJ17="Yes",N17="No"),AND(BJ17="Yes",N17="Yes",P17&gt;=6)),1,0)</f>
        <v/>
      </c>
      <c r="CO17" s="265">
        <f>IF(BT17="Yes",1,0)</f>
        <v/>
      </c>
      <c r="CP17" s="265">
        <f>IF(AND(BU17="Yes",BV17="No"),1,0)</f>
        <v/>
      </c>
      <c r="CQ17" s="265">
        <f>IF(BW17="Yes",1,0)</f>
        <v/>
      </c>
      <c r="CR17" s="265">
        <f>IF(AP17="",0,IF(AP17&gt;7,1,0))</f>
        <v/>
      </c>
      <c r="CS17" s="265">
        <f>IF(OR(BD17&lt;&gt;"Monthly",BD17&lt;&gt;"Quarterly",BD17&lt;&gt;"Semi-Annually"),0,1)</f>
        <v/>
      </c>
      <c r="CT17" s="265">
        <f>IF(BX17="Yes",1,0)</f>
        <v/>
      </c>
      <c r="CU17" s="265">
        <f>IF(BY17="Yes",1,0)</f>
        <v/>
      </c>
      <c r="CV17" s="265">
        <f>IF(BZ17="Yes",1,0)</f>
        <v/>
      </c>
      <c r="CW17" s="265">
        <f>IF(CA17="No",1,0)</f>
        <v/>
      </c>
      <c r="CX17" s="265">
        <f>IF(B17="",0,IF(AK17&gt;=5000000,0,1))</f>
        <v/>
      </c>
      <c r="CY17" s="265">
        <f>IF(B17="",0,IF(AL17&gt;=5000000,0,1))</f>
        <v/>
      </c>
      <c r="CZ17" s="265">
        <f>IF(OR(DA17=1,DB17=1,DC17=1),0,IF(B17="",0,IF(OR(AND(AN17="Tier 1",X17="No",OR(AI17&gt;$AJ$3,AJ17&gt;$AJ$4)),(AND(AN17="Tier 1",X17="Yes",AJ17&gt;$AJ$5)),(AND(AN17="Tier 2",X17="No",OR(AI17&gt;$AK$3,AJ17&gt;$AK$4))),(AND(AN17="Tier 2",X17="Yes",AJ17&gt;$AK$5)),(AND(AN17="Tier 3",X17="No",OR(AI17&gt;$AL$3,AJ17&gt;$AL$4))),(AND(AN17="Tier 3",X17="Yes",AJ17&gt;$AL$5))),1,0)))</f>
        <v/>
      </c>
      <c r="DA17" s="265">
        <f>IF(OR(DB17=1,DC17=1),0,IF(B17="",0,IF(OR(AND(AN17="Tier 1",X17="No",OR(AI17&gt;$AM$3,AJ17&gt;$AM$4)),(AND(AN17="Tier 1",X17="Yes",AJ17&gt;$AM$5)),(AND(AN17="Tier 2",X17="No",OR(AI17&gt;$AN$3,AJ17&gt;$AN$4))),(AND(AN17="Tier 2",X17="Yes",AJ17&gt;$AN$5)),(AND(AN17="Tier 3",X17="No",OR(AI17&gt;$AO$3,AJ17&gt;$AO$4))),(AND(AN17="Tier 3",X17="Yes",AJ17&gt;$AO$5))),1,0)))</f>
        <v/>
      </c>
      <c r="DB17" s="265">
        <f>IF(DC17=1,0,IF(B17="",0,IF(OR(AND(AN17="Tier 1",X17="No",OR(AI17&gt;$AP$3,AJ17&gt;$AP$4)),(AND(AN17="Tier 1",X17="Yes",AJ17&gt;$AP$5)),(AND(AN17="Tier 2",X17="No",OR(AI17&gt;$AQ$3,AJ17&gt;$AQ$4))),(AND(AN17="Tier 2",X17="Yes",AJ17&gt;$AQ$5)),(AND(AN17="Tier 3",X17="No",OR(AI17&gt;$AR$3,AJ17&gt;$AR$4))),(AND(AN17="Tier 3",X17="Yes",AJ17&gt;$AR$5))),1,0)))</f>
        <v/>
      </c>
      <c r="DC17" s="265">
        <f>IF(B17="",0,IF(OR(AND(AN17="Tier 1",X17="No",OR(AI17&gt;$AS$3,AJ17&gt;$AS$4)),(AND(AN17="Tier 1",X17="Yes",AJ17&gt;$AS$5)),(AND(AN17="Tier 2",X17="No",OR(AI17&gt;$AT$3,AJ17&gt;$AT$4))),(AND(AN17="Tier 2",X17="Yes",AJ17&gt;$AT$5)),(AND(AN17="Tier 3",X17="No",OR(AI17&gt;$AU$3,AJ17&gt;$AU$4))),(AND(AN17="Tier 3",X17="Yes",AJ17&gt;$AU$5))),1,0))</f>
        <v/>
      </c>
      <c r="DD17" s="265">
        <f>IF((SUM(CE17:CX17)=0),0,W17)</f>
        <v/>
      </c>
      <c r="DE17" s="265">
        <f>IF(OR(B17="",DD17&gt;0),0,W17)</f>
        <v/>
      </c>
      <c r="DF17" s="265">
        <f>IF(B17="",0,IF(COUNTIF(CE17:CX17,1)&gt;0,0,L17-M17))</f>
        <v/>
      </c>
      <c r="DG17" s="265">
        <f>DE17+IF(DD17&gt;0,0,DF17)</f>
        <v/>
      </c>
      <c r="DH17" s="265">
        <f>IF(B17="","",M17+DF17)</f>
        <v/>
      </c>
      <c r="DI17" s="265">
        <f>IF(B17="",0,J17-K17)</f>
        <v/>
      </c>
      <c r="DJ17" s="265">
        <f>IF(OR(BF17="EUR",BF17="CAD",BF17="GBP",BF17="AUD"),(GA17*(1-V17))+(HG17)+IF(HX17="",0,HX17*(1-U17)),0)</f>
        <v/>
      </c>
      <c r="DK17" s="265">
        <f>IF(BF17="EUR",33%,IF(BF17="CAD",38%,IF(BF17="GBP",51%,IF(BF17="AUD",61%,0))))</f>
        <v/>
      </c>
      <c r="DL17" s="265">
        <f>DJ17*DK17</f>
        <v/>
      </c>
      <c r="DN17" s="538">
        <f>IF(OR(Y17="Second Lien",Y17="Tier 1 Split Lien",Y17="Tier 2 Split Lien"),DG17,0)</f>
        <v/>
      </c>
      <c r="DO17" s="539">
        <f>DN17*DN$6</f>
        <v/>
      </c>
      <c r="DP17" s="538">
        <f>DG17-DO17</f>
        <v/>
      </c>
      <c r="DQ17" s="538">
        <f>IF(Y17="Second Lien",DP17,0)</f>
        <v/>
      </c>
      <c r="DR17" s="539">
        <f>DQ17*DQ$6</f>
        <v/>
      </c>
      <c r="DS17" s="538">
        <f>DP17-DR17</f>
        <v/>
      </c>
      <c r="DT17" s="538">
        <f>IF(BH17="Yes",DS17,0)</f>
        <v/>
      </c>
      <c r="DU17" s="539">
        <f>DT17*DT$6</f>
        <v/>
      </c>
      <c r="DV17" s="538">
        <f>DS17-DU17</f>
        <v/>
      </c>
      <c r="DW17" s="538">
        <f>IF(OR(BG17="Canada",BG17="United Kingdom",BG17="Australia",BG17="Netherlands Antilles",BG17="Bermuda",BG17="Cayman Islands",BG17="British Virgin Islands",BG17="Channel Islands",BG17="Isle of Man",BG17="Australia",BG17="Netherlands",BG17="Germany",BG17="Sweden",BG17="Switzerland",BG17="Austria",BG17="Belgium",BG17="Denmark",BG17="Finland",BG17="Iceland",BG17="Ireland",BG17="Lichtenstein",BG17="Luxemborg",BG17="Norway"),DV17,0)</f>
        <v/>
      </c>
      <c r="DX17" s="539">
        <f>DW17*DW$6</f>
        <v/>
      </c>
      <c r="DY17" s="538">
        <f>DV17-DX17</f>
        <v/>
      </c>
      <c r="DZ17" s="538">
        <f>IF(BI17="Yes",DY17,0)</f>
        <v/>
      </c>
      <c r="EA17" s="539">
        <f>DZ17*DZ$6</f>
        <v/>
      </c>
      <c r="EB17" s="538">
        <f>DY17-EA17</f>
        <v/>
      </c>
      <c r="EC17" s="538">
        <f>IF(OR(Z17="Delayed Draw",Z17="Revolver"),EB17,0)</f>
        <v/>
      </c>
      <c r="ED17" s="539">
        <f>EC17*EC$6</f>
        <v/>
      </c>
      <c r="EE17" s="538">
        <f>EB17-ED17</f>
        <v/>
      </c>
      <c r="EF17" s="538">
        <f>IF(S17="Yes",EE17,0)</f>
        <v/>
      </c>
      <c r="EG17" s="539">
        <f>EF17*EF$6</f>
        <v/>
      </c>
      <c r="EH17" s="538">
        <f>EE17-EG17</f>
        <v/>
      </c>
      <c r="EI17" s="538">
        <f>IF(Q17="Yes",EH17,0)</f>
        <v/>
      </c>
      <c r="EJ17" s="539">
        <f>EI17*EI$6</f>
        <v/>
      </c>
      <c r="EK17" s="538">
        <f>EH17-EJ17</f>
        <v/>
      </c>
      <c r="EL17" s="538">
        <f>IF(BD17="Semi-Annually",EK17,0)</f>
        <v/>
      </c>
      <c r="EM17" s="539">
        <f>EL17*EL$6</f>
        <v/>
      </c>
      <c r="EN17" s="538">
        <f>EK17-EM17</f>
        <v/>
      </c>
      <c r="EO17" s="538">
        <f>IF(BK17="Yes",EN17,0)</f>
        <v/>
      </c>
      <c r="EP17" s="539">
        <f>EO17*EO$6</f>
        <v/>
      </c>
      <c r="EQ17" s="538">
        <f>EN17-EP17</f>
        <v/>
      </c>
      <c r="ER17" s="538">
        <f>IF(BL17="Yes",EQ17,0)</f>
        <v/>
      </c>
      <c r="ES17" s="539">
        <f>ER17*ER$6</f>
        <v/>
      </c>
      <c r="ET17" s="538">
        <f>EQ17-ES17</f>
        <v/>
      </c>
      <c r="EU17" s="538">
        <f>IF(BM17="Yes",ET17,0)</f>
        <v/>
      </c>
      <c r="EV17" s="539">
        <f>EU17*EU$6</f>
        <v/>
      </c>
      <c r="EW17" s="538">
        <f>ET17-EV17</f>
        <v/>
      </c>
      <c r="EX17" s="538">
        <f>IF(BV17="Yes",EW17,0)</f>
        <v/>
      </c>
      <c r="EY17" s="539">
        <f>EX17*EX$6</f>
        <v/>
      </c>
      <c r="EZ17" s="538">
        <f>EW17-EY17</f>
        <v/>
      </c>
      <c r="FA17" s="538">
        <f>IF(AR17="Yes",EZ17,0)</f>
        <v/>
      </c>
      <c r="FB17" s="539">
        <f>FA17*FA$6</f>
        <v/>
      </c>
      <c r="FC17" s="538">
        <f>EZ17-FB17</f>
        <v/>
      </c>
      <c r="FD17" s="538">
        <f>IF(OR(BF17="EUR",BF17="AUD",BF17="CAD",BF17="GBP"),FC17,0)</f>
        <v/>
      </c>
      <c r="FE17" s="539">
        <f>FD17*FD$6</f>
        <v/>
      </c>
      <c r="FF17" s="538">
        <f>FC17-FE17</f>
        <v/>
      </c>
      <c r="FG17" s="538">
        <f>FF17</f>
        <v/>
      </c>
      <c r="FH17" s="538">
        <f>IF(FF17=0,0,VLOOKUP(C17,$GU$10:$GV$406,2,FALSE)*FF17)</f>
        <v/>
      </c>
      <c r="FI17" s="538">
        <f>FF17-FH17</f>
        <v/>
      </c>
      <c r="FJ17" s="538">
        <f>FI17</f>
        <v/>
      </c>
      <c r="FK17" s="538">
        <f>IF(OR(IB17="",FI17&lt;0.01),,VLOOKUP(IB17,$GL$10:$GM$406,2,FALSE)*FI17)</f>
        <v/>
      </c>
      <c r="FL17" s="538">
        <f>FI17-FK17</f>
        <v/>
      </c>
      <c r="FM17" s="538">
        <f>FL17</f>
        <v/>
      </c>
      <c r="FN17" s="538">
        <f>IF(FL17=0,0,VLOOKUP(C17,$HD$10:$HE$406,2,FALSE)*FL17)</f>
        <v/>
      </c>
      <c r="FO17" s="538">
        <f>FL17-FN17</f>
        <v/>
      </c>
      <c r="FP17" s="538">
        <f>IF(SUM(CY17:DC17)&gt;0,0,IF(AND(AL17&gt;=5000000,AL17&lt;7500000),FO17,0))</f>
        <v/>
      </c>
      <c r="FQ17" s="539">
        <f>IF(B17="",0,FP17*FP$6*(1-$U17))</f>
        <v/>
      </c>
      <c r="FR17" s="538">
        <f>FO17-FQ17</f>
        <v/>
      </c>
      <c r="FS17" s="538">
        <f>IF(SUM(CY17:DC17)&gt;0,0,IF(AL17&lt;15000000,FR17,0))</f>
        <v/>
      </c>
      <c r="FT17" s="539">
        <f>IF(B17="",0,FS17*FS$6*(1-$U17))</f>
        <v/>
      </c>
      <c r="FU17" s="538">
        <f>FR17-FT17</f>
        <v/>
      </c>
      <c r="FV17" s="538">
        <f>IF(SUM(CY17:DC17)&gt;0,0,IF(OR(AND(X17="No",AN17="Tier 1",AI17&gt;$AG$3),AND(X17="No",AN17="Tier 2",AI17&gt;$AH$3),AND(X17="No",AN17="Tier 3",AI17&gt;$AI$3)),FU17,0))</f>
        <v/>
      </c>
      <c r="FW17" s="538">
        <f>IF(SUM(CY17:DC17)&gt;0,0,IF(OR(AND(X17="No",AN17="Tier 1",AJ17&gt;$AG$4),AND(X17="No",AN17="Tier 2",AJ17&gt;$AH$4),AND(X17="No",AN17="Tier 3",AJ17&gt;$AI$4)),FU17,0))</f>
        <v/>
      </c>
      <c r="FX17" s="538">
        <f>IF(SUM(CY17:DC17)&gt;0,0,IF(OR(AND(X17="Yes",AN17="Tier 1",AJ17&gt;$AG$5),AND(X17="Yes",AN17="Tier 2",AJ17&gt;$AH$5),AND(X17="Yes",AN17="Tier 3",AJ17&gt;$AI$5)),FU17,0))</f>
        <v/>
      </c>
      <c r="FY17" s="538">
        <f>IF(SUM(FV17:FX17)&gt;0,FU17,0)</f>
        <v/>
      </c>
      <c r="FZ17" s="539">
        <f>IF(B17="",0,FY17*FV$6*(1-MIN(90%,T17)))</f>
        <v/>
      </c>
      <c r="GA17" s="538">
        <f>FU17-FZ17</f>
        <v/>
      </c>
      <c r="GB17" s="538">
        <f>IF(AND(N17="No",DI17=0),GA17,IF(AND(N17="No",DI17&lt;&gt;0,K17=0),0,IF(AND(N17="No",DI17&lt;&gt;0,K17&gt;0,J17&lt;&gt;K17),MAX(0,M17-(DH17-GA17)),DG17)))</f>
        <v/>
      </c>
      <c r="GC17" s="540">
        <f>+GB17*V17</f>
        <v/>
      </c>
      <c r="GD17" s="138">
        <f>IFERROR(GC17/K17,"")</f>
        <v/>
      </c>
      <c r="GE17" s="541">
        <f>IF(IB17="","",IB17)</f>
        <v/>
      </c>
      <c r="GF17" s="538">
        <f t="array" ref="GF17">IF(SUM(IF(IB$9:IB16=IB17,1,0))&gt;0,0,SUMIF($IB$10:$IB$406,IB17,$FI$10:$FI$406))</f>
        <v/>
      </c>
      <c r="GG17" s="270">
        <f>GF17</f>
        <v/>
      </c>
      <c r="GH17" s="137">
        <f>GH16+1</f>
        <v/>
      </c>
      <c r="GI17" s="542">
        <f>LARGE($GG$10:$GG$406,GH17)</f>
        <v/>
      </c>
      <c r="GJ17" s="542">
        <f>IF(GH17&gt;GH$6,0,IF(GH17=$GH$2,$GJ$2,IF(GH17&lt;4,$GJ$3,$GJ$4)))</f>
        <v/>
      </c>
      <c r="GK17" s="489">
        <f>MAX(0,GI17-GJ17)</f>
        <v/>
      </c>
      <c r="GL17" s="137">
        <f t="array" ref="GL17">IF(GI17=0,0,LARGE(IF($GF$10:$GF$406=GI17,$GE$10:$GE$406,0),COUNTIF($GI$10:$GI$406,GI17)-COUNTIF(GI$9:GI16,GI17)))</f>
        <v/>
      </c>
      <c r="GM17" s="272">
        <f>IF(GI17=0,0,GK17/GI17)</f>
        <v/>
      </c>
      <c r="GO17" s="137">
        <f>IF(C17="","",IF(ISERROR(MATCH(C17,C$10:C16,0)),MAX(GO$10:GO16)+1,INDEX(GO$10:GO16,MATCH(C17,C$10:C16,0))))</f>
        <v/>
      </c>
      <c r="GP17" s="538">
        <f>IF(COUNTIF($A$10:A17,A17)&lt;=1,SUMIF($A$10:$A$406,A17,$FG$10:$FG$406),0)</f>
        <v/>
      </c>
      <c r="GQ17" s="137">
        <f>GQ16+1</f>
        <v/>
      </c>
      <c r="GR17" s="542">
        <f>LARGE($GP$10:$GP$406,GQ17)</f>
        <v/>
      </c>
      <c r="GS17" s="542">
        <f>IF(GQ17&gt;GQ$6,0,IF(GQ17&lt;=GQ$2,GS$2,IF(AND(GQ17&lt;=$GQ$3,GQ17&gt;$GQ$2),GS$3,GS$4)))</f>
        <v/>
      </c>
      <c r="GT17" s="489">
        <f>MAX(0,GR17-GS17)</f>
        <v/>
      </c>
      <c r="GU17" s="137">
        <f t="array" ref="GU17">IF(GR17=0,0,LARGE(IF($GP$10:$GP$406=GR17,$GO$10:$GO$406,0),COUNTIF($GR$10:$GR$406,GR17)-COUNTIF(GR$9:GR16,GR17)))</f>
        <v/>
      </c>
      <c r="GV17" s="272">
        <f>IF(GR17=0,0,GT17/GR17)</f>
        <v/>
      </c>
      <c r="GW17" s="272" t="n"/>
      <c r="GX17" s="137">
        <f>IF(C17="","",IF(ISERROR(MATCH(C17,C$10:C16,0)),MAX(GO$10:GO16)+1,INDEX(GO$10:GO16,MATCH(C17,C$10:C16,0))))</f>
        <v/>
      </c>
      <c r="GY17" s="538">
        <f>IF(COUNTIF($A$10:A17,A17)&lt;=1,SUMIF($A$10:$A$406,A17,$FG$10:$FG$406),0)</f>
        <v/>
      </c>
      <c r="GZ17" s="137">
        <f>GZ16+1</f>
        <v/>
      </c>
      <c r="HA17" s="542">
        <f>LARGE($GY$10:$GY$406,GZ17)</f>
        <v/>
      </c>
      <c r="HB17" s="543" t="inlineStr">
        <is>
          <t>-</t>
        </is>
      </c>
      <c r="HC17" s="489">
        <f>IF(GZ17&lt;6,MAX(0,$HC$2/5),0)</f>
        <v/>
      </c>
      <c r="HD17" s="137">
        <f t="array" ref="HD17">IF(HA17=0,0,LARGE(IF($GY$10:$GY$406=HA17,$GX$10:$GX$406,0),COUNTIF($HA$10:$HA$406,HA17)-COUNTIF(HA$9:HA16,HA17)))</f>
        <v/>
      </c>
      <c r="HE17" s="272">
        <f>IF(HA17=0,0,HC17/HA17)</f>
        <v/>
      </c>
      <c r="HG17" s="270">
        <f>DG17-GA17</f>
        <v/>
      </c>
      <c r="HH17" s="544" t="n">
        <v>0</v>
      </c>
      <c r="HI17" s="538">
        <f>MIN(HH17,DE17)</f>
        <v/>
      </c>
      <c r="HK17" s="137">
        <f>IF(COUNTIF($C$10:$C$406,HK16+1),HK16+1,"")</f>
        <v/>
      </c>
      <c r="HL17" s="538">
        <f>SUMIF($C$10:$C$406,HK17,$DG$10:$DG$406)</f>
        <v/>
      </c>
      <c r="HN17" s="521">
        <f>MIN(HO17:HS17)</f>
        <v/>
      </c>
      <c r="HO17" s="521">
        <f>IF(B17="","",$M17)</f>
        <v/>
      </c>
      <c r="HP17" s="521">
        <f>IF($N17="Yes",IF(P17&gt;=6,0,MIN($T17*$M17,$U17*$M17)),"")</f>
        <v/>
      </c>
      <c r="HQ17" s="521">
        <f>IF(AND(N17="Yes",P17&gt;=6),"",IF($S17="Yes",$R17*$M17,""))</f>
        <v/>
      </c>
      <c r="HR17" s="521">
        <f>IF($Q17="Yes",MIN($M17,$T17*$M17),"")</f>
        <v/>
      </c>
      <c r="HS17" s="521">
        <f>IF(AND($N17="Yes",$P17&gt;=6),"",IF(OR(CY17=1,DC17=1,),MIN($T17*$M17,$U17*$M17),IF(OR(CZ17=1,DA17=1,DB17=1),IF(AK17&gt;=5000000,MIN($T17*$M17,$IE17*$M17),MIN($T17*$M17,$U17*$M17)),"")))</f>
        <v/>
      </c>
      <c r="HT17" s="521">
        <f>IF(DD17&gt;0,DD17,"")</f>
        <v/>
      </c>
      <c r="HU17" s="522">
        <f>IF(B17="",0,$L17-$M17)</f>
        <v/>
      </c>
      <c r="HV17" s="274">
        <f>IF(OR(SUM(HP17:HT17)&gt;0,P17&gt;=6),"",IF($B17="","",1))</f>
        <v/>
      </c>
      <c r="HW17" s="522">
        <f>IF(AND($HT17&lt;&gt;0,OR(HT17&lt;=MIN(HP17:HS17),SUM(HP17:HS17)=0)),$HT17,0)</f>
        <v/>
      </c>
      <c r="HX17" s="522">
        <f>IF(AND($HS17&lt;&gt;0,OR(AND($HS17&lt;&gt;$HT17,$HS17&lt;&gt;$HR17,$HS17&lt;&gt;$HQ17,$HS17&lt;&gt;$HP17,$HS17&lt;MIN($HP17:$HR17),$HS17&lt;HT17),SUM($HP17:$HR17)+SUM(HT17)=0),IA17&lt;=0),$HS17,0)</f>
        <v/>
      </c>
      <c r="HY17" s="522">
        <f>IF(AND($HR17&lt;&gt;0,OR(AND($HR17&lt;&gt;$HT17,$HR17&lt;&gt;$HS17,$HR17&lt;&gt;$HQ17,$HR17&lt;&gt;$HP17),$HR17&lt;MIN($HP17:$HQ17),$HR17&lt;MIN($HS17:$HT17),SUM($HP17:$HQ17)+SUM($HS17:$HT17)=0)),$HR17,0)</f>
        <v/>
      </c>
      <c r="HZ17" s="522">
        <f>IF(AND($HQ17&lt;&gt;0,OR(AND($HQ17&lt;&gt;$HT17,HQ17&lt;&gt;HS17,HQ17&lt;&gt;HR17,HQ17&lt;&gt;HP17,HQ17&lt;MIN(HR17:HT17)),SUM(HP17)+SUM(HR17:HT17)=0)),$HQ17,0)</f>
        <v/>
      </c>
      <c r="IA17" s="522">
        <f>IF(AND($HP17&lt;&gt;0,OR(HP17&lt;=MIN(HQ17:HT17),SUM(HQ17:HT17)=0)),$HP17,0)</f>
        <v/>
      </c>
      <c r="IB17" s="545" t="n">
        <v>1</v>
      </c>
      <c r="IC17">
        <f>HU17=DF17</f>
        <v/>
      </c>
      <c r="IE17" s="351">
        <f>IF(B17="","",IF(AND(Y17="Second Lien",OR(CZ17=1,DA17=1,DB17=1)),50%,IF(CZ17=1,90%,IF(DA17=1,80%,IF(DB17=1,65%,"No Initial Haircut")))))</f>
        <v/>
      </c>
    </row>
    <row r="18">
      <c r="A18">
        <f>D18</f>
        <v/>
      </c>
      <c r="B18" s="242">
        <f>IF(D18="","",B17+1)</f>
        <v/>
      </c>
      <c r="C18" s="242">
        <f>IF(COUNTIF($A$10:A17,A18)&gt;0,C17,C17+1)</f>
        <v/>
      </c>
      <c r="D18" s="243" t="inlineStr">
        <is>
          <t>Fieldstone Holdings, LLC</t>
        </is>
      </c>
      <c r="E18" s="243" t="inlineStr">
        <is>
          <t>Fieldstone (Term Loan)</t>
        </is>
      </c>
      <c r="F18" s="244" t="n"/>
      <c r="G18" s="528" t="n">
        <v>10088880.47</v>
      </c>
      <c r="H18" s="528" t="n">
        <v>10088880.47</v>
      </c>
      <c r="I18" s="246" t="n">
        <v>1</v>
      </c>
      <c r="J18" s="529">
        <f>IF(B18="","",G18*I18)</f>
        <v/>
      </c>
      <c r="K18" s="529">
        <f>IF(B18="","",H18*I18)</f>
        <v/>
      </c>
      <c r="L18" s="529">
        <f>IF(B18="","",IF(COUNTIF($CE18:$CX18,1)&gt;0,0,J18))</f>
        <v/>
      </c>
      <c r="M18" s="529">
        <f>IF(B18="","",IF(COUNTIF($CE18:$CX18,1)&gt;0,0,K18))</f>
        <v/>
      </c>
      <c r="N18" s="248" t="inlineStr">
        <is>
          <t>No</t>
        </is>
      </c>
      <c r="O18" s="248" t="inlineStr">
        <is>
          <t>N/A</t>
        </is>
      </c>
      <c r="P18" s="249">
        <f>IF(B18="","",IF(OR(O18="N/A",O18=""),0,YEARFRAC('Borrowing Base'!$J$4,'Loan List'!O18)*12))</f>
        <v/>
      </c>
      <c r="Q18" s="248" t="inlineStr">
        <is>
          <t>No</t>
        </is>
      </c>
      <c r="R18" s="250" t="n">
        <v>0.982574593903596</v>
      </c>
      <c r="S18" s="251">
        <f>IF(B18="","",IF(R18&lt;95%,"Yes","No"))</f>
        <v/>
      </c>
      <c r="T18" s="250" t="n">
        <v>1</v>
      </c>
      <c r="U18" s="252">
        <f>IF(B18="","",IF(OR(Y18="First Lien",Y18="Split First Lien",Y18="Tier 1 Split Lien",Y18="Tier 2 Split Lien"),50%,30%))</f>
        <v/>
      </c>
      <c r="V18" s="252">
        <f>IF(B18="",0,IF(AND(Y18="First Lien",AN18="Tier 1"),IF(AND(X18="Yes",MIN(AH18,$AJ$5)&gt;4.5),(((4.5/MIN(AH18,$AJ$5))*72.5%)+(((MIN(AH18,$AJ$5)-4.5)/MIN(AH18,$AJ$5))*35%)),72.5%),IF(AND(Y18="First Lien",AN18="Tier 2"),IF(AND(X18="Yes",MIN(AH18,$AK$5)&gt;4.5),(((4.5/MIN(AH18,$AK$5))*72.5%)+(((MIN(AH18,$AK$5)-4.5)/MIN(AH18,$AK$5))*35%)),72.5%),IF(AND(X18="Yes",MIN(AH18,$AL$5)&gt;4),(((4/MIN(AH18,$AL$5))*72.5%)+(((MIN(AH18,$AL$5)-4)/MIN(AH18,$AL$5))*35%)),IF(OR(Y18="First Lien",Y18="Split First Lien"),72.5%,IF(Y18="Split Lien", 53%,35%))))))</f>
        <v/>
      </c>
      <c r="W18" s="530">
        <f>IF($C18="","",MIN($HO18:$HS18))</f>
        <v/>
      </c>
      <c r="X18" s="248" t="inlineStr">
        <is>
          <t>No</t>
        </is>
      </c>
      <c r="Y18" s="254" t="inlineStr">
        <is>
          <t>First Lien</t>
        </is>
      </c>
      <c r="Z18" s="254" t="inlineStr">
        <is>
          <t>Term</t>
        </is>
      </c>
      <c r="AA18" s="531" t="inlineStr">
        <is>
          <t>NR</t>
        </is>
      </c>
      <c r="AB18" s="531" t="inlineStr">
        <is>
          <t xml:space="preserve"> NR</t>
        </is>
      </c>
      <c r="AC18" s="532" t="n">
        <v>1.58</v>
      </c>
      <c r="AD18" s="532" t="n">
        <v>3.753841875914634</v>
      </c>
      <c r="AE18" s="532" t="n">
        <v>3.45968417639641</v>
      </c>
      <c r="AF18" s="257" t="n">
        <v>0.4818932113807119</v>
      </c>
      <c r="AG18" s="533" t="n">
        <v>3.753841875914634</v>
      </c>
      <c r="AH18" s="533" t="n">
        <v>3.753841875914634</v>
      </c>
      <c r="AI18" s="533" t="n">
        <v>3.343457410367665</v>
      </c>
      <c r="AJ18" s="533" t="n">
        <v>3.343457410367665</v>
      </c>
      <c r="AK18" s="534" t="n">
        <v>32800000</v>
      </c>
      <c r="AL18" s="534" t="n">
        <v>35032000</v>
      </c>
      <c r="AM18" s="260" t="n">
        <v>45838</v>
      </c>
      <c r="AN18" s="529">
        <f>IF(C18="","",(IF(AK18&gt;=50000000,"Tier 1",(IF(OR(AK18&gt;=20000000,AND(AK18&gt;5000000,AC18&gt;=1.25,AF18&lt;=0.65)),"Tier 2","Tier 3")))))</f>
        <v/>
      </c>
      <c r="AO18" s="244" t="n">
        <v>47543</v>
      </c>
      <c r="AP18" s="535" t="n">
        <v>4.586111111111111</v>
      </c>
      <c r="AQ18" s="535">
        <f>IF(C18="","",AP18)</f>
        <v/>
      </c>
      <c r="AR18" s="248" t="inlineStr">
        <is>
          <t>No</t>
        </is>
      </c>
      <c r="AS18" s="250" t="n">
        <v>0</v>
      </c>
      <c r="AT18" s="248" t="inlineStr">
        <is>
          <t>Yes</t>
        </is>
      </c>
      <c r="AU18" s="250" t="n">
        <v>0.01</v>
      </c>
      <c r="AV18" s="250" t="n">
        <v>0.055</v>
      </c>
      <c r="AW18" s="250" t="n">
        <v>0.042956</v>
      </c>
      <c r="AX18" s="262">
        <f>IF(C18="","",MAX(AU18,AW18))</f>
        <v/>
      </c>
      <c r="AY18" s="250" t="n">
        <v>0</v>
      </c>
      <c r="AZ18" s="250" t="n">
        <v>0</v>
      </c>
      <c r="BA18" s="250" t="n">
        <v>0</v>
      </c>
      <c r="BB18" s="412">
        <f>IF(B18="","",IF(AR18="No",AV18-AZ18,""))</f>
        <v/>
      </c>
      <c r="BC18" s="412">
        <f>IF(B18="","",IF(AR18="Yes",AS18-BA18,""))</f>
        <v/>
      </c>
      <c r="BD18" s="254" t="inlineStr">
        <is>
          <t>Quarterly</t>
        </is>
      </c>
      <c r="BE18" s="536" t="inlineStr">
        <is>
          <t>Construction &amp; Engineering</t>
        </is>
      </c>
      <c r="BF18" s="254" t="inlineStr">
        <is>
          <t>USD</t>
        </is>
      </c>
      <c r="BG18" s="254" t="inlineStr">
        <is>
          <t>United States</t>
        </is>
      </c>
      <c r="BH18" s="248" t="inlineStr">
        <is>
          <t>No</t>
        </is>
      </c>
      <c r="BI18" s="413">
        <f>IF(B18="","",IF(OR(AND(AZ18&gt;0,BB18&gt;=2.5%,BB18&lt;4%),AND(BA18&gt;0,BC18&gt;=6%,BC18&lt;8%)),"Yes","No"))</f>
        <v/>
      </c>
      <c r="BJ18" s="413">
        <f>IF(B18="","",IF(OR(AND(AZ18&gt;0,BB18&lt;2.5%),AND(BA18&gt;0,BC18&lt;6%)),"Yes","No"))</f>
        <v/>
      </c>
      <c r="BK18" s="248" t="inlineStr">
        <is>
          <t>No</t>
        </is>
      </c>
      <c r="BL18" s="248" t="inlineStr">
        <is>
          <t>No</t>
        </is>
      </c>
      <c r="BM18" s="248" t="inlineStr">
        <is>
          <t>No</t>
        </is>
      </c>
      <c r="BN18" s="248" t="inlineStr">
        <is>
          <t>No</t>
        </is>
      </c>
      <c r="BO18" s="248" t="inlineStr">
        <is>
          <t>No</t>
        </is>
      </c>
      <c r="BP18" s="248" t="inlineStr">
        <is>
          <t>No</t>
        </is>
      </c>
      <c r="BQ18" s="248" t="inlineStr">
        <is>
          <t>No</t>
        </is>
      </c>
      <c r="BR18" s="248" t="inlineStr">
        <is>
          <t>No</t>
        </is>
      </c>
      <c r="BS18" s="248" t="inlineStr">
        <is>
          <t>No</t>
        </is>
      </c>
      <c r="BT18" s="248" t="inlineStr">
        <is>
          <t>No</t>
        </is>
      </c>
      <c r="BU18" s="248" t="inlineStr">
        <is>
          <t>No</t>
        </is>
      </c>
      <c r="BV18" s="248" t="inlineStr">
        <is>
          <t>No</t>
        </is>
      </c>
      <c r="BW18" s="248" t="inlineStr">
        <is>
          <t>No</t>
        </is>
      </c>
      <c r="BX18" s="248" t="inlineStr">
        <is>
          <t>No</t>
        </is>
      </c>
      <c r="BY18" s="248" t="inlineStr">
        <is>
          <t>No</t>
        </is>
      </c>
      <c r="BZ18" s="248" t="inlineStr">
        <is>
          <t>No</t>
        </is>
      </c>
      <c r="CA18" s="248" t="inlineStr">
        <is>
          <t>Yes</t>
        </is>
      </c>
      <c r="CB18" s="537">
        <f>IF(B18="","",IF(AT18="No",((BB18+AW18)-$AZ$4),((BB18+AX18)-$AZ$4))*IF(DD18&gt;0,0,M18))</f>
        <v/>
      </c>
      <c r="CC18" s="537">
        <f>IF(B18="","",AY18*(L18-M18)*IF(DD18&gt;0,0,1))</f>
        <v/>
      </c>
      <c r="CD18" s="265" t="n"/>
      <c r="CE18" s="265">
        <f>IF(AND(B18&lt;&gt;"",R18&lt;=85%),1,0)</f>
        <v/>
      </c>
      <c r="CF18" s="265">
        <f>IF(B18="",0,(IF(OR(BF18="USD",BF18="CAD",BF18="GBP",BF18="AUD",BF18="EUR"),0,1)))</f>
        <v/>
      </c>
      <c r="CG18" s="265">
        <f>IF(B18="",0,(IF(OR(BG18="United States",BG18="Canada",BG18="United Kingdom",BG18="Australia",BG18="Netherlands Antilles",BG18="Bermuda",BG18="Cayman Islands",BG18="British Virgin Islands",BG18="Channel Islands",BG18="Isle of Man",BG18="Australia",BG18="Netherlands",BG18="Germany",BG18="Sweden",BG18="Switzerland",BG18="Austria",BG18="Belgium",BG18="Denmark",BG18="Finland",BG18="Iceland",BG18="Ireland",BG18="Lichtenstein",BG18="Luxemborg",BG18="Norway"),0,1)))</f>
        <v/>
      </c>
      <c r="CH18" s="265">
        <f>IF(BN18="Yes",1,0)</f>
        <v/>
      </c>
      <c r="CI18" s="265">
        <f>IF(BO18="Yes",1,0)</f>
        <v/>
      </c>
      <c r="CJ18" s="265">
        <f>IF(BP18="Yes",1,0)</f>
        <v/>
      </c>
      <c r="CK18" s="265">
        <f>IF(BQ18="Yes",1,0)</f>
        <v/>
      </c>
      <c r="CL18" s="265">
        <f>IF(BR18="Yes",1,0)</f>
        <v/>
      </c>
      <c r="CM18" s="265">
        <f>IF(BS18="Yes",1,0)</f>
        <v/>
      </c>
      <c r="CN18" s="265">
        <f>IF(OR(AND(BJ18="Yes",N18="No"),AND(BJ18="Yes",N18="Yes",P18&gt;=6)),1,0)</f>
        <v/>
      </c>
      <c r="CO18" s="265">
        <f>IF(BT18="Yes",1,0)</f>
        <v/>
      </c>
      <c r="CP18" s="265">
        <f>IF(AND(BU18="Yes",BV18="No"),1,0)</f>
        <v/>
      </c>
      <c r="CQ18" s="265">
        <f>IF(BW18="Yes",1,0)</f>
        <v/>
      </c>
      <c r="CR18" s="265">
        <f>IF(AP18="",0,IF(AP18&gt;7,1,0))</f>
        <v/>
      </c>
      <c r="CS18" s="265">
        <f>IF(OR(BD18&lt;&gt;"Monthly",BD18&lt;&gt;"Quarterly",BD18&lt;&gt;"Semi-Annually"),0,1)</f>
        <v/>
      </c>
      <c r="CT18" s="265">
        <f>IF(BX18="Yes",1,0)</f>
        <v/>
      </c>
      <c r="CU18" s="265">
        <f>IF(BY18="Yes",1,0)</f>
        <v/>
      </c>
      <c r="CV18" s="265">
        <f>IF(BZ18="Yes",1,0)</f>
        <v/>
      </c>
      <c r="CW18" s="265">
        <f>IF(CA18="No",1,0)</f>
        <v/>
      </c>
      <c r="CX18" s="265">
        <f>IF(B18="",0,IF(AK18&gt;=5000000,0,1))</f>
        <v/>
      </c>
      <c r="CY18" s="265">
        <f>IF(B18="",0,IF(AL18&gt;=5000000,0,1))</f>
        <v/>
      </c>
      <c r="CZ18" s="265">
        <f>IF(OR(DA18=1,DB18=1,DC18=1),0,IF(B18="",0,IF(OR(AND(AN18="Tier 1",X18="No",OR(AI18&gt;$AJ$3,AJ18&gt;$AJ$4)),(AND(AN18="Tier 1",X18="Yes",AJ18&gt;$AJ$5)),(AND(AN18="Tier 2",X18="No",OR(AI18&gt;$AK$3,AJ18&gt;$AK$4))),(AND(AN18="Tier 2",X18="Yes",AJ18&gt;$AK$5)),(AND(AN18="Tier 3",X18="No",OR(AI18&gt;$AL$3,AJ18&gt;$AL$4))),(AND(AN18="Tier 3",X18="Yes",AJ18&gt;$AL$5))),1,0)))</f>
        <v/>
      </c>
      <c r="DA18" s="265">
        <f>IF(OR(DB18=1,DC18=1),0,IF(B18="",0,IF(OR(AND(AN18="Tier 1",X18="No",OR(AI18&gt;$AM$3,AJ18&gt;$AM$4)),(AND(AN18="Tier 1",X18="Yes",AJ18&gt;$AM$5)),(AND(AN18="Tier 2",X18="No",OR(AI18&gt;$AN$3,AJ18&gt;$AN$4))),(AND(AN18="Tier 2",X18="Yes",AJ18&gt;$AN$5)),(AND(AN18="Tier 3",X18="No",OR(AI18&gt;$AO$3,AJ18&gt;$AO$4))),(AND(AN18="Tier 3",X18="Yes",AJ18&gt;$AO$5))),1,0)))</f>
        <v/>
      </c>
      <c r="DB18" s="265">
        <f>IF(DC18=1,0,IF(B18="",0,IF(OR(AND(AN18="Tier 1",X18="No",OR(AI18&gt;$AP$3,AJ18&gt;$AP$4)),(AND(AN18="Tier 1",X18="Yes",AJ18&gt;$AP$5)),(AND(AN18="Tier 2",X18="No",OR(AI18&gt;$AQ$3,AJ18&gt;$AQ$4))),(AND(AN18="Tier 2",X18="Yes",AJ18&gt;$AQ$5)),(AND(AN18="Tier 3",X18="No",OR(AI18&gt;$AR$3,AJ18&gt;$AR$4))),(AND(AN18="Tier 3",X18="Yes",AJ18&gt;$AR$5))),1,0)))</f>
        <v/>
      </c>
      <c r="DC18" s="265">
        <f>IF(B18="",0,IF(OR(AND(AN18="Tier 1",X18="No",OR(AI18&gt;$AS$3,AJ18&gt;$AS$4)),(AND(AN18="Tier 1",X18="Yes",AJ18&gt;$AS$5)),(AND(AN18="Tier 2",X18="No",OR(AI18&gt;$AT$3,AJ18&gt;$AT$4))),(AND(AN18="Tier 2",X18="Yes",AJ18&gt;$AT$5)),(AND(AN18="Tier 3",X18="No",OR(AI18&gt;$AU$3,AJ18&gt;$AU$4))),(AND(AN18="Tier 3",X18="Yes",AJ18&gt;$AU$5))),1,0))</f>
        <v/>
      </c>
      <c r="DD18" s="265">
        <f>IF((SUM(CE18:CX18)=0),0,W18)</f>
        <v/>
      </c>
      <c r="DE18" s="265">
        <f>IF(OR(B18="",DD18&gt;0),0,W18)</f>
        <v/>
      </c>
      <c r="DF18" s="265">
        <f>IF(B18="",0,IF(COUNTIF(CE18:CX18,1)&gt;0,0,L18-M18))</f>
        <v/>
      </c>
      <c r="DG18" s="265">
        <f>DE18+IF(DD18&gt;0,0,DF18)</f>
        <v/>
      </c>
      <c r="DH18" s="265">
        <f>IF(B18="","",M18+DF18)</f>
        <v/>
      </c>
      <c r="DI18" s="265">
        <f>IF(B18="",0,J18-K18)</f>
        <v/>
      </c>
      <c r="DJ18" s="265">
        <f>IF(OR(BF18="EUR",BF18="CAD",BF18="GBP",BF18="AUD"),(GA18*(1-V18))+(HG18)+IF(HX18="",0,HX18*(1-U18)),0)</f>
        <v/>
      </c>
      <c r="DK18" s="265">
        <f>IF(BF18="EUR",33%,IF(BF18="CAD",38%,IF(BF18="GBP",51%,IF(BF18="AUD",61%,0))))</f>
        <v/>
      </c>
      <c r="DL18" s="265">
        <f>DJ18*DK18</f>
        <v/>
      </c>
      <c r="DN18" s="538">
        <f>IF(OR(Y18="Second Lien",Y18="Tier 1 Split Lien",Y18="Tier 2 Split Lien"),DG18,0)</f>
        <v/>
      </c>
      <c r="DO18" s="539">
        <f>DN18*DN$6</f>
        <v/>
      </c>
      <c r="DP18" s="538">
        <f>DG18-DO18</f>
        <v/>
      </c>
      <c r="DQ18" s="538">
        <f>IF(Y18="Second Lien",DP18,0)</f>
        <v/>
      </c>
      <c r="DR18" s="539">
        <f>DQ18*DQ$6</f>
        <v/>
      </c>
      <c r="DS18" s="538">
        <f>DP18-DR18</f>
        <v/>
      </c>
      <c r="DT18" s="538">
        <f>IF(BH18="Yes",DS18,0)</f>
        <v/>
      </c>
      <c r="DU18" s="539">
        <f>DT18*DT$6</f>
        <v/>
      </c>
      <c r="DV18" s="538">
        <f>DS18-DU18</f>
        <v/>
      </c>
      <c r="DW18" s="538">
        <f>IF(OR(BG18="Canada",BG18="United Kingdom",BG18="Australia",BG18="Netherlands Antilles",BG18="Bermuda",BG18="Cayman Islands",BG18="British Virgin Islands",BG18="Channel Islands",BG18="Isle of Man",BG18="Australia",BG18="Netherlands",BG18="Germany",BG18="Sweden",BG18="Switzerland",BG18="Austria",BG18="Belgium",BG18="Denmark",BG18="Finland",BG18="Iceland",BG18="Ireland",BG18="Lichtenstein",BG18="Luxemborg",BG18="Norway"),DV18,0)</f>
        <v/>
      </c>
      <c r="DX18" s="539">
        <f>DW18*DW$6</f>
        <v/>
      </c>
      <c r="DY18" s="538">
        <f>DV18-DX18</f>
        <v/>
      </c>
      <c r="DZ18" s="538">
        <f>IF(BI18="Yes",DY18,0)</f>
        <v/>
      </c>
      <c r="EA18" s="539">
        <f>DZ18*DZ$6</f>
        <v/>
      </c>
      <c r="EB18" s="538">
        <f>DY18-EA18</f>
        <v/>
      </c>
      <c r="EC18" s="538">
        <f>IF(OR(Z18="Delayed Draw",Z18="Revolver"),EB18,0)</f>
        <v/>
      </c>
      <c r="ED18" s="539">
        <f>EC18*EC$6</f>
        <v/>
      </c>
      <c r="EE18" s="538">
        <f>EB18-ED18</f>
        <v/>
      </c>
      <c r="EF18" s="538">
        <f>IF(S18="Yes",EE18,0)</f>
        <v/>
      </c>
      <c r="EG18" s="539">
        <f>EF18*EF$6</f>
        <v/>
      </c>
      <c r="EH18" s="538">
        <f>EE18-EG18</f>
        <v/>
      </c>
      <c r="EI18" s="538">
        <f>IF(Q18="Yes",EH18,0)</f>
        <v/>
      </c>
      <c r="EJ18" s="539">
        <f>EI18*EI$6</f>
        <v/>
      </c>
      <c r="EK18" s="538">
        <f>EH18-EJ18</f>
        <v/>
      </c>
      <c r="EL18" s="538">
        <f>IF(BD18="Semi-Annually",EK18,0)</f>
        <v/>
      </c>
      <c r="EM18" s="539">
        <f>EL18*EL$6</f>
        <v/>
      </c>
      <c r="EN18" s="538">
        <f>EK18-EM18</f>
        <v/>
      </c>
      <c r="EO18" s="538">
        <f>IF(BK18="Yes",EN18,0)</f>
        <v/>
      </c>
      <c r="EP18" s="539">
        <f>EO18*EO$6</f>
        <v/>
      </c>
      <c r="EQ18" s="538">
        <f>EN18-EP18</f>
        <v/>
      </c>
      <c r="ER18" s="538">
        <f>IF(BL18="Yes",EQ18,0)</f>
        <v/>
      </c>
      <c r="ES18" s="539">
        <f>ER18*ER$6</f>
        <v/>
      </c>
      <c r="ET18" s="538">
        <f>EQ18-ES18</f>
        <v/>
      </c>
      <c r="EU18" s="538">
        <f>IF(BM18="Yes",ET18,0)</f>
        <v/>
      </c>
      <c r="EV18" s="539">
        <f>EU18*EU$6</f>
        <v/>
      </c>
      <c r="EW18" s="538">
        <f>ET18-EV18</f>
        <v/>
      </c>
      <c r="EX18" s="538">
        <f>IF(BV18="Yes",EW18,0)</f>
        <v/>
      </c>
      <c r="EY18" s="539">
        <f>EX18*EX$6</f>
        <v/>
      </c>
      <c r="EZ18" s="538">
        <f>EW18-EY18</f>
        <v/>
      </c>
      <c r="FA18" s="538">
        <f>IF(AR18="Yes",EZ18,0)</f>
        <v/>
      </c>
      <c r="FB18" s="539">
        <f>FA18*FA$6</f>
        <v/>
      </c>
      <c r="FC18" s="538">
        <f>EZ18-FB18</f>
        <v/>
      </c>
      <c r="FD18" s="538">
        <f>IF(OR(BF18="EUR",BF18="AUD",BF18="CAD",BF18="GBP"),FC18,0)</f>
        <v/>
      </c>
      <c r="FE18" s="539">
        <f>FD18*FD$6</f>
        <v/>
      </c>
      <c r="FF18" s="538">
        <f>FC18-FE18</f>
        <v/>
      </c>
      <c r="FG18" s="538">
        <f>FF18</f>
        <v/>
      </c>
      <c r="FH18" s="538">
        <f>IF(FF18=0,0,VLOOKUP(C18,$GU$10:$GV$406,2,FALSE)*FF18)</f>
        <v/>
      </c>
      <c r="FI18" s="538">
        <f>FF18-FH18</f>
        <v/>
      </c>
      <c r="FJ18" s="538">
        <f>FI18</f>
        <v/>
      </c>
      <c r="FK18" s="538">
        <f>IF(OR(IB18="",FI18&lt;0.01),,VLOOKUP(IB18,$GL$10:$GM$406,2,FALSE)*FI18)</f>
        <v/>
      </c>
      <c r="FL18" s="538">
        <f>FI18-FK18</f>
        <v/>
      </c>
      <c r="FM18" s="538">
        <f>FL18</f>
        <v/>
      </c>
      <c r="FN18" s="538">
        <f>IF(FL18=0,0,VLOOKUP(C18,$HD$10:$HE$406,2,FALSE)*FL18)</f>
        <v/>
      </c>
      <c r="FO18" s="538">
        <f>FL18-FN18</f>
        <v/>
      </c>
      <c r="FP18" s="538">
        <f>IF(SUM(CY18:DC18)&gt;0,0,IF(AND(AL18&gt;=5000000,AL18&lt;7500000),FO18,0))</f>
        <v/>
      </c>
      <c r="FQ18" s="539">
        <f>IF(B18="",0,FP18*FP$6*(1-$U18))</f>
        <v/>
      </c>
      <c r="FR18" s="538">
        <f>FO18-FQ18</f>
        <v/>
      </c>
      <c r="FS18" s="538">
        <f>IF(SUM(CY18:DC18)&gt;0,0,IF(AL18&lt;15000000,FR18,0))</f>
        <v/>
      </c>
      <c r="FT18" s="539">
        <f>IF(B18="",0,FS18*FS$6*(1-$U18))</f>
        <v/>
      </c>
      <c r="FU18" s="538">
        <f>FR18-FT18</f>
        <v/>
      </c>
      <c r="FV18" s="538">
        <f>IF(SUM(CY18:DC18)&gt;0,0,IF(OR(AND(X18="No",AN18="Tier 1",AI18&gt;$AG$3),AND(X18="No",AN18="Tier 2",AI18&gt;$AH$3),AND(X18="No",AN18="Tier 3",AI18&gt;$AI$3)),FU18,0))</f>
        <v/>
      </c>
      <c r="FW18" s="538">
        <f>IF(SUM(CY18:DC18)&gt;0,0,IF(OR(AND(X18="No",AN18="Tier 1",AJ18&gt;$AG$4),AND(X18="No",AN18="Tier 2",AJ18&gt;$AH$4),AND(X18="No",AN18="Tier 3",AJ18&gt;$AI$4)),FU18,0))</f>
        <v/>
      </c>
      <c r="FX18" s="538">
        <f>IF(SUM(CY18:DC18)&gt;0,0,IF(OR(AND(X18="Yes",AN18="Tier 1",AJ18&gt;$AG$5),AND(X18="Yes",AN18="Tier 2",AJ18&gt;$AH$5),AND(X18="Yes",AN18="Tier 3",AJ18&gt;$AI$5)),FU18,0))</f>
        <v/>
      </c>
      <c r="FY18" s="538">
        <f>IF(SUM(FV18:FX18)&gt;0,FU18,0)</f>
        <v/>
      </c>
      <c r="FZ18" s="539">
        <f>IF(B18="",0,FY18*FV$6*(1-MIN(90%,T18)))</f>
        <v/>
      </c>
      <c r="GA18" s="538">
        <f>FU18-FZ18</f>
        <v/>
      </c>
      <c r="GB18" s="538">
        <f>IF(AND(N18="No",DI18=0),GA18,IF(AND(N18="No",DI18&lt;&gt;0,K18=0),0,IF(AND(N18="No",DI18&lt;&gt;0,K18&gt;0,J18&lt;&gt;K18),MAX(0,M18-(DH18-GA18)),DG18)))</f>
        <v/>
      </c>
      <c r="GC18" s="540">
        <f>+GB18*V18</f>
        <v/>
      </c>
      <c r="GD18" s="138">
        <f>IFERROR(GC18/K18,"")</f>
        <v/>
      </c>
      <c r="GE18" s="541">
        <f>IF(IB18="","",IB18)</f>
        <v/>
      </c>
      <c r="GF18" s="538">
        <f t="array" ref="GF18">IF(SUM(IF(IB$9:IB17=IB18,1,0))&gt;0,0,SUMIF($IB$10:$IB$406,IB18,$FI$10:$FI$406))</f>
        <v/>
      </c>
      <c r="GG18" s="270">
        <f>GF18</f>
        <v/>
      </c>
      <c r="GH18" s="137">
        <f>GH17+1</f>
        <v/>
      </c>
      <c r="GI18" s="542">
        <f>LARGE($GG$10:$GG$406,GH18)</f>
        <v/>
      </c>
      <c r="GJ18" s="542">
        <f>IF(GH18&gt;GH$6,0,IF(GH18=$GH$2,$GJ$2,IF(GH18&lt;4,$GJ$3,$GJ$4)))</f>
        <v/>
      </c>
      <c r="GK18" s="489">
        <f>MAX(0,GI18-GJ18)</f>
        <v/>
      </c>
      <c r="GL18" s="137">
        <f t="array" ref="GL18">IF(GI18=0,0,LARGE(IF($GF$10:$GF$406=GI18,$GE$10:$GE$406,0),COUNTIF($GI$10:$GI$406,GI18)-COUNTIF(GI$9:GI17,GI18)))</f>
        <v/>
      </c>
      <c r="GM18" s="272">
        <f>IF(GI18=0,0,GK18/GI18)</f>
        <v/>
      </c>
      <c r="GO18" s="137">
        <f>IF(C18="","",IF(ISERROR(MATCH(C18,C$10:C17,0)),MAX(GO$10:GO17)+1,INDEX(GO$10:GO17,MATCH(C18,C$10:C17,0))))</f>
        <v/>
      </c>
      <c r="GP18" s="538">
        <f>IF(COUNTIF($A$10:A18,A18)&lt;=1,SUMIF($A$10:$A$406,A18,$FG$10:$FG$406),0)</f>
        <v/>
      </c>
      <c r="GQ18" s="137">
        <f>GQ17+1</f>
        <v/>
      </c>
      <c r="GR18" s="542">
        <f>LARGE($GP$10:$GP$406,GQ18)</f>
        <v/>
      </c>
      <c r="GS18" s="542">
        <f>IF(GQ18&gt;GQ$6,0,IF(GQ18&lt;=GQ$2,GS$2,IF(AND(GQ18&lt;=$GQ$3,GQ18&gt;$GQ$2),GS$3,GS$4)))</f>
        <v/>
      </c>
      <c r="GT18" s="489">
        <f>MAX(0,GR18-GS18)</f>
        <v/>
      </c>
      <c r="GU18" s="137">
        <f t="array" ref="GU18">IF(GR18=0,0,LARGE(IF($GP$10:$GP$406=GR18,$GO$10:$GO$406,0),COUNTIF($GR$10:$GR$406,GR18)-COUNTIF(GR$9:GR17,GR18)))</f>
        <v/>
      </c>
      <c r="GV18" s="272">
        <f>IF(GR18=0,0,GT18/GR18)</f>
        <v/>
      </c>
      <c r="GW18" s="272" t="n"/>
      <c r="GX18" s="137">
        <f>IF(C18="","",IF(ISERROR(MATCH(C18,C$10:C17,0)),MAX(GO$10:GO17)+1,INDEX(GO$10:GO17,MATCH(C18,C$10:C17,0))))</f>
        <v/>
      </c>
      <c r="GY18" s="538">
        <f>IF(COUNTIF($A$10:A18,A18)&lt;=1,SUMIF($A$10:$A$406,A18,$FG$10:$FG$406),0)</f>
        <v/>
      </c>
      <c r="GZ18" s="137">
        <f>GZ17+1</f>
        <v/>
      </c>
      <c r="HA18" s="542">
        <f>LARGE($GY$10:$GY$406,GZ18)</f>
        <v/>
      </c>
      <c r="HB18" s="543" t="inlineStr">
        <is>
          <t>-</t>
        </is>
      </c>
      <c r="HC18" s="489">
        <f>IF(GZ18&lt;6,MAX(0,$HC$2/5),0)</f>
        <v/>
      </c>
      <c r="HD18" s="137">
        <f t="array" ref="HD18">IF(HA18=0,0,LARGE(IF($GY$10:$GY$406=HA18,$GX$10:$GX$406,0),COUNTIF($HA$10:$HA$406,HA18)-COUNTIF(HA$9:HA17,HA18)))</f>
        <v/>
      </c>
      <c r="HE18" s="272">
        <f>IF(HA18=0,0,HC18/HA18)</f>
        <v/>
      </c>
      <c r="HG18" s="270">
        <f>DG18-GA18</f>
        <v/>
      </c>
      <c r="HH18" s="544" t="n">
        <v>0</v>
      </c>
      <c r="HI18" s="538">
        <f>MIN(HH18,DE18)</f>
        <v/>
      </c>
      <c r="HK18" s="137">
        <f>IF(COUNTIF($C$10:$C$406,HK17+1),HK17+1,"")</f>
        <v/>
      </c>
      <c r="HL18" s="538">
        <f>SUMIF($C$10:$C$406,HK18,$DG$10:$DG$406)</f>
        <v/>
      </c>
      <c r="HN18" s="521">
        <f>MIN(HO18:HS18)</f>
        <v/>
      </c>
      <c r="HO18" s="521">
        <f>IF(B18="","",$M18)</f>
        <v/>
      </c>
      <c r="HP18" s="521">
        <f>IF($N18="Yes",IF(P18&gt;=6,0,MIN($T18*$M18,$U18*$M18)),"")</f>
        <v/>
      </c>
      <c r="HQ18" s="521">
        <f>IF(AND(N18="Yes",P18&gt;=6),"",IF($S18="Yes",$R18*$M18,""))</f>
        <v/>
      </c>
      <c r="HR18" s="521">
        <f>IF($Q18="Yes",MIN($M18,$T18*$M18),"")</f>
        <v/>
      </c>
      <c r="HS18" s="521">
        <f>IF(AND($N18="Yes",$P18&gt;=6),"",IF(OR(CY18=1,DC18=1,),MIN($T18*$M18,$U18*$M18),IF(OR(CZ18=1,DA18=1,DB18=1),IF(AK18&gt;=5000000,MIN($T18*$M18,$IE18*$M18),MIN($T18*$M18,$U18*$M18)),"")))</f>
        <v/>
      </c>
      <c r="HT18" s="521">
        <f>IF(DD18&gt;0,DD18,"")</f>
        <v/>
      </c>
      <c r="HU18" s="522">
        <f>IF(B18="",0,$L18-$M18)</f>
        <v/>
      </c>
      <c r="HV18" s="274">
        <f>IF(OR(SUM(HP18:HT18)&gt;0,P18&gt;=6),"",IF($B18="","",1))</f>
        <v/>
      </c>
      <c r="HW18" s="522">
        <f>IF(AND($HT18&lt;&gt;0,OR(HT18&lt;=MIN(HP18:HS18),SUM(HP18:HS18)=0)),$HT18,0)</f>
        <v/>
      </c>
      <c r="HX18" s="522">
        <f>IF(AND($HS18&lt;&gt;0,OR(AND($HS18&lt;&gt;$HT18,$HS18&lt;&gt;$HR18,$HS18&lt;&gt;$HQ18,$HS18&lt;&gt;$HP18,$HS18&lt;MIN($HP18:$HR18),$HS18&lt;HT18),SUM($HP18:$HR18)+SUM(HT18)=0),IA18&lt;=0),$HS18,0)</f>
        <v/>
      </c>
      <c r="HY18" s="522">
        <f>IF(AND($HR18&lt;&gt;0,OR(AND($HR18&lt;&gt;$HT18,$HR18&lt;&gt;$HS18,$HR18&lt;&gt;$HQ18,$HR18&lt;&gt;$HP18),$HR18&lt;MIN($HP18:$HQ18),$HR18&lt;MIN($HS18:$HT18),SUM($HP18:$HQ18)+SUM($HS18:$HT18)=0)),$HR18,0)</f>
        <v/>
      </c>
      <c r="HZ18" s="522">
        <f>IF(AND($HQ18&lt;&gt;0,OR(AND($HQ18&lt;&gt;$HT18,HQ18&lt;&gt;HS18,HQ18&lt;&gt;HR18,HQ18&lt;&gt;HP18,HQ18&lt;MIN(HR18:HT18)),SUM(HP18)+SUM(HR18:HT18)=0)),$HQ18,0)</f>
        <v/>
      </c>
      <c r="IA18" s="522">
        <f>IF(AND($HP18&lt;&gt;0,OR(HP18&lt;=MIN(HQ18:HT18),SUM(HQ18:HT18)=0)),$HP18,0)</f>
        <v/>
      </c>
      <c r="IB18" s="545" t="n">
        <v>14</v>
      </c>
      <c r="IC18">
        <f>HU18=DF18</f>
        <v/>
      </c>
      <c r="IE18" s="351">
        <f>IF(B18="","",IF(AND(Y18="Second Lien",OR(CZ18=1,DA18=1,DB18=1)),50%,IF(CZ18=1,90%,IF(DA18=1,80%,IF(DB18=1,65%,"No Initial Haircut")))))</f>
        <v/>
      </c>
    </row>
    <row r="19">
      <c r="A19">
        <f>D19</f>
        <v/>
      </c>
      <c r="B19" s="242">
        <f>IF(D19="","",B18+1)</f>
        <v/>
      </c>
      <c r="C19" s="242">
        <f>IF(COUNTIF($A$10:A18,A19)&gt;0,C18,C18+1)</f>
        <v/>
      </c>
      <c r="D19" s="243" t="inlineStr">
        <is>
          <t>Brightpath Holdings, LLC</t>
        </is>
      </c>
      <c r="E19" s="243" t="inlineStr">
        <is>
          <t>Brightpath (TL)</t>
        </is>
      </c>
      <c r="F19" s="244" t="n"/>
      <c r="G19" s="528" t="n">
        <v>3661073.93</v>
      </c>
      <c r="H19" s="528" t="n">
        <v>3661073.93</v>
      </c>
      <c r="I19" s="246" t="n">
        <v>1</v>
      </c>
      <c r="J19" s="529">
        <f>IF(B19="","",G19*I19)</f>
        <v/>
      </c>
      <c r="K19" s="529">
        <f>IF(B19="","",H19*I19)</f>
        <v/>
      </c>
      <c r="L19" s="529">
        <f>IF(B19="","",IF(COUNTIF($CE19:$CX19,1)&gt;0,0,J19))</f>
        <v/>
      </c>
      <c r="M19" s="529">
        <f>IF(B19="","",IF(COUNTIF($CE19:$CX19,1)&gt;0,0,K19))</f>
        <v/>
      </c>
      <c r="N19" s="248" t="inlineStr">
        <is>
          <t>No</t>
        </is>
      </c>
      <c r="O19" s="248" t="inlineStr">
        <is>
          <t>N/A</t>
        </is>
      </c>
      <c r="P19" s="249">
        <f>IF(B19="","",IF(OR(O19="N/A",O19=""),0,YEARFRAC('Borrowing Base'!$J$4,'Loan List'!O19)*12))</f>
        <v/>
      </c>
      <c r="Q19" s="248" t="inlineStr">
        <is>
          <t>No</t>
        </is>
      </c>
      <c r="R19" s="250" t="n">
        <v>0.9838</v>
      </c>
      <c r="S19" s="251">
        <f>IF(B19="","",IF(R19&lt;95%,"Yes","No"))</f>
        <v/>
      </c>
      <c r="T19" s="250" t="n">
        <v>0.9775000009355178</v>
      </c>
      <c r="U19" s="252">
        <f>IF(B19="","",IF(OR(Y19="First Lien",Y19="Split First Lien",Y19="Tier 1 Split Lien",Y19="Tier 2 Split Lien"),50%,30%))</f>
        <v/>
      </c>
      <c r="V19" s="252">
        <f>IF(B19="",0,IF(AND(Y19="First Lien",AN19="Tier 1"),IF(AND(X19="Yes",MIN(AH19,$AJ$5)&gt;4.5),(((4.5/MIN(AH19,$AJ$5))*72.5%)+(((MIN(AH19,$AJ$5)-4.5)/MIN(AH19,$AJ$5))*35%)),72.5%),IF(AND(Y19="First Lien",AN19="Tier 2"),IF(AND(X19="Yes",MIN(AH19,$AK$5)&gt;4.5),(((4.5/MIN(AH19,$AK$5))*72.5%)+(((MIN(AH19,$AK$5)-4.5)/MIN(AH19,$AK$5))*35%)),72.5%),IF(AND(X19="Yes",MIN(AH19,$AL$5)&gt;4),(((4/MIN(AH19,$AL$5))*72.5%)+(((MIN(AH19,$AL$5)-4)/MIN(AH19,$AL$5))*35%)),IF(OR(Y19="First Lien",Y19="Split First Lien"),72.5%,IF(Y19="Split Lien", 53%,35%))))))</f>
        <v/>
      </c>
      <c r="W19" s="530">
        <f>IF($C19="","",MIN($HO19:$HS19))</f>
        <v/>
      </c>
      <c r="X19" s="248" t="inlineStr">
        <is>
          <t>Yes</t>
        </is>
      </c>
      <c r="Y19" s="254" t="inlineStr">
        <is>
          <t>First Lien</t>
        </is>
      </c>
      <c r="Z19" s="254" t="inlineStr">
        <is>
          <t>Term</t>
        </is>
      </c>
      <c r="AA19" s="531" t="inlineStr">
        <is>
          <t>NR</t>
        </is>
      </c>
      <c r="AB19" s="531" t="inlineStr">
        <is>
          <t xml:space="preserve"> NR</t>
        </is>
      </c>
      <c r="AC19" s="532" t="n">
        <v>1.80337078651685</v>
      </c>
      <c r="AD19" s="532" t="n">
        <v>5.185185185185185</v>
      </c>
      <c r="AE19" s="532" t="n">
        <v>5.712392709741042</v>
      </c>
      <c r="AF19" s="257" t="n">
        <v>0.588235294117647</v>
      </c>
      <c r="AG19" s="533" t="n">
        <v>5.185185185185185</v>
      </c>
      <c r="AH19" s="533" t="n">
        <v>5.185185185185185</v>
      </c>
      <c r="AI19" s="533" t="n">
        <v>5.712392709741042</v>
      </c>
      <c r="AJ19" s="533" t="n">
        <v>5.712392709741042</v>
      </c>
      <c r="AK19" s="534" t="n">
        <v>135000000</v>
      </c>
      <c r="AL19" s="534" t="n">
        <v>136895000</v>
      </c>
      <c r="AM19" s="260" t="n">
        <v>45747</v>
      </c>
      <c r="AN19" s="529">
        <f>IF(C19="","",(IF(AK19&gt;=50000000,"Tier 1",(IF(OR(AK19&gt;=20000000,AND(AK19&gt;5000000,AC19&gt;=1.25,AF19&lt;=0.65)),"Tier 2","Tier 3")))))</f>
        <v/>
      </c>
      <c r="AO19" s="244" t="n">
        <v>47301</v>
      </c>
      <c r="AP19" s="535" t="n">
        <v>3.922222222222222</v>
      </c>
      <c r="AQ19" s="535">
        <f>IF(C19="","",AP19)</f>
        <v/>
      </c>
      <c r="AR19" s="248" t="inlineStr">
        <is>
          <t>No</t>
        </is>
      </c>
      <c r="AS19" s="250" t="n">
        <v>0</v>
      </c>
      <c r="AT19" s="248" t="inlineStr">
        <is>
          <t>Yes</t>
        </is>
      </c>
      <c r="AU19" s="250" t="n">
        <v>0.01</v>
      </c>
      <c r="AV19" s="250" t="n">
        <v>0.0575</v>
      </c>
      <c r="AW19" s="250" t="n">
        <v>0.042956</v>
      </c>
      <c r="AX19" s="262">
        <f>IF(C19="","",MAX(AU19,AW19))</f>
        <v/>
      </c>
      <c r="AY19" s="250" t="n">
        <v>0</v>
      </c>
      <c r="AZ19" s="250" t="n">
        <v>0</v>
      </c>
      <c r="BA19" s="250" t="n">
        <v>0</v>
      </c>
      <c r="BB19" s="412">
        <f>IF(B19="","",IF(AR19="No",AV19-AZ19,""))</f>
        <v/>
      </c>
      <c r="BC19" s="412">
        <f>IF(B19="","",IF(AR19="Yes",AS19-BA19,""))</f>
        <v/>
      </c>
      <c r="BD19" s="254" t="inlineStr">
        <is>
          <t>Quarterly</t>
        </is>
      </c>
      <c r="BE19" s="536" t="inlineStr">
        <is>
          <t>Software</t>
        </is>
      </c>
      <c r="BF19" s="254" t="inlineStr">
        <is>
          <t>USD</t>
        </is>
      </c>
      <c r="BG19" s="254" t="inlineStr">
        <is>
          <t>United States</t>
        </is>
      </c>
      <c r="BH19" s="248" t="inlineStr">
        <is>
          <t>No</t>
        </is>
      </c>
      <c r="BI19" s="413">
        <f>IF(B19="","",IF(OR(AND(AZ19&gt;0,BB19&gt;=2.5%,BB19&lt;4%),AND(BA19&gt;0,BC19&gt;=6%,BC19&lt;8%)),"Yes","No"))</f>
        <v/>
      </c>
      <c r="BJ19" s="413">
        <f>IF(B19="","",IF(OR(AND(AZ19&gt;0,BB19&lt;2.5%),AND(BA19&gt;0,BC19&lt;6%)),"Yes","No"))</f>
        <v/>
      </c>
      <c r="BK19" s="248" t="inlineStr">
        <is>
          <t>No</t>
        </is>
      </c>
      <c r="BL19" s="248" t="inlineStr">
        <is>
          <t>No</t>
        </is>
      </c>
      <c r="BM19" s="248" t="inlineStr">
        <is>
          <t>No</t>
        </is>
      </c>
      <c r="BN19" s="248" t="inlineStr">
        <is>
          <t>No</t>
        </is>
      </c>
      <c r="BO19" s="248" t="inlineStr">
        <is>
          <t>No</t>
        </is>
      </c>
      <c r="BP19" s="248" t="inlineStr">
        <is>
          <t>No</t>
        </is>
      </c>
      <c r="BQ19" s="248" t="inlineStr">
        <is>
          <t>No</t>
        </is>
      </c>
      <c r="BR19" s="248" t="inlineStr">
        <is>
          <t>No</t>
        </is>
      </c>
      <c r="BS19" s="248" t="inlineStr">
        <is>
          <t>No</t>
        </is>
      </c>
      <c r="BT19" s="248" t="inlineStr">
        <is>
          <t>No</t>
        </is>
      </c>
      <c r="BU19" s="248" t="inlineStr">
        <is>
          <t>No</t>
        </is>
      </c>
      <c r="BV19" s="248" t="inlineStr">
        <is>
          <t>No</t>
        </is>
      </c>
      <c r="BW19" s="248" t="inlineStr">
        <is>
          <t>No</t>
        </is>
      </c>
      <c r="BX19" s="248" t="inlineStr">
        <is>
          <t>No</t>
        </is>
      </c>
      <c r="BY19" s="248" t="inlineStr">
        <is>
          <t>No</t>
        </is>
      </c>
      <c r="BZ19" s="248" t="inlineStr">
        <is>
          <t>No</t>
        </is>
      </c>
      <c r="CA19" s="248" t="inlineStr">
        <is>
          <t>Yes</t>
        </is>
      </c>
      <c r="CB19" s="537">
        <f>IF(B19="","",IF(AT19="No",((BB19+AW19)-$AZ$4),((BB19+AX19)-$AZ$4))*IF(DD19&gt;0,0,M19))</f>
        <v/>
      </c>
      <c r="CC19" s="537">
        <f>IF(B19="","",AY19*(L19-M19)*IF(DD19&gt;0,0,1))</f>
        <v/>
      </c>
      <c r="CD19" s="265" t="n"/>
      <c r="CE19" s="265">
        <f>IF(AND(B19&lt;&gt;"",R19&lt;=85%),1,0)</f>
        <v/>
      </c>
      <c r="CF19" s="265">
        <f>IF(B19="",0,(IF(OR(BF19="USD",BF19="CAD",BF19="GBP",BF19="AUD",BF19="EUR"),0,1)))</f>
        <v/>
      </c>
      <c r="CG19" s="265">
        <f>IF(B19="",0,(IF(OR(BG19="United States",BG19="Canada",BG19="United Kingdom",BG19="Australia",BG19="Netherlands Antilles",BG19="Bermuda",BG19="Cayman Islands",BG19="British Virgin Islands",BG19="Channel Islands",BG19="Isle of Man",BG19="Australia",BG19="Netherlands",BG19="Germany",BG19="Sweden",BG19="Switzerland",BG19="Austria",BG19="Belgium",BG19="Denmark",BG19="Finland",BG19="Iceland",BG19="Ireland",BG19="Lichtenstein",BG19="Luxemborg",BG19="Norway"),0,1)))</f>
        <v/>
      </c>
      <c r="CH19" s="265">
        <f>IF(BN19="Yes",1,0)</f>
        <v/>
      </c>
      <c r="CI19" s="265">
        <f>IF(BO19="Yes",1,0)</f>
        <v/>
      </c>
      <c r="CJ19" s="265">
        <f>IF(BP19="Yes",1,0)</f>
        <v/>
      </c>
      <c r="CK19" s="265">
        <f>IF(BQ19="Yes",1,0)</f>
        <v/>
      </c>
      <c r="CL19" s="265">
        <f>IF(BR19="Yes",1,0)</f>
        <v/>
      </c>
      <c r="CM19" s="265">
        <f>IF(BS19="Yes",1,0)</f>
        <v/>
      </c>
      <c r="CN19" s="265">
        <f>IF(OR(AND(BJ19="Yes",N19="No"),AND(BJ19="Yes",N19="Yes",P19&gt;=6)),1,0)</f>
        <v/>
      </c>
      <c r="CO19" s="265">
        <f>IF(BT19="Yes",1,0)</f>
        <v/>
      </c>
      <c r="CP19" s="265">
        <f>IF(AND(BU19="Yes",BV19="No"),1,0)</f>
        <v/>
      </c>
      <c r="CQ19" s="265">
        <f>IF(BW19="Yes",1,0)</f>
        <v/>
      </c>
      <c r="CR19" s="265">
        <f>IF(AP19="",0,IF(AP19&gt;7,1,0))</f>
        <v/>
      </c>
      <c r="CS19" s="265">
        <f>IF(OR(BD19&lt;&gt;"Monthly",BD19&lt;&gt;"Quarterly",BD19&lt;&gt;"Semi-Annually"),0,1)</f>
        <v/>
      </c>
      <c r="CT19" s="265">
        <f>IF(BX19="Yes",1,0)</f>
        <v/>
      </c>
      <c r="CU19" s="265">
        <f>IF(BY19="Yes",1,0)</f>
        <v/>
      </c>
      <c r="CV19" s="265">
        <f>IF(BZ19="Yes",1,0)</f>
        <v/>
      </c>
      <c r="CW19" s="265">
        <f>IF(CA19="No",1,0)</f>
        <v/>
      </c>
      <c r="CX19" s="265">
        <f>IF(B19="",0,IF(AK19&gt;=5000000,0,1))</f>
        <v/>
      </c>
      <c r="CY19" s="265">
        <f>IF(B19="",0,IF(AL19&gt;=5000000,0,1))</f>
        <v/>
      </c>
      <c r="CZ19" s="265">
        <f>IF(OR(DA19=1,DB19=1,DC19=1),0,IF(B19="",0,IF(OR(AND(AN19="Tier 1",X19="No",OR(AI19&gt;$AJ$3,AJ19&gt;$AJ$4)),(AND(AN19="Tier 1",X19="Yes",AJ19&gt;$AJ$5)),(AND(AN19="Tier 2",X19="No",OR(AI19&gt;$AK$3,AJ19&gt;$AK$4))),(AND(AN19="Tier 2",X19="Yes",AJ19&gt;$AK$5)),(AND(AN19="Tier 3",X19="No",OR(AI19&gt;$AL$3,AJ19&gt;$AL$4))),(AND(AN19="Tier 3",X19="Yes",AJ19&gt;$AL$5))),1,0)))</f>
        <v/>
      </c>
      <c r="DA19" s="265">
        <f>IF(OR(DB19=1,DC19=1),0,IF(B19="",0,IF(OR(AND(AN19="Tier 1",X19="No",OR(AI19&gt;$AM$3,AJ19&gt;$AM$4)),(AND(AN19="Tier 1",X19="Yes",AJ19&gt;$AM$5)),(AND(AN19="Tier 2",X19="No",OR(AI19&gt;$AN$3,AJ19&gt;$AN$4))),(AND(AN19="Tier 2",X19="Yes",AJ19&gt;$AN$5)),(AND(AN19="Tier 3",X19="No",OR(AI19&gt;$AO$3,AJ19&gt;$AO$4))),(AND(AN19="Tier 3",X19="Yes",AJ19&gt;$AO$5))),1,0)))</f>
        <v/>
      </c>
      <c r="DB19" s="265">
        <f>IF(DC19=1,0,IF(B19="",0,IF(OR(AND(AN19="Tier 1",X19="No",OR(AI19&gt;$AP$3,AJ19&gt;$AP$4)),(AND(AN19="Tier 1",X19="Yes",AJ19&gt;$AP$5)),(AND(AN19="Tier 2",X19="No",OR(AI19&gt;$AQ$3,AJ19&gt;$AQ$4))),(AND(AN19="Tier 2",X19="Yes",AJ19&gt;$AQ$5)),(AND(AN19="Tier 3",X19="No",OR(AI19&gt;$AR$3,AJ19&gt;$AR$4))),(AND(AN19="Tier 3",X19="Yes",AJ19&gt;$AR$5))),1,0)))</f>
        <v/>
      </c>
      <c r="DC19" s="265">
        <f>IF(B19="",0,IF(OR(AND(AN19="Tier 1",X19="No",OR(AI19&gt;$AS$3,AJ19&gt;$AS$4)),(AND(AN19="Tier 1",X19="Yes",AJ19&gt;$AS$5)),(AND(AN19="Tier 2",X19="No",OR(AI19&gt;$AT$3,AJ19&gt;$AT$4))),(AND(AN19="Tier 2",X19="Yes",AJ19&gt;$AT$5)),(AND(AN19="Tier 3",X19="No",OR(AI19&gt;$AU$3,AJ19&gt;$AU$4))),(AND(AN19="Tier 3",X19="Yes",AJ19&gt;$AU$5))),1,0))</f>
        <v/>
      </c>
      <c r="DD19" s="265">
        <f>IF((SUM(CE19:CX19)=0),0,W19)</f>
        <v/>
      </c>
      <c r="DE19" s="265">
        <f>IF(OR(B19="",DD19&gt;0),0,W19)</f>
        <v/>
      </c>
      <c r="DF19" s="265">
        <f>IF(B19="",0,IF(COUNTIF(CE19:CX19,1)&gt;0,0,L19-M19))</f>
        <v/>
      </c>
      <c r="DG19" s="265">
        <f>DE19+IF(DD19&gt;0,0,DF19)</f>
        <v/>
      </c>
      <c r="DH19" s="265">
        <f>IF(B19="","",M19+DF19)</f>
        <v/>
      </c>
      <c r="DI19" s="265">
        <f>IF(B19="",0,J19-K19)</f>
        <v/>
      </c>
      <c r="DJ19" s="265">
        <f>IF(OR(BF19="EUR",BF19="CAD",BF19="GBP",BF19="AUD"),(GA19*(1-V19))+(HG19)+IF(HX19="",0,HX19*(1-U19)),0)</f>
        <v/>
      </c>
      <c r="DK19" s="265">
        <f>IF(BF19="EUR",33%,IF(BF19="CAD",38%,IF(BF19="GBP",51%,IF(BF19="AUD",61%,0))))</f>
        <v/>
      </c>
      <c r="DL19" s="265">
        <f>DJ19*DK19</f>
        <v/>
      </c>
      <c r="DN19" s="538">
        <f>IF(OR(Y19="Second Lien",Y19="Tier 1 Split Lien",Y19="Tier 2 Split Lien"),DG19,0)</f>
        <v/>
      </c>
      <c r="DO19" s="539">
        <f>DN19*DN$6</f>
        <v/>
      </c>
      <c r="DP19" s="538">
        <f>DG19-DO19</f>
        <v/>
      </c>
      <c r="DQ19" s="538">
        <f>IF(Y19="Second Lien",DP19,0)</f>
        <v/>
      </c>
      <c r="DR19" s="539">
        <f>DQ19*DQ$6</f>
        <v/>
      </c>
      <c r="DS19" s="538">
        <f>DP19-DR19</f>
        <v/>
      </c>
      <c r="DT19" s="538">
        <f>IF(BH19="Yes",DS19,0)</f>
        <v/>
      </c>
      <c r="DU19" s="539">
        <f>DT19*DT$6</f>
        <v/>
      </c>
      <c r="DV19" s="538">
        <f>DS19-DU19</f>
        <v/>
      </c>
      <c r="DW19" s="538">
        <f>IF(OR(BG19="Canada",BG19="United Kingdom",BG19="Australia",BG19="Netherlands Antilles",BG19="Bermuda",BG19="Cayman Islands",BG19="British Virgin Islands",BG19="Channel Islands",BG19="Isle of Man",BG19="Australia",BG19="Netherlands",BG19="Germany",BG19="Sweden",BG19="Switzerland",BG19="Austria",BG19="Belgium",BG19="Denmark",BG19="Finland",BG19="Iceland",BG19="Ireland",BG19="Lichtenstein",BG19="Luxemborg",BG19="Norway"),DV19,0)</f>
        <v/>
      </c>
      <c r="DX19" s="539">
        <f>DW19*DW$6</f>
        <v/>
      </c>
      <c r="DY19" s="538">
        <f>DV19-DX19</f>
        <v/>
      </c>
      <c r="DZ19" s="538">
        <f>IF(BI19="Yes",DY19,0)</f>
        <v/>
      </c>
      <c r="EA19" s="539">
        <f>DZ19*DZ$6</f>
        <v/>
      </c>
      <c r="EB19" s="538">
        <f>DY19-EA19</f>
        <v/>
      </c>
      <c r="EC19" s="538">
        <f>IF(OR(Z19="Delayed Draw",Z19="Revolver"),EB19,0)</f>
        <v/>
      </c>
      <c r="ED19" s="539">
        <f>EC19*EC$6</f>
        <v/>
      </c>
      <c r="EE19" s="538">
        <f>EB19-ED19</f>
        <v/>
      </c>
      <c r="EF19" s="538">
        <f>IF(S19="Yes",EE19,0)</f>
        <v/>
      </c>
      <c r="EG19" s="539">
        <f>EF19*EF$6</f>
        <v/>
      </c>
      <c r="EH19" s="538">
        <f>EE19-EG19</f>
        <v/>
      </c>
      <c r="EI19" s="538">
        <f>IF(Q19="Yes",EH19,0)</f>
        <v/>
      </c>
      <c r="EJ19" s="539">
        <f>EI19*EI$6</f>
        <v/>
      </c>
      <c r="EK19" s="538">
        <f>EH19-EJ19</f>
        <v/>
      </c>
      <c r="EL19" s="538">
        <f>IF(BD19="Semi-Annually",EK19,0)</f>
        <v/>
      </c>
      <c r="EM19" s="539">
        <f>EL19*EL$6</f>
        <v/>
      </c>
      <c r="EN19" s="538">
        <f>EK19-EM19</f>
        <v/>
      </c>
      <c r="EO19" s="538">
        <f>IF(BK19="Yes",EN19,0)</f>
        <v/>
      </c>
      <c r="EP19" s="539">
        <f>EO19*EO$6</f>
        <v/>
      </c>
      <c r="EQ19" s="538">
        <f>EN19-EP19</f>
        <v/>
      </c>
      <c r="ER19" s="538">
        <f>IF(BL19="Yes",EQ19,0)</f>
        <v/>
      </c>
      <c r="ES19" s="539">
        <f>ER19*ER$6</f>
        <v/>
      </c>
      <c r="ET19" s="538">
        <f>EQ19-ES19</f>
        <v/>
      </c>
      <c r="EU19" s="538">
        <f>IF(BM19="Yes",ET19,0)</f>
        <v/>
      </c>
      <c r="EV19" s="539">
        <f>EU19*EU$6</f>
        <v/>
      </c>
      <c r="EW19" s="538">
        <f>ET19-EV19</f>
        <v/>
      </c>
      <c r="EX19" s="538">
        <f>IF(BV19="Yes",EW19,0)</f>
        <v/>
      </c>
      <c r="EY19" s="539">
        <f>EX19*EX$6</f>
        <v/>
      </c>
      <c r="EZ19" s="538">
        <f>EW19-EY19</f>
        <v/>
      </c>
      <c r="FA19" s="538">
        <f>IF(AR19="Yes",EZ19,0)</f>
        <v/>
      </c>
      <c r="FB19" s="539">
        <f>FA19*FA$6</f>
        <v/>
      </c>
      <c r="FC19" s="538">
        <f>EZ19-FB19</f>
        <v/>
      </c>
      <c r="FD19" s="538">
        <f>IF(OR(BF19="EUR",BF19="AUD",BF19="CAD",BF19="GBP"),FC19,0)</f>
        <v/>
      </c>
      <c r="FE19" s="539">
        <f>FD19*FD$6</f>
        <v/>
      </c>
      <c r="FF19" s="538">
        <f>FC19-FE19</f>
        <v/>
      </c>
      <c r="FG19" s="538">
        <f>FF19</f>
        <v/>
      </c>
      <c r="FH19" s="538">
        <f>IF(FF19=0,0,VLOOKUP(C19,$GU$10:$GV$406,2,FALSE)*FF19)</f>
        <v/>
      </c>
      <c r="FI19" s="538">
        <f>FF19-FH19</f>
        <v/>
      </c>
      <c r="FJ19" s="538">
        <f>FI19</f>
        <v/>
      </c>
      <c r="FK19" s="538">
        <f>IF(OR(IB19="",FI19&lt;0.01),,VLOOKUP(IB19,$GL$10:$GM$406,2,FALSE)*FI19)</f>
        <v/>
      </c>
      <c r="FL19" s="538">
        <f>FI19-FK19</f>
        <v/>
      </c>
      <c r="FM19" s="538">
        <f>FL19</f>
        <v/>
      </c>
      <c r="FN19" s="538">
        <f>IF(FL19=0,0,VLOOKUP(C19,$HD$10:$HE$406,2,FALSE)*FL19)</f>
        <v/>
      </c>
      <c r="FO19" s="538">
        <f>FL19-FN19</f>
        <v/>
      </c>
      <c r="FP19" s="538">
        <f>IF(SUM(CY19:DC19)&gt;0,0,IF(AND(AL19&gt;=5000000,AL19&lt;7500000),FO19,0))</f>
        <v/>
      </c>
      <c r="FQ19" s="539">
        <f>IF(B19="",0,FP19*FP$6*(1-$U19))</f>
        <v/>
      </c>
      <c r="FR19" s="538">
        <f>FO19-FQ19</f>
        <v/>
      </c>
      <c r="FS19" s="538">
        <f>IF(SUM(CY19:DC19)&gt;0,0,IF(AL19&lt;15000000,FR19,0))</f>
        <v/>
      </c>
      <c r="FT19" s="539">
        <f>IF(B19="",0,FS19*FS$6*(1-$U19))</f>
        <v/>
      </c>
      <c r="FU19" s="538">
        <f>FR19-FT19</f>
        <v/>
      </c>
      <c r="FV19" s="538">
        <f>IF(SUM(CY19:DC19)&gt;0,0,IF(OR(AND(X19="No",AN19="Tier 1",AI19&gt;$AG$3),AND(X19="No",AN19="Tier 2",AI19&gt;$AH$3),AND(X19="No",AN19="Tier 3",AI19&gt;$AI$3)),FU19,0))</f>
        <v/>
      </c>
      <c r="FW19" s="538">
        <f>IF(SUM(CY19:DC19)&gt;0,0,IF(OR(AND(X19="No",AN19="Tier 1",AJ19&gt;$AG$4),AND(X19="No",AN19="Tier 2",AJ19&gt;$AH$4),AND(X19="No",AN19="Tier 3",AJ19&gt;$AI$4)),FU19,0))</f>
        <v/>
      </c>
      <c r="FX19" s="538">
        <f>IF(SUM(CY19:DC19)&gt;0,0,IF(OR(AND(X19="Yes",AN19="Tier 1",AJ19&gt;$AG$5),AND(X19="Yes",AN19="Tier 2",AJ19&gt;$AH$5),AND(X19="Yes",AN19="Tier 3",AJ19&gt;$AI$5)),FU19,0))</f>
        <v/>
      </c>
      <c r="FY19" s="538">
        <f>IF(SUM(FV19:FX19)&gt;0,FU19,0)</f>
        <v/>
      </c>
      <c r="FZ19" s="539">
        <f>IF(B19="",0,FY19*FV$6*(1-MIN(90%,T19)))</f>
        <v/>
      </c>
      <c r="GA19" s="538">
        <f>FU19-FZ19</f>
        <v/>
      </c>
      <c r="GB19" s="538">
        <f>IF(AND(N19="No",DI19=0),GA19,IF(AND(N19="No",DI19&lt;&gt;0,K19=0),0,IF(AND(N19="No",DI19&lt;&gt;0,K19&gt;0,J19&lt;&gt;K19),MAX(0,M19-(DH19-GA19)),DG19)))</f>
        <v/>
      </c>
      <c r="GC19" s="540">
        <f>+GB19*V19</f>
        <v/>
      </c>
      <c r="GD19" s="138">
        <f>IFERROR(GC19/K19,"")</f>
        <v/>
      </c>
      <c r="GE19" s="541">
        <f>IF(IB19="","",IB19)</f>
        <v/>
      </c>
      <c r="GF19" s="538">
        <f t="array" ref="GF19">IF(SUM(IF(IB$9:IB18=IB19,1,0))&gt;0,0,SUMIF($IB$10:$IB$406,IB19,$FI$10:$FI$406))</f>
        <v/>
      </c>
      <c r="GG19" s="270">
        <f>GF19</f>
        <v/>
      </c>
      <c r="GH19" s="137">
        <f>GH18+1</f>
        <v/>
      </c>
      <c r="GI19" s="542">
        <f>LARGE($GG$10:$GG$406,GH19)</f>
        <v/>
      </c>
      <c r="GJ19" s="542">
        <f>IF(GH19&gt;GH$6,0,IF(GH19=$GH$2,$GJ$2,IF(GH19&lt;4,$GJ$3,$GJ$4)))</f>
        <v/>
      </c>
      <c r="GK19" s="489">
        <f>MAX(0,GI19-GJ19)</f>
        <v/>
      </c>
      <c r="GL19" s="137">
        <f t="array" ref="GL19">IF(GI19=0,0,LARGE(IF($GF$10:$GF$406=GI19,$GE$10:$GE$406,0),COUNTIF($GI$10:$GI$406,GI19)-COUNTIF(GI$9:GI18,GI19)))</f>
        <v/>
      </c>
      <c r="GM19" s="272">
        <f>IF(GI19=0,0,GK19/GI19)</f>
        <v/>
      </c>
      <c r="GO19" s="137">
        <f>IF(C19="","",IF(ISERROR(MATCH(C19,C$10:C18,0)),MAX(GO$10:GO18)+1,INDEX(GO$10:GO18,MATCH(C19,C$10:C18,0))))</f>
        <v/>
      </c>
      <c r="GP19" s="538">
        <f>IF(COUNTIF($A$10:A19,A19)&lt;=1,SUMIF($A$10:$A$406,A19,$FG$10:$FG$406),0)</f>
        <v/>
      </c>
      <c r="GQ19" s="137">
        <f>GQ18+1</f>
        <v/>
      </c>
      <c r="GR19" s="542">
        <f>LARGE($GP$10:$GP$406,GQ19)</f>
        <v/>
      </c>
      <c r="GS19" s="542">
        <f>IF(GQ19&gt;GQ$6,0,IF(GQ19&lt;=GQ$2,GS$2,IF(AND(GQ19&lt;=$GQ$3,GQ19&gt;$GQ$2),GS$3,GS$4)))</f>
        <v/>
      </c>
      <c r="GT19" s="489">
        <f>MAX(0,GR19-GS19)</f>
        <v/>
      </c>
      <c r="GU19" s="137">
        <f t="array" ref="GU19">IF(GR19=0,0,LARGE(IF($GP$10:$GP$406=GR19,$GO$10:$GO$406,0),COUNTIF($GR$10:$GR$406,GR19)-COUNTIF(GR$9:GR18,GR19)))</f>
        <v/>
      </c>
      <c r="GV19" s="272">
        <f>IF(GR19=0,0,GT19/GR19)</f>
        <v/>
      </c>
      <c r="GW19" s="272" t="n"/>
      <c r="GX19" s="137">
        <f>IF(C19="","",IF(ISERROR(MATCH(C19,C$10:C18,0)),MAX(GO$10:GO18)+1,INDEX(GO$10:GO18,MATCH(C19,C$10:C18,0))))</f>
        <v/>
      </c>
      <c r="GY19" s="538">
        <f>IF(COUNTIF($A$10:A19,A19)&lt;=1,SUMIF($A$10:$A$406,A19,$FG$10:$FG$406),0)</f>
        <v/>
      </c>
      <c r="GZ19" s="137">
        <f>GZ18+1</f>
        <v/>
      </c>
      <c r="HA19" s="542">
        <f>LARGE($GY$10:$GY$406,GZ19)</f>
        <v/>
      </c>
      <c r="HB19" s="543" t="inlineStr">
        <is>
          <t>-</t>
        </is>
      </c>
      <c r="HC19" s="489">
        <f>IF(GZ19&lt;6,MAX(0,$HC$2/5),0)</f>
        <v/>
      </c>
      <c r="HD19" s="137">
        <f t="array" ref="HD19">IF(HA19=0,0,LARGE(IF($GY$10:$GY$406=HA19,$GX$10:$GX$406,0),COUNTIF($HA$10:$HA$406,HA19)-COUNTIF(HA$9:HA18,HA19)))</f>
        <v/>
      </c>
      <c r="HE19" s="272">
        <f>IF(HA19=0,0,HC19/HA19)</f>
        <v/>
      </c>
      <c r="HG19" s="270">
        <f>DG19-GA19</f>
        <v/>
      </c>
      <c r="HH19" s="544" t="n">
        <v>0</v>
      </c>
      <c r="HI19" s="538">
        <f>MIN(HH19,DE19)</f>
        <v/>
      </c>
      <c r="HK19" s="137">
        <f>IF(COUNTIF($C$10:$C$406,HK18+1),HK18+1,"")</f>
        <v/>
      </c>
      <c r="HL19" s="538">
        <f>SUMIF($C$10:$C$406,HK19,$DG$10:$DG$406)</f>
        <v/>
      </c>
      <c r="HN19" s="521">
        <f>MIN(HO19:HS19)</f>
        <v/>
      </c>
      <c r="HO19" s="521">
        <f>IF(B19="","",$M19)</f>
        <v/>
      </c>
      <c r="HP19" s="521">
        <f>IF($N19="Yes",IF(P19&gt;=6,0,MIN($T19*$M19,$U19*$M19)),"")</f>
        <v/>
      </c>
      <c r="HQ19" s="521">
        <f>IF(AND(N19="Yes",P19&gt;=6),"",IF($S19="Yes",$R19*$M19,""))</f>
        <v/>
      </c>
      <c r="HR19" s="521">
        <f>IF($Q19="Yes",MIN($M19,$T19*$M19),"")</f>
        <v/>
      </c>
      <c r="HS19" s="521">
        <f>IF(AND($N19="Yes",$P19&gt;=6),"",IF(OR(CY19=1,DC19=1,),MIN($T19*$M19,$U19*$M19),IF(OR(CZ19=1,DA19=1,DB19=1),IF(AK19&gt;=5000000,MIN($T19*$M19,$IE19*$M19),MIN($T19*$M19,$U19*$M19)),"")))</f>
        <v/>
      </c>
      <c r="HT19" s="521">
        <f>IF(DD19&gt;0,DD19,"")</f>
        <v/>
      </c>
      <c r="HU19" s="522">
        <f>IF(B19="",0,$L19-$M19)</f>
        <v/>
      </c>
      <c r="HV19" s="274">
        <f>IF(OR(SUM(HP19:HT19)&gt;0,P19&gt;=6),"",IF($B19="","",1))</f>
        <v/>
      </c>
      <c r="HW19" s="522">
        <f>IF(AND($HT19&lt;&gt;0,OR(HT19&lt;=MIN(HP19:HS19),SUM(HP19:HS19)=0)),$HT19,0)</f>
        <v/>
      </c>
      <c r="HX19" s="522">
        <f>IF(AND($HS19&lt;&gt;0,OR(AND($HS19&lt;&gt;$HT19,$HS19&lt;&gt;$HR19,$HS19&lt;&gt;$HQ19,$HS19&lt;&gt;$HP19,$HS19&lt;MIN($HP19:$HR19),$HS19&lt;HT19),SUM($HP19:$HR19)+SUM(HT19)=0),IA19&lt;=0),$HS19,0)</f>
        <v/>
      </c>
      <c r="HY19" s="522">
        <f>IF(AND($HR19&lt;&gt;0,OR(AND($HR19&lt;&gt;$HT19,$HR19&lt;&gt;$HS19,$HR19&lt;&gt;$HQ19,$HR19&lt;&gt;$HP19),$HR19&lt;MIN($HP19:$HQ19),$HR19&lt;MIN($HS19:$HT19),SUM($HP19:$HQ19)+SUM($HS19:$HT19)=0)),$HR19,0)</f>
        <v/>
      </c>
      <c r="HZ19" s="522">
        <f>IF(AND($HQ19&lt;&gt;0,OR(AND($HQ19&lt;&gt;$HT19,HQ19&lt;&gt;HS19,HQ19&lt;&gt;HR19,HQ19&lt;&gt;HP19,HQ19&lt;MIN(HR19:HT19)),SUM(HP19)+SUM(HR19:HT19)=0)),$HQ19,0)</f>
        <v/>
      </c>
      <c r="IA19" s="522">
        <f>IF(AND($HP19&lt;&gt;0,OR(HP19&lt;=MIN(HQ19:HT19),SUM(HQ19:HT19)=0)),$HP19,0)</f>
        <v/>
      </c>
      <c r="IB19" s="545" t="n">
        <v>59</v>
      </c>
      <c r="IC19">
        <f>HU19=DF19</f>
        <v/>
      </c>
      <c r="IE19" s="351">
        <f>IF(B19="","",IF(AND(Y19="Second Lien",OR(CZ19=1,DA19=1,DB19=1)),50%,IF(CZ19=1,90%,IF(DA19=1,80%,IF(DB19=1,65%,"No Initial Haircut")))))</f>
        <v/>
      </c>
    </row>
    <row r="20">
      <c r="A20">
        <f>D20</f>
        <v/>
      </c>
      <c r="B20" s="242">
        <f>IF(D20="","",B19+1)</f>
        <v/>
      </c>
      <c r="C20" s="242">
        <f>IF(COUNTIF($A$10:A19,A20)&gt;0,C19,C19+1)</f>
        <v/>
      </c>
      <c r="D20" s="243" t="inlineStr">
        <is>
          <t>Summit Holdings, LLC</t>
        </is>
      </c>
      <c r="E20" s="243" t="inlineStr">
        <is>
          <t>Summit (Term Loan)</t>
        </is>
      </c>
      <c r="F20" s="244" t="n"/>
      <c r="G20" s="528" t="n">
        <v>2954760.73</v>
      </c>
      <c r="H20" s="528" t="n">
        <v>2954760.73</v>
      </c>
      <c r="I20" s="246" t="n">
        <v>1</v>
      </c>
      <c r="J20" s="529">
        <f>IF(B20="","",G20*I20)</f>
        <v/>
      </c>
      <c r="K20" s="529">
        <f>IF(B20="","",H20*I20)</f>
        <v/>
      </c>
      <c r="L20" s="529">
        <f>IF(B20="","",IF(COUNTIF($CE20:$CX20,1)&gt;0,0,J20))</f>
        <v/>
      </c>
      <c r="M20" s="529">
        <f>IF(B20="","",IF(COUNTIF($CE20:$CX20,1)&gt;0,0,K20))</f>
        <v/>
      </c>
      <c r="N20" s="248" t="inlineStr">
        <is>
          <t>No</t>
        </is>
      </c>
      <c r="O20" s="248" t="inlineStr">
        <is>
          <t>N/A</t>
        </is>
      </c>
      <c r="P20" s="249">
        <f>IF(B20="","",IF(OR(O20="N/A",O20=""),0,YEARFRAC('Borrowing Base'!$J$4,'Loan List'!O20)*12))</f>
        <v/>
      </c>
      <c r="Q20" s="248" t="inlineStr">
        <is>
          <t>No</t>
        </is>
      </c>
      <c r="R20" s="250" t="n">
        <v>0.9883842937532968</v>
      </c>
      <c r="S20" s="251">
        <f>IF(B20="","",IF(R20&lt;95%,"Yes","No"))</f>
        <v/>
      </c>
      <c r="T20" s="250" t="n">
        <v>1</v>
      </c>
      <c r="U20" s="252">
        <f>IF(B20="","",IF(OR(Y20="First Lien",Y20="Split First Lien",Y20="Tier 1 Split Lien",Y20="Tier 2 Split Lien"),50%,30%))</f>
        <v/>
      </c>
      <c r="V20" s="252">
        <f>IF(B20="",0,IF(AND(Y20="First Lien",AN20="Tier 1"),IF(AND(X20="Yes",MIN(AH20,$AJ$5)&gt;4.5),(((4.5/MIN(AH20,$AJ$5))*72.5%)+(((MIN(AH20,$AJ$5)-4.5)/MIN(AH20,$AJ$5))*35%)),72.5%),IF(AND(Y20="First Lien",AN20="Tier 2"),IF(AND(X20="Yes",MIN(AH20,$AK$5)&gt;4.5),(((4.5/MIN(AH20,$AK$5))*72.5%)+(((MIN(AH20,$AK$5)-4.5)/MIN(AH20,$AK$5))*35%)),72.5%),IF(AND(X20="Yes",MIN(AH20,$AL$5)&gt;4),(((4/MIN(AH20,$AL$5))*72.5%)+(((MIN(AH20,$AL$5)-4)/MIN(AH20,$AL$5))*35%)),IF(OR(Y20="First Lien",Y20="Split First Lien"),72.5%,IF(Y20="Split Lien", 53%,35%))))))</f>
        <v/>
      </c>
      <c r="W20" s="530">
        <f>IF($C20="","",MIN($HO20:$HS20))</f>
        <v/>
      </c>
      <c r="X20" s="248" t="inlineStr">
        <is>
          <t>No</t>
        </is>
      </c>
      <c r="Y20" s="254" t="inlineStr">
        <is>
          <t>First Lien</t>
        </is>
      </c>
      <c r="Z20" s="254" t="inlineStr">
        <is>
          <t>Term</t>
        </is>
      </c>
      <c r="AA20" s="531" t="inlineStr">
        <is>
          <t>NR</t>
        </is>
      </c>
      <c r="AB20" s="531" t="inlineStr">
        <is>
          <t xml:space="preserve"> NR</t>
        </is>
      </c>
      <c r="AC20" s="532" t="n">
        <v>0.930173775671406</v>
      </c>
      <c r="AD20" s="532" t="n">
        <v>4.137307127112417</v>
      </c>
      <c r="AE20" s="532" t="n">
        <v>3.942910484977569</v>
      </c>
      <c r="AF20" s="257" t="n">
        <v>0.2666165555936978</v>
      </c>
      <c r="AG20" s="533" t="n">
        <v>4.137307127112417</v>
      </c>
      <c r="AH20" s="533" t="n">
        <v>4.137307127112417</v>
      </c>
      <c r="AI20" s="533" t="n">
        <v>3.942910484977569</v>
      </c>
      <c r="AJ20" s="533" t="n">
        <v>3.942910484977569</v>
      </c>
      <c r="AK20" s="534" t="n">
        <v>10888000</v>
      </c>
      <c r="AL20" s="534" t="n">
        <v>14539722.67907729</v>
      </c>
      <c r="AM20" s="260" t="n">
        <v>45808</v>
      </c>
      <c r="AN20" s="529">
        <f>IF(C20="","",(IF(AK20&gt;=50000000,"Tier 1",(IF(OR(AK20&gt;=20000000,AND(AK20&gt;5000000,AC20&gt;=1.25,AF20&lt;=0.65)),"Tier 2","Tier 3")))))</f>
        <v/>
      </c>
      <c r="AO20" s="244" t="n">
        <v>47807</v>
      </c>
      <c r="AP20" s="535" t="n">
        <v>5.305555555555555</v>
      </c>
      <c r="AQ20" s="535">
        <f>IF(C20="","",AP20)</f>
        <v/>
      </c>
      <c r="AR20" s="248" t="inlineStr">
        <is>
          <t>No</t>
        </is>
      </c>
      <c r="AS20" s="250" t="n">
        <v>0</v>
      </c>
      <c r="AT20" s="248" t="inlineStr">
        <is>
          <t>Yes</t>
        </is>
      </c>
      <c r="AU20" s="250" t="n">
        <v>0.01</v>
      </c>
      <c r="AV20" s="250" t="n">
        <v>0.045</v>
      </c>
      <c r="AW20" s="250" t="n">
        <v>0.04295600000000001</v>
      </c>
      <c r="AX20" s="262">
        <f>IF(C20="","",MAX(AU20,AW20))</f>
        <v/>
      </c>
      <c r="AY20" s="250" t="n">
        <v>0</v>
      </c>
      <c r="AZ20" s="250" t="n">
        <v>0</v>
      </c>
      <c r="BA20" s="250" t="n">
        <v>0</v>
      </c>
      <c r="BB20" s="412">
        <f>IF(B20="","",IF(AR20="No",AV20-AZ20,""))</f>
        <v/>
      </c>
      <c r="BC20" s="412">
        <f>IF(B20="","",IF(AR20="Yes",AS20-BA20,""))</f>
        <v/>
      </c>
      <c r="BD20" s="254" t="inlineStr">
        <is>
          <t>Quarterly</t>
        </is>
      </c>
      <c r="BE20" s="536" t="inlineStr">
        <is>
          <t>Professional Services</t>
        </is>
      </c>
      <c r="BF20" s="254" t="inlineStr">
        <is>
          <t>USD</t>
        </is>
      </c>
      <c r="BG20" s="254" t="inlineStr">
        <is>
          <t>United States</t>
        </is>
      </c>
      <c r="BH20" s="248" t="inlineStr">
        <is>
          <t>No</t>
        </is>
      </c>
      <c r="BI20" s="413">
        <f>IF(B20="","",IF(OR(AND(AZ20&gt;0,BB20&gt;=2.5%,BB20&lt;4%),AND(BA20&gt;0,BC20&gt;=6%,BC20&lt;8%)),"Yes","No"))</f>
        <v/>
      </c>
      <c r="BJ20" s="413">
        <f>IF(B20="","",IF(OR(AND(AZ20&gt;0,BB20&lt;2.5%),AND(BA20&gt;0,BC20&lt;6%)),"Yes","No"))</f>
        <v/>
      </c>
      <c r="BK20" s="248" t="inlineStr">
        <is>
          <t>No</t>
        </is>
      </c>
      <c r="BL20" s="248" t="inlineStr">
        <is>
          <t>No</t>
        </is>
      </c>
      <c r="BM20" s="248" t="inlineStr">
        <is>
          <t>No</t>
        </is>
      </c>
      <c r="BN20" s="248" t="inlineStr">
        <is>
          <t>No</t>
        </is>
      </c>
      <c r="BO20" s="248" t="inlineStr">
        <is>
          <t>No</t>
        </is>
      </c>
      <c r="BP20" s="248" t="inlineStr">
        <is>
          <t>No</t>
        </is>
      </c>
      <c r="BQ20" s="248" t="inlineStr">
        <is>
          <t>No</t>
        </is>
      </c>
      <c r="BR20" s="248" t="inlineStr">
        <is>
          <t>No</t>
        </is>
      </c>
      <c r="BS20" s="248" t="inlineStr">
        <is>
          <t>No</t>
        </is>
      </c>
      <c r="BT20" s="248" t="inlineStr">
        <is>
          <t>No</t>
        </is>
      </c>
      <c r="BU20" s="248" t="inlineStr">
        <is>
          <t>No</t>
        </is>
      </c>
      <c r="BV20" s="248" t="inlineStr">
        <is>
          <t>No</t>
        </is>
      </c>
      <c r="BW20" s="248" t="inlineStr">
        <is>
          <t>No</t>
        </is>
      </c>
      <c r="BX20" s="248" t="inlineStr">
        <is>
          <t>No</t>
        </is>
      </c>
      <c r="BY20" s="248" t="inlineStr">
        <is>
          <t>No</t>
        </is>
      </c>
      <c r="BZ20" s="248" t="inlineStr">
        <is>
          <t>No</t>
        </is>
      </c>
      <c r="CA20" s="248" t="inlineStr">
        <is>
          <t>Yes</t>
        </is>
      </c>
      <c r="CB20" s="537">
        <f>IF(B20="","",IF(AT20="No",((BB20+AW20)-$AZ$4),((BB20+AX20)-$AZ$4))*IF(DD20&gt;0,0,M20))</f>
        <v/>
      </c>
      <c r="CC20" s="537">
        <f>IF(B20="","",AY20*(L20-M20)*IF(DD20&gt;0,0,1))</f>
        <v/>
      </c>
      <c r="CD20" s="265" t="n"/>
      <c r="CE20" s="265">
        <f>IF(AND(B20&lt;&gt;"",R20&lt;=85%),1,0)</f>
        <v/>
      </c>
      <c r="CF20" s="265">
        <f>IF(B20="",0,(IF(OR(BF20="USD",BF20="CAD",BF20="GBP",BF20="AUD",BF20="EUR"),0,1)))</f>
        <v/>
      </c>
      <c r="CG20" s="265">
        <f>IF(B20="",0,(IF(OR(BG20="United States",BG20="Canada",BG20="United Kingdom",BG20="Australia",BG20="Netherlands Antilles",BG20="Bermuda",BG20="Cayman Islands",BG20="British Virgin Islands",BG20="Channel Islands",BG20="Isle of Man",BG20="Australia",BG20="Netherlands",BG20="Germany",BG20="Sweden",BG20="Switzerland",BG20="Austria",BG20="Belgium",BG20="Denmark",BG20="Finland",BG20="Iceland",BG20="Ireland",BG20="Lichtenstein",BG20="Luxemborg",BG20="Norway"),0,1)))</f>
        <v/>
      </c>
      <c r="CH20" s="265">
        <f>IF(BN20="Yes",1,0)</f>
        <v/>
      </c>
      <c r="CI20" s="265">
        <f>IF(BO20="Yes",1,0)</f>
        <v/>
      </c>
      <c r="CJ20" s="265">
        <f>IF(BP20="Yes",1,0)</f>
        <v/>
      </c>
      <c r="CK20" s="265">
        <f>IF(BQ20="Yes",1,0)</f>
        <v/>
      </c>
      <c r="CL20" s="265">
        <f>IF(BR20="Yes",1,0)</f>
        <v/>
      </c>
      <c r="CM20" s="265">
        <f>IF(BS20="Yes",1,0)</f>
        <v/>
      </c>
      <c r="CN20" s="265">
        <f>IF(OR(AND(BJ20="Yes",N20="No"),AND(BJ20="Yes",N20="Yes",P20&gt;=6)),1,0)</f>
        <v/>
      </c>
      <c r="CO20" s="265">
        <f>IF(BT20="Yes",1,0)</f>
        <v/>
      </c>
      <c r="CP20" s="265">
        <f>IF(AND(BU20="Yes",BV20="No"),1,0)</f>
        <v/>
      </c>
      <c r="CQ20" s="265">
        <f>IF(BW20="Yes",1,0)</f>
        <v/>
      </c>
      <c r="CR20" s="265">
        <f>IF(AP20="",0,IF(AP20&gt;7,1,0))</f>
        <v/>
      </c>
      <c r="CS20" s="265">
        <f>IF(OR(BD20&lt;&gt;"Monthly",BD20&lt;&gt;"Quarterly",BD20&lt;&gt;"Semi-Annually"),0,1)</f>
        <v/>
      </c>
      <c r="CT20" s="265">
        <f>IF(BX20="Yes",1,0)</f>
        <v/>
      </c>
      <c r="CU20" s="265">
        <f>IF(BY20="Yes",1,0)</f>
        <v/>
      </c>
      <c r="CV20" s="265">
        <f>IF(BZ20="Yes",1,0)</f>
        <v/>
      </c>
      <c r="CW20" s="265">
        <f>IF(CA20="No",1,0)</f>
        <v/>
      </c>
      <c r="CX20" s="265">
        <f>IF(B20="",0,IF(AK20&gt;=5000000,0,1))</f>
        <v/>
      </c>
      <c r="CY20" s="265">
        <f>IF(B20="",0,IF(AL20&gt;=5000000,0,1))</f>
        <v/>
      </c>
      <c r="CZ20" s="265">
        <f>IF(OR(DA20=1,DB20=1,DC20=1),0,IF(B20="",0,IF(OR(AND(AN20="Tier 1",X20="No",OR(AI20&gt;$AJ$3,AJ20&gt;$AJ$4)),(AND(AN20="Tier 1",X20="Yes",AJ20&gt;$AJ$5)),(AND(AN20="Tier 2",X20="No",OR(AI20&gt;$AK$3,AJ20&gt;$AK$4))),(AND(AN20="Tier 2",X20="Yes",AJ20&gt;$AK$5)),(AND(AN20="Tier 3",X20="No",OR(AI20&gt;$AL$3,AJ20&gt;$AL$4))),(AND(AN20="Tier 3",X20="Yes",AJ20&gt;$AL$5))),1,0)))</f>
        <v/>
      </c>
      <c r="DA20" s="265">
        <f>IF(OR(DB20=1,DC20=1),0,IF(B20="",0,IF(OR(AND(AN20="Tier 1",X20="No",OR(AI20&gt;$AM$3,AJ20&gt;$AM$4)),(AND(AN20="Tier 1",X20="Yes",AJ20&gt;$AM$5)),(AND(AN20="Tier 2",X20="No",OR(AI20&gt;$AN$3,AJ20&gt;$AN$4))),(AND(AN20="Tier 2",X20="Yes",AJ20&gt;$AN$5)),(AND(AN20="Tier 3",X20="No",OR(AI20&gt;$AO$3,AJ20&gt;$AO$4))),(AND(AN20="Tier 3",X20="Yes",AJ20&gt;$AO$5))),1,0)))</f>
        <v/>
      </c>
      <c r="DB20" s="265">
        <f>IF(DC20=1,0,IF(B20="",0,IF(OR(AND(AN20="Tier 1",X20="No",OR(AI20&gt;$AP$3,AJ20&gt;$AP$4)),(AND(AN20="Tier 1",X20="Yes",AJ20&gt;$AP$5)),(AND(AN20="Tier 2",X20="No",OR(AI20&gt;$AQ$3,AJ20&gt;$AQ$4))),(AND(AN20="Tier 2",X20="Yes",AJ20&gt;$AQ$5)),(AND(AN20="Tier 3",X20="No",OR(AI20&gt;$AR$3,AJ20&gt;$AR$4))),(AND(AN20="Tier 3",X20="Yes",AJ20&gt;$AR$5))),1,0)))</f>
        <v/>
      </c>
      <c r="DC20" s="265">
        <f>IF(B20="",0,IF(OR(AND(AN20="Tier 1",X20="No",OR(AI20&gt;$AS$3,AJ20&gt;$AS$4)),(AND(AN20="Tier 1",X20="Yes",AJ20&gt;$AS$5)),(AND(AN20="Tier 2",X20="No",OR(AI20&gt;$AT$3,AJ20&gt;$AT$4))),(AND(AN20="Tier 2",X20="Yes",AJ20&gt;$AT$5)),(AND(AN20="Tier 3",X20="No",OR(AI20&gt;$AU$3,AJ20&gt;$AU$4))),(AND(AN20="Tier 3",X20="Yes",AJ20&gt;$AU$5))),1,0))</f>
        <v/>
      </c>
      <c r="DD20" s="265">
        <f>IF((SUM(CE20:CX20)=0),0,W20)</f>
        <v/>
      </c>
      <c r="DE20" s="265">
        <f>IF(OR(B20="",DD20&gt;0),0,W20)</f>
        <v/>
      </c>
      <c r="DF20" s="265">
        <f>IF(B20="",0,IF(COUNTIF(CE20:CX20,1)&gt;0,0,L20-M20))</f>
        <v/>
      </c>
      <c r="DG20" s="265">
        <f>DE20+IF(DD20&gt;0,0,DF20)</f>
        <v/>
      </c>
      <c r="DH20" s="265">
        <f>IF(B20="","",M20+DF20)</f>
        <v/>
      </c>
      <c r="DI20" s="265">
        <f>IF(B20="",0,J20-K20)</f>
        <v/>
      </c>
      <c r="DJ20" s="265">
        <f>IF(OR(BF20="EUR",BF20="CAD",BF20="GBP",BF20="AUD"),(GA20*(1-V20))+(HG20)+IF(HX20="",0,HX20*(1-U20)),0)</f>
        <v/>
      </c>
      <c r="DK20" s="265">
        <f>IF(BF20="EUR",33%,IF(BF20="CAD",38%,IF(BF20="GBP",51%,IF(BF20="AUD",61%,0))))</f>
        <v/>
      </c>
      <c r="DL20" s="265">
        <f>DJ20*DK20</f>
        <v/>
      </c>
      <c r="DN20" s="538">
        <f>IF(OR(Y20="Second Lien",Y20="Tier 1 Split Lien",Y20="Tier 2 Split Lien"),DG20,0)</f>
        <v/>
      </c>
      <c r="DO20" s="539">
        <f>DN20*DN$6</f>
        <v/>
      </c>
      <c r="DP20" s="538">
        <f>DG20-DO20</f>
        <v/>
      </c>
      <c r="DQ20" s="538">
        <f>IF(Y20="Second Lien",DP20,0)</f>
        <v/>
      </c>
      <c r="DR20" s="539">
        <f>DQ20*DQ$6</f>
        <v/>
      </c>
      <c r="DS20" s="538">
        <f>DP20-DR20</f>
        <v/>
      </c>
      <c r="DT20" s="538">
        <f>IF(BH20="Yes",DS20,0)</f>
        <v/>
      </c>
      <c r="DU20" s="539">
        <f>DT20*DT$6</f>
        <v/>
      </c>
      <c r="DV20" s="538">
        <f>DS20-DU20</f>
        <v/>
      </c>
      <c r="DW20" s="538">
        <f>IF(OR(BG20="Canada",BG20="United Kingdom",BG20="Australia",BG20="Netherlands Antilles",BG20="Bermuda",BG20="Cayman Islands",BG20="British Virgin Islands",BG20="Channel Islands",BG20="Isle of Man",BG20="Australia",BG20="Netherlands",BG20="Germany",BG20="Sweden",BG20="Switzerland",BG20="Austria",BG20="Belgium",BG20="Denmark",BG20="Finland",BG20="Iceland",BG20="Ireland",BG20="Lichtenstein",BG20="Luxemborg",BG20="Norway"),DV20,0)</f>
        <v/>
      </c>
      <c r="DX20" s="539">
        <f>DW20*DW$6</f>
        <v/>
      </c>
      <c r="DY20" s="538">
        <f>DV20-DX20</f>
        <v/>
      </c>
      <c r="DZ20" s="538">
        <f>IF(BI20="Yes",DY20,0)</f>
        <v/>
      </c>
      <c r="EA20" s="539">
        <f>DZ20*DZ$6</f>
        <v/>
      </c>
      <c r="EB20" s="538">
        <f>DY20-EA20</f>
        <v/>
      </c>
      <c r="EC20" s="538">
        <f>IF(OR(Z20="Delayed Draw",Z20="Revolver"),EB20,0)</f>
        <v/>
      </c>
      <c r="ED20" s="539">
        <f>EC20*EC$6</f>
        <v/>
      </c>
      <c r="EE20" s="538">
        <f>EB20-ED20</f>
        <v/>
      </c>
      <c r="EF20" s="538">
        <f>IF(S20="Yes",EE20,0)</f>
        <v/>
      </c>
      <c r="EG20" s="539">
        <f>EF20*EF$6</f>
        <v/>
      </c>
      <c r="EH20" s="538">
        <f>EE20-EG20</f>
        <v/>
      </c>
      <c r="EI20" s="538">
        <f>IF(Q20="Yes",EH20,0)</f>
        <v/>
      </c>
      <c r="EJ20" s="539">
        <f>EI20*EI$6</f>
        <v/>
      </c>
      <c r="EK20" s="538">
        <f>EH20-EJ20</f>
        <v/>
      </c>
      <c r="EL20" s="538">
        <f>IF(BD20="Semi-Annually",EK20,0)</f>
        <v/>
      </c>
      <c r="EM20" s="539">
        <f>EL20*EL$6</f>
        <v/>
      </c>
      <c r="EN20" s="538">
        <f>EK20-EM20</f>
        <v/>
      </c>
      <c r="EO20" s="538">
        <f>IF(BK20="Yes",EN20,0)</f>
        <v/>
      </c>
      <c r="EP20" s="539">
        <f>EO20*EO$6</f>
        <v/>
      </c>
      <c r="EQ20" s="538">
        <f>EN20-EP20</f>
        <v/>
      </c>
      <c r="ER20" s="538">
        <f>IF(BL20="Yes",EQ20,0)</f>
        <v/>
      </c>
      <c r="ES20" s="539">
        <f>ER20*ER$6</f>
        <v/>
      </c>
      <c r="ET20" s="538">
        <f>EQ20-ES20</f>
        <v/>
      </c>
      <c r="EU20" s="538">
        <f>IF(BM20="Yes",ET20,0)</f>
        <v/>
      </c>
      <c r="EV20" s="539">
        <f>EU20*EU$6</f>
        <v/>
      </c>
      <c r="EW20" s="538">
        <f>ET20-EV20</f>
        <v/>
      </c>
      <c r="EX20" s="538">
        <f>IF(BV20="Yes",EW20,0)</f>
        <v/>
      </c>
      <c r="EY20" s="539">
        <f>EX20*EX$6</f>
        <v/>
      </c>
      <c r="EZ20" s="538">
        <f>EW20-EY20</f>
        <v/>
      </c>
      <c r="FA20" s="538">
        <f>IF(AR20="Yes",EZ20,0)</f>
        <v/>
      </c>
      <c r="FB20" s="539">
        <f>FA20*FA$6</f>
        <v/>
      </c>
      <c r="FC20" s="538">
        <f>EZ20-FB20</f>
        <v/>
      </c>
      <c r="FD20" s="538">
        <f>IF(OR(BF20="EUR",BF20="AUD",BF20="CAD",BF20="GBP"),FC20,0)</f>
        <v/>
      </c>
      <c r="FE20" s="539">
        <f>FD20*FD$6</f>
        <v/>
      </c>
      <c r="FF20" s="538">
        <f>FC20-FE20</f>
        <v/>
      </c>
      <c r="FG20" s="538">
        <f>FF20</f>
        <v/>
      </c>
      <c r="FH20" s="538">
        <f>IF(FF20=0,0,VLOOKUP(C20,$GU$10:$GV$406,2,FALSE)*FF20)</f>
        <v/>
      </c>
      <c r="FI20" s="538">
        <f>FF20-FH20</f>
        <v/>
      </c>
      <c r="FJ20" s="538">
        <f>FI20</f>
        <v/>
      </c>
      <c r="FK20" s="538">
        <f>IF(OR(IB20="",FI20&lt;0.01),,VLOOKUP(IB20,$GL$10:$GM$406,2,FALSE)*FI20)</f>
        <v/>
      </c>
      <c r="FL20" s="538">
        <f>FI20-FK20</f>
        <v/>
      </c>
      <c r="FM20" s="538">
        <f>FL20</f>
        <v/>
      </c>
      <c r="FN20" s="538">
        <f>IF(FL20=0,0,VLOOKUP(C20,$HD$10:$HE$406,2,FALSE)*FL20)</f>
        <v/>
      </c>
      <c r="FO20" s="538">
        <f>FL20-FN20</f>
        <v/>
      </c>
      <c r="FP20" s="538">
        <f>IF(SUM(CY20:DC20)&gt;0,0,IF(AND(AL20&gt;=5000000,AL20&lt;7500000),FO20,0))</f>
        <v/>
      </c>
      <c r="FQ20" s="539">
        <f>IF(B20="",0,FP20*FP$6*(1-$U20))</f>
        <v/>
      </c>
      <c r="FR20" s="538">
        <f>FO20-FQ20</f>
        <v/>
      </c>
      <c r="FS20" s="538">
        <f>IF(SUM(CY20:DC20)&gt;0,0,IF(AL20&lt;15000000,FR20,0))</f>
        <v/>
      </c>
      <c r="FT20" s="539">
        <f>IF(B20="",0,FS20*FS$6*(1-$U20))</f>
        <v/>
      </c>
      <c r="FU20" s="538">
        <f>FR20-FT20</f>
        <v/>
      </c>
      <c r="FV20" s="538">
        <f>IF(SUM(CY20:DC20)&gt;0,0,IF(OR(AND(X20="No",AN20="Tier 1",AI20&gt;$AG$3),AND(X20="No",AN20="Tier 2",AI20&gt;$AH$3),AND(X20="No",AN20="Tier 3",AI20&gt;$AI$3)),FU20,0))</f>
        <v/>
      </c>
      <c r="FW20" s="538">
        <f>IF(SUM(CY20:DC20)&gt;0,0,IF(OR(AND(X20="No",AN20="Tier 1",AJ20&gt;$AG$4),AND(X20="No",AN20="Tier 2",AJ20&gt;$AH$4),AND(X20="No",AN20="Tier 3",AJ20&gt;$AI$4)),FU20,0))</f>
        <v/>
      </c>
      <c r="FX20" s="538">
        <f>IF(SUM(CY20:DC20)&gt;0,0,IF(OR(AND(X20="Yes",AN20="Tier 1",AJ20&gt;$AG$5),AND(X20="Yes",AN20="Tier 2",AJ20&gt;$AH$5),AND(X20="Yes",AN20="Tier 3",AJ20&gt;$AI$5)),FU20,0))</f>
        <v/>
      </c>
      <c r="FY20" s="538">
        <f>IF(SUM(FV20:FX20)&gt;0,FU20,0)</f>
        <v/>
      </c>
      <c r="FZ20" s="539">
        <f>IF(B20="",0,FY20*FV$6*(1-MIN(90%,T20)))</f>
        <v/>
      </c>
      <c r="GA20" s="538">
        <f>FU20-FZ20</f>
        <v/>
      </c>
      <c r="GB20" s="538">
        <f>IF(AND(N20="No",DI20=0),GA20,IF(AND(N20="No",DI20&lt;&gt;0,K20=0),0,IF(AND(N20="No",DI20&lt;&gt;0,K20&gt;0,J20&lt;&gt;K20),MAX(0,M20-(DH20-GA20)),DG20)))</f>
        <v/>
      </c>
      <c r="GC20" s="540">
        <f>+GB20*V20</f>
        <v/>
      </c>
      <c r="GD20" s="138">
        <f>IFERROR(GC20/K20,"")</f>
        <v/>
      </c>
      <c r="GE20" s="541">
        <f>IF(IB20="","",IB20)</f>
        <v/>
      </c>
      <c r="GF20" s="538">
        <f t="array" ref="GF20">IF(SUM(IF(IB$9:IB19=IB20,1,0))&gt;0,0,SUMIF($IB$10:$IB$406,IB20,$FI$10:$FI$406))</f>
        <v/>
      </c>
      <c r="GG20" s="270">
        <f>GF20</f>
        <v/>
      </c>
      <c r="GH20" s="137">
        <f>GH19+1</f>
        <v/>
      </c>
      <c r="GI20" s="542">
        <f>LARGE($GG$10:$GG$406,GH20)</f>
        <v/>
      </c>
      <c r="GJ20" s="542">
        <f>IF(GH20&gt;GH$6,0,IF(GH20=$GH$2,$GJ$2,IF(GH20&lt;4,$GJ$3,$GJ$4)))</f>
        <v/>
      </c>
      <c r="GK20" s="489">
        <f>MAX(0,GI20-GJ20)</f>
        <v/>
      </c>
      <c r="GL20" s="137">
        <f t="array" ref="GL20">IF(GI20=0,0,LARGE(IF($GF$10:$GF$406=GI20,$GE$10:$GE$406,0),COUNTIF($GI$10:$GI$406,GI20)-COUNTIF(GI$9:GI19,GI20)))</f>
        <v/>
      </c>
      <c r="GM20" s="272">
        <f>IF(GI20=0,0,GK20/GI20)</f>
        <v/>
      </c>
      <c r="GO20" s="137">
        <f>IF(C20="","",IF(ISERROR(MATCH(C20,C$10:C19,0)),MAX(GO$10:GO19)+1,INDEX(GO$10:GO19,MATCH(C20,C$10:C19,0))))</f>
        <v/>
      </c>
      <c r="GP20" s="538">
        <f>IF(COUNTIF($A$10:A20,A20)&lt;=1,SUMIF($A$10:$A$406,A20,$FG$10:$FG$406),0)</f>
        <v/>
      </c>
      <c r="GQ20" s="137">
        <f>GQ19+1</f>
        <v/>
      </c>
      <c r="GR20" s="542">
        <f>LARGE($GP$10:$GP$406,GQ20)</f>
        <v/>
      </c>
      <c r="GS20" s="542">
        <f>IF(GQ20&gt;GQ$6,0,IF(GQ20&lt;=GQ$2,GS$2,IF(AND(GQ20&lt;=$GQ$3,GQ20&gt;$GQ$2),GS$3,GS$4)))</f>
        <v/>
      </c>
      <c r="GT20" s="489">
        <f>MAX(0,GR20-GS20)</f>
        <v/>
      </c>
      <c r="GU20" s="137">
        <f t="array" ref="GU20">IF(GR20=0,0,LARGE(IF($GP$10:$GP$406=GR20,$GO$10:$GO$406,0),COUNTIF($GR$10:$GR$406,GR20)-COUNTIF(GR$9:GR19,GR20)))</f>
        <v/>
      </c>
      <c r="GV20" s="272">
        <f>IF(GR20=0,0,GT20/GR20)</f>
        <v/>
      </c>
      <c r="GW20" s="272" t="n"/>
      <c r="GX20" s="137">
        <f>IF(C20="","",IF(ISERROR(MATCH(C20,C$10:C19,0)),MAX(GO$10:GO19)+1,INDEX(GO$10:GO19,MATCH(C20,C$10:C19,0))))</f>
        <v/>
      </c>
      <c r="GY20" s="538">
        <f>IF(COUNTIF($A$10:A20,A20)&lt;=1,SUMIF($A$10:$A$406,A20,$FG$10:$FG$406),0)</f>
        <v/>
      </c>
      <c r="GZ20" s="137">
        <f>GZ19+1</f>
        <v/>
      </c>
      <c r="HA20" s="542">
        <f>LARGE($GY$10:$GY$406,GZ20)</f>
        <v/>
      </c>
      <c r="HB20" s="543" t="inlineStr">
        <is>
          <t>-</t>
        </is>
      </c>
      <c r="HC20" s="489">
        <f>IF(GZ20&lt;6,MAX(0,$HC$2/5),0)</f>
        <v/>
      </c>
      <c r="HD20" s="137">
        <f t="array" ref="HD20">IF(HA20=0,0,LARGE(IF($GY$10:$GY$406=HA20,$GX$10:$GX$406,0),COUNTIF($HA$10:$HA$406,HA20)-COUNTIF(HA$9:HA19,HA20)))</f>
        <v/>
      </c>
      <c r="HE20" s="272">
        <f>IF(HA20=0,0,HC20/HA20)</f>
        <v/>
      </c>
      <c r="HG20" s="270">
        <f>DG20-GA20</f>
        <v/>
      </c>
      <c r="HH20" s="544" t="n">
        <v>0</v>
      </c>
      <c r="HI20" s="538">
        <f>MIN(HH20,DE20)</f>
        <v/>
      </c>
      <c r="HK20" s="137">
        <f>IF(COUNTIF($C$10:$C$406,HK19+1),HK19+1,"")</f>
        <v/>
      </c>
      <c r="HL20" s="538">
        <f>SUMIF($C$10:$C$406,HK20,$DG$10:$DG$406)</f>
        <v/>
      </c>
      <c r="HN20" s="521">
        <f>MIN(HO20:HS20)</f>
        <v/>
      </c>
      <c r="HO20" s="521">
        <f>IF(B20="","",$M20)</f>
        <v/>
      </c>
      <c r="HP20" s="521">
        <f>IF($N20="Yes",IF(P20&gt;=6,0,MIN($T20*$M20,$U20*$M20)),"")</f>
        <v/>
      </c>
      <c r="HQ20" s="521">
        <f>IF(AND(N20="Yes",P20&gt;=6),"",IF($S20="Yes",$R20*$M20,""))</f>
        <v/>
      </c>
      <c r="HR20" s="521">
        <f>IF($Q20="Yes",MIN($M20,$T20*$M20),"")</f>
        <v/>
      </c>
      <c r="HS20" s="521">
        <f>IF(AND($N20="Yes",$P20&gt;=6),"",IF(OR(CY20=1,DC20=1,),MIN($T20*$M20,$U20*$M20),IF(OR(CZ20=1,DA20=1,DB20=1),IF(AK20&gt;=5000000,MIN($T20*$M20,$IE20*$M20),MIN($T20*$M20,$U20*$M20)),"")))</f>
        <v/>
      </c>
      <c r="HT20" s="521">
        <f>IF(DD20&gt;0,DD20,"")</f>
        <v/>
      </c>
      <c r="HU20" s="522">
        <f>IF(B20="",0,$L20-$M20)</f>
        <v/>
      </c>
      <c r="HV20" s="274">
        <f>IF(OR(SUM(HP20:HT20)&gt;0,P20&gt;=6),"",IF($B20="","",1))</f>
        <v/>
      </c>
      <c r="HW20" s="522">
        <f>IF(AND($HT20&lt;&gt;0,OR(HT20&lt;=MIN(HP20:HS20),SUM(HP20:HS20)=0)),$HT20,0)</f>
        <v/>
      </c>
      <c r="HX20" s="522">
        <f>IF(AND($HS20&lt;&gt;0,OR(AND($HS20&lt;&gt;$HT20,$HS20&lt;&gt;$HR20,$HS20&lt;&gt;$HQ20,$HS20&lt;&gt;$HP20,$HS20&lt;MIN($HP20:$HR20),$HS20&lt;HT20),SUM($HP20:$HR20)+SUM(HT20)=0),IA20&lt;=0),$HS20,0)</f>
        <v/>
      </c>
      <c r="HY20" s="522">
        <f>IF(AND($HR20&lt;&gt;0,OR(AND($HR20&lt;&gt;$HT20,$HR20&lt;&gt;$HS20,$HR20&lt;&gt;$HQ20,$HR20&lt;&gt;$HP20),$HR20&lt;MIN($HP20:$HQ20),$HR20&lt;MIN($HS20:$HT20),SUM($HP20:$HQ20)+SUM($HS20:$HT20)=0)),$HR20,0)</f>
        <v/>
      </c>
      <c r="HZ20" s="522">
        <f>IF(AND($HQ20&lt;&gt;0,OR(AND($HQ20&lt;&gt;$HT20,HQ20&lt;&gt;HS20,HQ20&lt;&gt;HR20,HQ20&lt;&gt;HP20,HQ20&lt;MIN(HR20:HT20)),SUM(HP20)+SUM(HR20:HT20)=0)),$HQ20,0)</f>
        <v/>
      </c>
      <c r="IA20" s="522">
        <f>IF(AND($HP20&lt;&gt;0,OR(HP20&lt;=MIN(HQ20:HT20),SUM(HQ20:HT20)=0)),$HP20,0)</f>
        <v/>
      </c>
      <c r="IB20" s="545" t="n">
        <v>55</v>
      </c>
      <c r="IC20">
        <f>HU20=DF20</f>
        <v/>
      </c>
      <c r="IE20" s="351">
        <f>IF(B20="","",IF(AND(Y20="Second Lien",OR(CZ20=1,DA20=1,DB20=1)),50%,IF(CZ20=1,90%,IF(DA20=1,80%,IF(DB20=1,65%,"No Initial Haircut")))))</f>
        <v/>
      </c>
    </row>
    <row r="21">
      <c r="A21">
        <f>D21</f>
        <v/>
      </c>
      <c r="B21" s="242">
        <f>IF(D21="","",B20+1)</f>
        <v/>
      </c>
      <c r="C21" s="242">
        <f>IF(COUNTIF($A$10:A20,A21)&gt;0,C20,C20+1)</f>
        <v/>
      </c>
      <c r="D21" s="243" t="inlineStr">
        <is>
          <t>Riverbend Holdings, LLC</t>
        </is>
      </c>
      <c r="E21" s="243" t="inlineStr">
        <is>
          <t>Riverbend (Term Loan)</t>
        </is>
      </c>
      <c r="F21" s="244" t="n"/>
      <c r="G21" s="528" t="n">
        <v>5882906.33</v>
      </c>
      <c r="H21" s="528" t="n">
        <v>5882906.33</v>
      </c>
      <c r="I21" s="246" t="n">
        <v>1</v>
      </c>
      <c r="J21" s="529">
        <f>IF(B21="","",G21*I21)</f>
        <v/>
      </c>
      <c r="K21" s="529">
        <f>IF(B21="","",H21*I21)</f>
        <v/>
      </c>
      <c r="L21" s="529">
        <f>IF(B21="","",IF(COUNTIF($CE21:$CX21,1)&gt;0,0,J21))</f>
        <v/>
      </c>
      <c r="M21" s="529">
        <f>IF(B21="","",IF(COUNTIF($CE21:$CX21,1)&gt;0,0,K21))</f>
        <v/>
      </c>
      <c r="N21" s="248" t="inlineStr">
        <is>
          <t>No</t>
        </is>
      </c>
      <c r="O21" s="248" t="inlineStr">
        <is>
          <t>N/A</t>
        </is>
      </c>
      <c r="P21" s="249">
        <f>IF(B21="","",IF(OR(O21="N/A",O21=""),0,YEARFRAC('Borrowing Base'!$J$4,'Loan List'!O21)*12))</f>
        <v/>
      </c>
      <c r="Q21" s="248" t="inlineStr">
        <is>
          <t>No</t>
        </is>
      </c>
      <c r="R21" s="250" t="n">
        <v>0.9925</v>
      </c>
      <c r="S21" s="251">
        <f>IF(B21="","",IF(R21&lt;95%,"Yes","No"))</f>
        <v/>
      </c>
      <c r="T21" s="250" t="n">
        <v>1</v>
      </c>
      <c r="U21" s="252">
        <f>IF(B21="","",IF(OR(Y21="First Lien",Y21="Split First Lien",Y21="Tier 1 Split Lien",Y21="Tier 2 Split Lien"),50%,30%))</f>
        <v/>
      </c>
      <c r="V21" s="252">
        <f>IF(B21="",0,IF(AND(Y21="First Lien",AN21="Tier 1"),IF(AND(X21="Yes",MIN(AH21,$AJ$5)&gt;4.5),(((4.5/MIN(AH21,$AJ$5))*72.5%)+(((MIN(AH21,$AJ$5)-4.5)/MIN(AH21,$AJ$5))*35%)),72.5%),IF(AND(Y21="First Lien",AN21="Tier 2"),IF(AND(X21="Yes",MIN(AH21,$AK$5)&gt;4.5),(((4.5/MIN(AH21,$AK$5))*72.5%)+(((MIN(AH21,$AK$5)-4.5)/MIN(AH21,$AK$5))*35%)),72.5%),IF(AND(X21="Yes",MIN(AH21,$AL$5)&gt;4),(((4/MIN(AH21,$AL$5))*72.5%)+(((MIN(AH21,$AL$5)-4)/MIN(AH21,$AL$5))*35%)),IF(OR(Y21="First Lien",Y21="Split First Lien"),72.5%,IF(Y21="Split Lien", 53%,35%))))))</f>
        <v/>
      </c>
      <c r="W21" s="530">
        <f>IF($C21="","",MIN($HO21:$HS21))</f>
        <v/>
      </c>
      <c r="X21" s="248" t="inlineStr">
        <is>
          <t>No</t>
        </is>
      </c>
      <c r="Y21" s="254" t="inlineStr">
        <is>
          <t>First Lien</t>
        </is>
      </c>
      <c r="Z21" s="254" t="inlineStr">
        <is>
          <t>Term</t>
        </is>
      </c>
      <c r="AA21" s="531" t="inlineStr">
        <is>
          <t>NR</t>
        </is>
      </c>
      <c r="AB21" s="531" t="inlineStr">
        <is>
          <t xml:space="preserve"> NR</t>
        </is>
      </c>
      <c r="AC21" s="532" t="n">
        <v>1.898318227278797</v>
      </c>
      <c r="AD21" s="532" t="n">
        <v>4.111287178476397</v>
      </c>
      <c r="AE21" s="532" t="n">
        <v>3.175338301162305</v>
      </c>
      <c r="AF21" s="257" t="n">
        <v>0.4179884610606315</v>
      </c>
      <c r="AG21" s="533" t="n">
        <v>4.111287178476397</v>
      </c>
      <c r="AH21" s="533" t="n">
        <v>4.111287178476397</v>
      </c>
      <c r="AI21" s="533" t="n">
        <v>3.175338301162305</v>
      </c>
      <c r="AJ21" s="533" t="n">
        <v>3.175338301162305</v>
      </c>
      <c r="AK21" s="534" t="n">
        <v>10147000</v>
      </c>
      <c r="AL21" s="534" t="n">
        <v>12189228</v>
      </c>
      <c r="AM21" s="260" t="n">
        <v>45838</v>
      </c>
      <c r="AN21" s="529">
        <f>IF(C21="","",(IF(AK21&gt;=50000000,"Tier 1",(IF(OR(AK21&gt;=20000000,AND(AK21&gt;5000000,AC21&gt;=1.25,AF21&lt;=0.65)),"Tier 2","Tier 3")))))</f>
        <v/>
      </c>
      <c r="AO21" s="244" t="n">
        <v>47844</v>
      </c>
      <c r="AP21" s="535" t="n">
        <v>5.408333333333333</v>
      </c>
      <c r="AQ21" s="535">
        <f>IF(C21="","",AP21)</f>
        <v/>
      </c>
      <c r="AR21" s="248" t="inlineStr">
        <is>
          <t>No</t>
        </is>
      </c>
      <c r="AS21" s="250" t="n">
        <v>0</v>
      </c>
      <c r="AT21" s="248" t="inlineStr">
        <is>
          <t>Yes</t>
        </is>
      </c>
      <c r="AU21" s="250" t="n">
        <v>0.01</v>
      </c>
      <c r="AV21" s="250" t="n">
        <v>0.05</v>
      </c>
      <c r="AW21" s="250" t="n">
        <v>0.04317</v>
      </c>
      <c r="AX21" s="262">
        <f>IF(C21="","",MAX(AU21,AW21))</f>
        <v/>
      </c>
      <c r="AY21" s="250" t="n">
        <v>0</v>
      </c>
      <c r="AZ21" s="250" t="n">
        <v>0</v>
      </c>
      <c r="BA21" s="250" t="n">
        <v>0</v>
      </c>
      <c r="BB21" s="412">
        <f>IF(B21="","",IF(AR21="No",AV21-AZ21,""))</f>
        <v/>
      </c>
      <c r="BC21" s="412">
        <f>IF(B21="","",IF(AR21="Yes",AS21-BA21,""))</f>
        <v/>
      </c>
      <c r="BD21" s="254" t="inlineStr">
        <is>
          <t>Quarterly</t>
        </is>
      </c>
      <c r="BE21" s="536" t="inlineStr">
        <is>
          <t>Industrial Conglomerates</t>
        </is>
      </c>
      <c r="BF21" s="254" t="inlineStr">
        <is>
          <t>USD</t>
        </is>
      </c>
      <c r="BG21" s="254" t="inlineStr">
        <is>
          <t>United States</t>
        </is>
      </c>
      <c r="BH21" s="248" t="inlineStr">
        <is>
          <t>No</t>
        </is>
      </c>
      <c r="BI21" s="413">
        <f>IF(B21="","",IF(OR(AND(AZ21&gt;0,BB21&gt;=2.5%,BB21&lt;4%),AND(BA21&gt;0,BC21&gt;=6%,BC21&lt;8%)),"Yes","No"))</f>
        <v/>
      </c>
      <c r="BJ21" s="413">
        <f>IF(B21="","",IF(OR(AND(AZ21&gt;0,BB21&lt;2.5%),AND(BA21&gt;0,BC21&lt;6%)),"Yes","No"))</f>
        <v/>
      </c>
      <c r="BK21" s="248" t="inlineStr">
        <is>
          <t>No</t>
        </is>
      </c>
      <c r="BL21" s="248" t="inlineStr">
        <is>
          <t>No</t>
        </is>
      </c>
      <c r="BM21" s="248" t="inlineStr">
        <is>
          <t>No</t>
        </is>
      </c>
      <c r="BN21" s="248" t="inlineStr">
        <is>
          <t>No</t>
        </is>
      </c>
      <c r="BO21" s="248" t="inlineStr">
        <is>
          <t>No</t>
        </is>
      </c>
      <c r="BP21" s="248" t="inlineStr">
        <is>
          <t>No</t>
        </is>
      </c>
      <c r="BQ21" s="248" t="inlineStr">
        <is>
          <t>No</t>
        </is>
      </c>
      <c r="BR21" s="248" t="inlineStr">
        <is>
          <t>No</t>
        </is>
      </c>
      <c r="BS21" s="248" t="inlineStr">
        <is>
          <t>No</t>
        </is>
      </c>
      <c r="BT21" s="248" t="inlineStr">
        <is>
          <t>No</t>
        </is>
      </c>
      <c r="BU21" s="248" t="inlineStr">
        <is>
          <t>No</t>
        </is>
      </c>
      <c r="BV21" s="248" t="inlineStr">
        <is>
          <t>No</t>
        </is>
      </c>
      <c r="BW21" s="248" t="inlineStr">
        <is>
          <t>No</t>
        </is>
      </c>
      <c r="BX21" s="248" t="inlineStr">
        <is>
          <t>No</t>
        </is>
      </c>
      <c r="BY21" s="248" t="inlineStr">
        <is>
          <t>No</t>
        </is>
      </c>
      <c r="BZ21" s="248" t="inlineStr">
        <is>
          <t>No</t>
        </is>
      </c>
      <c r="CA21" s="248" t="inlineStr">
        <is>
          <t>Yes</t>
        </is>
      </c>
      <c r="CB21" s="537">
        <f>IF(B21="","",IF(AT21="No",((BB21+AW21)-$AZ$4),((BB21+AX21)-$AZ$4))*IF(DD21&gt;0,0,M21))</f>
        <v/>
      </c>
      <c r="CC21" s="537">
        <f>IF(B21="","",AY21*(L21-M21)*IF(DD21&gt;0,0,1))</f>
        <v/>
      </c>
      <c r="CD21" s="265" t="n"/>
      <c r="CE21" s="265">
        <f>IF(AND(B21&lt;&gt;"",R21&lt;=85%),1,0)</f>
        <v/>
      </c>
      <c r="CF21" s="265">
        <f>IF(B21="",0,(IF(OR(BF21="USD",BF21="CAD",BF21="GBP",BF21="AUD",BF21="EUR"),0,1)))</f>
        <v/>
      </c>
      <c r="CG21" s="265">
        <f>IF(B21="",0,(IF(OR(BG21="United States",BG21="Canada",BG21="United Kingdom",BG21="Australia",BG21="Netherlands Antilles",BG21="Bermuda",BG21="Cayman Islands",BG21="British Virgin Islands",BG21="Channel Islands",BG21="Isle of Man",BG21="Australia",BG21="Netherlands",BG21="Germany",BG21="Sweden",BG21="Switzerland",BG21="Austria",BG21="Belgium",BG21="Denmark",BG21="Finland",BG21="Iceland",BG21="Ireland",BG21="Lichtenstein",BG21="Luxemborg",BG21="Norway"),0,1)))</f>
        <v/>
      </c>
      <c r="CH21" s="265">
        <f>IF(BN21="Yes",1,0)</f>
        <v/>
      </c>
      <c r="CI21" s="265">
        <f>IF(BO21="Yes",1,0)</f>
        <v/>
      </c>
      <c r="CJ21" s="265">
        <f>IF(BP21="Yes",1,0)</f>
        <v/>
      </c>
      <c r="CK21" s="265">
        <f>IF(BQ21="Yes",1,0)</f>
        <v/>
      </c>
      <c r="CL21" s="265">
        <f>IF(BR21="Yes",1,0)</f>
        <v/>
      </c>
      <c r="CM21" s="265">
        <f>IF(BS21="Yes",1,0)</f>
        <v/>
      </c>
      <c r="CN21" s="265">
        <f>IF(OR(AND(BJ21="Yes",N21="No"),AND(BJ21="Yes",N21="Yes",P21&gt;=6)),1,0)</f>
        <v/>
      </c>
      <c r="CO21" s="265">
        <f>IF(BT21="Yes",1,0)</f>
        <v/>
      </c>
      <c r="CP21" s="265">
        <f>IF(AND(BU21="Yes",BV21="No"),1,0)</f>
        <v/>
      </c>
      <c r="CQ21" s="265">
        <f>IF(BW21="Yes",1,0)</f>
        <v/>
      </c>
      <c r="CR21" s="265">
        <f>IF(AP21="",0,IF(AP21&gt;7,1,0))</f>
        <v/>
      </c>
      <c r="CS21" s="265">
        <f>IF(OR(BD21&lt;&gt;"Monthly",BD21&lt;&gt;"Quarterly",BD21&lt;&gt;"Semi-Annually"),0,1)</f>
        <v/>
      </c>
      <c r="CT21" s="265">
        <f>IF(BX21="Yes",1,0)</f>
        <v/>
      </c>
      <c r="CU21" s="265">
        <f>IF(BY21="Yes",1,0)</f>
        <v/>
      </c>
      <c r="CV21" s="265">
        <f>IF(BZ21="Yes",1,0)</f>
        <v/>
      </c>
      <c r="CW21" s="265">
        <f>IF(CA21="No",1,0)</f>
        <v/>
      </c>
      <c r="CX21" s="265">
        <f>IF(B21="",0,IF(AK21&gt;=5000000,0,1))</f>
        <v/>
      </c>
      <c r="CY21" s="265">
        <f>IF(B21="",0,IF(AL21&gt;=5000000,0,1))</f>
        <v/>
      </c>
      <c r="CZ21" s="265">
        <f>IF(OR(DA21=1,DB21=1,DC21=1),0,IF(B21="",0,IF(OR(AND(AN21="Tier 1",X21="No",OR(AI21&gt;$AJ$3,AJ21&gt;$AJ$4)),(AND(AN21="Tier 1",X21="Yes",AJ21&gt;$AJ$5)),(AND(AN21="Tier 2",X21="No",OR(AI21&gt;$AK$3,AJ21&gt;$AK$4))),(AND(AN21="Tier 2",X21="Yes",AJ21&gt;$AK$5)),(AND(AN21="Tier 3",X21="No",OR(AI21&gt;$AL$3,AJ21&gt;$AL$4))),(AND(AN21="Tier 3",X21="Yes",AJ21&gt;$AL$5))),1,0)))</f>
        <v/>
      </c>
      <c r="DA21" s="265">
        <f>IF(OR(DB21=1,DC21=1),0,IF(B21="",0,IF(OR(AND(AN21="Tier 1",X21="No",OR(AI21&gt;$AM$3,AJ21&gt;$AM$4)),(AND(AN21="Tier 1",X21="Yes",AJ21&gt;$AM$5)),(AND(AN21="Tier 2",X21="No",OR(AI21&gt;$AN$3,AJ21&gt;$AN$4))),(AND(AN21="Tier 2",X21="Yes",AJ21&gt;$AN$5)),(AND(AN21="Tier 3",X21="No",OR(AI21&gt;$AO$3,AJ21&gt;$AO$4))),(AND(AN21="Tier 3",X21="Yes",AJ21&gt;$AO$5))),1,0)))</f>
        <v/>
      </c>
      <c r="DB21" s="265">
        <f>IF(DC21=1,0,IF(B21="",0,IF(OR(AND(AN21="Tier 1",X21="No",OR(AI21&gt;$AP$3,AJ21&gt;$AP$4)),(AND(AN21="Tier 1",X21="Yes",AJ21&gt;$AP$5)),(AND(AN21="Tier 2",X21="No",OR(AI21&gt;$AQ$3,AJ21&gt;$AQ$4))),(AND(AN21="Tier 2",X21="Yes",AJ21&gt;$AQ$5)),(AND(AN21="Tier 3",X21="No",OR(AI21&gt;$AR$3,AJ21&gt;$AR$4))),(AND(AN21="Tier 3",X21="Yes",AJ21&gt;$AR$5))),1,0)))</f>
        <v/>
      </c>
      <c r="DC21" s="265">
        <f>IF(B21="",0,IF(OR(AND(AN21="Tier 1",X21="No",OR(AI21&gt;$AS$3,AJ21&gt;$AS$4)),(AND(AN21="Tier 1",X21="Yes",AJ21&gt;$AS$5)),(AND(AN21="Tier 2",X21="No",OR(AI21&gt;$AT$3,AJ21&gt;$AT$4))),(AND(AN21="Tier 2",X21="Yes",AJ21&gt;$AT$5)),(AND(AN21="Tier 3",X21="No",OR(AI21&gt;$AU$3,AJ21&gt;$AU$4))),(AND(AN21="Tier 3",X21="Yes",AJ21&gt;$AU$5))),1,0))</f>
        <v/>
      </c>
      <c r="DD21" s="265">
        <f>IF((SUM(CE21:CX21)=0),0,W21)</f>
        <v/>
      </c>
      <c r="DE21" s="265">
        <f>IF(OR(B21="",DD21&gt;0),0,W21)</f>
        <v/>
      </c>
      <c r="DF21" s="265">
        <f>IF(B21="",0,IF(COUNTIF(CE21:CX21,1)&gt;0,0,L21-M21))</f>
        <v/>
      </c>
      <c r="DG21" s="265">
        <f>DE21+IF(DD21&gt;0,0,DF21)</f>
        <v/>
      </c>
      <c r="DH21" s="265">
        <f>IF(B21="","",M21+DF21)</f>
        <v/>
      </c>
      <c r="DI21" s="265">
        <f>IF(B21="",0,J21-K21)</f>
        <v/>
      </c>
      <c r="DJ21" s="265">
        <f>IF(OR(BF21="EUR",BF21="CAD",BF21="GBP",BF21="AUD"),(GA21*(1-V21))+(HG21)+IF(HX21="",0,HX21*(1-U21)),0)</f>
        <v/>
      </c>
      <c r="DK21" s="265">
        <f>IF(BF21="EUR",33%,IF(BF21="CAD",38%,IF(BF21="GBP",51%,IF(BF21="AUD",61%,0))))</f>
        <v/>
      </c>
      <c r="DL21" s="265">
        <f>DJ21*DK21</f>
        <v/>
      </c>
      <c r="DN21" s="538">
        <f>IF(OR(Y21="Second Lien",Y21="Tier 1 Split Lien",Y21="Tier 2 Split Lien"),DG21,0)</f>
        <v/>
      </c>
      <c r="DO21" s="539">
        <f>DN21*DN$6</f>
        <v/>
      </c>
      <c r="DP21" s="538">
        <f>DG21-DO21</f>
        <v/>
      </c>
      <c r="DQ21" s="538">
        <f>IF(Y21="Second Lien",DP21,0)</f>
        <v/>
      </c>
      <c r="DR21" s="539">
        <f>DQ21*DQ$6</f>
        <v/>
      </c>
      <c r="DS21" s="538">
        <f>DP21-DR21</f>
        <v/>
      </c>
      <c r="DT21" s="538">
        <f>IF(BH21="Yes",DS21,0)</f>
        <v/>
      </c>
      <c r="DU21" s="539">
        <f>DT21*DT$6</f>
        <v/>
      </c>
      <c r="DV21" s="538">
        <f>DS21-DU21</f>
        <v/>
      </c>
      <c r="DW21" s="538">
        <f>IF(OR(BG21="Canada",BG21="United Kingdom",BG21="Australia",BG21="Netherlands Antilles",BG21="Bermuda",BG21="Cayman Islands",BG21="British Virgin Islands",BG21="Channel Islands",BG21="Isle of Man",BG21="Australia",BG21="Netherlands",BG21="Germany",BG21="Sweden",BG21="Switzerland",BG21="Austria",BG21="Belgium",BG21="Denmark",BG21="Finland",BG21="Iceland",BG21="Ireland",BG21="Lichtenstein",BG21="Luxemborg",BG21="Norway"),DV21,0)</f>
        <v/>
      </c>
      <c r="DX21" s="539">
        <f>DW21*DW$6</f>
        <v/>
      </c>
      <c r="DY21" s="538">
        <f>DV21-DX21</f>
        <v/>
      </c>
      <c r="DZ21" s="538">
        <f>IF(BI21="Yes",DY21,0)</f>
        <v/>
      </c>
      <c r="EA21" s="539">
        <f>DZ21*DZ$6</f>
        <v/>
      </c>
      <c r="EB21" s="538">
        <f>DY21-EA21</f>
        <v/>
      </c>
      <c r="EC21" s="538">
        <f>IF(OR(Z21="Delayed Draw",Z21="Revolver"),EB21,0)</f>
        <v/>
      </c>
      <c r="ED21" s="539">
        <f>EC21*EC$6</f>
        <v/>
      </c>
      <c r="EE21" s="538">
        <f>EB21-ED21</f>
        <v/>
      </c>
      <c r="EF21" s="538">
        <f>IF(S21="Yes",EE21,0)</f>
        <v/>
      </c>
      <c r="EG21" s="539">
        <f>EF21*EF$6</f>
        <v/>
      </c>
      <c r="EH21" s="538">
        <f>EE21-EG21</f>
        <v/>
      </c>
      <c r="EI21" s="538">
        <f>IF(Q21="Yes",EH21,0)</f>
        <v/>
      </c>
      <c r="EJ21" s="539">
        <f>EI21*EI$6</f>
        <v/>
      </c>
      <c r="EK21" s="538">
        <f>EH21-EJ21</f>
        <v/>
      </c>
      <c r="EL21" s="538">
        <f>IF(BD21="Semi-Annually",EK21,0)</f>
        <v/>
      </c>
      <c r="EM21" s="539">
        <f>EL21*EL$6</f>
        <v/>
      </c>
      <c r="EN21" s="538">
        <f>EK21-EM21</f>
        <v/>
      </c>
      <c r="EO21" s="538">
        <f>IF(BK21="Yes",EN21,0)</f>
        <v/>
      </c>
      <c r="EP21" s="539">
        <f>EO21*EO$6</f>
        <v/>
      </c>
      <c r="EQ21" s="538">
        <f>EN21-EP21</f>
        <v/>
      </c>
      <c r="ER21" s="538">
        <f>IF(BL21="Yes",EQ21,0)</f>
        <v/>
      </c>
      <c r="ES21" s="539">
        <f>ER21*ER$6</f>
        <v/>
      </c>
      <c r="ET21" s="538">
        <f>EQ21-ES21</f>
        <v/>
      </c>
      <c r="EU21" s="538">
        <f>IF(BM21="Yes",ET21,0)</f>
        <v/>
      </c>
      <c r="EV21" s="539">
        <f>EU21*EU$6</f>
        <v/>
      </c>
      <c r="EW21" s="538">
        <f>ET21-EV21</f>
        <v/>
      </c>
      <c r="EX21" s="538">
        <f>IF(BV21="Yes",EW21,0)</f>
        <v/>
      </c>
      <c r="EY21" s="539">
        <f>EX21*EX$6</f>
        <v/>
      </c>
      <c r="EZ21" s="538">
        <f>EW21-EY21</f>
        <v/>
      </c>
      <c r="FA21" s="538">
        <f>IF(AR21="Yes",EZ21,0)</f>
        <v/>
      </c>
      <c r="FB21" s="539">
        <f>FA21*FA$6</f>
        <v/>
      </c>
      <c r="FC21" s="538">
        <f>EZ21-FB21</f>
        <v/>
      </c>
      <c r="FD21" s="538">
        <f>IF(OR(BF21="EUR",BF21="AUD",BF21="CAD",BF21="GBP"),FC21,0)</f>
        <v/>
      </c>
      <c r="FE21" s="539">
        <f>FD21*FD$6</f>
        <v/>
      </c>
      <c r="FF21" s="538">
        <f>FC21-FE21</f>
        <v/>
      </c>
      <c r="FG21" s="538">
        <f>FF21</f>
        <v/>
      </c>
      <c r="FH21" s="538">
        <f>IF(FF21=0,0,VLOOKUP(C21,$GU$10:$GV$406,2,FALSE)*FF21)</f>
        <v/>
      </c>
      <c r="FI21" s="538">
        <f>FF21-FH21</f>
        <v/>
      </c>
      <c r="FJ21" s="538">
        <f>FI21</f>
        <v/>
      </c>
      <c r="FK21" s="538">
        <f>IF(OR(IB21="",FI21&lt;0.01),,VLOOKUP(IB21,$GL$10:$GM$406,2,FALSE)*FI21)</f>
        <v/>
      </c>
      <c r="FL21" s="538">
        <f>FI21-FK21</f>
        <v/>
      </c>
      <c r="FM21" s="538">
        <f>FL21</f>
        <v/>
      </c>
      <c r="FN21" s="538">
        <f>IF(FL21=0,0,VLOOKUP(C21,$HD$10:$HE$406,2,FALSE)*FL21)</f>
        <v/>
      </c>
      <c r="FO21" s="538">
        <f>FL21-FN21</f>
        <v/>
      </c>
      <c r="FP21" s="538">
        <f>IF(SUM(CY21:DC21)&gt;0,0,IF(AND(AL21&gt;=5000000,AL21&lt;7500000),FO21,0))</f>
        <v/>
      </c>
      <c r="FQ21" s="539">
        <f>IF(B21="",0,FP21*FP$6*(1-$U21))</f>
        <v/>
      </c>
      <c r="FR21" s="538">
        <f>FO21-FQ21</f>
        <v/>
      </c>
      <c r="FS21" s="538">
        <f>IF(SUM(CY21:DC21)&gt;0,0,IF(AL21&lt;15000000,FR21,0))</f>
        <v/>
      </c>
      <c r="FT21" s="539">
        <f>IF(B21="",0,FS21*FS$6*(1-$U21))</f>
        <v/>
      </c>
      <c r="FU21" s="538">
        <f>FR21-FT21</f>
        <v/>
      </c>
      <c r="FV21" s="538">
        <f>IF(SUM(CY21:DC21)&gt;0,0,IF(OR(AND(X21="No",AN21="Tier 1",AI21&gt;$AG$3),AND(X21="No",AN21="Tier 2",AI21&gt;$AH$3),AND(X21="No",AN21="Tier 3",AI21&gt;$AI$3)),FU21,0))</f>
        <v/>
      </c>
      <c r="FW21" s="538">
        <f>IF(SUM(CY21:DC21)&gt;0,0,IF(OR(AND(X21="No",AN21="Tier 1",AJ21&gt;$AG$4),AND(X21="No",AN21="Tier 2",AJ21&gt;$AH$4),AND(X21="No",AN21="Tier 3",AJ21&gt;$AI$4)),FU21,0))</f>
        <v/>
      </c>
      <c r="FX21" s="538">
        <f>IF(SUM(CY21:DC21)&gt;0,0,IF(OR(AND(X21="Yes",AN21="Tier 1",AJ21&gt;$AG$5),AND(X21="Yes",AN21="Tier 2",AJ21&gt;$AH$5),AND(X21="Yes",AN21="Tier 3",AJ21&gt;$AI$5)),FU21,0))</f>
        <v/>
      </c>
      <c r="FY21" s="538">
        <f>IF(SUM(FV21:FX21)&gt;0,FU21,0)</f>
        <v/>
      </c>
      <c r="FZ21" s="539">
        <f>IF(B21="",0,FY21*FV$6*(1-MIN(90%,T21)))</f>
        <v/>
      </c>
      <c r="GA21" s="538">
        <f>FU21-FZ21</f>
        <v/>
      </c>
      <c r="GB21" s="538">
        <f>IF(AND(N21="No",DI21=0),GA21,IF(AND(N21="No",DI21&lt;&gt;0,K21=0),0,IF(AND(N21="No",DI21&lt;&gt;0,K21&gt;0,J21&lt;&gt;K21),MAX(0,M21-(DH21-GA21)),DG21)))</f>
        <v/>
      </c>
      <c r="GC21" s="540">
        <f>+GB21*V21</f>
        <v/>
      </c>
      <c r="GD21" s="138">
        <f>IFERROR(GC21/K21,"")</f>
        <v/>
      </c>
      <c r="GE21" s="541">
        <f>IF(IB21="","",IB21)</f>
        <v/>
      </c>
      <c r="GF21" s="538">
        <f t="array" ref="GF21">IF(SUM(IF(IB$9:IB20=IB21,1,0))&gt;0,0,SUMIF($IB$10:$IB$406,IB21,$FI$10:$FI$406))</f>
        <v/>
      </c>
      <c r="GG21" s="270">
        <f>GF21</f>
        <v/>
      </c>
      <c r="GH21" s="137">
        <f>GH20+1</f>
        <v/>
      </c>
      <c r="GI21" s="542">
        <f>LARGE($GG$10:$GG$406,GH21)</f>
        <v/>
      </c>
      <c r="GJ21" s="542">
        <f>IF(GH21&gt;GH$6,0,IF(GH21=$GH$2,$GJ$2,IF(GH21&lt;4,$GJ$3,$GJ$4)))</f>
        <v/>
      </c>
      <c r="GK21" s="489">
        <f>MAX(0,GI21-GJ21)</f>
        <v/>
      </c>
      <c r="GL21" s="137">
        <f t="array" ref="GL21">IF(GI21=0,0,LARGE(IF($GF$10:$GF$406=GI21,$GE$10:$GE$406,0),COUNTIF($GI$10:$GI$406,GI21)-COUNTIF(GI$9:GI20,GI21)))</f>
        <v/>
      </c>
      <c r="GM21" s="272">
        <f>IF(GI21=0,0,GK21/GI21)</f>
        <v/>
      </c>
      <c r="GO21" s="137">
        <f>IF(C21="","",IF(ISERROR(MATCH(C21,C$10:C20,0)),MAX(GO$10:GO20)+1,INDEX(GO$10:GO20,MATCH(C21,C$10:C20,0))))</f>
        <v/>
      </c>
      <c r="GP21" s="538">
        <f>IF(COUNTIF($A$10:A21,A21)&lt;=1,SUMIF($A$10:$A$406,A21,$FG$10:$FG$406),0)</f>
        <v/>
      </c>
      <c r="GQ21" s="137">
        <f>GQ20+1</f>
        <v/>
      </c>
      <c r="GR21" s="542">
        <f>LARGE($GP$10:$GP$406,GQ21)</f>
        <v/>
      </c>
      <c r="GS21" s="542">
        <f>IF(GQ21&gt;GQ$6,0,IF(GQ21&lt;=GQ$2,GS$2,IF(AND(GQ21&lt;=$GQ$3,GQ21&gt;$GQ$2),GS$3,GS$4)))</f>
        <v/>
      </c>
      <c r="GT21" s="489">
        <f>MAX(0,GR21-GS21)</f>
        <v/>
      </c>
      <c r="GU21" s="137">
        <f t="array" ref="GU21">IF(GR21=0,0,LARGE(IF($GP$10:$GP$406=GR21,$GO$10:$GO$406,0),COUNTIF($GR$10:$GR$406,GR21)-COUNTIF(GR$9:GR20,GR21)))</f>
        <v/>
      </c>
      <c r="GV21" s="272">
        <f>IF(GR21=0,0,GT21/GR21)</f>
        <v/>
      </c>
      <c r="GW21" s="272" t="n"/>
      <c r="GX21" s="137">
        <f>IF(C21="","",IF(ISERROR(MATCH(C21,C$10:C20,0)),MAX(GO$10:GO20)+1,INDEX(GO$10:GO20,MATCH(C21,C$10:C20,0))))</f>
        <v/>
      </c>
      <c r="GY21" s="538">
        <f>IF(COUNTIF($A$10:A21,A21)&lt;=1,SUMIF($A$10:$A$406,A21,$FG$10:$FG$406),0)</f>
        <v/>
      </c>
      <c r="GZ21" s="137">
        <f>GZ20+1</f>
        <v/>
      </c>
      <c r="HA21" s="542">
        <f>LARGE($GY$10:$GY$406,GZ21)</f>
        <v/>
      </c>
      <c r="HB21" s="543" t="inlineStr">
        <is>
          <t>-</t>
        </is>
      </c>
      <c r="HC21" s="489">
        <f>IF(GZ21&lt;6,MAX(0,$HC$2/5),0)</f>
        <v/>
      </c>
      <c r="HD21" s="137">
        <f t="array" ref="HD21">IF(HA21=0,0,LARGE(IF($GY$10:$GY$406=HA21,$GX$10:$GX$406,0),COUNTIF($HA$10:$HA$406,HA21)-COUNTIF(HA$9:HA20,HA21)))</f>
        <v/>
      </c>
      <c r="HE21" s="272">
        <f>IF(HA21=0,0,HC21/HA21)</f>
        <v/>
      </c>
      <c r="HG21" s="270">
        <f>DG21-GA21</f>
        <v/>
      </c>
      <c r="HH21" s="544" t="n">
        <v>0</v>
      </c>
      <c r="HI21" s="538">
        <f>MIN(HH21,DE21)</f>
        <v/>
      </c>
      <c r="HK21" s="137">
        <f>IF(COUNTIF($C$10:$C$406,HK20+1),HK20+1,"")</f>
        <v/>
      </c>
      <c r="HL21" s="538">
        <f>SUMIF($C$10:$C$406,HK21,$DG$10:$DG$406)</f>
        <v/>
      </c>
      <c r="HN21" s="521">
        <f>MIN(HO21:HS21)</f>
        <v/>
      </c>
      <c r="HO21" s="521">
        <f>IF(B21="","",$M21)</f>
        <v/>
      </c>
      <c r="HP21" s="521">
        <f>IF($N21="Yes",IF(P21&gt;=6,0,MIN($T21*$M21,$U21*$M21)),"")</f>
        <v/>
      </c>
      <c r="HQ21" s="521">
        <f>IF(AND(N21="Yes",P21&gt;=6),"",IF($S21="Yes",$R21*$M21,""))</f>
        <v/>
      </c>
      <c r="HR21" s="521">
        <f>IF($Q21="Yes",MIN($M21,$T21*$M21),"")</f>
        <v/>
      </c>
      <c r="HS21" s="521">
        <f>IF(AND($N21="Yes",$P21&gt;=6),"",IF(OR(CY21=1,DC21=1,),MIN($T21*$M21,$U21*$M21),IF(OR(CZ21=1,DA21=1,DB21=1),IF(AK21&gt;=5000000,MIN($T21*$M21,$IE21*$M21),MIN($T21*$M21,$U21*$M21)),"")))</f>
        <v/>
      </c>
      <c r="HT21" s="521">
        <f>IF(DD21&gt;0,DD21,"")</f>
        <v/>
      </c>
      <c r="HU21" s="522">
        <f>IF(B21="",0,$L21-$M21)</f>
        <v/>
      </c>
      <c r="HV21" s="274">
        <f>IF(OR(SUM(HP21:HT21)&gt;0,P21&gt;=6),"",IF($B21="","",1))</f>
        <v/>
      </c>
      <c r="HW21" s="522">
        <f>IF(AND($HT21&lt;&gt;0,OR(HT21&lt;=MIN(HP21:HS21),SUM(HP21:HS21)=0)),$HT21,0)</f>
        <v/>
      </c>
      <c r="HX21" s="522">
        <f>IF(AND($HS21&lt;&gt;0,OR(AND($HS21&lt;&gt;$HT21,$HS21&lt;&gt;$HR21,$HS21&lt;&gt;$HQ21,$HS21&lt;&gt;$HP21,$HS21&lt;MIN($HP21:$HR21),$HS21&lt;HT21),SUM($HP21:$HR21)+SUM(HT21)=0),IA21&lt;=0),$HS21,0)</f>
        <v/>
      </c>
      <c r="HY21" s="522">
        <f>IF(AND($HR21&lt;&gt;0,OR(AND($HR21&lt;&gt;$HT21,$HR21&lt;&gt;$HS21,$HR21&lt;&gt;$HQ21,$HR21&lt;&gt;$HP21),$HR21&lt;MIN($HP21:$HQ21),$HR21&lt;MIN($HS21:$HT21),SUM($HP21:$HQ21)+SUM($HS21:$HT21)=0)),$HR21,0)</f>
        <v/>
      </c>
      <c r="HZ21" s="522">
        <f>IF(AND($HQ21&lt;&gt;0,OR(AND($HQ21&lt;&gt;$HT21,HQ21&lt;&gt;HS21,HQ21&lt;&gt;HR21,HQ21&lt;&gt;HP21,HQ21&lt;MIN(HR21:HT21)),SUM(HP21)+SUM(HR21:HT21)=0)),$HQ21,0)</f>
        <v/>
      </c>
      <c r="IA21" s="522">
        <f>IF(AND($HP21&lt;&gt;0,OR(HP21&lt;=MIN(HQ21:HT21),SUM(HQ21:HT21)=0)),$HP21,0)</f>
        <v/>
      </c>
      <c r="IB21" s="545" t="n">
        <v>37</v>
      </c>
      <c r="IC21">
        <f>HU21=DF21</f>
        <v/>
      </c>
      <c r="IE21" s="351">
        <f>IF(B21="","",IF(AND(Y21="Second Lien",OR(CZ21=1,DA21=1,DB21=1)),50%,IF(CZ21=1,90%,IF(DA21=1,80%,IF(DB21=1,65%,"No Initial Haircut")))))</f>
        <v/>
      </c>
    </row>
    <row r="22">
      <c r="A22">
        <f>D22</f>
        <v/>
      </c>
      <c r="B22" s="242">
        <f>IF(D22="","",B21+1)</f>
        <v/>
      </c>
      <c r="C22" s="242">
        <f>IF(COUNTIF($A$10:A21,A22)&gt;0,C21,C21+1)</f>
        <v/>
      </c>
      <c r="D22" s="243" t="inlineStr">
        <is>
          <t>Oakhill Holdings, LLC</t>
        </is>
      </c>
      <c r="E22" s="243" t="inlineStr">
        <is>
          <t>Oakhill (Term Loan)</t>
        </is>
      </c>
      <c r="F22" s="244" t="n"/>
      <c r="G22" s="528" t="n">
        <v>25445609.86</v>
      </c>
      <c r="H22" s="528" t="n">
        <v>25445609.86</v>
      </c>
      <c r="I22" s="246" t="n">
        <v>1</v>
      </c>
      <c r="J22" s="529">
        <f>IF(B22="","",G22*I22)</f>
        <v/>
      </c>
      <c r="K22" s="529">
        <f>IF(B22="","",H22*I22)</f>
        <v/>
      </c>
      <c r="L22" s="529">
        <f>IF(B22="","",IF(COUNTIF($CE22:$CX22,1)&gt;0,0,J22))</f>
        <v/>
      </c>
      <c r="M22" s="529">
        <f>IF(B22="","",IF(COUNTIF($CE22:$CX22,1)&gt;0,0,K22))</f>
        <v/>
      </c>
      <c r="N22" s="248" t="inlineStr">
        <is>
          <t>No</t>
        </is>
      </c>
      <c r="O22" s="248" t="inlineStr">
        <is>
          <t>N/A</t>
        </is>
      </c>
      <c r="P22" s="249">
        <f>IF(B22="","",IF(OR(O22="N/A",O22=""),0,YEARFRAC('Borrowing Base'!$J$4,'Loan List'!O22)*12))</f>
        <v/>
      </c>
      <c r="Q22" s="248" t="inlineStr">
        <is>
          <t>No</t>
        </is>
      </c>
      <c r="R22" s="250" t="n">
        <v>0.9981427731093351</v>
      </c>
      <c r="S22" s="251">
        <f>IF(B22="","",IF(R22&lt;95%,"Yes","No"))</f>
        <v/>
      </c>
      <c r="T22" s="250" t="n">
        <v>0.9925000001552331</v>
      </c>
      <c r="U22" s="252">
        <f>IF(B22="","",IF(OR(Y22="First Lien",Y22="Split First Lien",Y22="Tier 1 Split Lien",Y22="Tier 2 Split Lien"),50%,30%))</f>
        <v/>
      </c>
      <c r="V22" s="252">
        <f>IF(B22="",0,IF(AND(Y22="First Lien",AN22="Tier 1"),IF(AND(X22="Yes",MIN(AH22,$AJ$5)&gt;4.5),(((4.5/MIN(AH22,$AJ$5))*72.5%)+(((MIN(AH22,$AJ$5)-4.5)/MIN(AH22,$AJ$5))*35%)),72.5%),IF(AND(Y22="First Lien",AN22="Tier 2"),IF(AND(X22="Yes",MIN(AH22,$AK$5)&gt;4.5),(((4.5/MIN(AH22,$AK$5))*72.5%)+(((MIN(AH22,$AK$5)-4.5)/MIN(AH22,$AK$5))*35%)),72.5%),IF(AND(X22="Yes",MIN(AH22,$AL$5)&gt;4),(((4/MIN(AH22,$AL$5))*72.5%)+(((MIN(AH22,$AL$5)-4)/MIN(AH22,$AL$5))*35%)),IF(OR(Y22="First Lien",Y22="Split First Lien"),72.5%,IF(Y22="Split Lien", 53%,35%))))))</f>
        <v/>
      </c>
      <c r="W22" s="530">
        <f>IF($C22="","",MIN($HO22:$HS22))</f>
        <v/>
      </c>
      <c r="X22" s="248" t="inlineStr">
        <is>
          <t>Yes</t>
        </is>
      </c>
      <c r="Y22" s="254" t="inlineStr">
        <is>
          <t>First Lien</t>
        </is>
      </c>
      <c r="Z22" s="254" t="inlineStr">
        <is>
          <t>Term</t>
        </is>
      </c>
      <c r="AA22" s="531" t="inlineStr">
        <is>
          <t>NR</t>
        </is>
      </c>
      <c r="AB22" s="531" t="inlineStr">
        <is>
          <t xml:space="preserve"> NR</t>
        </is>
      </c>
      <c r="AC22" s="532" t="n">
        <v>1.99</v>
      </c>
      <c r="AD22" s="532" t="n">
        <v>5.248788741059755</v>
      </c>
      <c r="AE22" s="532" t="n">
        <v>6.165995741209767</v>
      </c>
      <c r="AF22" s="257" t="n">
        <v>0.5247051842335448</v>
      </c>
      <c r="AG22" s="533" t="n">
        <v>5.440160243482232</v>
      </c>
      <c r="AH22" s="533" t="n">
        <v>5.771757026568992</v>
      </c>
      <c r="AI22" s="533" t="n">
        <v>5.933921034367761</v>
      </c>
      <c r="AJ22" s="533" t="n">
        <v>6.006027535670184</v>
      </c>
      <c r="AK22" s="534" t="n">
        <v>60314216</v>
      </c>
      <c r="AL22" s="534" t="n">
        <v>110947000</v>
      </c>
      <c r="AM22" s="260" t="n">
        <v>45838</v>
      </c>
      <c r="AN22" s="529">
        <f>IF(C22="","",(IF(AK22&gt;=50000000,"Tier 1",(IF(OR(AK22&gt;=20000000,AND(AK22&gt;5000000,AC22&gt;=1.25,AF22&lt;=0.65)),"Tier 2","Tier 3")))))</f>
        <v/>
      </c>
      <c r="AO22" s="244" t="n">
        <v>48044</v>
      </c>
      <c r="AP22" s="535" t="n">
        <v>5.958333333333333</v>
      </c>
      <c r="AQ22" s="535">
        <f>IF(C22="","",AP22)</f>
        <v/>
      </c>
      <c r="AR22" s="248" t="inlineStr">
        <is>
          <t>No</t>
        </is>
      </c>
      <c r="AS22" s="250" t="n">
        <v>0</v>
      </c>
      <c r="AT22" s="248" t="inlineStr">
        <is>
          <t>Yes</t>
        </is>
      </c>
      <c r="AU22" s="250" t="n">
        <v>0.01</v>
      </c>
      <c r="AV22" s="250" t="n">
        <v>0.06469999999999999</v>
      </c>
      <c r="AW22" s="250" t="n">
        <v>0.03347600000000001</v>
      </c>
      <c r="AX22" s="262">
        <f>IF(C22="","",MAX(AU22,AW22))</f>
        <v/>
      </c>
      <c r="AY22" s="250" t="n">
        <v>0</v>
      </c>
      <c r="AZ22" s="250" t="n">
        <v>0</v>
      </c>
      <c r="BA22" s="250" t="n">
        <v>0</v>
      </c>
      <c r="BB22" s="412">
        <f>IF(B22="","",IF(AR22="No",AV22-AZ22,""))</f>
        <v/>
      </c>
      <c r="BC22" s="412">
        <f>IF(B22="","",IF(AR22="Yes",AS22-BA22,""))</f>
        <v/>
      </c>
      <c r="BD22" s="254" t="inlineStr">
        <is>
          <t>Quarterly</t>
        </is>
      </c>
      <c r="BE22" s="536" t="inlineStr">
        <is>
          <t>IT Services</t>
        </is>
      </c>
      <c r="BF22" s="254" t="inlineStr">
        <is>
          <t>USD</t>
        </is>
      </c>
      <c r="BG22" s="254" t="inlineStr">
        <is>
          <t>United States</t>
        </is>
      </c>
      <c r="BH22" s="248" t="inlineStr">
        <is>
          <t>No</t>
        </is>
      </c>
      <c r="BI22" s="413">
        <f>IF(B22="","",IF(OR(AND(AZ22&gt;0,BB22&gt;=2.5%,BB22&lt;4%),AND(BA22&gt;0,BC22&gt;=6%,BC22&lt;8%)),"Yes","No"))</f>
        <v/>
      </c>
      <c r="BJ22" s="413">
        <f>IF(B22="","",IF(OR(AND(AZ22&gt;0,BB22&lt;2.5%),AND(BA22&gt;0,BC22&lt;6%)),"Yes","No"))</f>
        <v/>
      </c>
      <c r="BK22" s="248" t="inlineStr">
        <is>
          <t>No</t>
        </is>
      </c>
      <c r="BL22" s="248" t="inlineStr">
        <is>
          <t>No</t>
        </is>
      </c>
      <c r="BM22" s="248" t="inlineStr">
        <is>
          <t>No</t>
        </is>
      </c>
      <c r="BN22" s="248" t="inlineStr">
        <is>
          <t>No</t>
        </is>
      </c>
      <c r="BO22" s="248" t="inlineStr">
        <is>
          <t>No</t>
        </is>
      </c>
      <c r="BP22" s="248" t="inlineStr">
        <is>
          <t>No</t>
        </is>
      </c>
      <c r="BQ22" s="248" t="inlineStr">
        <is>
          <t>No</t>
        </is>
      </c>
      <c r="BR22" s="248" t="inlineStr">
        <is>
          <t>No</t>
        </is>
      </c>
      <c r="BS22" s="248" t="inlineStr">
        <is>
          <t>No</t>
        </is>
      </c>
      <c r="BT22" s="248" t="inlineStr">
        <is>
          <t>No</t>
        </is>
      </c>
      <c r="BU22" s="248" t="inlineStr">
        <is>
          <t>No</t>
        </is>
      </c>
      <c r="BV22" s="248" t="inlineStr">
        <is>
          <t>No</t>
        </is>
      </c>
      <c r="BW22" s="248" t="inlineStr">
        <is>
          <t>No</t>
        </is>
      </c>
      <c r="BX22" s="248" t="inlineStr">
        <is>
          <t>No</t>
        </is>
      </c>
      <c r="BY22" s="248" t="inlineStr">
        <is>
          <t>No</t>
        </is>
      </c>
      <c r="BZ22" s="248" t="inlineStr">
        <is>
          <t>No</t>
        </is>
      </c>
      <c r="CA22" s="248" t="inlineStr">
        <is>
          <t>Yes</t>
        </is>
      </c>
      <c r="CB22" s="537">
        <f>IF(B22="","",IF(AT22="No",((BB22+AW22)-$AZ$4),((BB22+AX22)-$AZ$4))*IF(DD22&gt;0,0,M22))</f>
        <v/>
      </c>
      <c r="CC22" s="537">
        <f>IF(B22="","",AY22*(L22-M22)*IF(DD22&gt;0,0,1))</f>
        <v/>
      </c>
      <c r="CD22" s="265" t="n"/>
      <c r="CE22" s="265">
        <f>IF(AND(B22&lt;&gt;"",R22&lt;=85%),1,0)</f>
        <v/>
      </c>
      <c r="CF22" s="265">
        <f>IF(B22="",0,(IF(OR(BF22="USD",BF22="CAD",BF22="GBP",BF22="AUD",BF22="EUR"),0,1)))</f>
        <v/>
      </c>
      <c r="CG22" s="265">
        <f>IF(B22="",0,(IF(OR(BG22="United States",BG22="Canada",BG22="United Kingdom",BG22="Australia",BG22="Netherlands Antilles",BG22="Bermuda",BG22="Cayman Islands",BG22="British Virgin Islands",BG22="Channel Islands",BG22="Isle of Man",BG22="Australia",BG22="Netherlands",BG22="Germany",BG22="Sweden",BG22="Switzerland",BG22="Austria",BG22="Belgium",BG22="Denmark",BG22="Finland",BG22="Iceland",BG22="Ireland",BG22="Lichtenstein",BG22="Luxemborg",BG22="Norway"),0,1)))</f>
        <v/>
      </c>
      <c r="CH22" s="265">
        <f>IF(BN22="Yes",1,0)</f>
        <v/>
      </c>
      <c r="CI22" s="265">
        <f>IF(BO22="Yes",1,0)</f>
        <v/>
      </c>
      <c r="CJ22" s="265">
        <f>IF(BP22="Yes",1,0)</f>
        <v/>
      </c>
      <c r="CK22" s="265">
        <f>IF(BQ22="Yes",1,0)</f>
        <v/>
      </c>
      <c r="CL22" s="265">
        <f>IF(BR22="Yes",1,0)</f>
        <v/>
      </c>
      <c r="CM22" s="265">
        <f>IF(BS22="Yes",1,0)</f>
        <v/>
      </c>
      <c r="CN22" s="265">
        <f>IF(OR(AND(BJ22="Yes",N22="No"),AND(BJ22="Yes",N22="Yes",P22&gt;=6)),1,0)</f>
        <v/>
      </c>
      <c r="CO22" s="265">
        <f>IF(BT22="Yes",1,0)</f>
        <v/>
      </c>
      <c r="CP22" s="265">
        <f>IF(AND(BU22="Yes",BV22="No"),1,0)</f>
        <v/>
      </c>
      <c r="CQ22" s="265">
        <f>IF(BW22="Yes",1,0)</f>
        <v/>
      </c>
      <c r="CR22" s="265">
        <f>IF(AP22="",0,IF(AP22&gt;7,1,0))</f>
        <v/>
      </c>
      <c r="CS22" s="265">
        <f>IF(OR(BD22&lt;&gt;"Monthly",BD22&lt;&gt;"Quarterly",BD22&lt;&gt;"Semi-Annually"),0,1)</f>
        <v/>
      </c>
      <c r="CT22" s="265">
        <f>IF(BX22="Yes",1,0)</f>
        <v/>
      </c>
      <c r="CU22" s="265">
        <f>IF(BY22="Yes",1,0)</f>
        <v/>
      </c>
      <c r="CV22" s="265">
        <f>IF(BZ22="Yes",1,0)</f>
        <v/>
      </c>
      <c r="CW22" s="265">
        <f>IF(CA22="No",1,0)</f>
        <v/>
      </c>
      <c r="CX22" s="265">
        <f>IF(B22="",0,IF(AK22&gt;=5000000,0,1))</f>
        <v/>
      </c>
      <c r="CY22" s="265">
        <f>IF(B22="",0,IF(AL22&gt;=5000000,0,1))</f>
        <v/>
      </c>
      <c r="CZ22" s="265">
        <f>IF(OR(DA22=1,DB22=1,DC22=1),0,IF(B22="",0,IF(OR(AND(AN22="Tier 1",X22="No",OR(AI22&gt;$AJ$3,AJ22&gt;$AJ$4)),(AND(AN22="Tier 1",X22="Yes",AJ22&gt;$AJ$5)),(AND(AN22="Tier 2",X22="No",OR(AI22&gt;$AK$3,AJ22&gt;$AK$4))),(AND(AN22="Tier 2",X22="Yes",AJ22&gt;$AK$5)),(AND(AN22="Tier 3",X22="No",OR(AI22&gt;$AL$3,AJ22&gt;$AL$4))),(AND(AN22="Tier 3",X22="Yes",AJ22&gt;$AL$5))),1,0)))</f>
        <v/>
      </c>
      <c r="DA22" s="265">
        <f>IF(OR(DB22=1,DC22=1),0,IF(B22="",0,IF(OR(AND(AN22="Tier 1",X22="No",OR(AI22&gt;$AM$3,AJ22&gt;$AM$4)),(AND(AN22="Tier 1",X22="Yes",AJ22&gt;$AM$5)),(AND(AN22="Tier 2",X22="No",OR(AI22&gt;$AN$3,AJ22&gt;$AN$4))),(AND(AN22="Tier 2",X22="Yes",AJ22&gt;$AN$5)),(AND(AN22="Tier 3",X22="No",OR(AI22&gt;$AO$3,AJ22&gt;$AO$4))),(AND(AN22="Tier 3",X22="Yes",AJ22&gt;$AO$5))),1,0)))</f>
        <v/>
      </c>
      <c r="DB22" s="265">
        <f>IF(DC22=1,0,IF(B22="",0,IF(OR(AND(AN22="Tier 1",X22="No",OR(AI22&gt;$AP$3,AJ22&gt;$AP$4)),(AND(AN22="Tier 1",X22="Yes",AJ22&gt;$AP$5)),(AND(AN22="Tier 2",X22="No",OR(AI22&gt;$AQ$3,AJ22&gt;$AQ$4))),(AND(AN22="Tier 2",X22="Yes",AJ22&gt;$AQ$5)),(AND(AN22="Tier 3",X22="No",OR(AI22&gt;$AR$3,AJ22&gt;$AR$4))),(AND(AN22="Tier 3",X22="Yes",AJ22&gt;$AR$5))),1,0)))</f>
        <v/>
      </c>
      <c r="DC22" s="265">
        <f>IF(B22="",0,IF(OR(AND(AN22="Tier 1",X22="No",OR(AI22&gt;$AS$3,AJ22&gt;$AS$4)),(AND(AN22="Tier 1",X22="Yes",AJ22&gt;$AS$5)),(AND(AN22="Tier 2",X22="No",OR(AI22&gt;$AT$3,AJ22&gt;$AT$4))),(AND(AN22="Tier 2",X22="Yes",AJ22&gt;$AT$5)),(AND(AN22="Tier 3",X22="No",OR(AI22&gt;$AU$3,AJ22&gt;$AU$4))),(AND(AN22="Tier 3",X22="Yes",AJ22&gt;$AU$5))),1,0))</f>
        <v/>
      </c>
      <c r="DD22" s="265">
        <f>IF((SUM(CE22:CX22)=0),0,W22)</f>
        <v/>
      </c>
      <c r="DE22" s="265">
        <f>IF(OR(B22="",DD22&gt;0),0,W22)</f>
        <v/>
      </c>
      <c r="DF22" s="265">
        <f>IF(B22="",0,IF(COUNTIF(CE22:CX22,1)&gt;0,0,L22-M22))</f>
        <v/>
      </c>
      <c r="DG22" s="265">
        <f>DE22+IF(DD22&gt;0,0,DF22)</f>
        <v/>
      </c>
      <c r="DH22" s="265">
        <f>IF(B22="","",M22+DF22)</f>
        <v/>
      </c>
      <c r="DI22" s="265">
        <f>IF(B22="",0,J22-K22)</f>
        <v/>
      </c>
      <c r="DJ22" s="265">
        <f>IF(OR(BF22="EUR",BF22="CAD",BF22="GBP",BF22="AUD"),(GA22*(1-V22))+(HG22)+IF(HX22="",0,HX22*(1-U22)),0)</f>
        <v/>
      </c>
      <c r="DK22" s="265">
        <f>IF(BF22="EUR",33%,IF(BF22="CAD",38%,IF(BF22="GBP",51%,IF(BF22="AUD",61%,0))))</f>
        <v/>
      </c>
      <c r="DL22" s="265">
        <f>DJ22*DK22</f>
        <v/>
      </c>
      <c r="DN22" s="538">
        <f>IF(OR(Y22="Second Lien",Y22="Tier 1 Split Lien",Y22="Tier 2 Split Lien"),DG22,0)</f>
        <v/>
      </c>
      <c r="DO22" s="539">
        <f>DN22*DN$6</f>
        <v/>
      </c>
      <c r="DP22" s="538">
        <f>DG22-DO22</f>
        <v/>
      </c>
      <c r="DQ22" s="538">
        <f>IF(Y22="Second Lien",DP22,0)</f>
        <v/>
      </c>
      <c r="DR22" s="539">
        <f>DQ22*DQ$6</f>
        <v/>
      </c>
      <c r="DS22" s="538">
        <f>DP22-DR22</f>
        <v/>
      </c>
      <c r="DT22" s="538">
        <f>IF(BH22="Yes",DS22,0)</f>
        <v/>
      </c>
      <c r="DU22" s="539">
        <f>DT22*DT$6</f>
        <v/>
      </c>
      <c r="DV22" s="538">
        <f>DS22-DU22</f>
        <v/>
      </c>
      <c r="DW22" s="538">
        <f>IF(OR(BG22="Canada",BG22="United Kingdom",BG22="Australia",BG22="Netherlands Antilles",BG22="Bermuda",BG22="Cayman Islands",BG22="British Virgin Islands",BG22="Channel Islands",BG22="Isle of Man",BG22="Australia",BG22="Netherlands",BG22="Germany",BG22="Sweden",BG22="Switzerland",BG22="Austria",BG22="Belgium",BG22="Denmark",BG22="Finland",BG22="Iceland",BG22="Ireland",BG22="Lichtenstein",BG22="Luxemborg",BG22="Norway"),DV22,0)</f>
        <v/>
      </c>
      <c r="DX22" s="539">
        <f>DW22*DW$6</f>
        <v/>
      </c>
      <c r="DY22" s="538">
        <f>DV22-DX22</f>
        <v/>
      </c>
      <c r="DZ22" s="538">
        <f>IF(BI22="Yes",DY22,0)</f>
        <v/>
      </c>
      <c r="EA22" s="539">
        <f>DZ22*DZ$6</f>
        <v/>
      </c>
      <c r="EB22" s="538">
        <f>DY22-EA22</f>
        <v/>
      </c>
      <c r="EC22" s="538">
        <f>IF(OR(Z22="Delayed Draw",Z22="Revolver"),EB22,0)</f>
        <v/>
      </c>
      <c r="ED22" s="539">
        <f>EC22*EC$6</f>
        <v/>
      </c>
      <c r="EE22" s="538">
        <f>EB22-ED22</f>
        <v/>
      </c>
      <c r="EF22" s="538">
        <f>IF(S22="Yes",EE22,0)</f>
        <v/>
      </c>
      <c r="EG22" s="539">
        <f>EF22*EF$6</f>
        <v/>
      </c>
      <c r="EH22" s="538">
        <f>EE22-EG22</f>
        <v/>
      </c>
      <c r="EI22" s="538">
        <f>IF(Q22="Yes",EH22,0)</f>
        <v/>
      </c>
      <c r="EJ22" s="539">
        <f>EI22*EI$6</f>
        <v/>
      </c>
      <c r="EK22" s="538">
        <f>EH22-EJ22</f>
        <v/>
      </c>
      <c r="EL22" s="538">
        <f>IF(BD22="Semi-Annually",EK22,0)</f>
        <v/>
      </c>
      <c r="EM22" s="539">
        <f>EL22*EL$6</f>
        <v/>
      </c>
      <c r="EN22" s="538">
        <f>EK22-EM22</f>
        <v/>
      </c>
      <c r="EO22" s="538">
        <f>IF(BK22="Yes",EN22,0)</f>
        <v/>
      </c>
      <c r="EP22" s="539">
        <f>EO22*EO$6</f>
        <v/>
      </c>
      <c r="EQ22" s="538">
        <f>EN22-EP22</f>
        <v/>
      </c>
      <c r="ER22" s="538">
        <f>IF(BL22="Yes",EQ22,0)</f>
        <v/>
      </c>
      <c r="ES22" s="539">
        <f>ER22*ER$6</f>
        <v/>
      </c>
      <c r="ET22" s="538">
        <f>EQ22-ES22</f>
        <v/>
      </c>
      <c r="EU22" s="538">
        <f>IF(BM22="Yes",ET22,0)</f>
        <v/>
      </c>
      <c r="EV22" s="539">
        <f>EU22*EU$6</f>
        <v/>
      </c>
      <c r="EW22" s="538">
        <f>ET22-EV22</f>
        <v/>
      </c>
      <c r="EX22" s="538">
        <f>IF(BV22="Yes",EW22,0)</f>
        <v/>
      </c>
      <c r="EY22" s="539">
        <f>EX22*EX$6</f>
        <v/>
      </c>
      <c r="EZ22" s="538">
        <f>EW22-EY22</f>
        <v/>
      </c>
      <c r="FA22" s="538">
        <f>IF(AR22="Yes",EZ22,0)</f>
        <v/>
      </c>
      <c r="FB22" s="539">
        <f>FA22*FA$6</f>
        <v/>
      </c>
      <c r="FC22" s="538">
        <f>EZ22-FB22</f>
        <v/>
      </c>
      <c r="FD22" s="538">
        <f>IF(OR(BF22="EUR",BF22="AUD",BF22="CAD",BF22="GBP"),FC22,0)</f>
        <v/>
      </c>
      <c r="FE22" s="539">
        <f>FD22*FD$6</f>
        <v/>
      </c>
      <c r="FF22" s="538">
        <f>FC22-FE22</f>
        <v/>
      </c>
      <c r="FG22" s="538">
        <f>FF22</f>
        <v/>
      </c>
      <c r="FH22" s="538">
        <f>IF(FF22=0,0,VLOOKUP(C22,$GU$10:$GV$406,2,FALSE)*FF22)</f>
        <v/>
      </c>
      <c r="FI22" s="538">
        <f>FF22-FH22</f>
        <v/>
      </c>
      <c r="FJ22" s="538">
        <f>FI22</f>
        <v/>
      </c>
      <c r="FK22" s="538">
        <f>IF(OR(IB22="",FI22&lt;0.01),,VLOOKUP(IB22,$GL$10:$GM$406,2,FALSE)*FI22)</f>
        <v/>
      </c>
      <c r="FL22" s="538">
        <f>FI22-FK22</f>
        <v/>
      </c>
      <c r="FM22" s="538">
        <f>FL22</f>
        <v/>
      </c>
      <c r="FN22" s="538">
        <f>IF(FL22=0,0,VLOOKUP(C22,$HD$10:$HE$406,2,FALSE)*FL22)</f>
        <v/>
      </c>
      <c r="FO22" s="538">
        <f>FL22-FN22</f>
        <v/>
      </c>
      <c r="FP22" s="538">
        <f>IF(SUM(CY22:DC22)&gt;0,0,IF(AND(AL22&gt;=5000000,AL22&lt;7500000),FO22,0))</f>
        <v/>
      </c>
      <c r="FQ22" s="539">
        <f>IF(B22="",0,FP22*FP$6*(1-$U22))</f>
        <v/>
      </c>
      <c r="FR22" s="538">
        <f>FO22-FQ22</f>
        <v/>
      </c>
      <c r="FS22" s="538">
        <f>IF(SUM(CY22:DC22)&gt;0,0,IF(AL22&lt;15000000,FR22,0))</f>
        <v/>
      </c>
      <c r="FT22" s="539">
        <f>IF(B22="",0,FS22*FS$6*(1-$U22))</f>
        <v/>
      </c>
      <c r="FU22" s="538">
        <f>FR22-FT22</f>
        <v/>
      </c>
      <c r="FV22" s="538">
        <f>IF(SUM(CY22:DC22)&gt;0,0,IF(OR(AND(X22="No",AN22="Tier 1",AI22&gt;$AG$3),AND(X22="No",AN22="Tier 2",AI22&gt;$AH$3),AND(X22="No",AN22="Tier 3",AI22&gt;$AI$3)),FU22,0))</f>
        <v/>
      </c>
      <c r="FW22" s="538">
        <f>IF(SUM(CY22:DC22)&gt;0,0,IF(OR(AND(X22="No",AN22="Tier 1",AJ22&gt;$AG$4),AND(X22="No",AN22="Tier 2",AJ22&gt;$AH$4),AND(X22="No",AN22="Tier 3",AJ22&gt;$AI$4)),FU22,0))</f>
        <v/>
      </c>
      <c r="FX22" s="538">
        <f>IF(SUM(CY22:DC22)&gt;0,0,IF(OR(AND(X22="Yes",AN22="Tier 1",AJ22&gt;$AG$5),AND(X22="Yes",AN22="Tier 2",AJ22&gt;$AH$5),AND(X22="Yes",AN22="Tier 3",AJ22&gt;$AI$5)),FU22,0))</f>
        <v/>
      </c>
      <c r="FY22" s="538">
        <f>IF(SUM(FV22:FX22)&gt;0,FU22,0)</f>
        <v/>
      </c>
      <c r="FZ22" s="539">
        <f>IF(B22="",0,FY22*FV$6*(1-MIN(90%,T22)))</f>
        <v/>
      </c>
      <c r="GA22" s="538">
        <f>FU22-FZ22</f>
        <v/>
      </c>
      <c r="GB22" s="538">
        <f>IF(AND(N22="No",DI22=0),GA22,IF(AND(N22="No",DI22&lt;&gt;0,K22=0),0,IF(AND(N22="No",DI22&lt;&gt;0,K22&gt;0,J22&lt;&gt;K22),MAX(0,M22-(DH22-GA22)),DG22)))</f>
        <v/>
      </c>
      <c r="GC22" s="540">
        <f>+GB22*V22</f>
        <v/>
      </c>
      <c r="GD22" s="138">
        <f>IFERROR(GC22/K22,"")</f>
        <v/>
      </c>
      <c r="GE22" s="541">
        <f>IF(IB22="","",IB22)</f>
        <v/>
      </c>
      <c r="GF22" s="538">
        <f t="array" ref="GF22">IF(SUM(IF(IB$9:IB21=IB22,1,0))&gt;0,0,SUMIF($IB$10:$IB$406,IB22,$FI$10:$FI$406))</f>
        <v/>
      </c>
      <c r="GG22" s="270">
        <f>GF22</f>
        <v/>
      </c>
      <c r="GH22" s="137">
        <f>GH21+1</f>
        <v/>
      </c>
      <c r="GI22" s="542">
        <f>LARGE($GG$10:$GG$406,GH22)</f>
        <v/>
      </c>
      <c r="GJ22" s="542">
        <f>IF(GH22&gt;GH$6,0,IF(GH22=$GH$2,$GJ$2,IF(GH22&lt;4,$GJ$3,$GJ$4)))</f>
        <v/>
      </c>
      <c r="GK22" s="489">
        <f>MAX(0,GI22-GJ22)</f>
        <v/>
      </c>
      <c r="GL22" s="137">
        <f t="array" ref="GL22">IF(GI22=0,0,LARGE(IF($GF$10:$GF$406=GI22,$GE$10:$GE$406,0),COUNTIF($GI$10:$GI$406,GI22)-COUNTIF(GI$9:GI21,GI22)))</f>
        <v/>
      </c>
      <c r="GM22" s="272">
        <f>IF(GI22=0,0,GK22/GI22)</f>
        <v/>
      </c>
      <c r="GO22" s="137">
        <f>IF(C22="","",IF(ISERROR(MATCH(C22,C$10:C21,0)),MAX(GO$10:GO21)+1,INDEX(GO$10:GO21,MATCH(C22,C$10:C21,0))))</f>
        <v/>
      </c>
      <c r="GP22" s="538">
        <f>IF(COUNTIF($A$10:A22,A22)&lt;=1,SUMIF($A$10:$A$406,A22,$FG$10:$FG$406),0)</f>
        <v/>
      </c>
      <c r="GQ22" s="137">
        <f>GQ21+1</f>
        <v/>
      </c>
      <c r="GR22" s="542">
        <f>LARGE($GP$10:$GP$406,GQ22)</f>
        <v/>
      </c>
      <c r="GS22" s="542">
        <f>IF(GQ22&gt;GQ$6,0,IF(GQ22&lt;=GQ$2,GS$2,IF(AND(GQ22&lt;=$GQ$3,GQ22&gt;$GQ$2),GS$3,GS$4)))</f>
        <v/>
      </c>
      <c r="GT22" s="489">
        <f>MAX(0,GR22-GS22)</f>
        <v/>
      </c>
      <c r="GU22" s="137">
        <f t="array" ref="GU22">IF(GR22=0,0,LARGE(IF($GP$10:$GP$406=GR22,$GO$10:$GO$406,0),COUNTIF($GR$10:$GR$406,GR22)-COUNTIF(GR$9:GR21,GR22)))</f>
        <v/>
      </c>
      <c r="GV22" s="272">
        <f>IF(GR22=0,0,GT22/GR22)</f>
        <v/>
      </c>
      <c r="GW22" s="272" t="n"/>
      <c r="GX22" s="137">
        <f>IF(C22="","",IF(ISERROR(MATCH(C22,C$10:C21,0)),MAX(GO$10:GO21)+1,INDEX(GO$10:GO21,MATCH(C22,C$10:C21,0))))</f>
        <v/>
      </c>
      <c r="GY22" s="538">
        <f>IF(COUNTIF($A$10:A22,A22)&lt;=1,SUMIF($A$10:$A$406,A22,$FG$10:$FG$406),0)</f>
        <v/>
      </c>
      <c r="GZ22" s="137">
        <f>GZ21+1</f>
        <v/>
      </c>
      <c r="HA22" s="542">
        <f>LARGE($GY$10:$GY$406,GZ22)</f>
        <v/>
      </c>
      <c r="HB22" s="543" t="inlineStr">
        <is>
          <t>-</t>
        </is>
      </c>
      <c r="HC22" s="489">
        <f>IF(GZ22&lt;6,MAX(0,$HC$2/5),0)</f>
        <v/>
      </c>
      <c r="HD22" s="137">
        <f t="array" ref="HD22">IF(HA22=0,0,LARGE(IF($GY$10:$GY$406=HA22,$GX$10:$GX$406,0),COUNTIF($HA$10:$HA$406,HA22)-COUNTIF(HA$9:HA21,HA22)))</f>
        <v/>
      </c>
      <c r="HE22" s="272">
        <f>IF(HA22=0,0,HC22/HA22)</f>
        <v/>
      </c>
      <c r="HG22" s="270">
        <f>DG22-GA22</f>
        <v/>
      </c>
      <c r="HH22" s="544" t="n">
        <v>0</v>
      </c>
      <c r="HI22" s="538">
        <f>MIN(HH22,DE22)</f>
        <v/>
      </c>
      <c r="HK22" s="137">
        <f>IF(COUNTIF($C$10:$C$406,HK21+1),HK21+1,"")</f>
        <v/>
      </c>
      <c r="HL22" s="538">
        <f>SUMIF($C$10:$C$406,HK22,$DG$10:$DG$406)</f>
        <v/>
      </c>
      <c r="HN22" s="521">
        <f>MIN(HO22:HS22)</f>
        <v/>
      </c>
      <c r="HO22" s="521">
        <f>IF(B22="","",$M22)</f>
        <v/>
      </c>
      <c r="HP22" s="521">
        <f>IF($N22="Yes",IF(P22&gt;=6,0,MIN($T22*$M22,$U22*$M22)),"")</f>
        <v/>
      </c>
      <c r="HQ22" s="521">
        <f>IF(AND(N22="Yes",P22&gt;=6),"",IF($S22="Yes",$R22*$M22,""))</f>
        <v/>
      </c>
      <c r="HR22" s="521">
        <f>IF($Q22="Yes",MIN($M22,$T22*$M22),"")</f>
        <v/>
      </c>
      <c r="HS22" s="521">
        <f>IF(AND($N22="Yes",$P22&gt;=6),"",IF(OR(CY22=1,DC22=1,),MIN($T22*$M22,$U22*$M22),IF(OR(CZ22=1,DA22=1,DB22=1),IF(AK22&gt;=5000000,MIN($T22*$M22,$IE22*$M22),MIN($T22*$M22,$U22*$M22)),"")))</f>
        <v/>
      </c>
      <c r="HT22" s="521">
        <f>IF(DD22&gt;0,DD22,"")</f>
        <v/>
      </c>
      <c r="HU22" s="522">
        <f>IF(B22="",0,$L22-$M22)</f>
        <v/>
      </c>
      <c r="HV22" s="274">
        <f>IF(OR(SUM(HP22:HT22)&gt;0,P22&gt;=6),"",IF($B22="","",1))</f>
        <v/>
      </c>
      <c r="HW22" s="522">
        <f>IF(AND($HT22&lt;&gt;0,OR(HT22&lt;=MIN(HP22:HS22),SUM(HP22:HS22)=0)),$HT22,0)</f>
        <v/>
      </c>
      <c r="HX22" s="522">
        <f>IF(AND($HS22&lt;&gt;0,OR(AND($HS22&lt;&gt;$HT22,$HS22&lt;&gt;$HR22,$HS22&lt;&gt;$HQ22,$HS22&lt;&gt;$HP22,$HS22&lt;MIN($HP22:$HR22),$HS22&lt;HT22),SUM($HP22:$HR22)+SUM(HT22)=0),IA22&lt;=0),$HS22,0)</f>
        <v/>
      </c>
      <c r="HY22" s="522">
        <f>IF(AND($HR22&lt;&gt;0,OR(AND($HR22&lt;&gt;$HT22,$HR22&lt;&gt;$HS22,$HR22&lt;&gt;$HQ22,$HR22&lt;&gt;$HP22),$HR22&lt;MIN($HP22:$HQ22),$HR22&lt;MIN($HS22:$HT22),SUM($HP22:$HQ22)+SUM($HS22:$HT22)=0)),$HR22,0)</f>
        <v/>
      </c>
      <c r="HZ22" s="522">
        <f>IF(AND($HQ22&lt;&gt;0,OR(AND($HQ22&lt;&gt;$HT22,HQ22&lt;&gt;HS22,HQ22&lt;&gt;HR22,HQ22&lt;&gt;HP22,HQ22&lt;MIN(HR22:HT22)),SUM(HP22)+SUM(HR22:HT22)=0)),$HQ22,0)</f>
        <v/>
      </c>
      <c r="IA22" s="522">
        <f>IF(AND($HP22&lt;&gt;0,OR(HP22&lt;=MIN(HQ22:HT22),SUM(HQ22:HT22)=0)),$HP22,0)</f>
        <v/>
      </c>
      <c r="IB22" s="545" t="n">
        <v>41</v>
      </c>
      <c r="IC22">
        <f>HU22=DF22</f>
        <v/>
      </c>
      <c r="IE22" s="351">
        <f>IF(B22="","",IF(AND(Y22="Second Lien",OR(CZ22=1,DA22=1,DB22=1)),50%,IF(CZ22=1,90%,IF(DA22=1,80%,IF(DB22=1,65%,"No Initial Haircut")))))</f>
        <v/>
      </c>
    </row>
    <row r="23">
      <c r="A23" t="inlineStr">
        <is>
          <t>By Light Professional IT Services, LLC</t>
        </is>
      </c>
      <c r="B23" s="242">
        <f>IF(D23="","",B22+1)</f>
        <v/>
      </c>
      <c r="C23" s="242">
        <f>IF(COUNTIF($A$10:A22,A23)&gt;0,C22,C22+1)</f>
        <v/>
      </c>
      <c r="D23" s="243" t="inlineStr">
        <is>
          <t>Pinecrest Holdings, LLC</t>
        </is>
      </c>
      <c r="E23" s="243" t="inlineStr">
        <is>
          <t>Pinecrest (Revolver)</t>
        </is>
      </c>
      <c r="F23" s="244" t="n"/>
      <c r="G23" s="528" t="n">
        <v>2164811.79</v>
      </c>
      <c r="H23" s="528" t="n">
        <v>2164811.79</v>
      </c>
      <c r="I23" s="246" t="n">
        <v>1</v>
      </c>
      <c r="J23" s="529">
        <f>IF(B23="","",G23*I23)</f>
        <v/>
      </c>
      <c r="K23" s="529">
        <f>IF(B23="","",H23*I23)</f>
        <v/>
      </c>
      <c r="L23" s="529">
        <f>IF(B23="","",IF(COUNTIF($CE23:$CX23,1)&gt;0,0,J23))</f>
        <v/>
      </c>
      <c r="M23" s="529">
        <f>IF(B23="","",IF(COUNTIF($CE23:$CX23,1)&gt;0,0,K23))</f>
        <v/>
      </c>
      <c r="N23" s="248" t="inlineStr">
        <is>
          <t>No</t>
        </is>
      </c>
      <c r="O23" s="248" t="inlineStr">
        <is>
          <t>N/A</t>
        </is>
      </c>
      <c r="P23" s="249">
        <f>IF(B23="","",IF(OR(O23="N/A",O23=""),0,YEARFRAC('Borrowing Base'!$J$4,'Loan List'!O23)*12))</f>
        <v/>
      </c>
      <c r="Q23" s="248" t="inlineStr">
        <is>
          <t>No</t>
        </is>
      </c>
      <c r="R23" s="250" t="n">
        <v>1</v>
      </c>
      <c r="S23" s="251">
        <f>IF(B23="","",IF(R23&lt;95%,"Yes","No"))</f>
        <v/>
      </c>
      <c r="T23" s="250" t="n">
        <v>0.9925000001552331</v>
      </c>
      <c r="U23" s="252">
        <f>IF(B23="","",IF(OR(Y23="First Lien",Y23="Split First Lien",Y23="Tier 1 Split Lien",Y23="Tier 2 Split Lien"),50%,30%))</f>
        <v/>
      </c>
      <c r="V23" s="252">
        <f>IF(B23="",0,IF(AND(Y23="First Lien",AN23="Tier 1"),IF(AND(X23="Yes",MIN(AH23,$AJ$5)&gt;4.5),(((4.5/MIN(AH23,$AJ$5))*72.5%)+(((MIN(AH23,$AJ$5)-4.5)/MIN(AH23,$AJ$5))*35%)),72.5%),IF(AND(Y23="First Lien",AN23="Tier 2"),IF(AND(X23="Yes",MIN(AH23,$AK$5)&gt;4.5),(((4.5/MIN(AH23,$AK$5))*72.5%)+(((MIN(AH23,$AK$5)-4.5)/MIN(AH23,$AK$5))*35%)),72.5%),IF(AND(X23="Yes",MIN(AH23,$AL$5)&gt;4),(((4/MIN(AH23,$AL$5))*72.5%)+(((MIN(AH23,$AL$5)-4)/MIN(AH23,$AL$5))*35%)),IF(OR(Y23="First Lien",Y23="Split First Lien"),72.5%,IF(Y23="Split Lien", 53%,35%))))))</f>
        <v/>
      </c>
      <c r="W23" s="530">
        <f>IF($C23="","",MIN($HO23:$HS23))</f>
        <v/>
      </c>
      <c r="X23" s="248" t="inlineStr">
        <is>
          <t>Yes</t>
        </is>
      </c>
      <c r="Y23" s="254" t="inlineStr">
        <is>
          <t>First Lien</t>
        </is>
      </c>
      <c r="Z23" s="254" t="inlineStr">
        <is>
          <t>Revolver</t>
        </is>
      </c>
      <c r="AA23" s="531" t="inlineStr">
        <is>
          <t>NR</t>
        </is>
      </c>
      <c r="AB23" s="531" t="inlineStr">
        <is>
          <t xml:space="preserve"> NR</t>
        </is>
      </c>
      <c r="AC23" s="532" t="n">
        <v>1.99</v>
      </c>
      <c r="AD23" s="532" t="n">
        <v>5.248788741059755</v>
      </c>
      <c r="AE23" s="532" t="n">
        <v>6.165995741209767</v>
      </c>
      <c r="AF23" s="257" t="n">
        <v>0.5247051842335448</v>
      </c>
      <c r="AG23" s="533" t="n">
        <v>5.440160243482232</v>
      </c>
      <c r="AH23" s="533" t="n">
        <v>5.771757026568992</v>
      </c>
      <c r="AI23" s="533" t="n">
        <v>5.933921034367761</v>
      </c>
      <c r="AJ23" s="533" t="n">
        <v>6.006027535670184</v>
      </c>
      <c r="AK23" s="534" t="n">
        <v>60314216</v>
      </c>
      <c r="AL23" s="534" t="n">
        <v>110947000</v>
      </c>
      <c r="AM23" s="260" t="n">
        <v>45838</v>
      </c>
      <c r="AN23" s="529">
        <f>IF(C23="","",(IF(AK23&gt;=50000000,"Tier 1",(IF(OR(AK23&gt;=20000000,AND(AK23&gt;5000000,AC23&gt;=1.25,AF23&lt;=0.65)),"Tier 2","Tier 3")))))</f>
        <v/>
      </c>
      <c r="AO23" s="244" t="n">
        <v>48044</v>
      </c>
      <c r="AP23" s="535" t="n">
        <v>5.958333333333333</v>
      </c>
      <c r="AQ23" s="535">
        <f>IF(C23="","",AP23)</f>
        <v/>
      </c>
      <c r="AR23" s="248" t="inlineStr">
        <is>
          <t>No</t>
        </is>
      </c>
      <c r="AS23" s="250" t="n">
        <v>0</v>
      </c>
      <c r="AT23" s="248" t="inlineStr">
        <is>
          <t>Yes</t>
        </is>
      </c>
      <c r="AU23" s="250" t="n">
        <v>0.01</v>
      </c>
      <c r="AV23" s="250" t="n">
        <v>0.06469999999999999</v>
      </c>
      <c r="AW23" s="250" t="n">
        <v>0.03347600000000001</v>
      </c>
      <c r="AX23" s="262">
        <f>IF(C23="","",MAX(AU23,AW23))</f>
        <v/>
      </c>
      <c r="AY23" s="250" t="n">
        <v>0</v>
      </c>
      <c r="AZ23" s="250" t="n">
        <v>0</v>
      </c>
      <c r="BA23" s="250" t="n">
        <v>0</v>
      </c>
      <c r="BB23" s="412">
        <f>IF(B23="","",IF(AR23="No",AV23-AZ23,""))</f>
        <v/>
      </c>
      <c r="BC23" s="412">
        <f>IF(B23="","",IF(AR23="Yes",AS23-BA23,""))</f>
        <v/>
      </c>
      <c r="BD23" s="254" t="inlineStr">
        <is>
          <t>Quarterly</t>
        </is>
      </c>
      <c r="BE23" s="536" t="inlineStr">
        <is>
          <t>IT Services</t>
        </is>
      </c>
      <c r="BF23" s="254" t="inlineStr">
        <is>
          <t>USD</t>
        </is>
      </c>
      <c r="BG23" s="254" t="inlineStr">
        <is>
          <t>United States</t>
        </is>
      </c>
      <c r="BH23" s="248" t="inlineStr">
        <is>
          <t>No</t>
        </is>
      </c>
      <c r="BI23" s="413">
        <f>IF(B23="","",IF(OR(AND(AZ23&gt;0,BB23&gt;=2.5%,BB23&lt;4%),AND(BA23&gt;0,BC23&gt;=6%,BC23&lt;8%)),"Yes","No"))</f>
        <v/>
      </c>
      <c r="BJ23" s="413">
        <f>IF(B23="","",IF(OR(AND(AZ23&gt;0,BB23&lt;2.5%),AND(BA23&gt;0,BC23&lt;6%)),"Yes","No"))</f>
        <v/>
      </c>
      <c r="BK23" s="248" t="inlineStr">
        <is>
          <t>No</t>
        </is>
      </c>
      <c r="BL23" s="248" t="inlineStr">
        <is>
          <t>No</t>
        </is>
      </c>
      <c r="BM23" s="248" t="inlineStr">
        <is>
          <t>No</t>
        </is>
      </c>
      <c r="BN23" s="248" t="inlineStr">
        <is>
          <t>No</t>
        </is>
      </c>
      <c r="BO23" s="248" t="inlineStr">
        <is>
          <t>No</t>
        </is>
      </c>
      <c r="BP23" s="248" t="inlineStr">
        <is>
          <t>No</t>
        </is>
      </c>
      <c r="BQ23" s="248" t="inlineStr">
        <is>
          <t>No</t>
        </is>
      </c>
      <c r="BR23" s="248" t="inlineStr">
        <is>
          <t>No</t>
        </is>
      </c>
      <c r="BS23" s="248" t="inlineStr">
        <is>
          <t>No</t>
        </is>
      </c>
      <c r="BT23" s="248" t="inlineStr">
        <is>
          <t>No</t>
        </is>
      </c>
      <c r="BU23" s="248" t="inlineStr">
        <is>
          <t>No</t>
        </is>
      </c>
      <c r="BV23" s="248" t="inlineStr">
        <is>
          <t>No</t>
        </is>
      </c>
      <c r="BW23" s="248" t="inlineStr">
        <is>
          <t>No</t>
        </is>
      </c>
      <c r="BX23" s="248" t="inlineStr">
        <is>
          <t>No</t>
        </is>
      </c>
      <c r="BY23" s="248" t="inlineStr">
        <is>
          <t>No</t>
        </is>
      </c>
      <c r="BZ23" s="248" t="inlineStr">
        <is>
          <t>No</t>
        </is>
      </c>
      <c r="CA23" s="248" t="inlineStr">
        <is>
          <t>Yes</t>
        </is>
      </c>
      <c r="CB23" s="537">
        <f>IF(B23="","",IF(AT23="No",((BB23+AW23)-$AZ$4),((BB23+AX23)-$AZ$4))*IF(DD23&gt;0,0,M23))</f>
        <v/>
      </c>
      <c r="CC23" s="537">
        <f>IF(B23="","",AY23*(L23-M23)*IF(DD23&gt;0,0,1))</f>
        <v/>
      </c>
      <c r="CD23" s="265" t="n"/>
      <c r="CE23" s="265">
        <f>IF(AND(B23&lt;&gt;"",R23&lt;=85%),1,0)</f>
        <v/>
      </c>
      <c r="CF23" s="265">
        <f>IF(B23="",0,(IF(OR(BF23="USD",BF23="CAD",BF23="GBP",BF23="AUD",BF23="EUR"),0,1)))</f>
        <v/>
      </c>
      <c r="CG23" s="265">
        <f>IF(B23="",0,(IF(OR(BG23="United States",BG23="Canada",BG23="United Kingdom",BG23="Australia",BG23="Netherlands Antilles",BG23="Bermuda",BG23="Cayman Islands",BG23="British Virgin Islands",BG23="Channel Islands",BG23="Isle of Man",BG23="Australia",BG23="Netherlands",BG23="Germany",BG23="Sweden",BG23="Switzerland",BG23="Austria",BG23="Belgium",BG23="Denmark",BG23="Finland",BG23="Iceland",BG23="Ireland",BG23="Lichtenstein",BG23="Luxemborg",BG23="Norway"),0,1)))</f>
        <v/>
      </c>
      <c r="CH23" s="265">
        <f>IF(BN23="Yes",1,0)</f>
        <v/>
      </c>
      <c r="CI23" s="265">
        <f>IF(BO23="Yes",1,0)</f>
        <v/>
      </c>
      <c r="CJ23" s="265">
        <f>IF(BP23="Yes",1,0)</f>
        <v/>
      </c>
      <c r="CK23" s="265">
        <f>IF(BQ23="Yes",1,0)</f>
        <v/>
      </c>
      <c r="CL23" s="265">
        <f>IF(BR23="Yes",1,0)</f>
        <v/>
      </c>
      <c r="CM23" s="265">
        <f>IF(BS23="Yes",1,0)</f>
        <v/>
      </c>
      <c r="CN23" s="265">
        <f>IF(OR(AND(BJ23="Yes",N23="No"),AND(BJ23="Yes",N23="Yes",P23&gt;=6)),1,0)</f>
        <v/>
      </c>
      <c r="CO23" s="265">
        <f>IF(BT23="Yes",1,0)</f>
        <v/>
      </c>
      <c r="CP23" s="265">
        <f>IF(AND(BU23="Yes",BV23="No"),1,0)</f>
        <v/>
      </c>
      <c r="CQ23" s="265">
        <f>IF(BW23="Yes",1,0)</f>
        <v/>
      </c>
      <c r="CR23" s="265">
        <f>IF(AP23="",0,IF(AP23&gt;7,1,0))</f>
        <v/>
      </c>
      <c r="CS23" s="265">
        <f>IF(OR(BD23&lt;&gt;"Monthly",BD23&lt;&gt;"Quarterly",BD23&lt;&gt;"Semi-Annually"),0,1)</f>
        <v/>
      </c>
      <c r="CT23" s="265">
        <f>IF(BX23="Yes",1,0)</f>
        <v/>
      </c>
      <c r="CU23" s="265">
        <f>IF(BY23="Yes",1,0)</f>
        <v/>
      </c>
      <c r="CV23" s="265">
        <f>IF(BZ23="Yes",1,0)</f>
        <v/>
      </c>
      <c r="CW23" s="265">
        <f>IF(CA23="No",1,0)</f>
        <v/>
      </c>
      <c r="CX23" s="265">
        <f>IF(B23="",0,IF(AK23&gt;=5000000,0,1))</f>
        <v/>
      </c>
      <c r="CY23" s="265">
        <f>IF(B23="",0,IF(AL23&gt;=5000000,0,1))</f>
        <v/>
      </c>
      <c r="CZ23" s="265">
        <f>IF(OR(DA23=1,DB23=1,DC23=1),0,IF(B23="",0,IF(OR(AND(AN23="Tier 1",X23="No",OR(AI23&gt;$AJ$3,AJ23&gt;$AJ$4)),(AND(AN23="Tier 1",X23="Yes",AJ23&gt;$AJ$5)),(AND(AN23="Tier 2",X23="No",OR(AI23&gt;$AK$3,AJ23&gt;$AK$4))),(AND(AN23="Tier 2",X23="Yes",AJ23&gt;$AK$5)),(AND(AN23="Tier 3",X23="No",OR(AI23&gt;$AL$3,AJ23&gt;$AL$4))),(AND(AN23="Tier 3",X23="Yes",AJ23&gt;$AL$5))),1,0)))</f>
        <v/>
      </c>
      <c r="DA23" s="265">
        <f>IF(OR(DB23=1,DC23=1),0,IF(B23="",0,IF(OR(AND(AN23="Tier 1",X23="No",OR(AI23&gt;$AM$3,AJ23&gt;$AM$4)),(AND(AN23="Tier 1",X23="Yes",AJ23&gt;$AM$5)),(AND(AN23="Tier 2",X23="No",OR(AI23&gt;$AN$3,AJ23&gt;$AN$4))),(AND(AN23="Tier 2",X23="Yes",AJ23&gt;$AN$5)),(AND(AN23="Tier 3",X23="No",OR(AI23&gt;$AO$3,AJ23&gt;$AO$4))),(AND(AN23="Tier 3",X23="Yes",AJ23&gt;$AO$5))),1,0)))</f>
        <v/>
      </c>
      <c r="DB23" s="265">
        <f>IF(DC23=1,0,IF(B23="",0,IF(OR(AND(AN23="Tier 1",X23="No",OR(AI23&gt;$AP$3,AJ23&gt;$AP$4)),(AND(AN23="Tier 1",X23="Yes",AJ23&gt;$AP$5)),(AND(AN23="Tier 2",X23="No",OR(AI23&gt;$AQ$3,AJ23&gt;$AQ$4))),(AND(AN23="Tier 2",X23="Yes",AJ23&gt;$AQ$5)),(AND(AN23="Tier 3",X23="No",OR(AI23&gt;$AR$3,AJ23&gt;$AR$4))),(AND(AN23="Tier 3",X23="Yes",AJ23&gt;$AR$5))),1,0)))</f>
        <v/>
      </c>
      <c r="DC23" s="265">
        <f>IF(B23="",0,IF(OR(AND(AN23="Tier 1",X23="No",OR(AI23&gt;$AS$3,AJ23&gt;$AS$4)),(AND(AN23="Tier 1",X23="Yes",AJ23&gt;$AS$5)),(AND(AN23="Tier 2",X23="No",OR(AI23&gt;$AT$3,AJ23&gt;$AT$4))),(AND(AN23="Tier 2",X23="Yes",AJ23&gt;$AT$5)),(AND(AN23="Tier 3",X23="No",OR(AI23&gt;$AU$3,AJ23&gt;$AU$4))),(AND(AN23="Tier 3",X23="Yes",AJ23&gt;$AU$5))),1,0))</f>
        <v/>
      </c>
      <c r="DD23" s="265">
        <f>IF((SUM(CE23:CX23)=0),0,W23)</f>
        <v/>
      </c>
      <c r="DE23" s="265">
        <f>IF(OR(B23="",DD23&gt;0),0,W23)</f>
        <v/>
      </c>
      <c r="DF23" s="265">
        <f>IF(B23="",0,IF(COUNTIF(CE23:CX23,1)&gt;0,0,L23-M23))</f>
        <v/>
      </c>
      <c r="DG23" s="265">
        <f>DE23+IF(DD23&gt;0,0,DF23)</f>
        <v/>
      </c>
      <c r="DH23" s="265">
        <f>IF(B23="","",M23+DF23)</f>
        <v/>
      </c>
      <c r="DI23" s="265">
        <f>IF(B23="",0,J23-K23)</f>
        <v/>
      </c>
      <c r="DJ23" s="265">
        <f>IF(OR(BF23="EUR",BF23="CAD",BF23="GBP",BF23="AUD"),(GA23*(1-V23))+(HG23)+IF(HX23="",0,HX23*(1-U23)),0)</f>
        <v/>
      </c>
      <c r="DK23" s="265">
        <f>IF(BF23="EUR",33%,IF(BF23="CAD",38%,IF(BF23="GBP",51%,IF(BF23="AUD",61%,0))))</f>
        <v/>
      </c>
      <c r="DL23" s="265">
        <f>DJ23*DK23</f>
        <v/>
      </c>
      <c r="DN23" s="538">
        <f>IF(OR(Y23="Second Lien",Y23="Tier 1 Split Lien",Y23="Tier 2 Split Lien"),DG23,0)</f>
        <v/>
      </c>
      <c r="DO23" s="539">
        <f>DN23*DN$6</f>
        <v/>
      </c>
      <c r="DP23" s="538">
        <f>DG23-DO23</f>
        <v/>
      </c>
      <c r="DQ23" s="538">
        <f>IF(Y23="Second Lien",DP23,0)</f>
        <v/>
      </c>
      <c r="DR23" s="539">
        <f>DQ23*DQ$6</f>
        <v/>
      </c>
      <c r="DS23" s="538">
        <f>DP23-DR23</f>
        <v/>
      </c>
      <c r="DT23" s="538">
        <f>IF(BH23="Yes",DS23,0)</f>
        <v/>
      </c>
      <c r="DU23" s="539">
        <f>DT23*DT$6</f>
        <v/>
      </c>
      <c r="DV23" s="538">
        <f>DS23-DU23</f>
        <v/>
      </c>
      <c r="DW23" s="538">
        <f>IF(OR(BG23="Canada",BG23="United Kingdom",BG23="Australia",BG23="Netherlands Antilles",BG23="Bermuda",BG23="Cayman Islands",BG23="British Virgin Islands",BG23="Channel Islands",BG23="Isle of Man",BG23="Australia",BG23="Netherlands",BG23="Germany",BG23="Sweden",BG23="Switzerland",BG23="Austria",BG23="Belgium",BG23="Denmark",BG23="Finland",BG23="Iceland",BG23="Ireland",BG23="Lichtenstein",BG23="Luxemborg",BG23="Norway"),DV23,0)</f>
        <v/>
      </c>
      <c r="DX23" s="539">
        <f>DW23*DW$6</f>
        <v/>
      </c>
      <c r="DY23" s="538">
        <f>DV23-DX23</f>
        <v/>
      </c>
      <c r="DZ23" s="538">
        <f>IF(BI23="Yes",DY23,0)</f>
        <v/>
      </c>
      <c r="EA23" s="539">
        <f>DZ23*DZ$6</f>
        <v/>
      </c>
      <c r="EB23" s="538">
        <f>DY23-EA23</f>
        <v/>
      </c>
      <c r="EC23" s="538">
        <f>IF(OR(Z23="Delayed Draw",Z23="Revolver"),EB23,0)</f>
        <v/>
      </c>
      <c r="ED23" s="539">
        <f>EC23*EC$6</f>
        <v/>
      </c>
      <c r="EE23" s="538">
        <f>EB23-ED23</f>
        <v/>
      </c>
      <c r="EF23" s="538">
        <f>IF(S23="Yes",EE23,0)</f>
        <v/>
      </c>
      <c r="EG23" s="539">
        <f>EF23*EF$6</f>
        <v/>
      </c>
      <c r="EH23" s="538">
        <f>EE23-EG23</f>
        <v/>
      </c>
      <c r="EI23" s="538">
        <f>IF(Q23="Yes",EH23,0)</f>
        <v/>
      </c>
      <c r="EJ23" s="539">
        <f>EI23*EI$6</f>
        <v/>
      </c>
      <c r="EK23" s="538">
        <f>EH23-EJ23</f>
        <v/>
      </c>
      <c r="EL23" s="538">
        <f>IF(BD23="Semi-Annually",EK23,0)</f>
        <v/>
      </c>
      <c r="EM23" s="539">
        <f>EL23*EL$6</f>
        <v/>
      </c>
      <c r="EN23" s="538">
        <f>EK23-EM23</f>
        <v/>
      </c>
      <c r="EO23" s="538">
        <f>IF(BK23="Yes",EN23,0)</f>
        <v/>
      </c>
      <c r="EP23" s="539">
        <f>EO23*EO$6</f>
        <v/>
      </c>
      <c r="EQ23" s="538">
        <f>EN23-EP23</f>
        <v/>
      </c>
      <c r="ER23" s="538">
        <f>IF(BL23="Yes",EQ23,0)</f>
        <v/>
      </c>
      <c r="ES23" s="539">
        <f>ER23*ER$6</f>
        <v/>
      </c>
      <c r="ET23" s="538">
        <f>EQ23-ES23</f>
        <v/>
      </c>
      <c r="EU23" s="538">
        <f>IF(BM23="Yes",ET23,0)</f>
        <v/>
      </c>
      <c r="EV23" s="539">
        <f>EU23*EU$6</f>
        <v/>
      </c>
      <c r="EW23" s="538">
        <f>ET23-EV23</f>
        <v/>
      </c>
      <c r="EX23" s="538">
        <f>IF(BV23="Yes",EW23,0)</f>
        <v/>
      </c>
      <c r="EY23" s="539">
        <f>EX23*EX$6</f>
        <v/>
      </c>
      <c r="EZ23" s="538">
        <f>EW23-EY23</f>
        <v/>
      </c>
      <c r="FA23" s="538">
        <f>IF(AR23="Yes",EZ23,0)</f>
        <v/>
      </c>
      <c r="FB23" s="539">
        <f>FA23*FA$6</f>
        <v/>
      </c>
      <c r="FC23" s="538">
        <f>EZ23-FB23</f>
        <v/>
      </c>
      <c r="FD23" s="538">
        <f>IF(OR(BF23="EUR",BF23="AUD",BF23="CAD",BF23="GBP"),FC23,0)</f>
        <v/>
      </c>
      <c r="FE23" s="539">
        <f>FD23*FD$6</f>
        <v/>
      </c>
      <c r="FF23" s="538">
        <f>FC23-FE23</f>
        <v/>
      </c>
      <c r="FG23" s="538">
        <f>FF23</f>
        <v/>
      </c>
      <c r="FH23" s="538">
        <f>IF(FF23=0,0,VLOOKUP(C23,$GU$10:$GV$406,2,FALSE)*FF23)</f>
        <v/>
      </c>
      <c r="FI23" s="538">
        <f>FF23-FH23</f>
        <v/>
      </c>
      <c r="FJ23" s="538">
        <f>FI23</f>
        <v/>
      </c>
      <c r="FK23" s="538">
        <f>IF(OR(IB23="",FI23&lt;0.01),,VLOOKUP(IB23,$GL$10:$GM$406,2,FALSE)*FI23)</f>
        <v/>
      </c>
      <c r="FL23" s="538">
        <f>FI23-FK23</f>
        <v/>
      </c>
      <c r="FM23" s="538">
        <f>FL23</f>
        <v/>
      </c>
      <c r="FN23" s="538">
        <f>IF(FL23=0,0,VLOOKUP(C23,$HD$10:$HE$406,2,FALSE)*FL23)</f>
        <v/>
      </c>
      <c r="FO23" s="538">
        <f>FL23-FN23</f>
        <v/>
      </c>
      <c r="FP23" s="538">
        <f>IF(SUM(CY23:DC23)&gt;0,0,IF(AND(AL23&gt;=5000000,AL23&lt;7500000),FO23,0))</f>
        <v/>
      </c>
      <c r="FQ23" s="539">
        <f>IF(B23="",0,FP23*FP$6*(1-$U23))</f>
        <v/>
      </c>
      <c r="FR23" s="538">
        <f>FO23-FQ23</f>
        <v/>
      </c>
      <c r="FS23" s="538">
        <f>IF(SUM(CY23:DC23)&gt;0,0,IF(AL23&lt;15000000,FR23,0))</f>
        <v/>
      </c>
      <c r="FT23" s="539">
        <f>IF(B23="",0,FS23*FS$6*(1-$U23))</f>
        <v/>
      </c>
      <c r="FU23" s="538">
        <f>FR23-FT23</f>
        <v/>
      </c>
      <c r="FV23" s="538">
        <f>IF(SUM(CY23:DC23)&gt;0,0,IF(OR(AND(X23="No",AN23="Tier 1",AI23&gt;$AG$3),AND(X23="No",AN23="Tier 2",AI23&gt;$AH$3),AND(X23="No",AN23="Tier 3",AI23&gt;$AI$3)),FU23,0))</f>
        <v/>
      </c>
      <c r="FW23" s="538">
        <f>IF(SUM(CY23:DC23)&gt;0,0,IF(OR(AND(X23="No",AN23="Tier 1",AJ23&gt;$AG$4),AND(X23="No",AN23="Tier 2",AJ23&gt;$AH$4),AND(X23="No",AN23="Tier 3",AJ23&gt;$AI$4)),FU23,0))</f>
        <v/>
      </c>
      <c r="FX23" s="538">
        <f>IF(SUM(CY23:DC23)&gt;0,0,IF(OR(AND(X23="Yes",AN23="Tier 1",AJ23&gt;$AG$5),AND(X23="Yes",AN23="Tier 2",AJ23&gt;$AH$5),AND(X23="Yes",AN23="Tier 3",AJ23&gt;$AI$5)),FU23,0))</f>
        <v/>
      </c>
      <c r="FY23" s="538">
        <f>IF(SUM(FV23:FX23)&gt;0,FU23,0)</f>
        <v/>
      </c>
      <c r="FZ23" s="539">
        <f>IF(B23="",0,FY23*FV$6*(1-MIN(90%,T23)))</f>
        <v/>
      </c>
      <c r="GA23" s="538">
        <f>FU23-FZ23</f>
        <v/>
      </c>
      <c r="GB23" s="538">
        <f>IF(AND(N23="No",DI23=0),GA23,IF(AND(N23="No",DI23&lt;&gt;0,K23=0),0,IF(AND(N23="No",DI23&lt;&gt;0,K23&gt;0,J23&lt;&gt;K23),MAX(0,M23-(DH23-GA23)),DG23)))</f>
        <v/>
      </c>
      <c r="GC23" s="540">
        <f>+GB23*V23</f>
        <v/>
      </c>
      <c r="GD23" s="138">
        <f>IFERROR(GC23/K23,"")</f>
        <v/>
      </c>
      <c r="GE23" s="541">
        <f>IF(IB23="","",IB23)</f>
        <v/>
      </c>
      <c r="GF23" s="538">
        <f t="array" ref="GF23">IF(SUM(IF(IB$9:IB22=IB23,1,0))&gt;0,0,SUMIF($IB$10:$IB$406,IB23,$FI$10:$FI$406))</f>
        <v/>
      </c>
      <c r="GG23" s="270">
        <f>GF23</f>
        <v/>
      </c>
      <c r="GH23" s="137">
        <f>GH22+1</f>
        <v/>
      </c>
      <c r="GI23" s="542">
        <f>LARGE($GG$10:$GG$406,GH23)</f>
        <v/>
      </c>
      <c r="GJ23" s="542">
        <f>IF(GH23&gt;GH$6,0,IF(GH23=$GH$2,$GJ$2,IF(GH23&lt;4,$GJ$3,$GJ$4)))</f>
        <v/>
      </c>
      <c r="GK23" s="489">
        <f>MAX(0,GI23-GJ23)</f>
        <v/>
      </c>
      <c r="GL23" s="137">
        <f t="array" ref="GL23">IF(GI23=0,0,LARGE(IF($GF$10:$GF$406=GI23,$GE$10:$GE$406,0),COUNTIF($GI$10:$GI$406,GI23)-COUNTIF(GI$9:GI22,GI23)))</f>
        <v/>
      </c>
      <c r="GM23" s="272">
        <f>IF(GI23=0,0,GK23/GI23)</f>
        <v/>
      </c>
      <c r="GO23" s="137">
        <f>IF(C23="","",IF(ISERROR(MATCH(C23,C$10:C22,0)),MAX(GO$10:GO22)+1,INDEX(GO$10:GO22,MATCH(C23,C$10:C22,0))))</f>
        <v/>
      </c>
      <c r="GP23" s="538">
        <f>IF(COUNTIF($A$10:A23,A23)&lt;=1,SUMIF($A$10:$A$406,A23,$FG$10:$FG$406),0)</f>
        <v/>
      </c>
      <c r="GQ23" s="137">
        <f>GQ22+1</f>
        <v/>
      </c>
      <c r="GR23" s="542">
        <f>LARGE($GP$10:$GP$406,GQ23)</f>
        <v/>
      </c>
      <c r="GS23" s="542">
        <f>IF(GQ23&gt;GQ$6,0,IF(GQ23&lt;=GQ$2,GS$2,IF(AND(GQ23&lt;=$GQ$3,GQ23&gt;$GQ$2),GS$3,GS$4)))</f>
        <v/>
      </c>
      <c r="GT23" s="489">
        <f>MAX(0,GR23-GS23)</f>
        <v/>
      </c>
      <c r="GU23" s="137">
        <f t="array" ref="GU23">IF(GR23=0,0,LARGE(IF($GP$10:$GP$406=GR23,$GO$10:$GO$406,0),COUNTIF($GR$10:$GR$406,GR23)-COUNTIF(GR$9:GR22,GR23)))</f>
        <v/>
      </c>
      <c r="GV23" s="272">
        <f>IF(GR23=0,0,GT23/GR23)</f>
        <v/>
      </c>
      <c r="GW23" s="272" t="n"/>
      <c r="GX23" s="137">
        <f>IF(C23="","",IF(ISERROR(MATCH(C23,C$10:C22,0)),MAX(GO$10:GO22)+1,INDEX(GO$10:GO22,MATCH(C23,C$10:C22,0))))</f>
        <v/>
      </c>
      <c r="GY23" s="538">
        <f>IF(COUNTIF($A$10:A23,A23)&lt;=1,SUMIF($A$10:$A$406,A23,$FG$10:$FG$406),0)</f>
        <v/>
      </c>
      <c r="GZ23" s="137">
        <f>GZ22+1</f>
        <v/>
      </c>
      <c r="HA23" s="542">
        <f>LARGE($GY$10:$GY$406,GZ23)</f>
        <v/>
      </c>
      <c r="HB23" s="543" t="inlineStr">
        <is>
          <t>-</t>
        </is>
      </c>
      <c r="HC23" s="489">
        <f>IF(GZ23&lt;6,MAX(0,$HC$2/5),0)</f>
        <v/>
      </c>
      <c r="HD23" s="137">
        <f t="array" ref="HD23">IF(HA23=0,0,LARGE(IF($GY$10:$GY$406=HA23,$GX$10:$GX$406,0),COUNTIF($HA$10:$HA$406,HA23)-COUNTIF(HA$9:HA22,HA23)))</f>
        <v/>
      </c>
      <c r="HE23" s="272">
        <f>IF(HA23=0,0,HC23/HA23)</f>
        <v/>
      </c>
      <c r="HG23" s="270">
        <f>DG23-GA23</f>
        <v/>
      </c>
      <c r="HH23" s="544" t="n">
        <v>0</v>
      </c>
      <c r="HI23" s="538">
        <f>MIN(HH23,DE23)</f>
        <v/>
      </c>
      <c r="HK23" s="137">
        <f>IF(COUNTIF($C$10:$C$406,HK22+1),HK22+1,"")</f>
        <v/>
      </c>
      <c r="HL23" s="538">
        <f>SUMIF($C$10:$C$406,HK23,$DG$10:$DG$406)</f>
        <v/>
      </c>
      <c r="HN23" s="521">
        <f>MIN(HO23:HS23)</f>
        <v/>
      </c>
      <c r="HO23" s="521">
        <f>IF(B23="","",$M23)</f>
        <v/>
      </c>
      <c r="HP23" s="521">
        <f>IF($N23="Yes",IF(P23&gt;=6,0,MIN($T23*$M23,$U23*$M23)),"")</f>
        <v/>
      </c>
      <c r="HQ23" s="521">
        <f>IF(AND(N23="Yes",P23&gt;=6),"",IF($S23="Yes",$R23*$M23,""))</f>
        <v/>
      </c>
      <c r="HR23" s="521">
        <f>IF($Q23="Yes",MIN($M23,$T23*$M23),"")</f>
        <v/>
      </c>
      <c r="HS23" s="521">
        <f>IF(AND($N23="Yes",$P23&gt;=6),"",IF(OR(CY23=1,DC23=1,),MIN($T23*$M23,$U23*$M23),IF(OR(CZ23=1,DA23=1,DB23=1),IF(AK23&gt;=5000000,MIN($T23*$M23,$IE23*$M23),MIN($T23*$M23,$U23*$M23)),"")))</f>
        <v/>
      </c>
      <c r="HT23" s="521">
        <f>IF(DD23&gt;0,DD23,"")</f>
        <v/>
      </c>
      <c r="HU23" s="522">
        <f>IF(B23="",0,$L23-$M23)</f>
        <v/>
      </c>
      <c r="HV23" s="274">
        <f>IF(OR(SUM(HP23:HT23)&gt;0,P23&gt;=6),"",IF($B23="","",1))</f>
        <v/>
      </c>
      <c r="HW23" s="522">
        <f>IF(AND($HT23&lt;&gt;0,OR(HT23&lt;=MIN(HP23:HS23),SUM(HP23:HS23)=0)),$HT23,0)</f>
        <v/>
      </c>
      <c r="HX23" s="522">
        <f>IF(AND($HS23&lt;&gt;0,OR(AND($HS23&lt;&gt;$HT23,$HS23&lt;&gt;$HR23,$HS23&lt;&gt;$HQ23,$HS23&lt;&gt;$HP23,$HS23&lt;MIN($HP23:$HR23),$HS23&lt;HT23),SUM($HP23:$HR23)+SUM(HT23)=0),IA23&lt;=0),$HS23,0)</f>
        <v/>
      </c>
      <c r="HY23" s="522">
        <f>IF(AND($HR23&lt;&gt;0,OR(AND($HR23&lt;&gt;$HT23,$HR23&lt;&gt;$HS23,$HR23&lt;&gt;$HQ23,$HR23&lt;&gt;$HP23),$HR23&lt;MIN($HP23:$HQ23),$HR23&lt;MIN($HS23:$HT23),SUM($HP23:$HQ23)+SUM($HS23:$HT23)=0)),$HR23,0)</f>
        <v/>
      </c>
      <c r="HZ23" s="522">
        <f>IF(AND($HQ23&lt;&gt;0,OR(AND($HQ23&lt;&gt;$HT23,HQ23&lt;&gt;HS23,HQ23&lt;&gt;HR23,HQ23&lt;&gt;HP23,HQ23&lt;MIN(HR23:HT23)),SUM(HP23)+SUM(HR23:HT23)=0)),$HQ23,0)</f>
        <v/>
      </c>
      <c r="IA23" s="522">
        <f>IF(AND($HP23&lt;&gt;0,OR(HP23&lt;=MIN(HQ23:HT23),SUM(HQ23:HT23)=0)),$HP23,0)</f>
        <v/>
      </c>
      <c r="IB23" s="545" t="n">
        <v>41</v>
      </c>
      <c r="IC23">
        <f>HU23=DF23</f>
        <v/>
      </c>
      <c r="IE23" s="351">
        <f>IF(B23="","",IF(AND(Y23="Second Lien",OR(CZ23=1,DA23=1,DB23=1)),50%,IF(CZ23=1,90%,IF(DA23=1,80%,IF(DB23=1,65%,"No Initial Haircut")))))</f>
        <v/>
      </c>
    </row>
    <row r="24">
      <c r="A24">
        <f>D24</f>
        <v/>
      </c>
      <c r="B24" s="242">
        <f>IF(D24="","",B23+1)</f>
        <v/>
      </c>
      <c r="C24" s="242">
        <f>IF(COUNTIF($A$10:A23,A24)&gt;0,C23,C23+1)</f>
        <v/>
      </c>
      <c r="D24" s="243" t="inlineStr">
        <is>
          <t>Westbrook Holdings, LLC</t>
        </is>
      </c>
      <c r="E24" s="243" t="inlineStr">
        <is>
          <t>Westbrook (Term Loan)</t>
        </is>
      </c>
      <c r="F24" s="244" t="n"/>
      <c r="G24" s="528" t="n">
        <v>9905100.26</v>
      </c>
      <c r="H24" s="528" t="n">
        <v>9905100.26</v>
      </c>
      <c r="I24" s="246" t="n">
        <v>1</v>
      </c>
      <c r="J24" s="529">
        <f>IF(B24="","",G24*I24)</f>
        <v/>
      </c>
      <c r="K24" s="529">
        <f>IF(B24="","",H24*I24)</f>
        <v/>
      </c>
      <c r="L24" s="529">
        <f>IF(B24="","",IF(COUNTIF($CE24:$CX24,1)&gt;0,0,J24))</f>
        <v/>
      </c>
      <c r="M24" s="529">
        <f>IF(B24="","",IF(COUNTIF($CE24:$CX24,1)&gt;0,0,K24))</f>
        <v/>
      </c>
      <c r="N24" s="248" t="inlineStr">
        <is>
          <t>No</t>
        </is>
      </c>
      <c r="O24" s="248" t="inlineStr">
        <is>
          <t>N/A</t>
        </is>
      </c>
      <c r="P24" s="249">
        <f>IF(B24="","",IF(OR(O24="N/A",O24=""),0,YEARFRAC('Borrowing Base'!$J$4,'Loan List'!O24)*12))</f>
        <v/>
      </c>
      <c r="Q24" s="248" t="inlineStr">
        <is>
          <t>No</t>
        </is>
      </c>
      <c r="R24" s="250" t="n">
        <v>0.9891076328383047</v>
      </c>
      <c r="S24" s="251">
        <f>IF(B24="","",IF(R24&lt;95%,"Yes","No"))</f>
        <v/>
      </c>
      <c r="T24" s="250" t="n">
        <v>1</v>
      </c>
      <c r="U24" s="252">
        <f>IF(B24="","",IF(OR(Y24="First Lien",Y24="Split First Lien",Y24="Tier 1 Split Lien",Y24="Tier 2 Split Lien"),50%,30%))</f>
        <v/>
      </c>
      <c r="V24" s="252">
        <f>IF(B24="",0,IF(AND(Y24="First Lien",AN24="Tier 1"),IF(AND(X24="Yes",MIN(AH24,$AJ$5)&gt;4.5),(((4.5/MIN(AH24,$AJ$5))*72.5%)+(((MIN(AH24,$AJ$5)-4.5)/MIN(AH24,$AJ$5))*35%)),72.5%),IF(AND(Y24="First Lien",AN24="Tier 2"),IF(AND(X24="Yes",MIN(AH24,$AK$5)&gt;4.5),(((4.5/MIN(AH24,$AK$5))*72.5%)+(((MIN(AH24,$AK$5)-4.5)/MIN(AH24,$AK$5))*35%)),72.5%),IF(AND(X24="Yes",MIN(AH24,$AL$5)&gt;4),(((4/MIN(AH24,$AL$5))*72.5%)+(((MIN(AH24,$AL$5)-4)/MIN(AH24,$AL$5))*35%)),IF(OR(Y24="First Lien",Y24="Split First Lien"),72.5%,IF(Y24="Split Lien", 53%,35%))))))</f>
        <v/>
      </c>
      <c r="W24" s="530">
        <f>IF($C24="","",MIN($HO24:$HS24))</f>
        <v/>
      </c>
      <c r="X24" s="248" t="inlineStr">
        <is>
          <t>No</t>
        </is>
      </c>
      <c r="Y24" s="254" t="inlineStr">
        <is>
          <t>First Lien</t>
        </is>
      </c>
      <c r="Z24" s="254" t="inlineStr">
        <is>
          <t>Term</t>
        </is>
      </c>
      <c r="AA24" s="531" t="inlineStr">
        <is>
          <t>NR</t>
        </is>
      </c>
      <c r="AB24" s="531" t="inlineStr">
        <is>
          <t xml:space="preserve"> NR</t>
        </is>
      </c>
      <c r="AC24" s="532" t="n">
        <v>1.454278777449504</v>
      </c>
      <c r="AD24" s="532" t="n">
        <v>4.335597452924803</v>
      </c>
      <c r="AE24" s="532" t="n">
        <v>4.905823783904666</v>
      </c>
      <c r="AF24" s="257" t="n">
        <v>0.4728132387706856</v>
      </c>
      <c r="AG24" s="533" t="n">
        <v>4.335597452924803</v>
      </c>
      <c r="AH24" s="533" t="n">
        <v>4.335597452924803</v>
      </c>
      <c r="AI24" s="533" t="n">
        <v>4.334817788695882</v>
      </c>
      <c r="AJ24" s="533" t="n">
        <v>4.969025918306365</v>
      </c>
      <c r="AK24" s="534" t="n">
        <v>19997243.96496082</v>
      </c>
      <c r="AL24" s="534" t="n">
        <v>18152112</v>
      </c>
      <c r="AM24" s="260" t="n">
        <v>45838</v>
      </c>
      <c r="AN24" s="529">
        <f>IF(C24="","",(IF(AK24&gt;=50000000,"Tier 1",(IF(OR(AK24&gt;=20000000,AND(AK24&gt;5000000,AC24&gt;=1.25,AF24&lt;=0.65)),"Tier 2","Tier 3")))))</f>
        <v/>
      </c>
      <c r="AO24" s="244" t="n">
        <v>47330</v>
      </c>
      <c r="AP24" s="535" t="n">
        <v>4</v>
      </c>
      <c r="AQ24" s="535">
        <f>IF(C24="","",AP24)</f>
        <v/>
      </c>
      <c r="AR24" s="248" t="inlineStr">
        <is>
          <t>No</t>
        </is>
      </c>
      <c r="AS24" s="250" t="n">
        <v>0</v>
      </c>
      <c r="AT24" s="248" t="inlineStr">
        <is>
          <t>Yes</t>
        </is>
      </c>
      <c r="AU24" s="250" t="n">
        <v>0.01</v>
      </c>
      <c r="AV24" s="250" t="n">
        <v>0.06</v>
      </c>
      <c r="AW24" s="250" t="n">
        <v>0.04295600000000001</v>
      </c>
      <c r="AX24" s="262">
        <f>IF(C24="","",MAX(AU24,AW24))</f>
        <v/>
      </c>
      <c r="AY24" s="250" t="n">
        <v>0</v>
      </c>
      <c r="AZ24" s="250" t="n">
        <v>0</v>
      </c>
      <c r="BA24" s="250" t="n">
        <v>0</v>
      </c>
      <c r="BB24" s="412">
        <f>IF(B24="","",IF(AR24="No",AV24-AZ24,""))</f>
        <v/>
      </c>
      <c r="BC24" s="412">
        <f>IF(B24="","",IF(AR24="Yes",AS24-BA24,""))</f>
        <v/>
      </c>
      <c r="BD24" s="254" t="inlineStr">
        <is>
          <t>Monthly</t>
        </is>
      </c>
      <c r="BE24" s="536" t="inlineStr">
        <is>
          <t>IT Services</t>
        </is>
      </c>
      <c r="BF24" s="254" t="inlineStr">
        <is>
          <t>USD</t>
        </is>
      </c>
      <c r="BG24" s="254" t="inlineStr">
        <is>
          <t>United States</t>
        </is>
      </c>
      <c r="BH24" s="248" t="inlineStr">
        <is>
          <t>No</t>
        </is>
      </c>
      <c r="BI24" s="413">
        <f>IF(B24="","",IF(OR(AND(AZ24&gt;0,BB24&gt;=2.5%,BB24&lt;4%),AND(BA24&gt;0,BC24&gt;=6%,BC24&lt;8%)),"Yes","No"))</f>
        <v/>
      </c>
      <c r="BJ24" s="413">
        <f>IF(B24="","",IF(OR(AND(AZ24&gt;0,BB24&lt;2.5%),AND(BA24&gt;0,BC24&lt;6%)),"Yes","No"))</f>
        <v/>
      </c>
      <c r="BK24" s="248" t="inlineStr">
        <is>
          <t>No</t>
        </is>
      </c>
      <c r="BL24" s="248" t="inlineStr">
        <is>
          <t>No</t>
        </is>
      </c>
      <c r="BM24" s="248" t="inlineStr">
        <is>
          <t>No</t>
        </is>
      </c>
      <c r="BN24" s="248" t="inlineStr">
        <is>
          <t>No</t>
        </is>
      </c>
      <c r="BO24" s="248" t="inlineStr">
        <is>
          <t>No</t>
        </is>
      </c>
      <c r="BP24" s="248" t="inlineStr">
        <is>
          <t>No</t>
        </is>
      </c>
      <c r="BQ24" s="248" t="inlineStr">
        <is>
          <t>No</t>
        </is>
      </c>
      <c r="BR24" s="248" t="inlineStr">
        <is>
          <t>No</t>
        </is>
      </c>
      <c r="BS24" s="248" t="inlineStr">
        <is>
          <t>No</t>
        </is>
      </c>
      <c r="BT24" s="248" t="inlineStr">
        <is>
          <t>No</t>
        </is>
      </c>
      <c r="BU24" s="248" t="inlineStr">
        <is>
          <t>No</t>
        </is>
      </c>
      <c r="BV24" s="248" t="inlineStr">
        <is>
          <t>No</t>
        </is>
      </c>
      <c r="BW24" s="248" t="inlineStr">
        <is>
          <t>No</t>
        </is>
      </c>
      <c r="BX24" s="248" t="inlineStr">
        <is>
          <t>No</t>
        </is>
      </c>
      <c r="BY24" s="248" t="inlineStr">
        <is>
          <t>No</t>
        </is>
      </c>
      <c r="BZ24" s="248" t="inlineStr">
        <is>
          <t>No</t>
        </is>
      </c>
      <c r="CA24" s="248" t="inlineStr">
        <is>
          <t>Yes</t>
        </is>
      </c>
      <c r="CB24" s="537">
        <f>IF(B24="","",IF(AT24="No",((BB24+AW24)-$AZ$4),((BB24+AX24)-$AZ$4))*IF(DD24&gt;0,0,M24))</f>
        <v/>
      </c>
      <c r="CC24" s="537">
        <f>IF(B24="","",AY24*(L24-M24)*IF(DD24&gt;0,0,1))</f>
        <v/>
      </c>
      <c r="CD24" s="265" t="n"/>
      <c r="CE24" s="265">
        <f>IF(AND(B24&lt;&gt;"",R24&lt;=85%),1,0)</f>
        <v/>
      </c>
      <c r="CF24" s="265">
        <f>IF(B24="",0,(IF(OR(BF24="USD",BF24="CAD",BF24="GBP",BF24="AUD",BF24="EUR"),0,1)))</f>
        <v/>
      </c>
      <c r="CG24" s="265">
        <f>IF(B24="",0,(IF(OR(BG24="United States",BG24="Canada",BG24="United Kingdom",BG24="Australia",BG24="Netherlands Antilles",BG24="Bermuda",BG24="Cayman Islands",BG24="British Virgin Islands",BG24="Channel Islands",BG24="Isle of Man",BG24="Australia",BG24="Netherlands",BG24="Germany",BG24="Sweden",BG24="Switzerland",BG24="Austria",BG24="Belgium",BG24="Denmark",BG24="Finland",BG24="Iceland",BG24="Ireland",BG24="Lichtenstein",BG24="Luxemborg",BG24="Norway"),0,1)))</f>
        <v/>
      </c>
      <c r="CH24" s="265">
        <f>IF(BN24="Yes",1,0)</f>
        <v/>
      </c>
      <c r="CI24" s="265">
        <f>IF(BO24="Yes",1,0)</f>
        <v/>
      </c>
      <c r="CJ24" s="265">
        <f>IF(BP24="Yes",1,0)</f>
        <v/>
      </c>
      <c r="CK24" s="265">
        <f>IF(BQ24="Yes",1,0)</f>
        <v/>
      </c>
      <c r="CL24" s="265">
        <f>IF(BR24="Yes",1,0)</f>
        <v/>
      </c>
      <c r="CM24" s="265">
        <f>IF(BS24="Yes",1,0)</f>
        <v/>
      </c>
      <c r="CN24" s="265">
        <f>IF(OR(AND(BJ24="Yes",N24="No"),AND(BJ24="Yes",N24="Yes",P24&gt;=6)),1,0)</f>
        <v/>
      </c>
      <c r="CO24" s="265">
        <f>IF(BT24="Yes",1,0)</f>
        <v/>
      </c>
      <c r="CP24" s="265">
        <f>IF(AND(BU24="Yes",BV24="No"),1,0)</f>
        <v/>
      </c>
      <c r="CQ24" s="265">
        <f>IF(BW24="Yes",1,0)</f>
        <v/>
      </c>
      <c r="CR24" s="265">
        <f>IF(AP24="",0,IF(AP24&gt;7,1,0))</f>
        <v/>
      </c>
      <c r="CS24" s="265">
        <f>IF(OR(BD24&lt;&gt;"Monthly",BD24&lt;&gt;"Quarterly",BD24&lt;&gt;"Semi-Annually"),0,1)</f>
        <v/>
      </c>
      <c r="CT24" s="265">
        <f>IF(BX24="Yes",1,0)</f>
        <v/>
      </c>
      <c r="CU24" s="265">
        <f>IF(BY24="Yes",1,0)</f>
        <v/>
      </c>
      <c r="CV24" s="265">
        <f>IF(BZ24="Yes",1,0)</f>
        <v/>
      </c>
      <c r="CW24" s="265">
        <f>IF(CA24="No",1,0)</f>
        <v/>
      </c>
      <c r="CX24" s="265">
        <f>IF(B24="",0,IF(AK24&gt;=5000000,0,1))</f>
        <v/>
      </c>
      <c r="CY24" s="265">
        <f>IF(B24="",0,IF(AL24&gt;=5000000,0,1))</f>
        <v/>
      </c>
      <c r="CZ24" s="265">
        <f>IF(OR(DA24=1,DB24=1,DC24=1),0,IF(B24="",0,IF(OR(AND(AN24="Tier 1",X24="No",OR(AI24&gt;$AJ$3,AJ24&gt;$AJ$4)),(AND(AN24="Tier 1",X24="Yes",AJ24&gt;$AJ$5)),(AND(AN24="Tier 2",X24="No",OR(AI24&gt;$AK$3,AJ24&gt;$AK$4))),(AND(AN24="Tier 2",X24="Yes",AJ24&gt;$AK$5)),(AND(AN24="Tier 3",X24="No",OR(AI24&gt;$AL$3,AJ24&gt;$AL$4))),(AND(AN24="Tier 3",X24="Yes",AJ24&gt;$AL$5))),1,0)))</f>
        <v/>
      </c>
      <c r="DA24" s="265">
        <f>IF(OR(DB24=1,DC24=1),0,IF(B24="",0,IF(OR(AND(AN24="Tier 1",X24="No",OR(AI24&gt;$AM$3,AJ24&gt;$AM$4)),(AND(AN24="Tier 1",X24="Yes",AJ24&gt;$AM$5)),(AND(AN24="Tier 2",X24="No",OR(AI24&gt;$AN$3,AJ24&gt;$AN$4))),(AND(AN24="Tier 2",X24="Yes",AJ24&gt;$AN$5)),(AND(AN24="Tier 3",X24="No",OR(AI24&gt;$AO$3,AJ24&gt;$AO$4))),(AND(AN24="Tier 3",X24="Yes",AJ24&gt;$AO$5))),1,0)))</f>
        <v/>
      </c>
      <c r="DB24" s="265">
        <f>IF(DC24=1,0,IF(B24="",0,IF(OR(AND(AN24="Tier 1",X24="No",OR(AI24&gt;$AP$3,AJ24&gt;$AP$4)),(AND(AN24="Tier 1",X24="Yes",AJ24&gt;$AP$5)),(AND(AN24="Tier 2",X24="No",OR(AI24&gt;$AQ$3,AJ24&gt;$AQ$4))),(AND(AN24="Tier 2",X24="Yes",AJ24&gt;$AQ$5)),(AND(AN24="Tier 3",X24="No",OR(AI24&gt;$AR$3,AJ24&gt;$AR$4))),(AND(AN24="Tier 3",X24="Yes",AJ24&gt;$AR$5))),1,0)))</f>
        <v/>
      </c>
      <c r="DC24" s="265">
        <f>IF(B24="",0,IF(OR(AND(AN24="Tier 1",X24="No",OR(AI24&gt;$AS$3,AJ24&gt;$AS$4)),(AND(AN24="Tier 1",X24="Yes",AJ24&gt;$AS$5)),(AND(AN24="Tier 2",X24="No",OR(AI24&gt;$AT$3,AJ24&gt;$AT$4))),(AND(AN24="Tier 2",X24="Yes",AJ24&gt;$AT$5)),(AND(AN24="Tier 3",X24="No",OR(AI24&gt;$AU$3,AJ24&gt;$AU$4))),(AND(AN24="Tier 3",X24="Yes",AJ24&gt;$AU$5))),1,0))</f>
        <v/>
      </c>
      <c r="DD24" s="265">
        <f>IF((SUM(CE24:CX24)=0),0,W24)</f>
        <v/>
      </c>
      <c r="DE24" s="265">
        <f>IF(OR(B24="",DD24&gt;0),0,W24)</f>
        <v/>
      </c>
      <c r="DF24" s="265">
        <f>IF(B24="",0,IF(COUNTIF(CE24:CX24,1)&gt;0,0,L24-M24))</f>
        <v/>
      </c>
      <c r="DG24" s="265">
        <f>DE24+IF(DD24&gt;0,0,DF24)</f>
        <v/>
      </c>
      <c r="DH24" s="265">
        <f>IF(B24="","",M24+DF24)</f>
        <v/>
      </c>
      <c r="DI24" s="265">
        <f>IF(B24="",0,J24-K24)</f>
        <v/>
      </c>
      <c r="DJ24" s="265">
        <f>IF(OR(BF24="EUR",BF24="CAD",BF24="GBP",BF24="AUD"),(GA24*(1-V24))+(HG24)+IF(HX24="",0,HX24*(1-U24)),0)</f>
        <v/>
      </c>
      <c r="DK24" s="265">
        <f>IF(BF24="EUR",33%,IF(BF24="CAD",38%,IF(BF24="GBP",51%,IF(BF24="AUD",61%,0))))</f>
        <v/>
      </c>
      <c r="DL24" s="265">
        <f>DJ24*DK24</f>
        <v/>
      </c>
      <c r="DN24" s="538">
        <f>IF(OR(Y24="Second Lien",Y24="Tier 1 Split Lien",Y24="Tier 2 Split Lien"),DG24,0)</f>
        <v/>
      </c>
      <c r="DO24" s="539">
        <f>DN24*DN$6</f>
        <v/>
      </c>
      <c r="DP24" s="538">
        <f>DG24-DO24</f>
        <v/>
      </c>
      <c r="DQ24" s="538">
        <f>IF(Y24="Second Lien",DP24,0)</f>
        <v/>
      </c>
      <c r="DR24" s="539">
        <f>DQ24*DQ$6</f>
        <v/>
      </c>
      <c r="DS24" s="538">
        <f>DP24-DR24</f>
        <v/>
      </c>
      <c r="DT24" s="538">
        <f>IF(BH24="Yes",DS24,0)</f>
        <v/>
      </c>
      <c r="DU24" s="539">
        <f>DT24*DT$6</f>
        <v/>
      </c>
      <c r="DV24" s="538">
        <f>DS24-DU24</f>
        <v/>
      </c>
      <c r="DW24" s="538">
        <f>IF(OR(BG24="Canada",BG24="United Kingdom",BG24="Australia",BG24="Netherlands Antilles",BG24="Bermuda",BG24="Cayman Islands",BG24="British Virgin Islands",BG24="Channel Islands",BG24="Isle of Man",BG24="Australia",BG24="Netherlands",BG24="Germany",BG24="Sweden",BG24="Switzerland",BG24="Austria",BG24="Belgium",BG24="Denmark",BG24="Finland",BG24="Iceland",BG24="Ireland",BG24="Lichtenstein",BG24="Luxemborg",BG24="Norway"),DV24,0)</f>
        <v/>
      </c>
      <c r="DX24" s="539">
        <f>DW24*DW$6</f>
        <v/>
      </c>
      <c r="DY24" s="538">
        <f>DV24-DX24</f>
        <v/>
      </c>
      <c r="DZ24" s="538">
        <f>IF(BI24="Yes",DY24,0)</f>
        <v/>
      </c>
      <c r="EA24" s="539">
        <f>DZ24*DZ$6</f>
        <v/>
      </c>
      <c r="EB24" s="538">
        <f>DY24-EA24</f>
        <v/>
      </c>
      <c r="EC24" s="538">
        <f>IF(OR(Z24="Delayed Draw",Z24="Revolver"),EB24,0)</f>
        <v/>
      </c>
      <c r="ED24" s="539">
        <f>EC24*EC$6</f>
        <v/>
      </c>
      <c r="EE24" s="538">
        <f>EB24-ED24</f>
        <v/>
      </c>
      <c r="EF24" s="538">
        <f>IF(S24="Yes",EE24,0)</f>
        <v/>
      </c>
      <c r="EG24" s="539">
        <f>EF24*EF$6</f>
        <v/>
      </c>
      <c r="EH24" s="538">
        <f>EE24-EG24</f>
        <v/>
      </c>
      <c r="EI24" s="538">
        <f>IF(Q24="Yes",EH24,0)</f>
        <v/>
      </c>
      <c r="EJ24" s="539">
        <f>EI24*EI$6</f>
        <v/>
      </c>
      <c r="EK24" s="538">
        <f>EH24-EJ24</f>
        <v/>
      </c>
      <c r="EL24" s="538">
        <f>IF(BD24="Semi-Annually",EK24,0)</f>
        <v/>
      </c>
      <c r="EM24" s="539">
        <f>EL24*EL$6</f>
        <v/>
      </c>
      <c r="EN24" s="538">
        <f>EK24-EM24</f>
        <v/>
      </c>
      <c r="EO24" s="538">
        <f>IF(BK24="Yes",EN24,0)</f>
        <v/>
      </c>
      <c r="EP24" s="539">
        <f>EO24*EO$6</f>
        <v/>
      </c>
      <c r="EQ24" s="538">
        <f>EN24-EP24</f>
        <v/>
      </c>
      <c r="ER24" s="538">
        <f>IF(BL24="Yes",EQ24,0)</f>
        <v/>
      </c>
      <c r="ES24" s="539">
        <f>ER24*ER$6</f>
        <v/>
      </c>
      <c r="ET24" s="538">
        <f>EQ24-ES24</f>
        <v/>
      </c>
      <c r="EU24" s="538">
        <f>IF(BM24="Yes",ET24,0)</f>
        <v/>
      </c>
      <c r="EV24" s="539">
        <f>EU24*EU$6</f>
        <v/>
      </c>
      <c r="EW24" s="538">
        <f>ET24-EV24</f>
        <v/>
      </c>
      <c r="EX24" s="538">
        <f>IF(BV24="Yes",EW24,0)</f>
        <v/>
      </c>
      <c r="EY24" s="539">
        <f>EX24*EX$6</f>
        <v/>
      </c>
      <c r="EZ24" s="538">
        <f>EW24-EY24</f>
        <v/>
      </c>
      <c r="FA24" s="538">
        <f>IF(AR24="Yes",EZ24,0)</f>
        <v/>
      </c>
      <c r="FB24" s="539">
        <f>FA24*FA$6</f>
        <v/>
      </c>
      <c r="FC24" s="538">
        <f>EZ24-FB24</f>
        <v/>
      </c>
      <c r="FD24" s="538">
        <f>IF(OR(BF24="EUR",BF24="AUD",BF24="CAD",BF24="GBP"),FC24,0)</f>
        <v/>
      </c>
      <c r="FE24" s="539">
        <f>FD24*FD$6</f>
        <v/>
      </c>
      <c r="FF24" s="538">
        <f>FC24-FE24</f>
        <v/>
      </c>
      <c r="FG24" s="538">
        <f>FF24</f>
        <v/>
      </c>
      <c r="FH24" s="538">
        <f>IF(FF24=0,0,VLOOKUP(C24,$GU$10:$GV$406,2,FALSE)*FF24)</f>
        <v/>
      </c>
      <c r="FI24" s="538">
        <f>FF24-FH24</f>
        <v/>
      </c>
      <c r="FJ24" s="538">
        <f>FI24</f>
        <v/>
      </c>
      <c r="FK24" s="538">
        <f>IF(OR(IB24="",FI24&lt;0.01),,VLOOKUP(IB24,$GL$10:$GM$406,2,FALSE)*FI24)</f>
        <v/>
      </c>
      <c r="FL24" s="538">
        <f>FI24-FK24</f>
        <v/>
      </c>
      <c r="FM24" s="538">
        <f>FL24</f>
        <v/>
      </c>
      <c r="FN24" s="538">
        <f>IF(FL24=0,0,VLOOKUP(C24,$HD$10:$HE$406,2,FALSE)*FL24)</f>
        <v/>
      </c>
      <c r="FO24" s="538">
        <f>FL24-FN24</f>
        <v/>
      </c>
      <c r="FP24" s="538">
        <f>IF(SUM(CY24:DC24)&gt;0,0,IF(AND(AL24&gt;=5000000,AL24&lt;7500000),FO24,0))</f>
        <v/>
      </c>
      <c r="FQ24" s="539">
        <f>IF(B24="",0,FP24*FP$6*(1-$U24))</f>
        <v/>
      </c>
      <c r="FR24" s="538">
        <f>FO24-FQ24</f>
        <v/>
      </c>
      <c r="FS24" s="538">
        <f>IF(SUM(CY24:DC24)&gt;0,0,IF(AL24&lt;15000000,FR24,0))</f>
        <v/>
      </c>
      <c r="FT24" s="539">
        <f>IF(B24="",0,FS24*FS$6*(1-$U24))</f>
        <v/>
      </c>
      <c r="FU24" s="538">
        <f>FR24-FT24</f>
        <v/>
      </c>
      <c r="FV24" s="538">
        <f>IF(SUM(CY24:DC24)&gt;0,0,IF(OR(AND(X24="No",AN24="Tier 1",AI24&gt;$AG$3),AND(X24="No",AN24="Tier 2",AI24&gt;$AH$3),AND(X24="No",AN24="Tier 3",AI24&gt;$AI$3)),FU24,0))</f>
        <v/>
      </c>
      <c r="FW24" s="538">
        <f>IF(SUM(CY24:DC24)&gt;0,0,IF(OR(AND(X24="No",AN24="Tier 1",AJ24&gt;$AG$4),AND(X24="No",AN24="Tier 2",AJ24&gt;$AH$4),AND(X24="No",AN24="Tier 3",AJ24&gt;$AI$4)),FU24,0))</f>
        <v/>
      </c>
      <c r="FX24" s="538">
        <f>IF(SUM(CY24:DC24)&gt;0,0,IF(OR(AND(X24="Yes",AN24="Tier 1",AJ24&gt;$AG$5),AND(X24="Yes",AN24="Tier 2",AJ24&gt;$AH$5),AND(X24="Yes",AN24="Tier 3",AJ24&gt;$AI$5)),FU24,0))</f>
        <v/>
      </c>
      <c r="FY24" s="538">
        <f>IF(SUM(FV24:FX24)&gt;0,FU24,0)</f>
        <v/>
      </c>
      <c r="FZ24" s="539">
        <f>IF(B24="",0,FY24*FV$6*(1-MIN(90%,T24)))</f>
        <v/>
      </c>
      <c r="GA24" s="538">
        <f>FU24-FZ24</f>
        <v/>
      </c>
      <c r="GB24" s="538">
        <f>IF(AND(N24="No",DI24=0),GA24,IF(AND(N24="No",DI24&lt;&gt;0,K24=0),0,IF(AND(N24="No",DI24&lt;&gt;0,K24&gt;0,J24&lt;&gt;K24),MAX(0,M24-(DH24-GA24)),DG24)))</f>
        <v/>
      </c>
      <c r="GC24" s="540">
        <f>+GB24*V24</f>
        <v/>
      </c>
      <c r="GD24" s="138">
        <f>IFERROR(GC24/K24,"")</f>
        <v/>
      </c>
      <c r="GE24" s="541">
        <f>IF(IB24="","",IB24)</f>
        <v/>
      </c>
      <c r="GF24" s="538">
        <f t="array" ref="GF24">IF(SUM(IF(IB$9:IB23=IB24,1,0))&gt;0,0,SUMIF($IB$10:$IB$406,IB24,$FI$10:$FI$406))</f>
        <v/>
      </c>
      <c r="GG24" s="270">
        <f>GF24</f>
        <v/>
      </c>
      <c r="GH24" s="137">
        <f>GH23+1</f>
        <v/>
      </c>
      <c r="GI24" s="542">
        <f>LARGE($GG$10:$GG$406,GH24)</f>
        <v/>
      </c>
      <c r="GJ24" s="542">
        <f>IF(GH24&gt;GH$6,0,IF(GH24=$GH$2,$GJ$2,IF(GH24&lt;4,$GJ$3,$GJ$4)))</f>
        <v/>
      </c>
      <c r="GK24" s="489">
        <f>MAX(0,GI24-GJ24)</f>
        <v/>
      </c>
      <c r="GL24" s="137">
        <f t="array" ref="GL24">IF(GI24=0,0,LARGE(IF($GF$10:$GF$406=GI24,$GE$10:$GE$406,0),COUNTIF($GI$10:$GI$406,GI24)-COUNTIF(GI$9:GI23,GI24)))</f>
        <v/>
      </c>
      <c r="GM24" s="272">
        <f>IF(GI24=0,0,GK24/GI24)</f>
        <v/>
      </c>
      <c r="GO24" s="137">
        <f>IF(C24="","",IF(ISERROR(MATCH(C24,C$10:C23,0)),MAX(GO$10:GO23)+1,INDEX(GO$10:GO23,MATCH(C24,C$10:C23,0))))</f>
        <v/>
      </c>
      <c r="GP24" s="538">
        <f>IF(COUNTIF($A$10:A24,A24)&lt;=1,SUMIF($A$10:$A$406,A24,$FG$10:$FG$406),0)</f>
        <v/>
      </c>
      <c r="GQ24" s="137">
        <f>GQ23+1</f>
        <v/>
      </c>
      <c r="GR24" s="542">
        <f>LARGE($GP$10:$GP$406,GQ24)</f>
        <v/>
      </c>
      <c r="GS24" s="542">
        <f>IF(GQ24&gt;GQ$6,0,IF(GQ24&lt;=GQ$2,GS$2,IF(AND(GQ24&lt;=$GQ$3,GQ24&gt;$GQ$2),GS$3,GS$4)))</f>
        <v/>
      </c>
      <c r="GT24" s="489">
        <f>MAX(0,GR24-GS24)</f>
        <v/>
      </c>
      <c r="GU24" s="137">
        <f t="array" ref="GU24">IF(GR24=0,0,LARGE(IF($GP$10:$GP$406=GR24,$GO$10:$GO$406,0),COUNTIF($GR$10:$GR$406,GR24)-COUNTIF(GR$9:GR23,GR24)))</f>
        <v/>
      </c>
      <c r="GV24" s="272">
        <f>IF(GR24=0,0,GT24/GR24)</f>
        <v/>
      </c>
      <c r="GW24" s="272" t="n"/>
      <c r="GX24" s="137">
        <f>IF(C24="","",IF(ISERROR(MATCH(C24,C$10:C23,0)),MAX(GO$10:GO23)+1,INDEX(GO$10:GO23,MATCH(C24,C$10:C23,0))))</f>
        <v/>
      </c>
      <c r="GY24" s="538">
        <f>IF(COUNTIF($A$10:A24,A24)&lt;=1,SUMIF($A$10:$A$406,A24,$FG$10:$FG$406),0)</f>
        <v/>
      </c>
      <c r="GZ24" s="137">
        <f>GZ23+1</f>
        <v/>
      </c>
      <c r="HA24" s="542">
        <f>LARGE($GY$10:$GY$406,GZ24)</f>
        <v/>
      </c>
      <c r="HB24" s="543" t="inlineStr">
        <is>
          <t>-</t>
        </is>
      </c>
      <c r="HC24" s="489">
        <f>IF(GZ24&lt;6,MAX(0,$HC$2/5),0)</f>
        <v/>
      </c>
      <c r="HD24" s="137">
        <f t="array" ref="HD24">IF(HA24=0,0,LARGE(IF($GY$10:$GY$406=HA24,$GX$10:$GX$406,0),COUNTIF($HA$10:$HA$406,HA24)-COUNTIF(HA$9:HA23,HA24)))</f>
        <v/>
      </c>
      <c r="HE24" s="272">
        <f>IF(HA24=0,0,HC24/HA24)</f>
        <v/>
      </c>
      <c r="HG24" s="270">
        <f>DG24-GA24</f>
        <v/>
      </c>
      <c r="HH24" s="544" t="n">
        <v>0</v>
      </c>
      <c r="HI24" s="538">
        <f>MIN(HH24,DE24)</f>
        <v/>
      </c>
      <c r="HK24" s="137">
        <f>IF(COUNTIF($C$10:$C$406,HK23+1),HK23+1,"")</f>
        <v/>
      </c>
      <c r="HL24" s="538">
        <f>SUMIF($C$10:$C$406,HK24,$DG$10:$DG$406)</f>
        <v/>
      </c>
      <c r="HN24" s="521">
        <f>MIN(HO24:HS24)</f>
        <v/>
      </c>
      <c r="HO24" s="521">
        <f>IF(B24="","",$M24)</f>
        <v/>
      </c>
      <c r="HP24" s="521">
        <f>IF($N24="Yes",IF(P24&gt;=6,0,MIN($T24*$M24,$U24*$M24)),"")</f>
        <v/>
      </c>
      <c r="HQ24" s="521">
        <f>IF(AND(N24="Yes",P24&gt;=6),"",IF($S24="Yes",$R24*$M24,""))</f>
        <v/>
      </c>
      <c r="HR24" s="521">
        <f>IF($Q24="Yes",MIN($M24,$T24*$M24),"")</f>
        <v/>
      </c>
      <c r="HS24" s="521">
        <f>IF(AND($N24="Yes",$P24&gt;=6),"",IF(OR(CY24=1,DC24=1,),MIN($T24*$M24,$U24*$M24),IF(OR(CZ24=1,DA24=1,DB24=1),IF(AK24&gt;=5000000,MIN($T24*$M24,$IE24*$M24),MIN($T24*$M24,$U24*$M24)),"")))</f>
        <v/>
      </c>
      <c r="HT24" s="521">
        <f>IF(DD24&gt;0,DD24,"")</f>
        <v/>
      </c>
      <c r="HU24" s="522">
        <f>IF(B24="",0,$L24-$M24)</f>
        <v/>
      </c>
      <c r="HV24" s="274">
        <f>IF(OR(SUM(HP24:HT24)&gt;0,P24&gt;=6),"",IF($B24="","",1))</f>
        <v/>
      </c>
      <c r="HW24" s="522">
        <f>IF(AND($HT24&lt;&gt;0,OR(HT24&lt;=MIN(HP24:HS24),SUM(HP24:HS24)=0)),$HT24,0)</f>
        <v/>
      </c>
      <c r="HX24" s="522">
        <f>IF(AND($HS24&lt;&gt;0,OR(AND($HS24&lt;&gt;$HT24,$HS24&lt;&gt;$HR24,$HS24&lt;&gt;$HQ24,$HS24&lt;&gt;$HP24,$HS24&lt;MIN($HP24:$HR24),$HS24&lt;HT24),SUM($HP24:$HR24)+SUM(HT24)=0),IA24&lt;=0),$HS24,0)</f>
        <v/>
      </c>
      <c r="HY24" s="522">
        <f>IF(AND($HR24&lt;&gt;0,OR(AND($HR24&lt;&gt;$HT24,$HR24&lt;&gt;$HS24,$HR24&lt;&gt;$HQ24,$HR24&lt;&gt;$HP24),$HR24&lt;MIN($HP24:$HQ24),$HR24&lt;MIN($HS24:$HT24),SUM($HP24:$HQ24)+SUM($HS24:$HT24)=0)),$HR24,0)</f>
        <v/>
      </c>
      <c r="HZ24" s="522">
        <f>IF(AND($HQ24&lt;&gt;0,OR(AND($HQ24&lt;&gt;$HT24,HQ24&lt;&gt;HS24,HQ24&lt;&gt;HR24,HQ24&lt;&gt;HP24,HQ24&lt;MIN(HR24:HT24)),SUM(HP24)+SUM(HR24:HT24)=0)),$HQ24,0)</f>
        <v/>
      </c>
      <c r="IA24" s="522">
        <f>IF(AND($HP24&lt;&gt;0,OR(HP24&lt;=MIN(HQ24:HT24),SUM(HQ24:HT24)=0)),$HP24,0)</f>
        <v/>
      </c>
      <c r="IB24" s="545" t="n">
        <v>41</v>
      </c>
      <c r="IC24">
        <f>HU24=DF24</f>
        <v/>
      </c>
      <c r="IE24" s="351">
        <f>IF(B24="","",IF(AND(Y24="Second Lien",OR(CZ24=1,DA24=1,DB24=1)),50%,IF(CZ24=1,90%,IF(DA24=1,80%,IF(DB24=1,65%,"No Initial Haircut")))))</f>
        <v/>
      </c>
    </row>
    <row r="25">
      <c r="A25">
        <f>D25</f>
        <v/>
      </c>
      <c r="B25" s="242">
        <f>IF(D25="","",B24+1)</f>
        <v/>
      </c>
      <c r="C25" s="242">
        <f>IF(COUNTIF($A$10:A24,A25)&gt;0,C24,C24+1)</f>
        <v/>
      </c>
      <c r="D25" s="243" t="inlineStr">
        <is>
          <t>Stonegate Holdings, LLC</t>
        </is>
      </c>
      <c r="E25" s="243" t="inlineStr">
        <is>
          <t>Stonegate (TL)</t>
        </is>
      </c>
      <c r="F25" s="244" t="n"/>
      <c r="G25" s="528" t="n">
        <v>1984103.69</v>
      </c>
      <c r="H25" s="528" t="n">
        <v>1984103.69</v>
      </c>
      <c r="I25" s="246" t="n">
        <v>1</v>
      </c>
      <c r="J25" s="529">
        <f>IF(B25="","",G25*I25)</f>
        <v/>
      </c>
      <c r="K25" s="529">
        <f>IF(B25="","",H25*I25)</f>
        <v/>
      </c>
      <c r="L25" s="529">
        <f>IF(B25="","",IF(COUNTIF($CE25:$CX25,1)&gt;0,0,J25))</f>
        <v/>
      </c>
      <c r="M25" s="529">
        <f>IF(B25="","",IF(COUNTIF($CE25:$CX25,1)&gt;0,0,K25))</f>
        <v/>
      </c>
      <c r="N25" s="248" t="inlineStr">
        <is>
          <t>No</t>
        </is>
      </c>
      <c r="O25" s="248" t="inlineStr">
        <is>
          <t>N/A</t>
        </is>
      </c>
      <c r="P25" s="249">
        <f>IF(B25="","",IF(OR(O25="N/A",O25=""),0,YEARFRAC('Borrowing Base'!$J$4,'Loan List'!O25)*12))</f>
        <v/>
      </c>
      <c r="Q25" s="248" t="inlineStr">
        <is>
          <t>No</t>
        </is>
      </c>
      <c r="R25" s="250" t="n">
        <v>0.9925</v>
      </c>
      <c r="S25" s="251">
        <f>IF(B25="","",IF(R25&lt;95%,"Yes","No"))</f>
        <v/>
      </c>
      <c r="T25" s="250" t="n">
        <v>1</v>
      </c>
      <c r="U25" s="252">
        <f>IF(B25="","",IF(OR(Y25="First Lien",Y25="Split First Lien",Y25="Tier 1 Split Lien",Y25="Tier 2 Split Lien"),50%,30%))</f>
        <v/>
      </c>
      <c r="V25" s="252">
        <f>IF(B25="",0,IF(AND(Y25="First Lien",AN25="Tier 1"),IF(AND(X25="Yes",MIN(AH25,$AJ$5)&gt;4.5),(((4.5/MIN(AH25,$AJ$5))*72.5%)+(((MIN(AH25,$AJ$5)-4.5)/MIN(AH25,$AJ$5))*35%)),72.5%),IF(AND(Y25="First Lien",AN25="Tier 2"),IF(AND(X25="Yes",MIN(AH25,$AK$5)&gt;4.5),(((4.5/MIN(AH25,$AK$5))*72.5%)+(((MIN(AH25,$AK$5)-4.5)/MIN(AH25,$AK$5))*35%)),72.5%),IF(AND(X25="Yes",MIN(AH25,$AL$5)&gt;4),(((4/MIN(AH25,$AL$5))*72.5%)+(((MIN(AH25,$AL$5)-4)/MIN(AH25,$AL$5))*35%)),IF(OR(Y25="First Lien",Y25="Split First Lien"),72.5%,IF(Y25="Split Lien", 53%,35%))))))</f>
        <v/>
      </c>
      <c r="W25" s="530">
        <f>IF($C25="","",MIN($HO25:$HS25))</f>
        <v/>
      </c>
      <c r="X25" s="248" t="inlineStr">
        <is>
          <t>No</t>
        </is>
      </c>
      <c r="Y25" s="254" t="inlineStr">
        <is>
          <t>First Lien</t>
        </is>
      </c>
      <c r="Z25" s="254" t="inlineStr">
        <is>
          <t>Term</t>
        </is>
      </c>
      <c r="AA25" s="531" t="inlineStr">
        <is>
          <t>NR</t>
        </is>
      </c>
      <c r="AB25" s="531" t="inlineStr">
        <is>
          <t xml:space="preserve"> NR</t>
        </is>
      </c>
      <c r="AC25" s="532" t="n">
        <v>1.617808607454423</v>
      </c>
      <c r="AD25" s="532" t="n">
        <v>1.441412105316103</v>
      </c>
      <c r="AE25" s="532" t="n">
        <v>2.849178945138508</v>
      </c>
      <c r="AF25" s="257" t="n">
        <v>0.263</v>
      </c>
      <c r="AG25" s="533" t="n">
        <v>1.441412105316103</v>
      </c>
      <c r="AH25" s="533" t="n">
        <v>1.441412105316103</v>
      </c>
      <c r="AI25" s="533" t="n">
        <v>2.849178945138508</v>
      </c>
      <c r="AJ25" s="533" t="n">
        <v>2.849178945138508</v>
      </c>
      <c r="AK25" s="534" t="n">
        <v>10781094.41615385</v>
      </c>
      <c r="AL25" s="534" t="n">
        <v>20505877</v>
      </c>
      <c r="AM25" s="260" t="n">
        <v>45838</v>
      </c>
      <c r="AN25" s="529">
        <f>IF(C25="","",(IF(AK25&gt;=50000000,"Tier 1",(IF(OR(AK25&gt;=20000000,AND(AK25&gt;5000000,AC25&gt;=1.25,AF25&lt;=0.65)),"Tier 2","Tier 3")))))</f>
        <v/>
      </c>
      <c r="AO25" s="244" t="n">
        <v>47455</v>
      </c>
      <c r="AP25" s="535" t="n">
        <v>4.341666666666667</v>
      </c>
      <c r="AQ25" s="535">
        <f>IF(C25="","",AP25)</f>
        <v/>
      </c>
      <c r="AR25" s="248" t="inlineStr">
        <is>
          <t>No</t>
        </is>
      </c>
      <c r="AS25" s="250" t="n">
        <v>0</v>
      </c>
      <c r="AT25" s="248" t="inlineStr">
        <is>
          <t>Yes</t>
        </is>
      </c>
      <c r="AU25" s="250" t="n">
        <v>0.01</v>
      </c>
      <c r="AV25" s="250" t="n">
        <v>0.0525</v>
      </c>
      <c r="AW25" s="250" t="n">
        <v>0.040456</v>
      </c>
      <c r="AX25" s="262">
        <f>IF(C25="","",MAX(AU25,AW25))</f>
        <v/>
      </c>
      <c r="AY25" s="250" t="n">
        <v>0</v>
      </c>
      <c r="AZ25" s="250" t="n">
        <v>0</v>
      </c>
      <c r="BA25" s="250" t="n">
        <v>0</v>
      </c>
      <c r="BB25" s="412">
        <f>IF(B25="","",IF(AR25="No",AV25-AZ25,""))</f>
        <v/>
      </c>
      <c r="BC25" s="412">
        <f>IF(B25="","",IF(AR25="Yes",AS25-BA25,""))</f>
        <v/>
      </c>
      <c r="BD25" s="254" t="inlineStr">
        <is>
          <t>Monthly</t>
        </is>
      </c>
      <c r="BE25" s="536" t="inlineStr">
        <is>
          <t>Health Care Providers &amp; Services</t>
        </is>
      </c>
      <c r="BF25" s="254" t="inlineStr">
        <is>
          <t>USD</t>
        </is>
      </c>
      <c r="BG25" s="254" t="inlineStr">
        <is>
          <t>United States</t>
        </is>
      </c>
      <c r="BH25" s="248" t="inlineStr">
        <is>
          <t>No</t>
        </is>
      </c>
      <c r="BI25" s="413">
        <f>IF(B25="","",IF(OR(AND(AZ25&gt;0,BB25&gt;=2.5%,BB25&lt;4%),AND(BA25&gt;0,BC25&gt;=6%,BC25&lt;8%)),"Yes","No"))</f>
        <v/>
      </c>
      <c r="BJ25" s="413">
        <f>IF(B25="","",IF(OR(AND(AZ25&gt;0,BB25&lt;2.5%),AND(BA25&gt;0,BC25&lt;6%)),"Yes","No"))</f>
        <v/>
      </c>
      <c r="BK25" s="248" t="inlineStr">
        <is>
          <t>No</t>
        </is>
      </c>
      <c r="BL25" s="248" t="inlineStr">
        <is>
          <t>No</t>
        </is>
      </c>
      <c r="BM25" s="248" t="inlineStr">
        <is>
          <t>No</t>
        </is>
      </c>
      <c r="BN25" s="248" t="inlineStr">
        <is>
          <t>No</t>
        </is>
      </c>
      <c r="BO25" s="248" t="inlineStr">
        <is>
          <t>No</t>
        </is>
      </c>
      <c r="BP25" s="248" t="inlineStr">
        <is>
          <t>No</t>
        </is>
      </c>
      <c r="BQ25" s="248" t="inlineStr">
        <is>
          <t>No</t>
        </is>
      </c>
      <c r="BR25" s="248" t="inlineStr">
        <is>
          <t>No</t>
        </is>
      </c>
      <c r="BS25" s="248" t="inlineStr">
        <is>
          <t>No</t>
        </is>
      </c>
      <c r="BT25" s="248" t="inlineStr">
        <is>
          <t>No</t>
        </is>
      </c>
      <c r="BU25" s="248" t="inlineStr">
        <is>
          <t>No</t>
        </is>
      </c>
      <c r="BV25" s="248" t="inlineStr">
        <is>
          <t>No</t>
        </is>
      </c>
      <c r="BW25" s="248" t="inlineStr">
        <is>
          <t>No</t>
        </is>
      </c>
      <c r="BX25" s="248" t="inlineStr">
        <is>
          <t>No</t>
        </is>
      </c>
      <c r="BY25" s="248" t="inlineStr">
        <is>
          <t>No</t>
        </is>
      </c>
      <c r="BZ25" s="248" t="inlineStr">
        <is>
          <t>No</t>
        </is>
      </c>
      <c r="CA25" s="248" t="inlineStr">
        <is>
          <t>Yes</t>
        </is>
      </c>
      <c r="CB25" s="537">
        <f>IF(B25="","",IF(AT25="No",((BB25+AW25)-$AZ$4),((BB25+AX25)-$AZ$4))*IF(DD25&gt;0,0,M25))</f>
        <v/>
      </c>
      <c r="CC25" s="537">
        <f>IF(B25="","",AY25*(L25-M25)*IF(DD25&gt;0,0,1))</f>
        <v/>
      </c>
      <c r="CD25" s="265" t="n"/>
      <c r="CE25" s="265">
        <f>IF(AND(B25&lt;&gt;"",R25&lt;=85%),1,0)</f>
        <v/>
      </c>
      <c r="CF25" s="265">
        <f>IF(B25="",0,(IF(OR(BF25="USD",BF25="CAD",BF25="GBP",BF25="AUD",BF25="EUR"),0,1)))</f>
        <v/>
      </c>
      <c r="CG25" s="265">
        <f>IF(B25="",0,(IF(OR(BG25="United States",BG25="Canada",BG25="United Kingdom",BG25="Australia",BG25="Netherlands Antilles",BG25="Bermuda",BG25="Cayman Islands",BG25="British Virgin Islands",BG25="Channel Islands",BG25="Isle of Man",BG25="Australia",BG25="Netherlands",BG25="Germany",BG25="Sweden",BG25="Switzerland",BG25="Austria",BG25="Belgium",BG25="Denmark",BG25="Finland",BG25="Iceland",BG25="Ireland",BG25="Lichtenstein",BG25="Luxemborg",BG25="Norway"),0,1)))</f>
        <v/>
      </c>
      <c r="CH25" s="265">
        <f>IF(BN25="Yes",1,0)</f>
        <v/>
      </c>
      <c r="CI25" s="265">
        <f>IF(BO25="Yes",1,0)</f>
        <v/>
      </c>
      <c r="CJ25" s="265">
        <f>IF(BP25="Yes",1,0)</f>
        <v/>
      </c>
      <c r="CK25" s="265">
        <f>IF(BQ25="Yes",1,0)</f>
        <v/>
      </c>
      <c r="CL25" s="265">
        <f>IF(BR25="Yes",1,0)</f>
        <v/>
      </c>
      <c r="CM25" s="265">
        <f>IF(BS25="Yes",1,0)</f>
        <v/>
      </c>
      <c r="CN25" s="265">
        <f>IF(OR(AND(BJ25="Yes",N25="No"),AND(BJ25="Yes",N25="Yes",P25&gt;=6)),1,0)</f>
        <v/>
      </c>
      <c r="CO25" s="265">
        <f>IF(BT25="Yes",1,0)</f>
        <v/>
      </c>
      <c r="CP25" s="265">
        <f>IF(AND(BU25="Yes",BV25="No"),1,0)</f>
        <v/>
      </c>
      <c r="CQ25" s="265">
        <f>IF(BW25="Yes",1,0)</f>
        <v/>
      </c>
      <c r="CR25" s="265">
        <f>IF(AP25="",0,IF(AP25&gt;7,1,0))</f>
        <v/>
      </c>
      <c r="CS25" s="265">
        <f>IF(OR(BD25&lt;&gt;"Monthly",BD25&lt;&gt;"Quarterly",BD25&lt;&gt;"Semi-Annually"),0,1)</f>
        <v/>
      </c>
      <c r="CT25" s="265">
        <f>IF(BX25="Yes",1,0)</f>
        <v/>
      </c>
      <c r="CU25" s="265">
        <f>IF(BY25="Yes",1,0)</f>
        <v/>
      </c>
      <c r="CV25" s="265">
        <f>IF(BZ25="Yes",1,0)</f>
        <v/>
      </c>
      <c r="CW25" s="265">
        <f>IF(CA25="No",1,0)</f>
        <v/>
      </c>
      <c r="CX25" s="265">
        <f>IF(B25="",0,IF(AK25&gt;=5000000,0,1))</f>
        <v/>
      </c>
      <c r="CY25" s="265">
        <f>IF(B25="",0,IF(AL25&gt;=5000000,0,1))</f>
        <v/>
      </c>
      <c r="CZ25" s="265">
        <f>IF(OR(DA25=1,DB25=1,DC25=1),0,IF(B25="",0,IF(OR(AND(AN25="Tier 1",X25="No",OR(AI25&gt;$AJ$3,AJ25&gt;$AJ$4)),(AND(AN25="Tier 1",X25="Yes",AJ25&gt;$AJ$5)),(AND(AN25="Tier 2",X25="No",OR(AI25&gt;$AK$3,AJ25&gt;$AK$4))),(AND(AN25="Tier 2",X25="Yes",AJ25&gt;$AK$5)),(AND(AN25="Tier 3",X25="No",OR(AI25&gt;$AL$3,AJ25&gt;$AL$4))),(AND(AN25="Tier 3",X25="Yes",AJ25&gt;$AL$5))),1,0)))</f>
        <v/>
      </c>
      <c r="DA25" s="265">
        <f>IF(OR(DB25=1,DC25=1),0,IF(B25="",0,IF(OR(AND(AN25="Tier 1",X25="No",OR(AI25&gt;$AM$3,AJ25&gt;$AM$4)),(AND(AN25="Tier 1",X25="Yes",AJ25&gt;$AM$5)),(AND(AN25="Tier 2",X25="No",OR(AI25&gt;$AN$3,AJ25&gt;$AN$4))),(AND(AN25="Tier 2",X25="Yes",AJ25&gt;$AN$5)),(AND(AN25="Tier 3",X25="No",OR(AI25&gt;$AO$3,AJ25&gt;$AO$4))),(AND(AN25="Tier 3",X25="Yes",AJ25&gt;$AO$5))),1,0)))</f>
        <v/>
      </c>
      <c r="DB25" s="265">
        <f>IF(DC25=1,0,IF(B25="",0,IF(OR(AND(AN25="Tier 1",X25="No",OR(AI25&gt;$AP$3,AJ25&gt;$AP$4)),(AND(AN25="Tier 1",X25="Yes",AJ25&gt;$AP$5)),(AND(AN25="Tier 2",X25="No",OR(AI25&gt;$AQ$3,AJ25&gt;$AQ$4))),(AND(AN25="Tier 2",X25="Yes",AJ25&gt;$AQ$5)),(AND(AN25="Tier 3",X25="No",OR(AI25&gt;$AR$3,AJ25&gt;$AR$4))),(AND(AN25="Tier 3",X25="Yes",AJ25&gt;$AR$5))),1,0)))</f>
        <v/>
      </c>
      <c r="DC25" s="265">
        <f>IF(B25="",0,IF(OR(AND(AN25="Tier 1",X25="No",OR(AI25&gt;$AS$3,AJ25&gt;$AS$4)),(AND(AN25="Tier 1",X25="Yes",AJ25&gt;$AS$5)),(AND(AN25="Tier 2",X25="No",OR(AI25&gt;$AT$3,AJ25&gt;$AT$4))),(AND(AN25="Tier 2",X25="Yes",AJ25&gt;$AT$5)),(AND(AN25="Tier 3",X25="No",OR(AI25&gt;$AU$3,AJ25&gt;$AU$4))),(AND(AN25="Tier 3",X25="Yes",AJ25&gt;$AU$5))),1,0))</f>
        <v/>
      </c>
      <c r="DD25" s="265">
        <f>IF((SUM(CE25:CX25)=0),0,W25)</f>
        <v/>
      </c>
      <c r="DE25" s="265">
        <f>IF(OR(B25="",DD25&gt;0),0,W25)</f>
        <v/>
      </c>
      <c r="DF25" s="265">
        <f>IF(B25="",0,IF(COUNTIF(CE25:CX25,1)&gt;0,0,L25-M25))</f>
        <v/>
      </c>
      <c r="DG25" s="265">
        <f>DE25+IF(DD25&gt;0,0,DF25)</f>
        <v/>
      </c>
      <c r="DH25" s="265">
        <f>IF(B25="","",M25+DF25)</f>
        <v/>
      </c>
      <c r="DI25" s="265">
        <f>IF(B25="",0,J25-K25)</f>
        <v/>
      </c>
      <c r="DJ25" s="265">
        <f>IF(OR(BF25="EUR",BF25="CAD",BF25="GBP",BF25="AUD"),(GA25*(1-V25))+(HG25)+IF(HX25="",0,HX25*(1-U25)),0)</f>
        <v/>
      </c>
      <c r="DK25" s="265">
        <f>IF(BF25="EUR",33%,IF(BF25="CAD",38%,IF(BF25="GBP",51%,IF(BF25="AUD",61%,0))))</f>
        <v/>
      </c>
      <c r="DL25" s="265">
        <f>DJ25*DK25</f>
        <v/>
      </c>
      <c r="DN25" s="538">
        <f>IF(OR(Y25="Second Lien",Y25="Tier 1 Split Lien",Y25="Tier 2 Split Lien"),DG25,0)</f>
        <v/>
      </c>
      <c r="DO25" s="539">
        <f>DN25*DN$6</f>
        <v/>
      </c>
      <c r="DP25" s="538">
        <f>DG25-DO25</f>
        <v/>
      </c>
      <c r="DQ25" s="538">
        <f>IF(Y25="Second Lien",DP25,0)</f>
        <v/>
      </c>
      <c r="DR25" s="539">
        <f>DQ25*DQ$6</f>
        <v/>
      </c>
      <c r="DS25" s="538">
        <f>DP25-DR25</f>
        <v/>
      </c>
      <c r="DT25" s="538">
        <f>IF(BH25="Yes",DS25,0)</f>
        <v/>
      </c>
      <c r="DU25" s="539">
        <f>DT25*DT$6</f>
        <v/>
      </c>
      <c r="DV25" s="538">
        <f>DS25-DU25</f>
        <v/>
      </c>
      <c r="DW25" s="538">
        <f>IF(OR(BG25="Canada",BG25="United Kingdom",BG25="Australia",BG25="Netherlands Antilles",BG25="Bermuda",BG25="Cayman Islands",BG25="British Virgin Islands",BG25="Channel Islands",BG25="Isle of Man",BG25="Australia",BG25="Netherlands",BG25="Germany",BG25="Sweden",BG25="Switzerland",BG25="Austria",BG25="Belgium",BG25="Denmark",BG25="Finland",BG25="Iceland",BG25="Ireland",BG25="Lichtenstein",BG25="Luxemborg",BG25="Norway"),DV25,0)</f>
        <v/>
      </c>
      <c r="DX25" s="539">
        <f>DW25*DW$6</f>
        <v/>
      </c>
      <c r="DY25" s="538">
        <f>DV25-DX25</f>
        <v/>
      </c>
      <c r="DZ25" s="538">
        <f>IF(BI25="Yes",DY25,0)</f>
        <v/>
      </c>
      <c r="EA25" s="539">
        <f>DZ25*DZ$6</f>
        <v/>
      </c>
      <c r="EB25" s="538">
        <f>DY25-EA25</f>
        <v/>
      </c>
      <c r="EC25" s="538">
        <f>IF(OR(Z25="Delayed Draw",Z25="Revolver"),EB25,0)</f>
        <v/>
      </c>
      <c r="ED25" s="539">
        <f>EC25*EC$6</f>
        <v/>
      </c>
      <c r="EE25" s="538">
        <f>EB25-ED25</f>
        <v/>
      </c>
      <c r="EF25" s="538">
        <f>IF(S25="Yes",EE25,0)</f>
        <v/>
      </c>
      <c r="EG25" s="539">
        <f>EF25*EF$6</f>
        <v/>
      </c>
      <c r="EH25" s="538">
        <f>EE25-EG25</f>
        <v/>
      </c>
      <c r="EI25" s="538">
        <f>IF(Q25="Yes",EH25,0)</f>
        <v/>
      </c>
      <c r="EJ25" s="539">
        <f>EI25*EI$6</f>
        <v/>
      </c>
      <c r="EK25" s="538">
        <f>EH25-EJ25</f>
        <v/>
      </c>
      <c r="EL25" s="538">
        <f>IF(BD25="Semi-Annually",EK25,0)</f>
        <v/>
      </c>
      <c r="EM25" s="539">
        <f>EL25*EL$6</f>
        <v/>
      </c>
      <c r="EN25" s="538">
        <f>EK25-EM25</f>
        <v/>
      </c>
      <c r="EO25" s="538">
        <f>IF(BK25="Yes",EN25,0)</f>
        <v/>
      </c>
      <c r="EP25" s="539">
        <f>EO25*EO$6</f>
        <v/>
      </c>
      <c r="EQ25" s="538">
        <f>EN25-EP25</f>
        <v/>
      </c>
      <c r="ER25" s="538">
        <f>IF(BL25="Yes",EQ25,0)</f>
        <v/>
      </c>
      <c r="ES25" s="539">
        <f>ER25*ER$6</f>
        <v/>
      </c>
      <c r="ET25" s="538">
        <f>EQ25-ES25</f>
        <v/>
      </c>
      <c r="EU25" s="538">
        <f>IF(BM25="Yes",ET25,0)</f>
        <v/>
      </c>
      <c r="EV25" s="539">
        <f>EU25*EU$6</f>
        <v/>
      </c>
      <c r="EW25" s="538">
        <f>ET25-EV25</f>
        <v/>
      </c>
      <c r="EX25" s="538">
        <f>IF(BV25="Yes",EW25,0)</f>
        <v/>
      </c>
      <c r="EY25" s="539">
        <f>EX25*EX$6</f>
        <v/>
      </c>
      <c r="EZ25" s="538">
        <f>EW25-EY25</f>
        <v/>
      </c>
      <c r="FA25" s="538">
        <f>IF(AR25="Yes",EZ25,0)</f>
        <v/>
      </c>
      <c r="FB25" s="539">
        <f>FA25*FA$6</f>
        <v/>
      </c>
      <c r="FC25" s="538">
        <f>EZ25-FB25</f>
        <v/>
      </c>
      <c r="FD25" s="538">
        <f>IF(OR(BF25="EUR",BF25="AUD",BF25="CAD",BF25="GBP"),FC25,0)</f>
        <v/>
      </c>
      <c r="FE25" s="539">
        <f>FD25*FD$6</f>
        <v/>
      </c>
      <c r="FF25" s="538">
        <f>FC25-FE25</f>
        <v/>
      </c>
      <c r="FG25" s="538">
        <f>FF25</f>
        <v/>
      </c>
      <c r="FH25" s="538">
        <f>IF(FF25=0,0,VLOOKUP(C25,$GU$10:$GV$406,2,FALSE)*FF25)</f>
        <v/>
      </c>
      <c r="FI25" s="538">
        <f>FF25-FH25</f>
        <v/>
      </c>
      <c r="FJ25" s="538">
        <f>FI25</f>
        <v/>
      </c>
      <c r="FK25" s="538">
        <f>IF(OR(IB25="",FI25&lt;0.01),,VLOOKUP(IB25,$GL$10:$GM$406,2,FALSE)*FI25)</f>
        <v/>
      </c>
      <c r="FL25" s="538">
        <f>FI25-FK25</f>
        <v/>
      </c>
      <c r="FM25" s="538">
        <f>FL25</f>
        <v/>
      </c>
      <c r="FN25" s="538">
        <f>IF(FL25=0,0,VLOOKUP(C25,$HD$10:$HE$406,2,FALSE)*FL25)</f>
        <v/>
      </c>
      <c r="FO25" s="538">
        <f>FL25-FN25</f>
        <v/>
      </c>
      <c r="FP25" s="538">
        <f>IF(SUM(CY25:DC25)&gt;0,0,IF(AND(AL25&gt;=5000000,AL25&lt;7500000),FO25,0))</f>
        <v/>
      </c>
      <c r="FQ25" s="539">
        <f>IF(B25="",0,FP25*FP$6*(1-$U25))</f>
        <v/>
      </c>
      <c r="FR25" s="538">
        <f>FO25-FQ25</f>
        <v/>
      </c>
      <c r="FS25" s="538">
        <f>IF(SUM(CY25:DC25)&gt;0,0,IF(AL25&lt;15000000,FR25,0))</f>
        <v/>
      </c>
      <c r="FT25" s="539">
        <f>IF(B25="",0,FS25*FS$6*(1-$U25))</f>
        <v/>
      </c>
      <c r="FU25" s="538">
        <f>FR25-FT25</f>
        <v/>
      </c>
      <c r="FV25" s="538">
        <f>IF(SUM(CY25:DC25)&gt;0,0,IF(OR(AND(X25="No",AN25="Tier 1",AI25&gt;$AG$3),AND(X25="No",AN25="Tier 2",AI25&gt;$AH$3),AND(X25="No",AN25="Tier 3",AI25&gt;$AI$3)),FU25,0))</f>
        <v/>
      </c>
      <c r="FW25" s="538">
        <f>IF(SUM(CY25:DC25)&gt;0,0,IF(OR(AND(X25="No",AN25="Tier 1",AJ25&gt;$AG$4),AND(X25="No",AN25="Tier 2",AJ25&gt;$AH$4),AND(X25="No",AN25="Tier 3",AJ25&gt;$AI$4)),FU25,0))</f>
        <v/>
      </c>
      <c r="FX25" s="538">
        <f>IF(SUM(CY25:DC25)&gt;0,0,IF(OR(AND(X25="Yes",AN25="Tier 1",AJ25&gt;$AG$5),AND(X25="Yes",AN25="Tier 2",AJ25&gt;$AH$5),AND(X25="Yes",AN25="Tier 3",AJ25&gt;$AI$5)),FU25,0))</f>
        <v/>
      </c>
      <c r="FY25" s="538">
        <f>IF(SUM(FV25:FX25)&gt;0,FU25,0)</f>
        <v/>
      </c>
      <c r="FZ25" s="539">
        <f>IF(B25="",0,FY25*FV$6*(1-MIN(90%,T25)))</f>
        <v/>
      </c>
      <c r="GA25" s="538">
        <f>FU25-FZ25</f>
        <v/>
      </c>
      <c r="GB25" s="538">
        <f>IF(AND(N25="No",DI25=0),GA25,IF(AND(N25="No",DI25&lt;&gt;0,K25=0),0,IF(AND(N25="No",DI25&lt;&gt;0,K25&gt;0,J25&lt;&gt;K25),MAX(0,M25-(DH25-GA25)),DG25)))</f>
        <v/>
      </c>
      <c r="GC25" s="540">
        <f>+GB25*V25</f>
        <v/>
      </c>
      <c r="GD25" s="138">
        <f>IFERROR(GC25/K25,"")</f>
        <v/>
      </c>
      <c r="GE25" s="541">
        <f>IF(IB25="","",IB25)</f>
        <v/>
      </c>
      <c r="GF25" s="538">
        <f t="array" ref="GF25">IF(SUM(IF(IB$9:IB24=IB25,1,0))&gt;0,0,SUMIF($IB$10:$IB$406,IB25,$FI$10:$FI$406))</f>
        <v/>
      </c>
      <c r="GG25" s="270">
        <f>GF25</f>
        <v/>
      </c>
      <c r="GH25" s="137">
        <f>GH24+1</f>
        <v/>
      </c>
      <c r="GI25" s="542">
        <f>LARGE($GG$10:$GG$406,GH25)</f>
        <v/>
      </c>
      <c r="GJ25" s="542">
        <f>IF(GH25&gt;GH$6,0,IF(GH25=$GH$2,$GJ$2,IF(GH25&lt;4,$GJ$3,$GJ$4)))</f>
        <v/>
      </c>
      <c r="GK25" s="489">
        <f>MAX(0,GI25-GJ25)</f>
        <v/>
      </c>
      <c r="GL25" s="137">
        <f t="array" ref="GL25">IF(GI25=0,0,LARGE(IF($GF$10:$GF$406=GI25,$GE$10:$GE$406,0),COUNTIF($GI$10:$GI$406,GI25)-COUNTIF(GI$9:GI24,GI25)))</f>
        <v/>
      </c>
      <c r="GM25" s="272">
        <f>IF(GI25=0,0,GK25/GI25)</f>
        <v/>
      </c>
      <c r="GO25" s="137">
        <f>IF(C25="","",IF(ISERROR(MATCH(C25,C$10:C24,0)),MAX(GO$10:GO24)+1,INDEX(GO$10:GO24,MATCH(C25,C$10:C24,0))))</f>
        <v/>
      </c>
      <c r="GP25" s="538">
        <f>IF(COUNTIF($A$10:A25,A25)&lt;=1,SUMIF($A$10:$A$406,A25,$FG$10:$FG$406),0)</f>
        <v/>
      </c>
      <c r="GQ25" s="137">
        <f>GQ24+1</f>
        <v/>
      </c>
      <c r="GR25" s="542">
        <f>LARGE($GP$10:$GP$406,GQ25)</f>
        <v/>
      </c>
      <c r="GS25" s="542">
        <f>IF(GQ25&gt;GQ$6,0,IF(GQ25&lt;=GQ$2,GS$2,IF(AND(GQ25&lt;=$GQ$3,GQ25&gt;$GQ$2),GS$3,GS$4)))</f>
        <v/>
      </c>
      <c r="GT25" s="489">
        <f>MAX(0,GR25-GS25)</f>
        <v/>
      </c>
      <c r="GU25" s="137">
        <f t="array" ref="GU25">IF(GR25=0,0,LARGE(IF($GP$10:$GP$406=GR25,$GO$10:$GO$406,0),COUNTIF($GR$10:$GR$406,GR25)-COUNTIF(GR$9:GR24,GR25)))</f>
        <v/>
      </c>
      <c r="GV25" s="272">
        <f>IF(GR25=0,0,GT25/GR25)</f>
        <v/>
      </c>
      <c r="GW25" s="272" t="n"/>
      <c r="GX25" s="137">
        <f>IF(C25="","",IF(ISERROR(MATCH(C25,C$10:C24,0)),MAX(GO$10:GO24)+1,INDEX(GO$10:GO24,MATCH(C25,C$10:C24,0))))</f>
        <v/>
      </c>
      <c r="GY25" s="538">
        <f>IF(COUNTIF($A$10:A25,A25)&lt;=1,SUMIF($A$10:$A$406,A25,$FG$10:$FG$406),0)</f>
        <v/>
      </c>
      <c r="GZ25" s="137">
        <f>GZ24+1</f>
        <v/>
      </c>
      <c r="HA25" s="542">
        <f>LARGE($GY$10:$GY$406,GZ25)</f>
        <v/>
      </c>
      <c r="HB25" s="543" t="inlineStr">
        <is>
          <t>-</t>
        </is>
      </c>
      <c r="HC25" s="489">
        <f>IF(GZ25&lt;6,MAX(0,$HC$2/5),0)</f>
        <v/>
      </c>
      <c r="HD25" s="137">
        <f t="array" ref="HD25">IF(HA25=0,0,LARGE(IF($GY$10:$GY$406=HA25,$GX$10:$GX$406,0),COUNTIF($HA$10:$HA$406,HA25)-COUNTIF(HA$9:HA24,HA25)))</f>
        <v/>
      </c>
      <c r="HE25" s="272">
        <f>IF(HA25=0,0,HC25/HA25)</f>
        <v/>
      </c>
      <c r="HG25" s="270">
        <f>DG25-GA25</f>
        <v/>
      </c>
      <c r="HH25" s="544" t="n">
        <v>0</v>
      </c>
      <c r="HI25" s="538">
        <f>MIN(HH25,DE25)</f>
        <v/>
      </c>
      <c r="HK25" s="137">
        <f>IF(COUNTIF($C$10:$C$406,HK24+1),HK24+1,"")</f>
        <v/>
      </c>
      <c r="HL25" s="538">
        <f>SUMIF($C$10:$C$406,HK25,$DG$10:$DG$406)</f>
        <v/>
      </c>
      <c r="HN25" s="521">
        <f>MIN(HO25:HS25)</f>
        <v/>
      </c>
      <c r="HO25" s="521">
        <f>IF(B25="","",$M25)</f>
        <v/>
      </c>
      <c r="HP25" s="521">
        <f>IF($N25="Yes",IF(P25&gt;=6,0,MIN($T25*$M25,$U25*$M25)),"")</f>
        <v/>
      </c>
      <c r="HQ25" s="521">
        <f>IF(AND(N25="Yes",P25&gt;=6),"",IF($S25="Yes",$R25*$M25,""))</f>
        <v/>
      </c>
      <c r="HR25" s="521">
        <f>IF($Q25="Yes",MIN($M25,$T25*$M25),"")</f>
        <v/>
      </c>
      <c r="HS25" s="521">
        <f>IF(AND($N25="Yes",$P25&gt;=6),"",IF(OR(CY25=1,DC25=1,),MIN($T25*$M25,$U25*$M25),IF(OR(CZ25=1,DA25=1,DB25=1),IF(AK25&gt;=5000000,MIN($T25*$M25,$IE25*$M25),MIN($T25*$M25,$U25*$M25)),"")))</f>
        <v/>
      </c>
      <c r="HT25" s="521">
        <f>IF(DD25&gt;0,DD25,"")</f>
        <v/>
      </c>
      <c r="HU25" s="522">
        <f>IF(B25="",0,$L25-$M25)</f>
        <v/>
      </c>
      <c r="HV25" s="274">
        <f>IF(OR(SUM(HP25:HT25)&gt;0,P25&gt;=6),"",IF($B25="","",1))</f>
        <v/>
      </c>
      <c r="HW25" s="522">
        <f>IF(AND($HT25&lt;&gt;0,OR(HT25&lt;=MIN(HP25:HS25),SUM(HP25:HS25)=0)),$HT25,0)</f>
        <v/>
      </c>
      <c r="HX25" s="522">
        <f>IF(AND($HS25&lt;&gt;0,OR(AND($HS25&lt;&gt;$HT25,$HS25&lt;&gt;$HR25,$HS25&lt;&gt;$HQ25,$HS25&lt;&gt;$HP25,$HS25&lt;MIN($HP25:$HR25),$HS25&lt;HT25),SUM($HP25:$HR25)+SUM(HT25)=0),IA25&lt;=0),$HS25,0)</f>
        <v/>
      </c>
      <c r="HY25" s="522">
        <f>IF(AND($HR25&lt;&gt;0,OR(AND($HR25&lt;&gt;$HT25,$HR25&lt;&gt;$HS25,$HR25&lt;&gt;$HQ25,$HR25&lt;&gt;$HP25),$HR25&lt;MIN($HP25:$HQ25),$HR25&lt;MIN($HS25:$HT25),SUM($HP25:$HQ25)+SUM($HS25:$HT25)=0)),$HR25,0)</f>
        <v/>
      </c>
      <c r="HZ25" s="522">
        <f>IF(AND($HQ25&lt;&gt;0,OR(AND($HQ25&lt;&gt;$HT25,HQ25&lt;&gt;HS25,HQ25&lt;&gt;HR25,HQ25&lt;&gt;HP25,HQ25&lt;MIN(HR25:HT25)),SUM(HP25)+SUM(HR25:HT25)=0)),$HQ25,0)</f>
        <v/>
      </c>
      <c r="IA25" s="522">
        <f>IF(AND($HP25&lt;&gt;0,OR(HP25&lt;=MIN(HQ25:HT25),SUM(HQ25:HT25)=0)),$HP25,0)</f>
        <v/>
      </c>
      <c r="IB25" s="545" t="n">
        <v>31</v>
      </c>
      <c r="IC25">
        <f>HU25=DF25</f>
        <v/>
      </c>
      <c r="IE25" s="351">
        <f>IF(B25="","",IF(AND(Y25="Second Lien",OR(CZ25=1,DA25=1,DB25=1)),50%,IF(CZ25=1,90%,IF(DA25=1,80%,IF(DB25=1,65%,"No Initial Haircut")))))</f>
        <v/>
      </c>
    </row>
    <row r="26">
      <c r="A26">
        <f>D26</f>
        <v/>
      </c>
      <c r="B26" s="242">
        <f>IF(D26="","",B25+1)</f>
        <v/>
      </c>
      <c r="C26" s="242">
        <f>IF(COUNTIF($A$10:A25,A26)&gt;0,C25,C25+1)</f>
        <v/>
      </c>
      <c r="D26" s="243" t="inlineStr">
        <is>
          <t>Copperline Holdings, LLC</t>
        </is>
      </c>
      <c r="E26" s="243" t="inlineStr">
        <is>
          <t>Copperline (Term Loan)</t>
        </is>
      </c>
      <c r="F26" s="244" t="n"/>
      <c r="G26" s="528" t="n">
        <v>10718025.26</v>
      </c>
      <c r="H26" s="528" t="n">
        <v>10718025.26</v>
      </c>
      <c r="I26" s="246" t="n">
        <v>1</v>
      </c>
      <c r="J26" s="529">
        <f>IF(B26="","",G26*I26)</f>
        <v/>
      </c>
      <c r="K26" s="529">
        <f>IF(B26="","",H26*I26)</f>
        <v/>
      </c>
      <c r="L26" s="529">
        <f>IF(B26="","",IF(COUNTIF($CE26:$CX26,1)&gt;0,0,J26))</f>
        <v/>
      </c>
      <c r="M26" s="529">
        <f>IF(B26="","",IF(COUNTIF($CE26:$CX26,1)&gt;0,0,K26))</f>
        <v/>
      </c>
      <c r="N26" s="248" t="inlineStr">
        <is>
          <t>No</t>
        </is>
      </c>
      <c r="O26" s="248" t="inlineStr">
        <is>
          <t>N/A</t>
        </is>
      </c>
      <c r="P26" s="249">
        <f>IF(B26="","",IF(OR(O26="N/A",O26=""),0,YEARFRAC('Borrowing Base'!$J$4,'Loan List'!O26)*12))</f>
        <v/>
      </c>
      <c r="Q26" s="248" t="inlineStr">
        <is>
          <t>No</t>
        </is>
      </c>
      <c r="R26" s="250" t="n">
        <v>0.99125</v>
      </c>
      <c r="S26" s="251">
        <f>IF(B26="","",IF(R26&lt;95%,"Yes","No"))</f>
        <v/>
      </c>
      <c r="T26" s="250" t="n">
        <v>0.9770000000914348</v>
      </c>
      <c r="U26" s="252">
        <f>IF(B26="","",IF(OR(Y26="First Lien",Y26="Split First Lien",Y26="Tier 1 Split Lien",Y26="Tier 2 Split Lien"),50%,30%))</f>
        <v/>
      </c>
      <c r="V26" s="252">
        <f>IF(B26="",0,IF(AND(Y26="First Lien",AN26="Tier 1"),IF(AND(X26="Yes",MIN(AH26,$AJ$5)&gt;4.5),(((4.5/MIN(AH26,$AJ$5))*72.5%)+(((MIN(AH26,$AJ$5)-4.5)/MIN(AH26,$AJ$5))*35%)),72.5%),IF(AND(Y26="First Lien",AN26="Tier 2"),IF(AND(X26="Yes",MIN(AH26,$AK$5)&gt;4.5),(((4.5/MIN(AH26,$AK$5))*72.5%)+(((MIN(AH26,$AK$5)-4.5)/MIN(AH26,$AK$5))*35%)),72.5%),IF(AND(X26="Yes",MIN(AH26,$AL$5)&gt;4),(((4/MIN(AH26,$AL$5))*72.5%)+(((MIN(AH26,$AL$5)-4)/MIN(AH26,$AL$5))*35%)),IF(OR(Y26="First Lien",Y26="Split First Lien"),72.5%,IF(Y26="Split Lien", 53%,35%))))))</f>
        <v/>
      </c>
      <c r="W26" s="530">
        <f>IF($C26="","",MIN($HO26:$HS26))</f>
        <v/>
      </c>
      <c r="X26" s="248" t="inlineStr">
        <is>
          <t>No</t>
        </is>
      </c>
      <c r="Y26" s="254" t="inlineStr">
        <is>
          <t>First Lien</t>
        </is>
      </c>
      <c r="Z26" s="254" t="inlineStr">
        <is>
          <t>Term</t>
        </is>
      </c>
      <c r="AA26" s="531" t="inlineStr">
        <is>
          <t>NR</t>
        </is>
      </c>
      <c r="AB26" s="531" t="inlineStr">
        <is>
          <t xml:space="preserve"> NR</t>
        </is>
      </c>
      <c r="AC26" s="532" t="n">
        <v>2.051394106461096</v>
      </c>
      <c r="AD26" s="532" t="n">
        <v>4.56</v>
      </c>
      <c r="AE26" s="532" t="n">
        <v>6.997157268510249</v>
      </c>
      <c r="AF26" s="257" t="n">
        <v>0.5339773365046238</v>
      </c>
      <c r="AG26" s="533" t="n">
        <v>2.958655985556573</v>
      </c>
      <c r="AH26" s="533" t="n">
        <v>2.958655985556573</v>
      </c>
      <c r="AI26" s="533" t="n">
        <v>5.06202036621064</v>
      </c>
      <c r="AJ26" s="533" t="n">
        <v>7.230204593065468</v>
      </c>
      <c r="AK26" s="534" t="n">
        <v>28019479.2516255</v>
      </c>
      <c r="AL26" s="534" t="n">
        <v>19388108.4823585</v>
      </c>
      <c r="AM26" s="260" t="n">
        <v>45808</v>
      </c>
      <c r="AN26" s="529">
        <f>IF(C26="","",(IF(AK26&gt;=50000000,"Tier 1",(IF(OR(AK26&gt;=20000000,AND(AK26&gt;5000000,AC26&gt;=1.25,AF26&lt;=0.65)),"Tier 2","Tier 3")))))</f>
        <v/>
      </c>
      <c r="AO26" s="244" t="n">
        <v>47392</v>
      </c>
      <c r="AP26" s="535" t="n">
        <v>4.169444444444444</v>
      </c>
      <c r="AQ26" s="535">
        <f>IF(C26="","",AP26)</f>
        <v/>
      </c>
      <c r="AR26" s="248" t="inlineStr">
        <is>
          <t>No</t>
        </is>
      </c>
      <c r="AS26" s="250" t="n">
        <v>0</v>
      </c>
      <c r="AT26" s="248" t="inlineStr">
        <is>
          <t>Yes</t>
        </is>
      </c>
      <c r="AU26" s="250" t="n">
        <v>0.01</v>
      </c>
      <c r="AV26" s="250" t="n">
        <v>0.0525</v>
      </c>
      <c r="AW26" s="250" t="n">
        <v>0.042956</v>
      </c>
      <c r="AX26" s="262">
        <f>IF(C26="","",MAX(AU26,AW26))</f>
        <v/>
      </c>
      <c r="AY26" s="250" t="n">
        <v>0</v>
      </c>
      <c r="AZ26" s="250" t="n">
        <v>0</v>
      </c>
      <c r="BA26" s="250" t="n">
        <v>0</v>
      </c>
      <c r="BB26" s="412">
        <f>IF(B26="","",IF(AR26="No",AV26-AZ26,""))</f>
        <v/>
      </c>
      <c r="BC26" s="412">
        <f>IF(B26="","",IF(AR26="Yes",AS26-BA26,""))</f>
        <v/>
      </c>
      <c r="BD26" s="254" t="inlineStr">
        <is>
          <t>Monthly</t>
        </is>
      </c>
      <c r="BE26" s="536" t="inlineStr">
        <is>
          <t>Professional Services</t>
        </is>
      </c>
      <c r="BF26" s="254" t="inlineStr">
        <is>
          <t>USD</t>
        </is>
      </c>
      <c r="BG26" s="254" t="inlineStr">
        <is>
          <t>United States</t>
        </is>
      </c>
      <c r="BH26" s="248" t="inlineStr">
        <is>
          <t>No</t>
        </is>
      </c>
      <c r="BI26" s="413">
        <f>IF(B26="","",IF(OR(AND(AZ26&gt;0,BB26&gt;=2.5%,BB26&lt;4%),AND(BA26&gt;0,BC26&gt;=6%,BC26&lt;8%)),"Yes","No"))</f>
        <v/>
      </c>
      <c r="BJ26" s="413">
        <f>IF(B26="","",IF(OR(AND(AZ26&gt;0,BB26&lt;2.5%),AND(BA26&gt;0,BC26&lt;6%)),"Yes","No"))</f>
        <v/>
      </c>
      <c r="BK26" s="248" t="inlineStr">
        <is>
          <t>No</t>
        </is>
      </c>
      <c r="BL26" s="248" t="inlineStr">
        <is>
          <t>No</t>
        </is>
      </c>
      <c r="BM26" s="248" t="inlineStr">
        <is>
          <t>No</t>
        </is>
      </c>
      <c r="BN26" s="248" t="inlineStr">
        <is>
          <t>No</t>
        </is>
      </c>
      <c r="BO26" s="248" t="inlineStr">
        <is>
          <t>No</t>
        </is>
      </c>
      <c r="BP26" s="248" t="inlineStr">
        <is>
          <t>No</t>
        </is>
      </c>
      <c r="BQ26" s="248" t="inlineStr">
        <is>
          <t>No</t>
        </is>
      </c>
      <c r="BR26" s="248" t="inlineStr">
        <is>
          <t>No</t>
        </is>
      </c>
      <c r="BS26" s="248" t="inlineStr">
        <is>
          <t>No</t>
        </is>
      </c>
      <c r="BT26" s="248" t="inlineStr">
        <is>
          <t>No</t>
        </is>
      </c>
      <c r="BU26" s="248" t="inlineStr">
        <is>
          <t>No</t>
        </is>
      </c>
      <c r="BV26" s="248" t="inlineStr">
        <is>
          <t>No</t>
        </is>
      </c>
      <c r="BW26" s="248" t="inlineStr">
        <is>
          <t>No</t>
        </is>
      </c>
      <c r="BX26" s="248" t="inlineStr">
        <is>
          <t>No</t>
        </is>
      </c>
      <c r="BY26" s="248" t="inlineStr">
        <is>
          <t>No</t>
        </is>
      </c>
      <c r="BZ26" s="248" t="inlineStr">
        <is>
          <t>No</t>
        </is>
      </c>
      <c r="CA26" s="248" t="inlineStr">
        <is>
          <t>Yes</t>
        </is>
      </c>
      <c r="CB26" s="537">
        <f>IF(B26="","",IF(AT26="No",((BB26+AW26)-$AZ$4),((BB26+AX26)-$AZ$4))*IF(DD26&gt;0,0,M26))</f>
        <v/>
      </c>
      <c r="CC26" s="537">
        <f>IF(B26="","",AY26*(L26-M26)*IF(DD26&gt;0,0,1))</f>
        <v/>
      </c>
      <c r="CD26" s="265" t="n"/>
      <c r="CE26" s="265">
        <f>IF(AND(B26&lt;&gt;"",R26&lt;=85%),1,0)</f>
        <v/>
      </c>
      <c r="CF26" s="265">
        <f>IF(B26="",0,(IF(OR(BF26="USD",BF26="CAD",BF26="GBP",BF26="AUD",BF26="EUR"),0,1)))</f>
        <v/>
      </c>
      <c r="CG26" s="265">
        <f>IF(B26="",0,(IF(OR(BG26="United States",BG26="Canada",BG26="United Kingdom",BG26="Australia",BG26="Netherlands Antilles",BG26="Bermuda",BG26="Cayman Islands",BG26="British Virgin Islands",BG26="Channel Islands",BG26="Isle of Man",BG26="Australia",BG26="Netherlands",BG26="Germany",BG26="Sweden",BG26="Switzerland",BG26="Austria",BG26="Belgium",BG26="Denmark",BG26="Finland",BG26="Iceland",BG26="Ireland",BG26="Lichtenstein",BG26="Luxemborg",BG26="Norway"),0,1)))</f>
        <v/>
      </c>
      <c r="CH26" s="265">
        <f>IF(BN26="Yes",1,0)</f>
        <v/>
      </c>
      <c r="CI26" s="265">
        <f>IF(BO26="Yes",1,0)</f>
        <v/>
      </c>
      <c r="CJ26" s="265">
        <f>IF(BP26="Yes",1,0)</f>
        <v/>
      </c>
      <c r="CK26" s="265">
        <f>IF(BQ26="Yes",1,0)</f>
        <v/>
      </c>
      <c r="CL26" s="265">
        <f>IF(BR26="Yes",1,0)</f>
        <v/>
      </c>
      <c r="CM26" s="265">
        <f>IF(BS26="Yes",1,0)</f>
        <v/>
      </c>
      <c r="CN26" s="265">
        <f>IF(OR(AND(BJ26="Yes",N26="No"),AND(BJ26="Yes",N26="Yes",P26&gt;=6)),1,0)</f>
        <v/>
      </c>
      <c r="CO26" s="265">
        <f>IF(BT26="Yes",1,0)</f>
        <v/>
      </c>
      <c r="CP26" s="265">
        <f>IF(AND(BU26="Yes",BV26="No"),1,0)</f>
        <v/>
      </c>
      <c r="CQ26" s="265">
        <f>IF(BW26="Yes",1,0)</f>
        <v/>
      </c>
      <c r="CR26" s="265">
        <f>IF(AP26="",0,IF(AP26&gt;7,1,0))</f>
        <v/>
      </c>
      <c r="CS26" s="265">
        <f>IF(OR(BD26&lt;&gt;"Monthly",BD26&lt;&gt;"Quarterly",BD26&lt;&gt;"Semi-Annually"),0,1)</f>
        <v/>
      </c>
      <c r="CT26" s="265">
        <f>IF(BX26="Yes",1,0)</f>
        <v/>
      </c>
      <c r="CU26" s="265">
        <f>IF(BY26="Yes",1,0)</f>
        <v/>
      </c>
      <c r="CV26" s="265">
        <f>IF(BZ26="Yes",1,0)</f>
        <v/>
      </c>
      <c r="CW26" s="265">
        <f>IF(CA26="No",1,0)</f>
        <v/>
      </c>
      <c r="CX26" s="265">
        <f>IF(B26="",0,IF(AK26&gt;=5000000,0,1))</f>
        <v/>
      </c>
      <c r="CY26" s="265">
        <f>IF(B26="",0,IF(AL26&gt;=5000000,0,1))</f>
        <v/>
      </c>
      <c r="CZ26" s="265">
        <f>IF(OR(DA26=1,DB26=1,DC26=1),0,IF(B26="",0,IF(OR(AND(AN26="Tier 1",X26="No",OR(AI26&gt;$AJ$3,AJ26&gt;$AJ$4)),(AND(AN26="Tier 1",X26="Yes",AJ26&gt;$AJ$5)),(AND(AN26="Tier 2",X26="No",OR(AI26&gt;$AK$3,AJ26&gt;$AK$4))),(AND(AN26="Tier 2",X26="Yes",AJ26&gt;$AK$5)),(AND(AN26="Tier 3",X26="No",OR(AI26&gt;$AL$3,AJ26&gt;$AL$4))),(AND(AN26="Tier 3",X26="Yes",AJ26&gt;$AL$5))),1,0)))</f>
        <v/>
      </c>
      <c r="DA26" s="265">
        <f>IF(OR(DB26=1,DC26=1),0,IF(B26="",0,IF(OR(AND(AN26="Tier 1",X26="No",OR(AI26&gt;$AM$3,AJ26&gt;$AM$4)),(AND(AN26="Tier 1",X26="Yes",AJ26&gt;$AM$5)),(AND(AN26="Tier 2",X26="No",OR(AI26&gt;$AN$3,AJ26&gt;$AN$4))),(AND(AN26="Tier 2",X26="Yes",AJ26&gt;$AN$5)),(AND(AN26="Tier 3",X26="No",OR(AI26&gt;$AO$3,AJ26&gt;$AO$4))),(AND(AN26="Tier 3",X26="Yes",AJ26&gt;$AO$5))),1,0)))</f>
        <v/>
      </c>
      <c r="DB26" s="265">
        <f>IF(DC26=1,0,IF(B26="",0,IF(OR(AND(AN26="Tier 1",X26="No",OR(AI26&gt;$AP$3,AJ26&gt;$AP$4)),(AND(AN26="Tier 1",X26="Yes",AJ26&gt;$AP$5)),(AND(AN26="Tier 2",X26="No",OR(AI26&gt;$AQ$3,AJ26&gt;$AQ$4))),(AND(AN26="Tier 2",X26="Yes",AJ26&gt;$AQ$5)),(AND(AN26="Tier 3",X26="No",OR(AI26&gt;$AR$3,AJ26&gt;$AR$4))),(AND(AN26="Tier 3",X26="Yes",AJ26&gt;$AR$5))),1,0)))</f>
        <v/>
      </c>
      <c r="DC26" s="265">
        <f>IF(B26="",0,IF(OR(AND(AN26="Tier 1",X26="No",OR(AI26&gt;$AS$3,AJ26&gt;$AS$4)),(AND(AN26="Tier 1",X26="Yes",AJ26&gt;$AS$5)),(AND(AN26="Tier 2",X26="No",OR(AI26&gt;$AT$3,AJ26&gt;$AT$4))),(AND(AN26="Tier 2",X26="Yes",AJ26&gt;$AT$5)),(AND(AN26="Tier 3",X26="No",OR(AI26&gt;$AU$3,AJ26&gt;$AU$4))),(AND(AN26="Tier 3",X26="Yes",AJ26&gt;$AU$5))),1,0))</f>
        <v/>
      </c>
      <c r="DD26" s="265">
        <f>IF((SUM(CE26:CX26)=0),0,W26)</f>
        <v/>
      </c>
      <c r="DE26" s="265">
        <f>IF(OR(B26="",DD26&gt;0),0,W26)</f>
        <v/>
      </c>
      <c r="DF26" s="265">
        <f>IF(B26="",0,IF(COUNTIF(CE26:CX26,1)&gt;0,0,L26-M26))</f>
        <v/>
      </c>
      <c r="DG26" s="265">
        <f>DE26+IF(DD26&gt;0,0,DF26)</f>
        <v/>
      </c>
      <c r="DH26" s="265">
        <f>IF(B26="","",M26+DF26)</f>
        <v/>
      </c>
      <c r="DI26" s="265">
        <f>IF(B26="",0,J26-K26)</f>
        <v/>
      </c>
      <c r="DJ26" s="265">
        <f>IF(OR(BF26="EUR",BF26="CAD",BF26="GBP",BF26="AUD"),(GA26*(1-V26))+(HG26)+IF(HX26="",0,HX26*(1-U26)),0)</f>
        <v/>
      </c>
      <c r="DK26" s="265">
        <f>IF(BF26="EUR",33%,IF(BF26="CAD",38%,IF(BF26="GBP",51%,IF(BF26="AUD",61%,0))))</f>
        <v/>
      </c>
      <c r="DL26" s="265">
        <f>DJ26*DK26</f>
        <v/>
      </c>
      <c r="DN26" s="538">
        <f>IF(OR(Y26="Second Lien",Y26="Tier 1 Split Lien",Y26="Tier 2 Split Lien"),DG26,0)</f>
        <v/>
      </c>
      <c r="DO26" s="539">
        <f>DN26*DN$6</f>
        <v/>
      </c>
      <c r="DP26" s="538">
        <f>DG26-DO26</f>
        <v/>
      </c>
      <c r="DQ26" s="538">
        <f>IF(Y26="Second Lien",DP26,0)</f>
        <v/>
      </c>
      <c r="DR26" s="539">
        <f>DQ26*DQ$6</f>
        <v/>
      </c>
      <c r="DS26" s="538">
        <f>DP26-DR26</f>
        <v/>
      </c>
      <c r="DT26" s="538">
        <f>IF(BH26="Yes",DS26,0)</f>
        <v/>
      </c>
      <c r="DU26" s="539">
        <f>DT26*DT$6</f>
        <v/>
      </c>
      <c r="DV26" s="538">
        <f>DS26-DU26</f>
        <v/>
      </c>
      <c r="DW26" s="538">
        <f>IF(OR(BG26="Canada",BG26="United Kingdom",BG26="Australia",BG26="Netherlands Antilles",BG26="Bermuda",BG26="Cayman Islands",BG26="British Virgin Islands",BG26="Channel Islands",BG26="Isle of Man",BG26="Australia",BG26="Netherlands",BG26="Germany",BG26="Sweden",BG26="Switzerland",BG26="Austria",BG26="Belgium",BG26="Denmark",BG26="Finland",BG26="Iceland",BG26="Ireland",BG26="Lichtenstein",BG26="Luxemborg",BG26="Norway"),DV26,0)</f>
        <v/>
      </c>
      <c r="DX26" s="539">
        <f>DW26*DW$6</f>
        <v/>
      </c>
      <c r="DY26" s="538">
        <f>DV26-DX26</f>
        <v/>
      </c>
      <c r="DZ26" s="538">
        <f>IF(BI26="Yes",DY26,0)</f>
        <v/>
      </c>
      <c r="EA26" s="539">
        <f>DZ26*DZ$6</f>
        <v/>
      </c>
      <c r="EB26" s="538">
        <f>DY26-EA26</f>
        <v/>
      </c>
      <c r="EC26" s="538">
        <f>IF(OR(Z26="Delayed Draw",Z26="Revolver"),EB26,0)</f>
        <v/>
      </c>
      <c r="ED26" s="539">
        <f>EC26*EC$6</f>
        <v/>
      </c>
      <c r="EE26" s="538">
        <f>EB26-ED26</f>
        <v/>
      </c>
      <c r="EF26" s="538">
        <f>IF(S26="Yes",EE26,0)</f>
        <v/>
      </c>
      <c r="EG26" s="539">
        <f>EF26*EF$6</f>
        <v/>
      </c>
      <c r="EH26" s="538">
        <f>EE26-EG26</f>
        <v/>
      </c>
      <c r="EI26" s="538">
        <f>IF(Q26="Yes",EH26,0)</f>
        <v/>
      </c>
      <c r="EJ26" s="539">
        <f>EI26*EI$6</f>
        <v/>
      </c>
      <c r="EK26" s="538">
        <f>EH26-EJ26</f>
        <v/>
      </c>
      <c r="EL26" s="538">
        <f>IF(BD26="Semi-Annually",EK26,0)</f>
        <v/>
      </c>
      <c r="EM26" s="539">
        <f>EL26*EL$6</f>
        <v/>
      </c>
      <c r="EN26" s="538">
        <f>EK26-EM26</f>
        <v/>
      </c>
      <c r="EO26" s="538">
        <f>IF(BK26="Yes",EN26,0)</f>
        <v/>
      </c>
      <c r="EP26" s="539">
        <f>EO26*EO$6</f>
        <v/>
      </c>
      <c r="EQ26" s="538">
        <f>EN26-EP26</f>
        <v/>
      </c>
      <c r="ER26" s="538">
        <f>IF(BL26="Yes",EQ26,0)</f>
        <v/>
      </c>
      <c r="ES26" s="539">
        <f>ER26*ER$6</f>
        <v/>
      </c>
      <c r="ET26" s="538">
        <f>EQ26-ES26</f>
        <v/>
      </c>
      <c r="EU26" s="538">
        <f>IF(BM26="Yes",ET26,0)</f>
        <v/>
      </c>
      <c r="EV26" s="539">
        <f>EU26*EU$6</f>
        <v/>
      </c>
      <c r="EW26" s="538">
        <f>ET26-EV26</f>
        <v/>
      </c>
      <c r="EX26" s="538">
        <f>IF(BV26="Yes",EW26,0)</f>
        <v/>
      </c>
      <c r="EY26" s="539">
        <f>EX26*EX$6</f>
        <v/>
      </c>
      <c r="EZ26" s="538">
        <f>EW26-EY26</f>
        <v/>
      </c>
      <c r="FA26" s="538">
        <f>IF(AR26="Yes",EZ26,0)</f>
        <v/>
      </c>
      <c r="FB26" s="539">
        <f>FA26*FA$6</f>
        <v/>
      </c>
      <c r="FC26" s="538">
        <f>EZ26-FB26</f>
        <v/>
      </c>
      <c r="FD26" s="538">
        <f>IF(OR(BF26="EUR",BF26="AUD",BF26="CAD",BF26="GBP"),FC26,0)</f>
        <v/>
      </c>
      <c r="FE26" s="539">
        <f>FD26*FD$6</f>
        <v/>
      </c>
      <c r="FF26" s="538">
        <f>FC26-FE26</f>
        <v/>
      </c>
      <c r="FG26" s="538">
        <f>FF26</f>
        <v/>
      </c>
      <c r="FH26" s="538">
        <f>IF(FF26=0,0,VLOOKUP(C26,$GU$10:$GV$406,2,FALSE)*FF26)</f>
        <v/>
      </c>
      <c r="FI26" s="538">
        <f>FF26-FH26</f>
        <v/>
      </c>
      <c r="FJ26" s="538">
        <f>FI26</f>
        <v/>
      </c>
      <c r="FK26" s="538">
        <f>IF(OR(IB26="",FI26&lt;0.01),,VLOOKUP(IB26,$GL$10:$GM$406,2,FALSE)*FI26)</f>
        <v/>
      </c>
      <c r="FL26" s="538">
        <f>FI26-FK26</f>
        <v/>
      </c>
      <c r="FM26" s="538">
        <f>FL26</f>
        <v/>
      </c>
      <c r="FN26" s="538">
        <f>IF(FL26=0,0,VLOOKUP(C26,$HD$10:$HE$406,2,FALSE)*FL26)</f>
        <v/>
      </c>
      <c r="FO26" s="538">
        <f>FL26-FN26</f>
        <v/>
      </c>
      <c r="FP26" s="538">
        <f>IF(SUM(CY26:DC26)&gt;0,0,IF(AND(AL26&gt;=5000000,AL26&lt;7500000),FO26,0))</f>
        <v/>
      </c>
      <c r="FQ26" s="539">
        <f>IF(B26="",0,FP26*FP$6*(1-$U26))</f>
        <v/>
      </c>
      <c r="FR26" s="538">
        <f>FO26-FQ26</f>
        <v/>
      </c>
      <c r="FS26" s="538">
        <f>IF(SUM(CY26:DC26)&gt;0,0,IF(AL26&lt;15000000,FR26,0))</f>
        <v/>
      </c>
      <c r="FT26" s="539">
        <f>IF(B26="",0,FS26*FS$6*(1-$U26))</f>
        <v/>
      </c>
      <c r="FU26" s="538">
        <f>FR26-FT26</f>
        <v/>
      </c>
      <c r="FV26" s="538">
        <f>IF(SUM(CY26:DC26)&gt;0,0,IF(OR(AND(X26="No",AN26="Tier 1",AI26&gt;$AG$3),AND(X26="No",AN26="Tier 2",AI26&gt;$AH$3),AND(X26="No",AN26="Tier 3",AI26&gt;$AI$3)),FU26,0))</f>
        <v/>
      </c>
      <c r="FW26" s="538">
        <f>IF(SUM(CY26:DC26)&gt;0,0,IF(OR(AND(X26="No",AN26="Tier 1",AJ26&gt;$AG$4),AND(X26="No",AN26="Tier 2",AJ26&gt;$AH$4),AND(X26="No",AN26="Tier 3",AJ26&gt;$AI$4)),FU26,0))</f>
        <v/>
      </c>
      <c r="FX26" s="538">
        <f>IF(SUM(CY26:DC26)&gt;0,0,IF(OR(AND(X26="Yes",AN26="Tier 1",AJ26&gt;$AG$5),AND(X26="Yes",AN26="Tier 2",AJ26&gt;$AH$5),AND(X26="Yes",AN26="Tier 3",AJ26&gt;$AI$5)),FU26,0))</f>
        <v/>
      </c>
      <c r="FY26" s="538">
        <f>IF(SUM(FV26:FX26)&gt;0,FU26,0)</f>
        <v/>
      </c>
      <c r="FZ26" s="539">
        <f>IF(B26="",0,FY26*FV$6*(1-MIN(90%,T26)))</f>
        <v/>
      </c>
      <c r="GA26" s="538">
        <f>FU26-FZ26</f>
        <v/>
      </c>
      <c r="GB26" s="538">
        <f>IF(AND(N26="No",DI26=0),GA26,IF(AND(N26="No",DI26&lt;&gt;0,K26=0),0,IF(AND(N26="No",DI26&lt;&gt;0,K26&gt;0,J26&lt;&gt;K26),MAX(0,M26-(DH26-GA26)),DG26)))</f>
        <v/>
      </c>
      <c r="GC26" s="540">
        <f>+GB26*V26</f>
        <v/>
      </c>
      <c r="GD26" s="138">
        <f>IFERROR(GC26/K26,"")</f>
        <v/>
      </c>
      <c r="GE26" s="541">
        <f>IF(IB26="","",IB26)</f>
        <v/>
      </c>
      <c r="GF26" s="538">
        <f t="array" ref="GF26">IF(SUM(IF(IB$9:IB25=IB26,1,0))&gt;0,0,SUMIF($IB$10:$IB$406,IB26,$FI$10:$FI$406))</f>
        <v/>
      </c>
      <c r="GG26" s="270">
        <f>GF26</f>
        <v/>
      </c>
      <c r="GH26" s="137">
        <f>GH25+1</f>
        <v/>
      </c>
      <c r="GI26" s="542">
        <f>LARGE($GG$10:$GG$406,GH26)</f>
        <v/>
      </c>
      <c r="GJ26" s="542">
        <f>IF(GH26&gt;GH$6,0,IF(GH26=$GH$2,$GJ$2,IF(GH26&lt;4,$GJ$3,$GJ$4)))</f>
        <v/>
      </c>
      <c r="GK26" s="489">
        <f>MAX(0,GI26-GJ26)</f>
        <v/>
      </c>
      <c r="GL26" s="137">
        <f t="array" ref="GL26">IF(GI26=0,0,LARGE(IF($GF$10:$GF$406=GI26,$GE$10:$GE$406,0),COUNTIF($GI$10:$GI$406,GI26)-COUNTIF(GI$9:GI25,GI26)))</f>
        <v/>
      </c>
      <c r="GM26" s="272">
        <f>IF(GI26=0,0,GK26/GI26)</f>
        <v/>
      </c>
      <c r="GO26" s="137">
        <f>IF(C26="","",IF(ISERROR(MATCH(C26,C$10:C25,0)),MAX(GO$10:GO25)+1,INDEX(GO$10:GO25,MATCH(C26,C$10:C25,0))))</f>
        <v/>
      </c>
      <c r="GP26" s="538">
        <f>IF(COUNTIF($A$10:A26,A26)&lt;=1,SUMIF($A$10:$A$406,A26,$FG$10:$FG$406),0)</f>
        <v/>
      </c>
      <c r="GQ26" s="137">
        <f>GQ25+1</f>
        <v/>
      </c>
      <c r="GR26" s="542">
        <f>LARGE($GP$10:$GP$406,GQ26)</f>
        <v/>
      </c>
      <c r="GS26" s="542">
        <f>IF(GQ26&gt;GQ$6,0,IF(GQ26&lt;=GQ$2,GS$2,IF(AND(GQ26&lt;=$GQ$3,GQ26&gt;$GQ$2),GS$3,GS$4)))</f>
        <v/>
      </c>
      <c r="GT26" s="489">
        <f>MAX(0,GR26-GS26)</f>
        <v/>
      </c>
      <c r="GU26" s="137">
        <f t="array" ref="GU26">IF(GR26=0,0,LARGE(IF($GP$10:$GP$406=GR26,$GO$10:$GO$406,0),COUNTIF($GR$10:$GR$406,GR26)-COUNTIF(GR$9:GR25,GR26)))</f>
        <v/>
      </c>
      <c r="GV26" s="272">
        <f>IF(GR26=0,0,GT26/GR26)</f>
        <v/>
      </c>
      <c r="GW26" s="272" t="n"/>
      <c r="GX26" s="137">
        <f>IF(C26="","",IF(ISERROR(MATCH(C26,C$10:C25,0)),MAX(GO$10:GO25)+1,INDEX(GO$10:GO25,MATCH(C26,C$10:C25,0))))</f>
        <v/>
      </c>
      <c r="GY26" s="538">
        <f>IF(COUNTIF($A$10:A26,A26)&lt;=1,SUMIF($A$10:$A$406,A26,$FG$10:$FG$406),0)</f>
        <v/>
      </c>
      <c r="GZ26" s="137">
        <f>GZ25+1</f>
        <v/>
      </c>
      <c r="HA26" s="542">
        <f>LARGE($GY$10:$GY$406,GZ26)</f>
        <v/>
      </c>
      <c r="HB26" s="543" t="inlineStr">
        <is>
          <t>-</t>
        </is>
      </c>
      <c r="HC26" s="489">
        <f>IF(GZ26&lt;6,MAX(0,$HC$2/5),0)</f>
        <v/>
      </c>
      <c r="HD26" s="137">
        <f t="array" ref="HD26">IF(HA26=0,0,LARGE(IF($GY$10:$GY$406=HA26,$GX$10:$GX$406,0),COUNTIF($HA$10:$HA$406,HA26)-COUNTIF(HA$9:HA25,HA26)))</f>
        <v/>
      </c>
      <c r="HE26" s="272">
        <f>IF(HA26=0,0,HC26/HA26)</f>
        <v/>
      </c>
      <c r="HG26" s="270">
        <f>DG26-GA26</f>
        <v/>
      </c>
      <c r="HH26" s="544" t="n">
        <v>0</v>
      </c>
      <c r="HI26" s="538">
        <f>MIN(HH26,DE26)</f>
        <v/>
      </c>
      <c r="HK26" s="137">
        <f>IF(COUNTIF($C$10:$C$406,HK25+1),HK25+1,"")</f>
        <v/>
      </c>
      <c r="HL26" s="538">
        <f>SUMIF($C$10:$C$406,HK26,$DG$10:$DG$406)</f>
        <v/>
      </c>
      <c r="HN26" s="521">
        <f>MIN(HO26:HS26)</f>
        <v/>
      </c>
      <c r="HO26" s="521">
        <f>IF(B26="","",$M26)</f>
        <v/>
      </c>
      <c r="HP26" s="521">
        <f>IF($N26="Yes",IF(P26&gt;=6,0,MIN($T26*$M26,$U26*$M26)),"")</f>
        <v/>
      </c>
      <c r="HQ26" s="521">
        <f>IF(AND(N26="Yes",P26&gt;=6),"",IF($S26="Yes",$R26*$M26,""))</f>
        <v/>
      </c>
      <c r="HR26" s="521">
        <f>IF($Q26="Yes",MIN($M26,$T26*$M26),"")</f>
        <v/>
      </c>
      <c r="HS26" s="521">
        <f>IF(AND($N26="Yes",$P26&gt;=6),"",IF(OR(CY26=1,DC26=1,),MIN($T26*$M26,$U26*$M26),IF(OR(CZ26=1,DA26=1,DB26=1),IF(AK26&gt;=5000000,MIN($T26*$M26,$IE26*$M26),MIN($T26*$M26,$U26*$M26)),"")))</f>
        <v/>
      </c>
      <c r="HT26" s="521">
        <f>IF(DD26&gt;0,DD26,"")</f>
        <v/>
      </c>
      <c r="HU26" s="522">
        <f>IF(B26="",0,$L26-$M26)</f>
        <v/>
      </c>
      <c r="HV26" s="274">
        <f>IF(OR(SUM(HP26:HT26)&gt;0,P26&gt;=6),"",IF($B26="","",1))</f>
        <v/>
      </c>
      <c r="HW26" s="522">
        <f>IF(AND($HT26&lt;&gt;0,OR(HT26&lt;=MIN(HP26:HS26),SUM(HP26:HS26)=0)),$HT26,0)</f>
        <v/>
      </c>
      <c r="HX26" s="522">
        <f>IF(AND($HS26&lt;&gt;0,OR(AND($HS26&lt;&gt;$HT26,$HS26&lt;&gt;$HR26,$HS26&lt;&gt;$HQ26,$HS26&lt;&gt;$HP26,$HS26&lt;MIN($HP26:$HR26),$HS26&lt;HT26),SUM($HP26:$HR26)+SUM(HT26)=0),IA26&lt;=0),$HS26,0)</f>
        <v/>
      </c>
      <c r="HY26" s="522">
        <f>IF(AND($HR26&lt;&gt;0,OR(AND($HR26&lt;&gt;$HT26,$HR26&lt;&gt;$HS26,$HR26&lt;&gt;$HQ26,$HR26&lt;&gt;$HP26),$HR26&lt;MIN($HP26:$HQ26),$HR26&lt;MIN($HS26:$HT26),SUM($HP26:$HQ26)+SUM($HS26:$HT26)=0)),$HR26,0)</f>
        <v/>
      </c>
      <c r="HZ26" s="522">
        <f>IF(AND($HQ26&lt;&gt;0,OR(AND($HQ26&lt;&gt;$HT26,HQ26&lt;&gt;HS26,HQ26&lt;&gt;HR26,HQ26&lt;&gt;HP26,HQ26&lt;MIN(HR26:HT26)),SUM(HP26)+SUM(HR26:HT26)=0)),$HQ26,0)</f>
        <v/>
      </c>
      <c r="IA26" s="522">
        <f>IF(AND($HP26&lt;&gt;0,OR(HP26&lt;=MIN(HQ26:HT26),SUM(HQ26:HT26)=0)),$HP26,0)</f>
        <v/>
      </c>
      <c r="IB26" s="545" t="n">
        <v>55</v>
      </c>
      <c r="IC26">
        <f>HU26=DF26</f>
        <v/>
      </c>
      <c r="IE26" s="351">
        <f>IF(B26="","",IF(AND(Y26="Second Lien",OR(CZ26=1,DA26=1,DB26=1)),50%,IF(CZ26=1,90%,IF(DA26=1,80%,IF(DB26=1,65%,"No Initial Haircut")))))</f>
        <v/>
      </c>
    </row>
    <row r="27">
      <c r="A27">
        <f>D27</f>
        <v/>
      </c>
      <c r="B27" s="242">
        <f>IF(D27="","",B26+1)</f>
        <v/>
      </c>
      <c r="C27" s="242">
        <f>IF(COUNTIF($A$10:A26,A27)&gt;0,C26,C26+1)</f>
        <v/>
      </c>
      <c r="D27" s="243" t="inlineStr">
        <is>
          <t>Amberfield Holdings, LLC</t>
        </is>
      </c>
      <c r="E27" s="243" t="inlineStr">
        <is>
          <t>Amberfield (Term Loan)</t>
        </is>
      </c>
      <c r="F27" s="244" t="n"/>
      <c r="G27" s="528" t="n">
        <v>12080369.7</v>
      </c>
      <c r="H27" s="528" t="n">
        <v>12080369.7</v>
      </c>
      <c r="I27" s="246" t="n">
        <v>1</v>
      </c>
      <c r="J27" s="529">
        <f>IF(B27="","",G27*I27)</f>
        <v/>
      </c>
      <c r="K27" s="529">
        <f>IF(B27="","",H27*I27)</f>
        <v/>
      </c>
      <c r="L27" s="529">
        <f>IF(B27="","",IF(COUNTIF($CE27:$CX27,1)&gt;0,0,J27))</f>
        <v/>
      </c>
      <c r="M27" s="529">
        <f>IF(B27="","",IF(COUNTIF($CE27:$CX27,1)&gt;0,0,K27))</f>
        <v/>
      </c>
      <c r="N27" s="248" t="inlineStr">
        <is>
          <t>No</t>
        </is>
      </c>
      <c r="O27" s="248" t="inlineStr">
        <is>
          <t>N/A</t>
        </is>
      </c>
      <c r="P27" s="249">
        <f>IF(B27="","",IF(OR(O27="N/A",O27=""),0,YEARFRAC('Borrowing Base'!$J$4,'Loan List'!O27)*12))</f>
        <v/>
      </c>
      <c r="Q27" s="248" t="inlineStr">
        <is>
          <t>No</t>
        </is>
      </c>
      <c r="R27" s="250" t="n">
        <v>0.9849999999999999</v>
      </c>
      <c r="S27" s="251">
        <f>IF(B27="","",IF(R27&lt;95%,"Yes","No"))</f>
        <v/>
      </c>
      <c r="T27" s="250" t="n">
        <v>0.9899999997516633</v>
      </c>
      <c r="U27" s="252">
        <f>IF(B27="","",IF(OR(Y27="First Lien",Y27="Split First Lien",Y27="Tier 1 Split Lien",Y27="Tier 2 Split Lien"),50%,30%))</f>
        <v/>
      </c>
      <c r="V27" s="252">
        <f>IF(B27="",0,IF(AND(Y27="First Lien",AN27="Tier 1"),IF(AND(X27="Yes",MIN(AH27,$AJ$5)&gt;4.5),(((4.5/MIN(AH27,$AJ$5))*72.5%)+(((MIN(AH27,$AJ$5)-4.5)/MIN(AH27,$AJ$5))*35%)),72.5%),IF(AND(Y27="First Lien",AN27="Tier 2"),IF(AND(X27="Yes",MIN(AH27,$AK$5)&gt;4.5),(((4.5/MIN(AH27,$AK$5))*72.5%)+(((MIN(AH27,$AK$5)-4.5)/MIN(AH27,$AK$5))*35%)),72.5%),IF(AND(X27="Yes",MIN(AH27,$AL$5)&gt;4),(((4/MIN(AH27,$AL$5))*72.5%)+(((MIN(AH27,$AL$5)-4)/MIN(AH27,$AL$5))*35%)),IF(OR(Y27="First Lien",Y27="Split First Lien"),72.5%,IF(Y27="Split Lien", 53%,35%))))))</f>
        <v/>
      </c>
      <c r="W27" s="530">
        <f>IF($C27="","",MIN($HO27:$HS27))</f>
        <v/>
      </c>
      <c r="X27" s="248" t="inlineStr">
        <is>
          <t>No</t>
        </is>
      </c>
      <c r="Y27" s="254" t="inlineStr">
        <is>
          <t>First Lien</t>
        </is>
      </c>
      <c r="Z27" s="254" t="inlineStr">
        <is>
          <t>Term</t>
        </is>
      </c>
      <c r="AA27" s="531" t="inlineStr">
        <is>
          <t>NR</t>
        </is>
      </c>
      <c r="AB27" s="531" t="inlineStr">
        <is>
          <t xml:space="preserve"> NR</t>
        </is>
      </c>
      <c r="AC27" s="532" t="n">
        <v>1.555081742048062</v>
      </c>
      <c r="AD27" s="532" t="n">
        <v>4.104966395574362</v>
      </c>
      <c r="AE27" s="532" t="n">
        <v>4.846208298594458</v>
      </c>
      <c r="AF27" s="257" t="n">
        <v>0.3117691134081746</v>
      </c>
      <c r="AG27" s="533" t="n">
        <v>4.104966395574362</v>
      </c>
      <c r="AH27" s="533" t="n">
        <v>4.104966395574362</v>
      </c>
      <c r="AI27" s="533" t="n">
        <v>4.846208298594458</v>
      </c>
      <c r="AJ27" s="533" t="n">
        <v>4.846208298594458</v>
      </c>
      <c r="AK27" s="534" t="n">
        <v>20199678.1482539</v>
      </c>
      <c r="AL27" s="534" t="n">
        <v>18516537.9758905</v>
      </c>
      <c r="AM27" s="260" t="n">
        <v>45808</v>
      </c>
      <c r="AN27" s="529">
        <f>IF(C27="","",(IF(AK27&gt;=50000000,"Tier 1",(IF(OR(AK27&gt;=20000000,AND(AK27&gt;5000000,AC27&gt;=1.25,AF27&lt;=0.65)),"Tier 2","Tier 3")))))</f>
        <v/>
      </c>
      <c r="AO27" s="244" t="n">
        <v>47521</v>
      </c>
      <c r="AP27" s="535" t="n">
        <v>4.519444444444445</v>
      </c>
      <c r="AQ27" s="535">
        <f>IF(C27="","",AP27)</f>
        <v/>
      </c>
      <c r="AR27" s="248" t="inlineStr">
        <is>
          <t>No</t>
        </is>
      </c>
      <c r="AS27" s="250" t="n">
        <v>0</v>
      </c>
      <c r="AT27" s="248" t="inlineStr">
        <is>
          <t>Yes</t>
        </is>
      </c>
      <c r="AU27" s="250" t="n">
        <v>0.01</v>
      </c>
      <c r="AV27" s="250" t="n">
        <v>0.055</v>
      </c>
      <c r="AW27" s="250" t="n">
        <v>0.043562</v>
      </c>
      <c r="AX27" s="262">
        <f>IF(C27="","",MAX(AU27,AW27))</f>
        <v/>
      </c>
      <c r="AY27" s="250" t="n">
        <v>0</v>
      </c>
      <c r="AZ27" s="250" t="n">
        <v>0</v>
      </c>
      <c r="BA27" s="250" t="n">
        <v>0</v>
      </c>
      <c r="BB27" s="412">
        <f>IF(B27="","",IF(AR27="No",AV27-AZ27,""))</f>
        <v/>
      </c>
      <c r="BC27" s="412">
        <f>IF(B27="","",IF(AR27="Yes",AS27-BA27,""))</f>
        <v/>
      </c>
      <c r="BD27" s="254" t="inlineStr">
        <is>
          <t>Monthly</t>
        </is>
      </c>
      <c r="BE27" s="536" t="inlineStr">
        <is>
          <t>Media</t>
        </is>
      </c>
      <c r="BF27" s="254" t="inlineStr">
        <is>
          <t>USD</t>
        </is>
      </c>
      <c r="BG27" s="254" t="inlineStr">
        <is>
          <t>United States</t>
        </is>
      </c>
      <c r="BH27" s="248" t="inlineStr">
        <is>
          <t>No</t>
        </is>
      </c>
      <c r="BI27" s="413">
        <f>IF(B27="","",IF(OR(AND(AZ27&gt;0,BB27&gt;=2.5%,BB27&lt;4%),AND(BA27&gt;0,BC27&gt;=6%,BC27&lt;8%)),"Yes","No"))</f>
        <v/>
      </c>
      <c r="BJ27" s="413">
        <f>IF(B27="","",IF(OR(AND(AZ27&gt;0,BB27&lt;2.5%),AND(BA27&gt;0,BC27&lt;6%)),"Yes","No"))</f>
        <v/>
      </c>
      <c r="BK27" s="248" t="inlineStr">
        <is>
          <t>No</t>
        </is>
      </c>
      <c r="BL27" s="248" t="inlineStr">
        <is>
          <t>No</t>
        </is>
      </c>
      <c r="BM27" s="248" t="inlineStr">
        <is>
          <t>No</t>
        </is>
      </c>
      <c r="BN27" s="248" t="inlineStr">
        <is>
          <t>No</t>
        </is>
      </c>
      <c r="BO27" s="248" t="inlineStr">
        <is>
          <t>No</t>
        </is>
      </c>
      <c r="BP27" s="248" t="inlineStr">
        <is>
          <t>No</t>
        </is>
      </c>
      <c r="BQ27" s="248" t="inlineStr">
        <is>
          <t>No</t>
        </is>
      </c>
      <c r="BR27" s="248" t="inlineStr">
        <is>
          <t>No</t>
        </is>
      </c>
      <c r="BS27" s="248" t="inlineStr">
        <is>
          <t>No</t>
        </is>
      </c>
      <c r="BT27" s="248" t="inlineStr">
        <is>
          <t>No</t>
        </is>
      </c>
      <c r="BU27" s="248" t="inlineStr">
        <is>
          <t>No</t>
        </is>
      </c>
      <c r="BV27" s="248" t="inlineStr">
        <is>
          <t>No</t>
        </is>
      </c>
      <c r="BW27" s="248" t="inlineStr">
        <is>
          <t>No</t>
        </is>
      </c>
      <c r="BX27" s="248" t="inlineStr">
        <is>
          <t>No</t>
        </is>
      </c>
      <c r="BY27" s="248" t="inlineStr">
        <is>
          <t>No</t>
        </is>
      </c>
      <c r="BZ27" s="248" t="inlineStr">
        <is>
          <t>No</t>
        </is>
      </c>
      <c r="CA27" s="248" t="inlineStr">
        <is>
          <t>Yes</t>
        </is>
      </c>
      <c r="CB27" s="537">
        <f>IF(B27="","",IF(AT27="No",((BB27+AW27)-$AZ$4),((BB27+AX27)-$AZ$4))*IF(DD27&gt;0,0,M27))</f>
        <v/>
      </c>
      <c r="CC27" s="537">
        <f>IF(B27="","",AY27*(L27-M27)*IF(DD27&gt;0,0,1))</f>
        <v/>
      </c>
      <c r="CD27" s="265" t="n"/>
      <c r="CE27" s="265">
        <f>IF(AND(B27&lt;&gt;"",R27&lt;=85%),1,0)</f>
        <v/>
      </c>
      <c r="CF27" s="265">
        <f>IF(B27="",0,(IF(OR(BF27="USD",BF27="CAD",BF27="GBP",BF27="AUD",BF27="EUR"),0,1)))</f>
        <v/>
      </c>
      <c r="CG27" s="265">
        <f>IF(B27="",0,(IF(OR(BG27="United States",BG27="Canada",BG27="United Kingdom",BG27="Australia",BG27="Netherlands Antilles",BG27="Bermuda",BG27="Cayman Islands",BG27="British Virgin Islands",BG27="Channel Islands",BG27="Isle of Man",BG27="Australia",BG27="Netherlands",BG27="Germany",BG27="Sweden",BG27="Switzerland",BG27="Austria",BG27="Belgium",BG27="Denmark",BG27="Finland",BG27="Iceland",BG27="Ireland",BG27="Lichtenstein",BG27="Luxemborg",BG27="Norway"),0,1)))</f>
        <v/>
      </c>
      <c r="CH27" s="265">
        <f>IF(BN27="Yes",1,0)</f>
        <v/>
      </c>
      <c r="CI27" s="265">
        <f>IF(BO27="Yes",1,0)</f>
        <v/>
      </c>
      <c r="CJ27" s="265">
        <f>IF(BP27="Yes",1,0)</f>
        <v/>
      </c>
      <c r="CK27" s="265">
        <f>IF(BQ27="Yes",1,0)</f>
        <v/>
      </c>
      <c r="CL27" s="265">
        <f>IF(BR27="Yes",1,0)</f>
        <v/>
      </c>
      <c r="CM27" s="265">
        <f>IF(BS27="Yes",1,0)</f>
        <v/>
      </c>
      <c r="CN27" s="265">
        <f>IF(OR(AND(BJ27="Yes",N27="No"),AND(BJ27="Yes",N27="Yes",P27&gt;=6)),1,0)</f>
        <v/>
      </c>
      <c r="CO27" s="265">
        <f>IF(BT27="Yes",1,0)</f>
        <v/>
      </c>
      <c r="CP27" s="265">
        <f>IF(AND(BU27="Yes",BV27="No"),1,0)</f>
        <v/>
      </c>
      <c r="CQ27" s="265">
        <f>IF(BW27="Yes",1,0)</f>
        <v/>
      </c>
      <c r="CR27" s="265">
        <f>IF(AP27="",0,IF(AP27&gt;7,1,0))</f>
        <v/>
      </c>
      <c r="CS27" s="265">
        <f>IF(OR(BD27&lt;&gt;"Monthly",BD27&lt;&gt;"Quarterly",BD27&lt;&gt;"Semi-Annually"),0,1)</f>
        <v/>
      </c>
      <c r="CT27" s="265">
        <f>IF(BX27="Yes",1,0)</f>
        <v/>
      </c>
      <c r="CU27" s="265">
        <f>IF(BY27="Yes",1,0)</f>
        <v/>
      </c>
      <c r="CV27" s="265">
        <f>IF(BZ27="Yes",1,0)</f>
        <v/>
      </c>
      <c r="CW27" s="265">
        <f>IF(CA27="No",1,0)</f>
        <v/>
      </c>
      <c r="CX27" s="265">
        <f>IF(B27="",0,IF(AK27&gt;=5000000,0,1))</f>
        <v/>
      </c>
      <c r="CY27" s="265">
        <f>IF(B27="",0,IF(AL27&gt;=5000000,0,1))</f>
        <v/>
      </c>
      <c r="CZ27" s="265">
        <f>IF(OR(DA27=1,DB27=1,DC27=1),0,IF(B27="",0,IF(OR(AND(AN27="Tier 1",X27="No",OR(AI27&gt;$AJ$3,AJ27&gt;$AJ$4)),(AND(AN27="Tier 1",X27="Yes",AJ27&gt;$AJ$5)),(AND(AN27="Tier 2",X27="No",OR(AI27&gt;$AK$3,AJ27&gt;$AK$4))),(AND(AN27="Tier 2",X27="Yes",AJ27&gt;$AK$5)),(AND(AN27="Tier 3",X27="No",OR(AI27&gt;$AL$3,AJ27&gt;$AL$4))),(AND(AN27="Tier 3",X27="Yes",AJ27&gt;$AL$5))),1,0)))</f>
        <v/>
      </c>
      <c r="DA27" s="265">
        <f>IF(OR(DB27=1,DC27=1),0,IF(B27="",0,IF(OR(AND(AN27="Tier 1",X27="No",OR(AI27&gt;$AM$3,AJ27&gt;$AM$4)),(AND(AN27="Tier 1",X27="Yes",AJ27&gt;$AM$5)),(AND(AN27="Tier 2",X27="No",OR(AI27&gt;$AN$3,AJ27&gt;$AN$4))),(AND(AN27="Tier 2",X27="Yes",AJ27&gt;$AN$5)),(AND(AN27="Tier 3",X27="No",OR(AI27&gt;$AO$3,AJ27&gt;$AO$4))),(AND(AN27="Tier 3",X27="Yes",AJ27&gt;$AO$5))),1,0)))</f>
        <v/>
      </c>
      <c r="DB27" s="265">
        <f>IF(DC27=1,0,IF(B27="",0,IF(OR(AND(AN27="Tier 1",X27="No",OR(AI27&gt;$AP$3,AJ27&gt;$AP$4)),(AND(AN27="Tier 1",X27="Yes",AJ27&gt;$AP$5)),(AND(AN27="Tier 2",X27="No",OR(AI27&gt;$AQ$3,AJ27&gt;$AQ$4))),(AND(AN27="Tier 2",X27="Yes",AJ27&gt;$AQ$5)),(AND(AN27="Tier 3",X27="No",OR(AI27&gt;$AR$3,AJ27&gt;$AR$4))),(AND(AN27="Tier 3",X27="Yes",AJ27&gt;$AR$5))),1,0)))</f>
        <v/>
      </c>
      <c r="DC27" s="265">
        <f>IF(B27="",0,IF(OR(AND(AN27="Tier 1",X27="No",OR(AI27&gt;$AS$3,AJ27&gt;$AS$4)),(AND(AN27="Tier 1",X27="Yes",AJ27&gt;$AS$5)),(AND(AN27="Tier 2",X27="No",OR(AI27&gt;$AT$3,AJ27&gt;$AT$4))),(AND(AN27="Tier 2",X27="Yes",AJ27&gt;$AT$5)),(AND(AN27="Tier 3",X27="No",OR(AI27&gt;$AU$3,AJ27&gt;$AU$4))),(AND(AN27="Tier 3",X27="Yes",AJ27&gt;$AU$5))),1,0))</f>
        <v/>
      </c>
      <c r="DD27" s="265">
        <f>IF((SUM(CE27:CX27)=0),0,W27)</f>
        <v/>
      </c>
      <c r="DE27" s="265">
        <f>IF(OR(B27="",DD27&gt;0),0,W27)</f>
        <v/>
      </c>
      <c r="DF27" s="265">
        <f>IF(B27="",0,IF(COUNTIF(CE27:CX27,1)&gt;0,0,L27-M27))</f>
        <v/>
      </c>
      <c r="DG27" s="265">
        <f>DE27+IF(DD27&gt;0,0,DF27)</f>
        <v/>
      </c>
      <c r="DH27" s="265">
        <f>IF(B27="","",M27+DF27)</f>
        <v/>
      </c>
      <c r="DI27" s="265">
        <f>IF(B27="",0,J27-K27)</f>
        <v/>
      </c>
      <c r="DJ27" s="265">
        <f>IF(OR(BF27="EUR",BF27="CAD",BF27="GBP",BF27="AUD"),(GA27*(1-V27))+(HG27)+IF(HX27="",0,HX27*(1-U27)),0)</f>
        <v/>
      </c>
      <c r="DK27" s="265">
        <f>IF(BF27="EUR",33%,IF(BF27="CAD",38%,IF(BF27="GBP",51%,IF(BF27="AUD",61%,0))))</f>
        <v/>
      </c>
      <c r="DL27" s="265">
        <f>DJ27*DK27</f>
        <v/>
      </c>
      <c r="DN27" s="538">
        <f>IF(OR(Y27="Second Lien",Y27="Tier 1 Split Lien",Y27="Tier 2 Split Lien"),DG27,0)</f>
        <v/>
      </c>
      <c r="DO27" s="539">
        <f>DN27*DN$6</f>
        <v/>
      </c>
      <c r="DP27" s="538">
        <f>DG27-DO27</f>
        <v/>
      </c>
      <c r="DQ27" s="538">
        <f>IF(Y27="Second Lien",DP27,0)</f>
        <v/>
      </c>
      <c r="DR27" s="539">
        <f>DQ27*DQ$6</f>
        <v/>
      </c>
      <c r="DS27" s="538">
        <f>DP27-DR27</f>
        <v/>
      </c>
      <c r="DT27" s="538">
        <f>IF(BH27="Yes",DS27,0)</f>
        <v/>
      </c>
      <c r="DU27" s="539">
        <f>DT27*DT$6</f>
        <v/>
      </c>
      <c r="DV27" s="538">
        <f>DS27-DU27</f>
        <v/>
      </c>
      <c r="DW27" s="538">
        <f>IF(OR(BG27="Canada",BG27="United Kingdom",BG27="Australia",BG27="Netherlands Antilles",BG27="Bermuda",BG27="Cayman Islands",BG27="British Virgin Islands",BG27="Channel Islands",BG27="Isle of Man",BG27="Australia",BG27="Netherlands",BG27="Germany",BG27="Sweden",BG27="Switzerland",BG27="Austria",BG27="Belgium",BG27="Denmark",BG27="Finland",BG27="Iceland",BG27="Ireland",BG27="Lichtenstein",BG27="Luxemborg",BG27="Norway"),DV27,0)</f>
        <v/>
      </c>
      <c r="DX27" s="539">
        <f>DW27*DW$6</f>
        <v/>
      </c>
      <c r="DY27" s="538">
        <f>DV27-DX27</f>
        <v/>
      </c>
      <c r="DZ27" s="538">
        <f>IF(BI27="Yes",DY27,0)</f>
        <v/>
      </c>
      <c r="EA27" s="539">
        <f>DZ27*DZ$6</f>
        <v/>
      </c>
      <c r="EB27" s="538">
        <f>DY27-EA27</f>
        <v/>
      </c>
      <c r="EC27" s="538">
        <f>IF(OR(Z27="Delayed Draw",Z27="Revolver"),EB27,0)</f>
        <v/>
      </c>
      <c r="ED27" s="539">
        <f>EC27*EC$6</f>
        <v/>
      </c>
      <c r="EE27" s="538">
        <f>EB27-ED27</f>
        <v/>
      </c>
      <c r="EF27" s="538">
        <f>IF(S27="Yes",EE27,0)</f>
        <v/>
      </c>
      <c r="EG27" s="539">
        <f>EF27*EF$6</f>
        <v/>
      </c>
      <c r="EH27" s="538">
        <f>EE27-EG27</f>
        <v/>
      </c>
      <c r="EI27" s="538">
        <f>IF(Q27="Yes",EH27,0)</f>
        <v/>
      </c>
      <c r="EJ27" s="539">
        <f>EI27*EI$6</f>
        <v/>
      </c>
      <c r="EK27" s="538">
        <f>EH27-EJ27</f>
        <v/>
      </c>
      <c r="EL27" s="538">
        <f>IF(BD27="Semi-Annually",EK27,0)</f>
        <v/>
      </c>
      <c r="EM27" s="539">
        <f>EL27*EL$6</f>
        <v/>
      </c>
      <c r="EN27" s="538">
        <f>EK27-EM27</f>
        <v/>
      </c>
      <c r="EO27" s="538">
        <f>IF(BK27="Yes",EN27,0)</f>
        <v/>
      </c>
      <c r="EP27" s="539">
        <f>EO27*EO$6</f>
        <v/>
      </c>
      <c r="EQ27" s="538">
        <f>EN27-EP27</f>
        <v/>
      </c>
      <c r="ER27" s="538">
        <f>IF(BL27="Yes",EQ27,0)</f>
        <v/>
      </c>
      <c r="ES27" s="539">
        <f>ER27*ER$6</f>
        <v/>
      </c>
      <c r="ET27" s="538">
        <f>EQ27-ES27</f>
        <v/>
      </c>
      <c r="EU27" s="538">
        <f>IF(BM27="Yes",ET27,0)</f>
        <v/>
      </c>
      <c r="EV27" s="539">
        <f>EU27*EU$6</f>
        <v/>
      </c>
      <c r="EW27" s="538">
        <f>ET27-EV27</f>
        <v/>
      </c>
      <c r="EX27" s="538">
        <f>IF(BV27="Yes",EW27,0)</f>
        <v/>
      </c>
      <c r="EY27" s="539">
        <f>EX27*EX$6</f>
        <v/>
      </c>
      <c r="EZ27" s="538">
        <f>EW27-EY27</f>
        <v/>
      </c>
      <c r="FA27" s="538">
        <f>IF(AR27="Yes",EZ27,0)</f>
        <v/>
      </c>
      <c r="FB27" s="539">
        <f>FA27*FA$6</f>
        <v/>
      </c>
      <c r="FC27" s="538">
        <f>EZ27-FB27</f>
        <v/>
      </c>
      <c r="FD27" s="538">
        <f>IF(OR(BF27="EUR",BF27="AUD",BF27="CAD",BF27="GBP"),FC27,0)</f>
        <v/>
      </c>
      <c r="FE27" s="539">
        <f>FD27*FD$6</f>
        <v/>
      </c>
      <c r="FF27" s="538">
        <f>FC27-FE27</f>
        <v/>
      </c>
      <c r="FG27" s="538">
        <f>FF27</f>
        <v/>
      </c>
      <c r="FH27" s="538">
        <f>IF(FF27=0,0,VLOOKUP(C27,$GU$10:$GV$406,2,FALSE)*FF27)</f>
        <v/>
      </c>
      <c r="FI27" s="538">
        <f>FF27-FH27</f>
        <v/>
      </c>
      <c r="FJ27" s="538">
        <f>FI27</f>
        <v/>
      </c>
      <c r="FK27" s="538">
        <f>IF(OR(IB27="",FI27&lt;0.01),,VLOOKUP(IB27,$GL$10:$GM$406,2,FALSE)*FI27)</f>
        <v/>
      </c>
      <c r="FL27" s="538">
        <f>FI27-FK27</f>
        <v/>
      </c>
      <c r="FM27" s="538">
        <f>FL27</f>
        <v/>
      </c>
      <c r="FN27" s="538">
        <f>IF(FL27=0,0,VLOOKUP(C27,$HD$10:$HE$406,2,FALSE)*FL27)</f>
        <v/>
      </c>
      <c r="FO27" s="538">
        <f>FL27-FN27</f>
        <v/>
      </c>
      <c r="FP27" s="538">
        <f>IF(SUM(CY27:DC27)&gt;0,0,IF(AND(AL27&gt;=5000000,AL27&lt;7500000),FO27,0))</f>
        <v/>
      </c>
      <c r="FQ27" s="539">
        <f>IF(B27="",0,FP27*FP$6*(1-$U27))</f>
        <v/>
      </c>
      <c r="FR27" s="538">
        <f>FO27-FQ27</f>
        <v/>
      </c>
      <c r="FS27" s="538">
        <f>IF(SUM(CY27:DC27)&gt;0,0,IF(AL27&lt;15000000,FR27,0))</f>
        <v/>
      </c>
      <c r="FT27" s="539">
        <f>IF(B27="",0,FS27*FS$6*(1-$U27))</f>
        <v/>
      </c>
      <c r="FU27" s="538">
        <f>FR27-FT27</f>
        <v/>
      </c>
      <c r="FV27" s="538">
        <f>IF(SUM(CY27:DC27)&gt;0,0,IF(OR(AND(X27="No",AN27="Tier 1",AI27&gt;$AG$3),AND(X27="No",AN27="Tier 2",AI27&gt;$AH$3),AND(X27="No",AN27="Tier 3",AI27&gt;$AI$3)),FU27,0))</f>
        <v/>
      </c>
      <c r="FW27" s="538">
        <f>IF(SUM(CY27:DC27)&gt;0,0,IF(OR(AND(X27="No",AN27="Tier 1",AJ27&gt;$AG$4),AND(X27="No",AN27="Tier 2",AJ27&gt;$AH$4),AND(X27="No",AN27="Tier 3",AJ27&gt;$AI$4)),FU27,0))</f>
        <v/>
      </c>
      <c r="FX27" s="538">
        <f>IF(SUM(CY27:DC27)&gt;0,0,IF(OR(AND(X27="Yes",AN27="Tier 1",AJ27&gt;$AG$5),AND(X27="Yes",AN27="Tier 2",AJ27&gt;$AH$5),AND(X27="Yes",AN27="Tier 3",AJ27&gt;$AI$5)),FU27,0))</f>
        <v/>
      </c>
      <c r="FY27" s="538">
        <f>IF(SUM(FV27:FX27)&gt;0,FU27,0)</f>
        <v/>
      </c>
      <c r="FZ27" s="539">
        <f>IF(B27="",0,FY27*FV$6*(1-MIN(90%,T27)))</f>
        <v/>
      </c>
      <c r="GA27" s="538">
        <f>FU27-FZ27</f>
        <v/>
      </c>
      <c r="GB27" s="538">
        <f>IF(AND(N27="No",DI27=0),GA27,IF(AND(N27="No",DI27&lt;&gt;0,K27=0),0,IF(AND(N27="No",DI27&lt;&gt;0,K27&gt;0,J27&lt;&gt;K27),MAX(0,M27-(DH27-GA27)),DG27)))</f>
        <v/>
      </c>
      <c r="GC27" s="540">
        <f>+GB27*V27</f>
        <v/>
      </c>
      <c r="GD27" s="138">
        <f>IFERROR(GC27/K27,"")</f>
        <v/>
      </c>
      <c r="GE27" s="541">
        <f>IF(IB27="","",IB27)</f>
        <v/>
      </c>
      <c r="GF27" s="538">
        <f t="array" ref="GF27">IF(SUM(IF(IB$9:IB26=IB27,1,0))&gt;0,0,SUMIF($IB$10:$IB$406,IB27,$FI$10:$FI$406))</f>
        <v/>
      </c>
      <c r="GG27" s="270">
        <f>GF27</f>
        <v/>
      </c>
      <c r="GH27" s="137">
        <f>GH26+1</f>
        <v/>
      </c>
      <c r="GI27" s="542">
        <f>LARGE($GG$10:$GG$406,GH27)</f>
        <v/>
      </c>
      <c r="GJ27" s="542">
        <f>IF(GH27&gt;GH$6,0,IF(GH27=$GH$2,$GJ$2,IF(GH27&lt;4,$GJ$3,$GJ$4)))</f>
        <v/>
      </c>
      <c r="GK27" s="489">
        <f>MAX(0,GI27-GJ27)</f>
        <v/>
      </c>
      <c r="GL27" s="137">
        <f t="array" ref="GL27">IF(GI27=0,0,LARGE(IF($GF$10:$GF$406=GI27,$GE$10:$GE$406,0),COUNTIF($GI$10:$GI$406,GI27)-COUNTIF(GI$9:GI26,GI27)))</f>
        <v/>
      </c>
      <c r="GM27" s="272">
        <f>IF(GI27=0,0,GK27/GI27)</f>
        <v/>
      </c>
      <c r="GO27" s="137">
        <f>IF(C27="","",IF(ISERROR(MATCH(C27,C$10:C26,0)),MAX(GO$10:GO26)+1,INDEX(GO$10:GO26,MATCH(C27,C$10:C26,0))))</f>
        <v/>
      </c>
      <c r="GP27" s="538">
        <f>IF(COUNTIF($A$10:A27,A27)&lt;=1,SUMIF($A$10:$A$406,A27,$FG$10:$FG$406),0)</f>
        <v/>
      </c>
      <c r="GQ27" s="137">
        <f>GQ26+1</f>
        <v/>
      </c>
      <c r="GR27" s="542">
        <f>LARGE($GP$10:$GP$406,GQ27)</f>
        <v/>
      </c>
      <c r="GS27" s="542">
        <f>IF(GQ27&gt;GQ$6,0,IF(GQ27&lt;=GQ$2,GS$2,IF(AND(GQ27&lt;=$GQ$3,GQ27&gt;$GQ$2),GS$3,GS$4)))</f>
        <v/>
      </c>
      <c r="GT27" s="489">
        <f>MAX(0,GR27-GS27)</f>
        <v/>
      </c>
      <c r="GU27" s="137">
        <f t="array" ref="GU27">IF(GR27=0,0,LARGE(IF($GP$10:$GP$406=GR27,$GO$10:$GO$406,0),COUNTIF($GR$10:$GR$406,GR27)-COUNTIF(GR$9:GR26,GR27)))</f>
        <v/>
      </c>
      <c r="GV27" s="272">
        <f>IF(GR27=0,0,GT27/GR27)</f>
        <v/>
      </c>
      <c r="GW27" s="272" t="n"/>
      <c r="GX27" s="137">
        <f>IF(C27="","",IF(ISERROR(MATCH(C27,C$10:C26,0)),MAX(GO$10:GO26)+1,INDEX(GO$10:GO26,MATCH(C27,C$10:C26,0))))</f>
        <v/>
      </c>
      <c r="GY27" s="538">
        <f>IF(COUNTIF($A$10:A27,A27)&lt;=1,SUMIF($A$10:$A$406,A27,$FG$10:$FG$406),0)</f>
        <v/>
      </c>
      <c r="GZ27" s="137">
        <f>GZ26+1</f>
        <v/>
      </c>
      <c r="HA27" s="542">
        <f>LARGE($GY$10:$GY$406,GZ27)</f>
        <v/>
      </c>
      <c r="HB27" s="543" t="inlineStr">
        <is>
          <t>-</t>
        </is>
      </c>
      <c r="HC27" s="489">
        <f>IF(GZ27&lt;6,MAX(0,$HC$2/5),0)</f>
        <v/>
      </c>
      <c r="HD27" s="137">
        <f t="array" ref="HD27">IF(HA27=0,0,LARGE(IF($GY$10:$GY$406=HA27,$GX$10:$GX$406,0),COUNTIF($HA$10:$HA$406,HA27)-COUNTIF(HA$9:HA26,HA27)))</f>
        <v/>
      </c>
      <c r="HE27" s="272">
        <f>IF(HA27=0,0,HC27/HA27)</f>
        <v/>
      </c>
      <c r="HG27" s="270">
        <f>DG27-GA27</f>
        <v/>
      </c>
      <c r="HH27" s="544" t="n">
        <v>0</v>
      </c>
      <c r="HI27" s="538">
        <f>MIN(HH27,DE27)</f>
        <v/>
      </c>
      <c r="HK27" s="137">
        <f>IF(COUNTIF($C$10:$C$406,HK26+1),HK26+1,"")</f>
        <v/>
      </c>
      <c r="HL27" s="538">
        <f>SUMIF($C$10:$C$406,HK27,$DG$10:$DG$406)</f>
        <v/>
      </c>
      <c r="HN27" s="521">
        <f>MIN(HO27:HS27)</f>
        <v/>
      </c>
      <c r="HO27" s="521">
        <f>IF(B27="","",$M27)</f>
        <v/>
      </c>
      <c r="HP27" s="521">
        <f>IF($N27="Yes",IF(P27&gt;=6,0,MIN($T27*$M27,$U27*$M27)),"")</f>
        <v/>
      </c>
      <c r="HQ27" s="521">
        <f>IF(AND(N27="Yes",P27&gt;=6),"",IF($S27="Yes",$R27*$M27,""))</f>
        <v/>
      </c>
      <c r="HR27" s="521">
        <f>IF($Q27="Yes",MIN($M27,$T27*$M27),"")</f>
        <v/>
      </c>
      <c r="HS27" s="521">
        <f>IF(AND($N27="Yes",$P27&gt;=6),"",IF(OR(CY27=1,DC27=1,),MIN($T27*$M27,$U27*$M27),IF(OR(CZ27=1,DA27=1,DB27=1),IF(AK27&gt;=5000000,MIN($T27*$M27,$IE27*$M27),MIN($T27*$M27,$U27*$M27)),"")))</f>
        <v/>
      </c>
      <c r="HT27" s="521">
        <f>IF(DD27&gt;0,DD27,"")</f>
        <v/>
      </c>
      <c r="HU27" s="522">
        <f>IF(B27="",0,$L27-$M27)</f>
        <v/>
      </c>
      <c r="HV27" s="274">
        <f>IF(OR(SUM(HP27:HT27)&gt;0,P27&gt;=6),"",IF($B27="","",1))</f>
        <v/>
      </c>
      <c r="HW27" s="522">
        <f>IF(AND($HT27&lt;&gt;0,OR(HT27&lt;=MIN(HP27:HS27),SUM(HP27:HS27)=0)),$HT27,0)</f>
        <v/>
      </c>
      <c r="HX27" s="522">
        <f>IF(AND($HS27&lt;&gt;0,OR(AND($HS27&lt;&gt;$HT27,$HS27&lt;&gt;$HR27,$HS27&lt;&gt;$HQ27,$HS27&lt;&gt;$HP27,$HS27&lt;MIN($HP27:$HR27),$HS27&lt;HT27),SUM($HP27:$HR27)+SUM(HT27)=0),IA27&lt;=0),$HS27,0)</f>
        <v/>
      </c>
      <c r="HY27" s="522">
        <f>IF(AND($HR27&lt;&gt;0,OR(AND($HR27&lt;&gt;$HT27,$HR27&lt;&gt;$HS27,$HR27&lt;&gt;$HQ27,$HR27&lt;&gt;$HP27),$HR27&lt;MIN($HP27:$HQ27),$HR27&lt;MIN($HS27:$HT27),SUM($HP27:$HQ27)+SUM($HS27:$HT27)=0)),$HR27,0)</f>
        <v/>
      </c>
      <c r="HZ27" s="522">
        <f>IF(AND($HQ27&lt;&gt;0,OR(AND($HQ27&lt;&gt;$HT27,HQ27&lt;&gt;HS27,HQ27&lt;&gt;HR27,HQ27&lt;&gt;HP27,HQ27&lt;MIN(HR27:HT27)),SUM(HP27)+SUM(HR27:HT27)=0)),$HQ27,0)</f>
        <v/>
      </c>
      <c r="IA27" s="522">
        <f>IF(AND($HP27&lt;&gt;0,OR(HP27&lt;=MIN(HQ27:HT27),SUM(HQ27:HT27)=0)),$HP27,0)</f>
        <v/>
      </c>
      <c r="IB27" s="545" t="n">
        <v>46</v>
      </c>
      <c r="IC27">
        <f>HU27=DF27</f>
        <v/>
      </c>
      <c r="IE27" s="351">
        <f>IF(B27="","",IF(AND(Y27="Second Lien",OR(CZ27=1,DA27=1,DB27=1)),50%,IF(CZ27=1,90%,IF(DA27=1,80%,IF(DB27=1,65%,"No Initial Haircut")))))</f>
        <v/>
      </c>
    </row>
    <row r="28">
      <c r="A28">
        <f>D28</f>
        <v/>
      </c>
      <c r="B28" s="242">
        <f>IF(D28="","",B27+1)</f>
        <v/>
      </c>
      <c r="C28" s="242">
        <f>IF(COUNTIF($A$10:A27,A28)&gt;0,C27,C27+1)</f>
        <v/>
      </c>
      <c r="D28" s="243" t="inlineStr">
        <is>
          <t>Redwood Holdings, LLC</t>
        </is>
      </c>
      <c r="E28" s="243" t="inlineStr">
        <is>
          <t>Redwood (Term Loan)</t>
        </is>
      </c>
      <c r="F28" s="244" t="n"/>
      <c r="G28" s="528" t="n">
        <v>10933366.67</v>
      </c>
      <c r="H28" s="528" t="n">
        <v>10933366.67</v>
      </c>
      <c r="I28" s="246" t="n">
        <v>1</v>
      </c>
      <c r="J28" s="529">
        <f>IF(B28="","",G28*I28)</f>
        <v/>
      </c>
      <c r="K28" s="529">
        <f>IF(B28="","",H28*I28)</f>
        <v/>
      </c>
      <c r="L28" s="529">
        <f>IF(B28="","",IF(COUNTIF($CE28:$CX28,1)&gt;0,0,J28))</f>
        <v/>
      </c>
      <c r="M28" s="529">
        <f>IF(B28="","",IF(COUNTIF($CE28:$CX28,1)&gt;0,0,K28))</f>
        <v/>
      </c>
      <c r="N28" s="248" t="inlineStr">
        <is>
          <t>No</t>
        </is>
      </c>
      <c r="O28" s="248" t="inlineStr">
        <is>
          <t>N/A</t>
        </is>
      </c>
      <c r="P28" s="249">
        <f>IF(B28="","",IF(OR(O28="N/A",O28=""),0,YEARFRAC('Borrowing Base'!$J$4,'Loan List'!O28)*12))</f>
        <v/>
      </c>
      <c r="Q28" s="248" t="inlineStr">
        <is>
          <t>No</t>
        </is>
      </c>
      <c r="R28" s="250" t="n">
        <v>0.9949999999999999</v>
      </c>
      <c r="S28" s="251">
        <f>IF(B28="","",IF(R28&lt;95%,"Yes","No"))</f>
        <v/>
      </c>
      <c r="T28" s="250" t="n">
        <v>0.9950000003064016</v>
      </c>
      <c r="U28" s="252">
        <f>IF(B28="","",IF(OR(Y28="First Lien",Y28="Split First Lien",Y28="Tier 1 Split Lien",Y28="Tier 2 Split Lien"),50%,30%))</f>
        <v/>
      </c>
      <c r="V28" s="252">
        <f>IF(B28="",0,IF(AND(Y28="First Lien",AN28="Tier 1"),IF(AND(X28="Yes",MIN(AH28,$AJ$5)&gt;4.5),(((4.5/MIN(AH28,$AJ$5))*72.5%)+(((MIN(AH28,$AJ$5)-4.5)/MIN(AH28,$AJ$5))*35%)),72.5%),IF(AND(Y28="First Lien",AN28="Tier 2"),IF(AND(X28="Yes",MIN(AH28,$AK$5)&gt;4.5),(((4.5/MIN(AH28,$AK$5))*72.5%)+(((MIN(AH28,$AK$5)-4.5)/MIN(AH28,$AK$5))*35%)),72.5%),IF(AND(X28="Yes",MIN(AH28,$AL$5)&gt;4),(((4/MIN(AH28,$AL$5))*72.5%)+(((MIN(AH28,$AL$5)-4)/MIN(AH28,$AL$5))*35%)),IF(OR(Y28="First Lien",Y28="Split First Lien"),72.5%,IF(Y28="Split Lien", 53%,35%))))))</f>
        <v/>
      </c>
      <c r="W28" s="530">
        <f>IF($C28="","",MIN($HO28:$HS28))</f>
        <v/>
      </c>
      <c r="X28" s="248" t="inlineStr">
        <is>
          <t>No</t>
        </is>
      </c>
      <c r="Y28" s="254" t="inlineStr">
        <is>
          <t>First Lien</t>
        </is>
      </c>
      <c r="Z28" s="254" t="inlineStr">
        <is>
          <t>Term</t>
        </is>
      </c>
      <c r="AA28" s="531" t="inlineStr">
        <is>
          <t>NR</t>
        </is>
      </c>
      <c r="AB28" s="531" t="inlineStr">
        <is>
          <t xml:space="preserve"> NR</t>
        </is>
      </c>
      <c r="AC28" s="532" t="n">
        <v>1.772532696822047</v>
      </c>
      <c r="AD28" s="532" t="n">
        <v>4.929999999999999</v>
      </c>
      <c r="AE28" s="532" t="n">
        <v>4.929999999999999</v>
      </c>
      <c r="AF28" s="257" t="n">
        <v>0.4303417894989167</v>
      </c>
      <c r="AG28" s="533" t="n">
        <v>4.929999999999999</v>
      </c>
      <c r="AH28" s="533" t="n">
        <v>4.929999999999999</v>
      </c>
      <c r="AI28" s="533" t="n">
        <v>4.929999999999999</v>
      </c>
      <c r="AJ28" s="533" t="n">
        <v>4.929999999999999</v>
      </c>
      <c r="AK28" s="534" t="n">
        <v>38600000</v>
      </c>
      <c r="AL28" s="534" t="n">
        <v>38600000</v>
      </c>
      <c r="AM28" s="260" t="n">
        <v>45657</v>
      </c>
      <c r="AN28" s="529">
        <f>IF(C28="","",(IF(AK28&gt;=50000000,"Tier 1",(IF(OR(AK28&gt;=20000000,AND(AK28&gt;5000000,AC28&gt;=1.25,AF28&lt;=0.65)),"Tier 2","Tier 3")))))</f>
        <v/>
      </c>
      <c r="AO28" s="244" t="n">
        <v>48347</v>
      </c>
      <c r="AP28" s="535" t="n">
        <v>6.786111111111111</v>
      </c>
      <c r="AQ28" s="535">
        <f>IF(C28="","",AP28)</f>
        <v/>
      </c>
      <c r="AR28" s="248" t="inlineStr">
        <is>
          <t>No</t>
        </is>
      </c>
      <c r="AS28" s="250" t="n">
        <v>0</v>
      </c>
      <c r="AT28" s="248" t="inlineStr">
        <is>
          <t>Yes</t>
        </is>
      </c>
      <c r="AU28" s="250" t="n">
        <v>0.01</v>
      </c>
      <c r="AV28" s="250" t="n">
        <v>0.0475</v>
      </c>
      <c r="AW28" s="250" t="n">
        <v>0.0429561</v>
      </c>
      <c r="AX28" s="262">
        <f>IF(C28="","",MAX(AU28,AW28))</f>
        <v/>
      </c>
      <c r="AY28" s="250" t="n">
        <v>0</v>
      </c>
      <c r="AZ28" s="250" t="n">
        <v>0</v>
      </c>
      <c r="BA28" s="250" t="n">
        <v>0</v>
      </c>
      <c r="BB28" s="412">
        <f>IF(B28="","",IF(AR28="No",AV28-AZ28,""))</f>
        <v/>
      </c>
      <c r="BC28" s="412">
        <f>IF(B28="","",IF(AR28="Yes",AS28-BA28,""))</f>
        <v/>
      </c>
      <c r="BD28" s="254" t="inlineStr">
        <is>
          <t>Monthly</t>
        </is>
      </c>
      <c r="BE28" s="536" t="inlineStr">
        <is>
          <t>Diversified Financial Services</t>
        </is>
      </c>
      <c r="BF28" s="254" t="inlineStr">
        <is>
          <t>USD</t>
        </is>
      </c>
      <c r="BG28" s="254" t="inlineStr">
        <is>
          <t>United States</t>
        </is>
      </c>
      <c r="BH28" s="248" t="inlineStr">
        <is>
          <t>No</t>
        </is>
      </c>
      <c r="BI28" s="413">
        <f>IF(B28="","",IF(OR(AND(AZ28&gt;0,BB28&gt;=2.5%,BB28&lt;4%),AND(BA28&gt;0,BC28&gt;=6%,BC28&lt;8%)),"Yes","No"))</f>
        <v/>
      </c>
      <c r="BJ28" s="413">
        <f>IF(B28="","",IF(OR(AND(AZ28&gt;0,BB28&lt;2.5%),AND(BA28&gt;0,BC28&lt;6%)),"Yes","No"))</f>
        <v/>
      </c>
      <c r="BK28" s="248" t="inlineStr">
        <is>
          <t>No</t>
        </is>
      </c>
      <c r="BL28" s="248" t="inlineStr">
        <is>
          <t>No</t>
        </is>
      </c>
      <c r="BM28" s="248" t="inlineStr">
        <is>
          <t>No</t>
        </is>
      </c>
      <c r="BN28" s="248" t="inlineStr">
        <is>
          <t>No</t>
        </is>
      </c>
      <c r="BO28" s="248" t="inlineStr">
        <is>
          <t>No</t>
        </is>
      </c>
      <c r="BP28" s="248" t="inlineStr">
        <is>
          <t>No</t>
        </is>
      </c>
      <c r="BQ28" s="248" t="inlineStr">
        <is>
          <t>No</t>
        </is>
      </c>
      <c r="BR28" s="248" t="inlineStr">
        <is>
          <t>No</t>
        </is>
      </c>
      <c r="BS28" s="248" t="inlineStr">
        <is>
          <t>No</t>
        </is>
      </c>
      <c r="BT28" s="248" t="inlineStr">
        <is>
          <t>No</t>
        </is>
      </c>
      <c r="BU28" s="248" t="inlineStr">
        <is>
          <t>No</t>
        </is>
      </c>
      <c r="BV28" s="248" t="inlineStr">
        <is>
          <t>No</t>
        </is>
      </c>
      <c r="BW28" s="248" t="inlineStr">
        <is>
          <t>No</t>
        </is>
      </c>
      <c r="BX28" s="248" t="inlineStr">
        <is>
          <t>No</t>
        </is>
      </c>
      <c r="BY28" s="248" t="inlineStr">
        <is>
          <t>No</t>
        </is>
      </c>
      <c r="BZ28" s="248" t="inlineStr">
        <is>
          <t>No</t>
        </is>
      </c>
      <c r="CA28" s="248" t="inlineStr">
        <is>
          <t>Yes</t>
        </is>
      </c>
      <c r="CB28" s="537">
        <f>IF(B28="","",IF(AT28="No",((BB28+AW28)-$AZ$4),((BB28+AX28)-$AZ$4))*IF(DD28&gt;0,0,M28))</f>
        <v/>
      </c>
      <c r="CC28" s="537">
        <f>IF(B28="","",AY28*(L28-M28)*IF(DD28&gt;0,0,1))</f>
        <v/>
      </c>
      <c r="CD28" s="265" t="n"/>
      <c r="CE28" s="265">
        <f>IF(AND(B28&lt;&gt;"",R28&lt;=85%),1,0)</f>
        <v/>
      </c>
      <c r="CF28" s="265">
        <f>IF(B28="",0,(IF(OR(BF28="USD",BF28="CAD",BF28="GBP",BF28="AUD",BF28="EUR"),0,1)))</f>
        <v/>
      </c>
      <c r="CG28" s="265">
        <f>IF(B28="",0,(IF(OR(BG28="United States",BG28="Canada",BG28="United Kingdom",BG28="Australia",BG28="Netherlands Antilles",BG28="Bermuda",BG28="Cayman Islands",BG28="British Virgin Islands",BG28="Channel Islands",BG28="Isle of Man",BG28="Australia",BG28="Netherlands",BG28="Germany",BG28="Sweden",BG28="Switzerland",BG28="Austria",BG28="Belgium",BG28="Denmark",BG28="Finland",BG28="Iceland",BG28="Ireland",BG28="Lichtenstein",BG28="Luxemborg",BG28="Norway"),0,1)))</f>
        <v/>
      </c>
      <c r="CH28" s="265">
        <f>IF(BN28="Yes",1,0)</f>
        <v/>
      </c>
      <c r="CI28" s="265">
        <f>IF(BO28="Yes",1,0)</f>
        <v/>
      </c>
      <c r="CJ28" s="265">
        <f>IF(BP28="Yes",1,0)</f>
        <v/>
      </c>
      <c r="CK28" s="265">
        <f>IF(BQ28="Yes",1,0)</f>
        <v/>
      </c>
      <c r="CL28" s="265">
        <f>IF(BR28="Yes",1,0)</f>
        <v/>
      </c>
      <c r="CM28" s="265">
        <f>IF(BS28="Yes",1,0)</f>
        <v/>
      </c>
      <c r="CN28" s="265">
        <f>IF(OR(AND(BJ28="Yes",N28="No"),AND(BJ28="Yes",N28="Yes",P28&gt;=6)),1,0)</f>
        <v/>
      </c>
      <c r="CO28" s="265">
        <f>IF(BT28="Yes",1,0)</f>
        <v/>
      </c>
      <c r="CP28" s="265">
        <f>IF(AND(BU28="Yes",BV28="No"),1,0)</f>
        <v/>
      </c>
      <c r="CQ28" s="265">
        <f>IF(BW28="Yes",1,0)</f>
        <v/>
      </c>
      <c r="CR28" s="265">
        <f>IF(AP28="",0,IF(AP28&gt;7,1,0))</f>
        <v/>
      </c>
      <c r="CS28" s="265">
        <f>IF(OR(BD28&lt;&gt;"Monthly",BD28&lt;&gt;"Quarterly",BD28&lt;&gt;"Semi-Annually"),0,1)</f>
        <v/>
      </c>
      <c r="CT28" s="265">
        <f>IF(BX28="Yes",1,0)</f>
        <v/>
      </c>
      <c r="CU28" s="265">
        <f>IF(BY28="Yes",1,0)</f>
        <v/>
      </c>
      <c r="CV28" s="265">
        <f>IF(BZ28="Yes",1,0)</f>
        <v/>
      </c>
      <c r="CW28" s="265">
        <f>IF(CA28="No",1,0)</f>
        <v/>
      </c>
      <c r="CX28" s="265">
        <f>IF(B28="",0,IF(AK28&gt;=5000000,0,1))</f>
        <v/>
      </c>
      <c r="CY28" s="265">
        <f>IF(B28="",0,IF(AL28&gt;=5000000,0,1))</f>
        <v/>
      </c>
      <c r="CZ28" s="265">
        <f>IF(OR(DA28=1,DB28=1,DC28=1),0,IF(B28="",0,IF(OR(AND(AN28="Tier 1",X28="No",OR(AI28&gt;$AJ$3,AJ28&gt;$AJ$4)),(AND(AN28="Tier 1",X28="Yes",AJ28&gt;$AJ$5)),(AND(AN28="Tier 2",X28="No",OR(AI28&gt;$AK$3,AJ28&gt;$AK$4))),(AND(AN28="Tier 2",X28="Yes",AJ28&gt;$AK$5)),(AND(AN28="Tier 3",X28="No",OR(AI28&gt;$AL$3,AJ28&gt;$AL$4))),(AND(AN28="Tier 3",X28="Yes",AJ28&gt;$AL$5))),1,0)))</f>
        <v/>
      </c>
      <c r="DA28" s="265">
        <f>IF(OR(DB28=1,DC28=1),0,IF(B28="",0,IF(OR(AND(AN28="Tier 1",X28="No",OR(AI28&gt;$AM$3,AJ28&gt;$AM$4)),(AND(AN28="Tier 1",X28="Yes",AJ28&gt;$AM$5)),(AND(AN28="Tier 2",X28="No",OR(AI28&gt;$AN$3,AJ28&gt;$AN$4))),(AND(AN28="Tier 2",X28="Yes",AJ28&gt;$AN$5)),(AND(AN28="Tier 3",X28="No",OR(AI28&gt;$AO$3,AJ28&gt;$AO$4))),(AND(AN28="Tier 3",X28="Yes",AJ28&gt;$AO$5))),1,0)))</f>
        <v/>
      </c>
      <c r="DB28" s="265">
        <f>IF(DC28=1,0,IF(B28="",0,IF(OR(AND(AN28="Tier 1",X28="No",OR(AI28&gt;$AP$3,AJ28&gt;$AP$4)),(AND(AN28="Tier 1",X28="Yes",AJ28&gt;$AP$5)),(AND(AN28="Tier 2",X28="No",OR(AI28&gt;$AQ$3,AJ28&gt;$AQ$4))),(AND(AN28="Tier 2",X28="Yes",AJ28&gt;$AQ$5)),(AND(AN28="Tier 3",X28="No",OR(AI28&gt;$AR$3,AJ28&gt;$AR$4))),(AND(AN28="Tier 3",X28="Yes",AJ28&gt;$AR$5))),1,0)))</f>
        <v/>
      </c>
      <c r="DC28" s="265">
        <f>IF(B28="",0,IF(OR(AND(AN28="Tier 1",X28="No",OR(AI28&gt;$AS$3,AJ28&gt;$AS$4)),(AND(AN28="Tier 1",X28="Yes",AJ28&gt;$AS$5)),(AND(AN28="Tier 2",X28="No",OR(AI28&gt;$AT$3,AJ28&gt;$AT$4))),(AND(AN28="Tier 2",X28="Yes",AJ28&gt;$AT$5)),(AND(AN28="Tier 3",X28="No",OR(AI28&gt;$AU$3,AJ28&gt;$AU$4))),(AND(AN28="Tier 3",X28="Yes",AJ28&gt;$AU$5))),1,0))</f>
        <v/>
      </c>
      <c r="DD28" s="265">
        <f>IF((SUM(CE28:CX28)=0),0,W28)</f>
        <v/>
      </c>
      <c r="DE28" s="265">
        <f>IF(OR(B28="",DD28&gt;0),0,W28)</f>
        <v/>
      </c>
      <c r="DF28" s="265">
        <f>IF(B28="",0,IF(COUNTIF(CE28:CX28,1)&gt;0,0,L28-M28))</f>
        <v/>
      </c>
      <c r="DG28" s="265">
        <f>DE28+IF(DD28&gt;0,0,DF28)</f>
        <v/>
      </c>
      <c r="DH28" s="265">
        <f>IF(B28="","",M28+DF28)</f>
        <v/>
      </c>
      <c r="DI28" s="265">
        <f>IF(B28="",0,J28-K28)</f>
        <v/>
      </c>
      <c r="DJ28" s="265">
        <f>IF(OR(BF28="EUR",BF28="CAD",BF28="GBP",BF28="AUD"),(GA28*(1-V28))+(HG28)+IF(HX28="",0,HX28*(1-U28)),0)</f>
        <v/>
      </c>
      <c r="DK28" s="265">
        <f>IF(BF28="EUR",33%,IF(BF28="CAD",38%,IF(BF28="GBP",51%,IF(BF28="AUD",61%,0))))</f>
        <v/>
      </c>
      <c r="DL28" s="265">
        <f>DJ28*DK28</f>
        <v/>
      </c>
      <c r="DN28" s="538">
        <f>IF(OR(Y28="Second Lien",Y28="Tier 1 Split Lien",Y28="Tier 2 Split Lien"),DG28,0)</f>
        <v/>
      </c>
      <c r="DO28" s="539">
        <f>DN28*DN$6</f>
        <v/>
      </c>
      <c r="DP28" s="538">
        <f>DG28-DO28</f>
        <v/>
      </c>
      <c r="DQ28" s="538">
        <f>IF(Y28="Second Lien",DP28,0)</f>
        <v/>
      </c>
      <c r="DR28" s="539">
        <f>DQ28*DQ$6</f>
        <v/>
      </c>
      <c r="DS28" s="538">
        <f>DP28-DR28</f>
        <v/>
      </c>
      <c r="DT28" s="538">
        <f>IF(BH28="Yes",DS28,0)</f>
        <v/>
      </c>
      <c r="DU28" s="539">
        <f>DT28*DT$6</f>
        <v/>
      </c>
      <c r="DV28" s="538">
        <f>DS28-DU28</f>
        <v/>
      </c>
      <c r="DW28" s="538">
        <f>IF(OR(BG28="Canada",BG28="United Kingdom",BG28="Australia",BG28="Netherlands Antilles",BG28="Bermuda",BG28="Cayman Islands",BG28="British Virgin Islands",BG28="Channel Islands",BG28="Isle of Man",BG28="Australia",BG28="Netherlands",BG28="Germany",BG28="Sweden",BG28="Switzerland",BG28="Austria",BG28="Belgium",BG28="Denmark",BG28="Finland",BG28="Iceland",BG28="Ireland",BG28="Lichtenstein",BG28="Luxemborg",BG28="Norway"),DV28,0)</f>
        <v/>
      </c>
      <c r="DX28" s="539">
        <f>DW28*DW$6</f>
        <v/>
      </c>
      <c r="DY28" s="538">
        <f>DV28-DX28</f>
        <v/>
      </c>
      <c r="DZ28" s="538">
        <f>IF(BI28="Yes",DY28,0)</f>
        <v/>
      </c>
      <c r="EA28" s="539">
        <f>DZ28*DZ$6</f>
        <v/>
      </c>
      <c r="EB28" s="538">
        <f>DY28-EA28</f>
        <v/>
      </c>
      <c r="EC28" s="538">
        <f>IF(OR(Z28="Delayed Draw",Z28="Revolver"),EB28,0)</f>
        <v/>
      </c>
      <c r="ED28" s="539">
        <f>EC28*EC$6</f>
        <v/>
      </c>
      <c r="EE28" s="538">
        <f>EB28-ED28</f>
        <v/>
      </c>
      <c r="EF28" s="538">
        <f>IF(S28="Yes",EE28,0)</f>
        <v/>
      </c>
      <c r="EG28" s="539">
        <f>EF28*EF$6</f>
        <v/>
      </c>
      <c r="EH28" s="538">
        <f>EE28-EG28</f>
        <v/>
      </c>
      <c r="EI28" s="538">
        <f>IF(Q28="Yes",EH28,0)</f>
        <v/>
      </c>
      <c r="EJ28" s="539">
        <f>EI28*EI$6</f>
        <v/>
      </c>
      <c r="EK28" s="538">
        <f>EH28-EJ28</f>
        <v/>
      </c>
      <c r="EL28" s="538">
        <f>IF(BD28="Semi-Annually",EK28,0)</f>
        <v/>
      </c>
      <c r="EM28" s="539">
        <f>EL28*EL$6</f>
        <v/>
      </c>
      <c r="EN28" s="538">
        <f>EK28-EM28</f>
        <v/>
      </c>
      <c r="EO28" s="538">
        <f>IF(BK28="Yes",EN28,0)</f>
        <v/>
      </c>
      <c r="EP28" s="539">
        <f>EO28*EO$6</f>
        <v/>
      </c>
      <c r="EQ28" s="538">
        <f>EN28-EP28</f>
        <v/>
      </c>
      <c r="ER28" s="538">
        <f>IF(BL28="Yes",EQ28,0)</f>
        <v/>
      </c>
      <c r="ES28" s="539">
        <f>ER28*ER$6</f>
        <v/>
      </c>
      <c r="ET28" s="538">
        <f>EQ28-ES28</f>
        <v/>
      </c>
      <c r="EU28" s="538">
        <f>IF(BM28="Yes",ET28,0)</f>
        <v/>
      </c>
      <c r="EV28" s="539">
        <f>EU28*EU$6</f>
        <v/>
      </c>
      <c r="EW28" s="538">
        <f>ET28-EV28</f>
        <v/>
      </c>
      <c r="EX28" s="538">
        <f>IF(BV28="Yes",EW28,0)</f>
        <v/>
      </c>
      <c r="EY28" s="539">
        <f>EX28*EX$6</f>
        <v/>
      </c>
      <c r="EZ28" s="538">
        <f>EW28-EY28</f>
        <v/>
      </c>
      <c r="FA28" s="538">
        <f>IF(AR28="Yes",EZ28,0)</f>
        <v/>
      </c>
      <c r="FB28" s="539">
        <f>FA28*FA$6</f>
        <v/>
      </c>
      <c r="FC28" s="538">
        <f>EZ28-FB28</f>
        <v/>
      </c>
      <c r="FD28" s="538">
        <f>IF(OR(BF28="EUR",BF28="AUD",BF28="CAD",BF28="GBP"),FC28,0)</f>
        <v/>
      </c>
      <c r="FE28" s="539">
        <f>FD28*FD$6</f>
        <v/>
      </c>
      <c r="FF28" s="538">
        <f>FC28-FE28</f>
        <v/>
      </c>
      <c r="FG28" s="538">
        <f>FF28</f>
        <v/>
      </c>
      <c r="FH28" s="538">
        <f>IF(FF28=0,0,VLOOKUP(C28,$GU$10:$GV$406,2,FALSE)*FF28)</f>
        <v/>
      </c>
      <c r="FI28" s="538">
        <f>FF28-FH28</f>
        <v/>
      </c>
      <c r="FJ28" s="538">
        <f>FI28</f>
        <v/>
      </c>
      <c r="FK28" s="538">
        <f>IF(OR(IB28="",FI28&lt;0.01),,VLOOKUP(IB28,$GL$10:$GM$406,2,FALSE)*FI28)</f>
        <v/>
      </c>
      <c r="FL28" s="538">
        <f>FI28-FK28</f>
        <v/>
      </c>
      <c r="FM28" s="538">
        <f>FL28</f>
        <v/>
      </c>
      <c r="FN28" s="538">
        <f>IF(FL28=0,0,VLOOKUP(C28,$HD$10:$HE$406,2,FALSE)*FL28)</f>
        <v/>
      </c>
      <c r="FO28" s="538">
        <f>FL28-FN28</f>
        <v/>
      </c>
      <c r="FP28" s="538">
        <f>IF(SUM(CY28:DC28)&gt;0,0,IF(AND(AL28&gt;=5000000,AL28&lt;7500000),FO28,0))</f>
        <v/>
      </c>
      <c r="FQ28" s="539">
        <f>IF(B28="",0,FP28*FP$6*(1-$U28))</f>
        <v/>
      </c>
      <c r="FR28" s="538">
        <f>FO28-FQ28</f>
        <v/>
      </c>
      <c r="FS28" s="538">
        <f>IF(SUM(CY28:DC28)&gt;0,0,IF(AL28&lt;15000000,FR28,0))</f>
        <v/>
      </c>
      <c r="FT28" s="539">
        <f>IF(B28="",0,FS28*FS$6*(1-$U28))</f>
        <v/>
      </c>
      <c r="FU28" s="538">
        <f>FR28-FT28</f>
        <v/>
      </c>
      <c r="FV28" s="538">
        <f>IF(SUM(CY28:DC28)&gt;0,0,IF(OR(AND(X28="No",AN28="Tier 1",AI28&gt;$AG$3),AND(X28="No",AN28="Tier 2",AI28&gt;$AH$3),AND(X28="No",AN28="Tier 3",AI28&gt;$AI$3)),FU28,0))</f>
        <v/>
      </c>
      <c r="FW28" s="538">
        <f>IF(SUM(CY28:DC28)&gt;0,0,IF(OR(AND(X28="No",AN28="Tier 1",AJ28&gt;$AG$4),AND(X28="No",AN28="Tier 2",AJ28&gt;$AH$4),AND(X28="No",AN28="Tier 3",AJ28&gt;$AI$4)),FU28,0))</f>
        <v/>
      </c>
      <c r="FX28" s="538">
        <f>IF(SUM(CY28:DC28)&gt;0,0,IF(OR(AND(X28="Yes",AN28="Tier 1",AJ28&gt;$AG$5),AND(X28="Yes",AN28="Tier 2",AJ28&gt;$AH$5),AND(X28="Yes",AN28="Tier 3",AJ28&gt;$AI$5)),FU28,0))</f>
        <v/>
      </c>
      <c r="FY28" s="538">
        <f>IF(SUM(FV28:FX28)&gt;0,FU28,0)</f>
        <v/>
      </c>
      <c r="FZ28" s="539">
        <f>IF(B28="",0,FY28*FV$6*(1-MIN(90%,T28)))</f>
        <v/>
      </c>
      <c r="GA28" s="538">
        <f>FU28-FZ28</f>
        <v/>
      </c>
      <c r="GB28" s="538">
        <f>IF(AND(N28="No",DI28=0),GA28,IF(AND(N28="No",DI28&lt;&gt;0,K28=0),0,IF(AND(N28="No",DI28&lt;&gt;0,K28&gt;0,J28&lt;&gt;K28),MAX(0,M28-(DH28-GA28)),DG28)))</f>
        <v/>
      </c>
      <c r="GC28" s="540">
        <f>+GB28*V28</f>
        <v/>
      </c>
      <c r="GD28" s="138">
        <f>IFERROR(GC28/K28,"")</f>
        <v/>
      </c>
      <c r="GE28" s="541">
        <f>IF(IB28="","",IB28)</f>
        <v/>
      </c>
      <c r="GF28" s="538">
        <f t="array" ref="GF28">IF(SUM(IF(IB$9:IB27=IB28,1,0))&gt;0,0,SUMIF($IB$10:$IB$406,IB28,$FI$10:$FI$406))</f>
        <v/>
      </c>
      <c r="GG28" s="270">
        <f>GF28</f>
        <v/>
      </c>
      <c r="GH28" s="137">
        <f>GH27+1</f>
        <v/>
      </c>
      <c r="GI28" s="542">
        <f>LARGE($GG$10:$GG$406,GH28)</f>
        <v/>
      </c>
      <c r="GJ28" s="542">
        <f>IF(GH28&gt;GH$6,0,IF(GH28=$GH$2,$GJ$2,IF(GH28&lt;4,$GJ$3,$GJ$4)))</f>
        <v/>
      </c>
      <c r="GK28" s="489">
        <f>MAX(0,GI28-GJ28)</f>
        <v/>
      </c>
      <c r="GL28" s="137">
        <f t="array" ref="GL28">IF(GI28=0,0,LARGE(IF($GF$10:$GF$406=GI28,$GE$10:$GE$406,0),COUNTIF($GI$10:$GI$406,GI28)-COUNTIF(GI$9:GI27,GI28)))</f>
        <v/>
      </c>
      <c r="GM28" s="272">
        <f>IF(GI28=0,0,GK28/GI28)</f>
        <v/>
      </c>
      <c r="GO28" s="137">
        <f>IF(C28="","",IF(ISERROR(MATCH(C28,C$10:C27,0)),MAX(GO$10:GO27)+1,INDEX(GO$10:GO27,MATCH(C28,C$10:C27,0))))</f>
        <v/>
      </c>
      <c r="GP28" s="538">
        <f>IF(COUNTIF($A$10:A28,A28)&lt;=1,SUMIF($A$10:$A$406,A28,$FG$10:$FG$406),0)</f>
        <v/>
      </c>
      <c r="GQ28" s="137">
        <f>GQ27+1</f>
        <v/>
      </c>
      <c r="GR28" s="542">
        <f>LARGE($GP$10:$GP$406,GQ28)</f>
        <v/>
      </c>
      <c r="GS28" s="542">
        <f>IF(GQ28&gt;GQ$6,0,IF(GQ28&lt;=GQ$2,GS$2,IF(AND(GQ28&lt;=$GQ$3,GQ28&gt;$GQ$2),GS$3,GS$4)))</f>
        <v/>
      </c>
      <c r="GT28" s="489">
        <f>MAX(0,GR28-GS28)</f>
        <v/>
      </c>
      <c r="GU28" s="137">
        <f t="array" ref="GU28">IF(GR28=0,0,LARGE(IF($GP$10:$GP$406=GR28,$GO$10:$GO$406,0),COUNTIF($GR$10:$GR$406,GR28)-COUNTIF(GR$9:GR27,GR28)))</f>
        <v/>
      </c>
      <c r="GV28" s="272">
        <f>IF(GR28=0,0,GT28/GR28)</f>
        <v/>
      </c>
      <c r="GW28" s="272" t="n"/>
      <c r="GX28" s="137">
        <f>IF(C28="","",IF(ISERROR(MATCH(C28,C$10:C27,0)),MAX(GO$10:GO27)+1,INDEX(GO$10:GO27,MATCH(C28,C$10:C27,0))))</f>
        <v/>
      </c>
      <c r="GY28" s="538">
        <f>IF(COUNTIF($A$10:A28,A28)&lt;=1,SUMIF($A$10:$A$406,A28,$FG$10:$FG$406),0)</f>
        <v/>
      </c>
      <c r="GZ28" s="137">
        <f>GZ27+1</f>
        <v/>
      </c>
      <c r="HA28" s="542">
        <f>LARGE($GY$10:$GY$406,GZ28)</f>
        <v/>
      </c>
      <c r="HB28" s="543" t="inlineStr">
        <is>
          <t>-</t>
        </is>
      </c>
      <c r="HC28" s="489">
        <f>IF(GZ28&lt;6,MAX(0,$HC$2/5),0)</f>
        <v/>
      </c>
      <c r="HD28" s="137">
        <f t="array" ref="HD28">IF(HA28=0,0,LARGE(IF($GY$10:$GY$406=HA28,$GX$10:$GX$406,0),COUNTIF($HA$10:$HA$406,HA28)-COUNTIF(HA$9:HA27,HA28)))</f>
        <v/>
      </c>
      <c r="HE28" s="272">
        <f>IF(HA28=0,0,HC28/HA28)</f>
        <v/>
      </c>
      <c r="HG28" s="270">
        <f>DG28-GA28</f>
        <v/>
      </c>
      <c r="HH28" s="544" t="n">
        <v>0</v>
      </c>
      <c r="HI28" s="538">
        <f>MIN(HH28,DE28)</f>
        <v/>
      </c>
      <c r="HK28" s="137">
        <f>IF(COUNTIF($C$10:$C$406,HK27+1),HK27+1,"")</f>
        <v/>
      </c>
      <c r="HL28" s="538">
        <f>SUMIF($C$10:$C$406,HK28,$DG$10:$DG$406)</f>
        <v/>
      </c>
      <c r="HN28" s="521">
        <f>MIN(HO28:HS28)</f>
        <v/>
      </c>
      <c r="HO28" s="521">
        <f>IF(B28="","",$M28)</f>
        <v/>
      </c>
      <c r="HP28" s="521">
        <f>IF($N28="Yes",IF(P28&gt;=6,0,MIN($T28*$M28,$U28*$M28)),"")</f>
        <v/>
      </c>
      <c r="HQ28" s="521">
        <f>IF(AND(N28="Yes",P28&gt;=6),"",IF($S28="Yes",$R28*$M28,""))</f>
        <v/>
      </c>
      <c r="HR28" s="521">
        <f>IF($Q28="Yes",MIN($M28,$T28*$M28),"")</f>
        <v/>
      </c>
      <c r="HS28" s="521">
        <f>IF(AND($N28="Yes",$P28&gt;=6),"",IF(OR(CY28=1,DC28=1,),MIN($T28*$M28,$U28*$M28),IF(OR(CZ28=1,DA28=1,DB28=1),IF(AK28&gt;=5000000,MIN($T28*$M28,$IE28*$M28),MIN($T28*$M28,$U28*$M28)),"")))</f>
        <v/>
      </c>
      <c r="HT28" s="521">
        <f>IF(DD28&gt;0,DD28,"")</f>
        <v/>
      </c>
      <c r="HU28" s="522">
        <f>IF(B28="",0,$L28-$M28)</f>
        <v/>
      </c>
      <c r="HV28" s="274">
        <f>IF(OR(SUM(HP28:HT28)&gt;0,P28&gt;=6),"",IF($B28="","",1))</f>
        <v/>
      </c>
      <c r="HW28" s="522">
        <f>IF(AND($HT28&lt;&gt;0,OR(HT28&lt;=MIN(HP28:HS28),SUM(HP28:HS28)=0)),$HT28,0)</f>
        <v/>
      </c>
      <c r="HX28" s="522">
        <f>IF(AND($HS28&lt;&gt;0,OR(AND($HS28&lt;&gt;$HT28,$HS28&lt;&gt;$HR28,$HS28&lt;&gt;$HQ28,$HS28&lt;&gt;$HP28,$HS28&lt;MIN($HP28:$HR28),$HS28&lt;HT28),SUM($HP28:$HR28)+SUM(HT28)=0),IA28&lt;=0),$HS28,0)</f>
        <v/>
      </c>
      <c r="HY28" s="522">
        <f>IF(AND($HR28&lt;&gt;0,OR(AND($HR28&lt;&gt;$HT28,$HR28&lt;&gt;$HS28,$HR28&lt;&gt;$HQ28,$HR28&lt;&gt;$HP28),$HR28&lt;MIN($HP28:$HQ28),$HR28&lt;MIN($HS28:$HT28),SUM($HP28:$HQ28)+SUM($HS28:$HT28)=0)),$HR28,0)</f>
        <v/>
      </c>
      <c r="HZ28" s="522">
        <f>IF(AND($HQ28&lt;&gt;0,OR(AND($HQ28&lt;&gt;$HT28,HQ28&lt;&gt;HS28,HQ28&lt;&gt;HR28,HQ28&lt;&gt;HP28,HQ28&lt;MIN(HR28:HT28)),SUM(HP28)+SUM(HR28:HT28)=0)),$HQ28,0)</f>
        <v/>
      </c>
      <c r="IA28" s="522">
        <f>IF(AND($HP28&lt;&gt;0,OR(HP28&lt;=MIN(HQ28:HT28),SUM(HQ28:HT28)=0)),$HP28,0)</f>
        <v/>
      </c>
      <c r="IB28" s="545" t="n">
        <v>20</v>
      </c>
      <c r="IC28">
        <f>HU28=DF28</f>
        <v/>
      </c>
      <c r="IE28" s="351">
        <f>IF(B28="","",IF(AND(Y28="Second Lien",OR(CZ28=1,DA28=1,DB28=1)),50%,IF(CZ28=1,90%,IF(DA28=1,80%,IF(DB28=1,65%,"No Initial Haircut")))))</f>
        <v/>
      </c>
    </row>
    <row r="29">
      <c r="A29">
        <f>D29</f>
        <v/>
      </c>
      <c r="B29" s="242">
        <f>IF(D29="","",B28+1)</f>
        <v/>
      </c>
      <c r="C29" s="242">
        <f>IF(COUNTIF($A$10:A28,A29)&gt;0,C28,C28+1)</f>
        <v/>
      </c>
      <c r="D29" s="429" t="inlineStr">
        <is>
          <t>Clearview Holdings, LLC</t>
        </is>
      </c>
      <c r="E29" s="243" t="inlineStr">
        <is>
          <t>Clearview (Term Loan)</t>
        </is>
      </c>
      <c r="F29" s="244" t="n"/>
      <c r="G29" s="528" t="n">
        <v>25000000</v>
      </c>
      <c r="H29" s="528" t="n">
        <v>25000000</v>
      </c>
      <c r="I29" s="246" t="n">
        <v>1</v>
      </c>
      <c r="J29" s="529">
        <f>IF(B29="","",G29*I29)</f>
        <v/>
      </c>
      <c r="K29" s="529">
        <f>IF(B29="","",H29*I29)</f>
        <v/>
      </c>
      <c r="L29" s="529">
        <f>IF(B29="","",IF(COUNTIF($CE29:$CX29,1)&gt;0,0,J29))</f>
        <v/>
      </c>
      <c r="M29" s="529">
        <f>IF(B29="","",IF(COUNTIF($CE29:$CX29,1)&gt;0,0,K29))</f>
        <v/>
      </c>
      <c r="N29" s="248" t="inlineStr">
        <is>
          <t>No</t>
        </is>
      </c>
      <c r="O29" s="248" t="inlineStr">
        <is>
          <t>N/A</t>
        </is>
      </c>
      <c r="P29" s="249">
        <f>IF(B29="","",IF(OR(O29="N/A",O29=""),0,YEARFRAC('Borrowing Base'!$J$4,'Loan List'!O29)*12))</f>
        <v/>
      </c>
      <c r="Q29" s="248" t="inlineStr">
        <is>
          <t>No</t>
        </is>
      </c>
      <c r="R29" s="250" t="n">
        <v>0.9925</v>
      </c>
      <c r="S29" s="251">
        <f>IF(B29="","",IF(R29&lt;95%,"Yes","No"))</f>
        <v/>
      </c>
      <c r="T29" s="250" t="n">
        <v>0.9925</v>
      </c>
      <c r="U29" s="252">
        <f>IF(B29="","",IF(OR(Y29="First Lien",Y29="Split First Lien",Y29="Tier 1 Split Lien",Y29="Tier 2 Split Lien"),50%,30%))</f>
        <v/>
      </c>
      <c r="V29" s="252">
        <f>IF(B29="",0,IF(AND(Y29="First Lien",AN29="Tier 1"),IF(AND(X29="Yes",MIN(AH29,$AJ$5)&gt;4.5),(((4.5/MIN(AH29,$AJ$5))*72.5%)+(((MIN(AH29,$AJ$5)-4.5)/MIN(AH29,$AJ$5))*35%)),72.5%),IF(AND(Y29="First Lien",AN29="Tier 2"),IF(AND(X29="Yes",MIN(AH29,$AK$5)&gt;4.5),(((4.5/MIN(AH29,$AK$5))*72.5%)+(((MIN(AH29,$AK$5)-4.5)/MIN(AH29,$AK$5))*35%)),72.5%),IF(AND(X29="Yes",MIN(AH29,$AL$5)&gt;4),(((4/MIN(AH29,$AL$5))*72.5%)+(((MIN(AH29,$AL$5)-4)/MIN(AH29,$AL$5))*35%)),IF(OR(Y29="First Lien",Y29="Split First Lien"),72.5%,IF(Y29="Split Lien", 53%,35%))))))</f>
        <v/>
      </c>
      <c r="W29" s="530">
        <f>IF($C29="","",MIN($HO29:$HS29))</f>
        <v/>
      </c>
      <c r="X29" s="248" t="inlineStr">
        <is>
          <t>No</t>
        </is>
      </c>
      <c r="Y29" s="254" t="inlineStr">
        <is>
          <t>First Lien</t>
        </is>
      </c>
      <c r="Z29" s="254" t="inlineStr">
        <is>
          <t>Term</t>
        </is>
      </c>
      <c r="AA29" s="531" t="inlineStr">
        <is>
          <t>NR</t>
        </is>
      </c>
      <c r="AB29" s="531" t="inlineStr">
        <is>
          <t xml:space="preserve"> NR</t>
        </is>
      </c>
      <c r="AC29" s="532" t="n">
        <v>1.933770010219252</v>
      </c>
      <c r="AD29" s="532" t="n">
        <v>3.470588235294118</v>
      </c>
      <c r="AE29" s="532" t="n">
        <v>3.615205310425692</v>
      </c>
      <c r="AF29" s="257" t="n">
        <v>0.3959731543624161</v>
      </c>
      <c r="AG29" s="533" t="n">
        <v>3.470588235294118</v>
      </c>
      <c r="AH29" s="533" t="n">
        <v>3.470588235294118</v>
      </c>
      <c r="AI29" s="533" t="n">
        <v>3.615205310425692</v>
      </c>
      <c r="AJ29" s="533" t="n">
        <v>3.615205310425692</v>
      </c>
      <c r="AK29" s="534" t="n">
        <v>17000000</v>
      </c>
      <c r="AL29" s="534" t="n">
        <v>15733822.87195806</v>
      </c>
      <c r="AM29" s="260" t="n">
        <v>45808</v>
      </c>
      <c r="AN29" s="529">
        <f>IF(C29="","",(IF(AK29&gt;=50000000,"Tier 1",(IF(OR(AK29&gt;=20000000,AND(AK29&gt;5000000,AC29&gt;=1.25,AF29&lt;=0.65)),"Tier 2","Tier 3")))))</f>
        <v/>
      </c>
      <c r="AO29" s="244" t="n">
        <v>48030</v>
      </c>
      <c r="AP29" s="535" t="n">
        <v>5.919444444444444</v>
      </c>
      <c r="AQ29" s="535">
        <f>IF(C29="","",AP29)</f>
        <v/>
      </c>
      <c r="AR29" s="248" t="inlineStr">
        <is>
          <t>No</t>
        </is>
      </c>
      <c r="AS29" s="250" t="n">
        <v>0</v>
      </c>
      <c r="AT29" s="248" t="inlineStr">
        <is>
          <t>Yes</t>
        </is>
      </c>
      <c r="AU29" s="250" t="n">
        <v>0.01</v>
      </c>
      <c r="AV29" s="250" t="n">
        <v>0.055</v>
      </c>
      <c r="AW29" s="250" t="n">
        <v>0.04040599999999999</v>
      </c>
      <c r="AX29" s="262">
        <f>IF(C29="","",MAX(AU29,AW29))</f>
        <v/>
      </c>
      <c r="AY29" s="250" t="n">
        <v>0</v>
      </c>
      <c r="AZ29" s="250" t="n">
        <v>0</v>
      </c>
      <c r="BA29" s="250" t="n">
        <v>0</v>
      </c>
      <c r="BB29" s="412">
        <f>IF(B29="","",IF(AR29="No",AV29-AZ29,""))</f>
        <v/>
      </c>
      <c r="BC29" s="412">
        <f>IF(B29="","",IF(AR29="Yes",AS29-BA29,""))</f>
        <v/>
      </c>
      <c r="BD29" s="254" t="inlineStr">
        <is>
          <t>Monthly</t>
        </is>
      </c>
      <c r="BE29" s="536" t="inlineStr">
        <is>
          <t>Commercial Services &amp; Supplies</t>
        </is>
      </c>
      <c r="BF29" s="254" t="inlineStr">
        <is>
          <t>USD</t>
        </is>
      </c>
      <c r="BG29" s="254" t="inlineStr">
        <is>
          <t>United States</t>
        </is>
      </c>
      <c r="BH29" s="248" t="inlineStr">
        <is>
          <t>No</t>
        </is>
      </c>
      <c r="BI29" s="413">
        <f>IF(B29="","",IF(OR(AND(AZ29&gt;0,BB29&gt;=2.5%,BB29&lt;4%),AND(BA29&gt;0,BC29&gt;=6%,BC29&lt;8%)),"Yes","No"))</f>
        <v/>
      </c>
      <c r="BJ29" s="413">
        <f>IF(B29="","",IF(OR(AND(AZ29&gt;0,BB29&lt;2.5%),AND(BA29&gt;0,BC29&lt;6%)),"Yes","No"))</f>
        <v/>
      </c>
      <c r="BK29" s="248" t="inlineStr">
        <is>
          <t>No</t>
        </is>
      </c>
      <c r="BL29" s="248" t="inlineStr">
        <is>
          <t>No</t>
        </is>
      </c>
      <c r="BM29" s="248" t="inlineStr">
        <is>
          <t>No</t>
        </is>
      </c>
      <c r="BN29" s="248" t="inlineStr">
        <is>
          <t>No</t>
        </is>
      </c>
      <c r="BO29" s="248" t="inlineStr">
        <is>
          <t>No</t>
        </is>
      </c>
      <c r="BP29" s="248" t="inlineStr">
        <is>
          <t>No</t>
        </is>
      </c>
      <c r="BQ29" s="248" t="inlineStr">
        <is>
          <t>No</t>
        </is>
      </c>
      <c r="BR29" s="248" t="inlineStr">
        <is>
          <t>No</t>
        </is>
      </c>
      <c r="BS29" s="248" t="inlineStr">
        <is>
          <t>No</t>
        </is>
      </c>
      <c r="BT29" s="248" t="inlineStr">
        <is>
          <t>No</t>
        </is>
      </c>
      <c r="BU29" s="248" t="inlineStr">
        <is>
          <t>No</t>
        </is>
      </c>
      <c r="BV29" s="248" t="inlineStr">
        <is>
          <t>No</t>
        </is>
      </c>
      <c r="BW29" s="248" t="inlineStr">
        <is>
          <t>No</t>
        </is>
      </c>
      <c r="BX29" s="248" t="inlineStr">
        <is>
          <t>No</t>
        </is>
      </c>
      <c r="BY29" s="248" t="inlineStr">
        <is>
          <t>No</t>
        </is>
      </c>
      <c r="BZ29" s="248" t="inlineStr">
        <is>
          <t>No</t>
        </is>
      </c>
      <c r="CA29" s="248" t="inlineStr">
        <is>
          <t>Yes</t>
        </is>
      </c>
      <c r="CB29" s="537">
        <f>IF(B29="","",IF(AT29="No",((BB29+AW29)-$AZ$4),((BB29+AX29)-$AZ$4))*IF(DD29&gt;0,0,M29))</f>
        <v/>
      </c>
      <c r="CC29" s="537">
        <f>IF(B29="","",AY29*(L29-M29)*IF(DD29&gt;0,0,1))</f>
        <v/>
      </c>
      <c r="CD29" s="265" t="n"/>
      <c r="CE29" s="265">
        <f>IF(AND(B29&lt;&gt;"",R29&lt;=85%),1,0)</f>
        <v/>
      </c>
      <c r="CF29" s="265">
        <f>IF(B29="",0,(IF(OR(BF29="USD",BF29="CAD",BF29="GBP",BF29="AUD",BF29="EUR"),0,1)))</f>
        <v/>
      </c>
      <c r="CG29" s="265">
        <f>IF(B29="",0,(IF(OR(BG29="United States",BG29="Canada",BG29="United Kingdom",BG29="Australia",BG29="Netherlands Antilles",BG29="Bermuda",BG29="Cayman Islands",BG29="British Virgin Islands",BG29="Channel Islands",BG29="Isle of Man",BG29="Australia",BG29="Netherlands",BG29="Germany",BG29="Sweden",BG29="Switzerland",BG29="Austria",BG29="Belgium",BG29="Denmark",BG29="Finland",BG29="Iceland",BG29="Ireland",BG29="Lichtenstein",BG29="Luxemborg",BG29="Norway"),0,1)))</f>
        <v/>
      </c>
      <c r="CH29" s="265">
        <f>IF(BN29="Yes",1,0)</f>
        <v/>
      </c>
      <c r="CI29" s="265">
        <f>IF(BO29="Yes",1,0)</f>
        <v/>
      </c>
      <c r="CJ29" s="265">
        <f>IF(BP29="Yes",1,0)</f>
        <v/>
      </c>
      <c r="CK29" s="265">
        <f>IF(BQ29="Yes",1,0)</f>
        <v/>
      </c>
      <c r="CL29" s="265">
        <f>IF(BR29="Yes",1,0)</f>
        <v/>
      </c>
      <c r="CM29" s="265">
        <f>IF(BS29="Yes",1,0)</f>
        <v/>
      </c>
      <c r="CN29" s="265">
        <f>IF(OR(AND(BJ29="Yes",N29="No"),AND(BJ29="Yes",N29="Yes",P29&gt;=6)),1,0)</f>
        <v/>
      </c>
      <c r="CO29" s="265">
        <f>IF(BT29="Yes",1,0)</f>
        <v/>
      </c>
      <c r="CP29" s="265">
        <f>IF(AND(BU29="Yes",BV29="No"),1,0)</f>
        <v/>
      </c>
      <c r="CQ29" s="265">
        <f>IF(BW29="Yes",1,0)</f>
        <v/>
      </c>
      <c r="CR29" s="265">
        <f>IF(AP29="",0,IF(AP29&gt;7,1,0))</f>
        <v/>
      </c>
      <c r="CS29" s="265">
        <f>IF(OR(BD29&lt;&gt;"Monthly",BD29&lt;&gt;"Quarterly",BD29&lt;&gt;"Semi-Annually"),0,1)</f>
        <v/>
      </c>
      <c r="CT29" s="265">
        <f>IF(BX29="Yes",1,0)</f>
        <v/>
      </c>
      <c r="CU29" s="265">
        <f>IF(BY29="Yes",1,0)</f>
        <v/>
      </c>
      <c r="CV29" s="265">
        <f>IF(BZ29="Yes",1,0)</f>
        <v/>
      </c>
      <c r="CW29" s="265">
        <f>IF(CA29="No",1,0)</f>
        <v/>
      </c>
      <c r="CX29" s="265">
        <f>IF(B29="",0,IF(AK29&gt;=5000000,0,1))</f>
        <v/>
      </c>
      <c r="CY29" s="265">
        <f>IF(B29="",0,IF(AL29&gt;=5000000,0,1))</f>
        <v/>
      </c>
      <c r="CZ29" s="265">
        <f>IF(OR(DA29=1,DB29=1,DC29=1),0,IF(B29="",0,IF(OR(AND(AN29="Tier 1",X29="No",OR(AI29&gt;$AJ$3,AJ29&gt;$AJ$4)),(AND(AN29="Tier 1",X29="Yes",AJ29&gt;$AJ$5)),(AND(AN29="Tier 2",X29="No",OR(AI29&gt;$AK$3,AJ29&gt;$AK$4))),(AND(AN29="Tier 2",X29="Yes",AJ29&gt;$AK$5)),(AND(AN29="Tier 3",X29="No",OR(AI29&gt;$AL$3,AJ29&gt;$AL$4))),(AND(AN29="Tier 3",X29="Yes",AJ29&gt;$AL$5))),1,0)))</f>
        <v/>
      </c>
      <c r="DA29" s="265">
        <f>IF(OR(DB29=1,DC29=1),0,IF(B29="",0,IF(OR(AND(AN29="Tier 1",X29="No",OR(AI29&gt;$AM$3,AJ29&gt;$AM$4)),(AND(AN29="Tier 1",X29="Yes",AJ29&gt;$AM$5)),(AND(AN29="Tier 2",X29="No",OR(AI29&gt;$AN$3,AJ29&gt;$AN$4))),(AND(AN29="Tier 2",X29="Yes",AJ29&gt;$AN$5)),(AND(AN29="Tier 3",X29="No",OR(AI29&gt;$AO$3,AJ29&gt;$AO$4))),(AND(AN29="Tier 3",X29="Yes",AJ29&gt;$AO$5))),1,0)))</f>
        <v/>
      </c>
      <c r="DB29" s="265">
        <f>IF(DC29=1,0,IF(B29="",0,IF(OR(AND(AN29="Tier 1",X29="No",OR(AI29&gt;$AP$3,AJ29&gt;$AP$4)),(AND(AN29="Tier 1",X29="Yes",AJ29&gt;$AP$5)),(AND(AN29="Tier 2",X29="No",OR(AI29&gt;$AQ$3,AJ29&gt;$AQ$4))),(AND(AN29="Tier 2",X29="Yes",AJ29&gt;$AQ$5)),(AND(AN29="Tier 3",X29="No",OR(AI29&gt;$AR$3,AJ29&gt;$AR$4))),(AND(AN29="Tier 3",X29="Yes",AJ29&gt;$AR$5))),1,0)))</f>
        <v/>
      </c>
      <c r="DC29" s="265">
        <f>IF(B29="",0,IF(OR(AND(AN29="Tier 1",X29="No",OR(AI29&gt;$AS$3,AJ29&gt;$AS$4)),(AND(AN29="Tier 1",X29="Yes",AJ29&gt;$AS$5)),(AND(AN29="Tier 2",X29="No",OR(AI29&gt;$AT$3,AJ29&gt;$AT$4))),(AND(AN29="Tier 2",X29="Yes",AJ29&gt;$AT$5)),(AND(AN29="Tier 3",X29="No",OR(AI29&gt;$AU$3,AJ29&gt;$AU$4))),(AND(AN29="Tier 3",X29="Yes",AJ29&gt;$AU$5))),1,0))</f>
        <v/>
      </c>
      <c r="DD29" s="265">
        <f>IF((SUM(CE29:CX29)=0),0,W29)</f>
        <v/>
      </c>
      <c r="DE29" s="265">
        <f>IF(OR(B29="",DD29&gt;0),0,W29)</f>
        <v/>
      </c>
      <c r="DF29" s="265">
        <f>IF(B29="",0,IF(COUNTIF(CE29:CX29,1)&gt;0,0,L29-M29))</f>
        <v/>
      </c>
      <c r="DG29" s="265">
        <f>DE29+IF(DD29&gt;0,0,DF29)</f>
        <v/>
      </c>
      <c r="DH29" s="265">
        <f>IF(B29="","",M29+DF29)</f>
        <v/>
      </c>
      <c r="DI29" s="265">
        <f>IF(B29="",0,J29-K29)</f>
        <v/>
      </c>
      <c r="DJ29" s="265">
        <f>IF(OR(BF29="EUR",BF29="CAD",BF29="GBP",BF29="AUD"),(GA29*(1-V29))+(HG29)+IF(HX29="",0,HX29*(1-U29)),0)</f>
        <v/>
      </c>
      <c r="DK29" s="265">
        <f>IF(BF29="EUR",33%,IF(BF29="CAD",38%,IF(BF29="GBP",51%,IF(BF29="AUD",61%,0))))</f>
        <v/>
      </c>
      <c r="DL29" s="265">
        <f>DJ29*DK29</f>
        <v/>
      </c>
      <c r="DN29" s="538">
        <f>IF(OR(Y29="Second Lien",Y29="Tier 1 Split Lien",Y29="Tier 2 Split Lien"),DG29,0)</f>
        <v/>
      </c>
      <c r="DO29" s="539">
        <f>DN29*DN$6</f>
        <v/>
      </c>
      <c r="DP29" s="538">
        <f>DG29-DO29</f>
        <v/>
      </c>
      <c r="DQ29" s="538">
        <f>IF(Y29="Second Lien",DP29,0)</f>
        <v/>
      </c>
      <c r="DR29" s="539">
        <f>DQ29*DQ$6</f>
        <v/>
      </c>
      <c r="DS29" s="538">
        <f>DP29-DR29</f>
        <v/>
      </c>
      <c r="DT29" s="538">
        <f>IF(BH29="Yes",DS29,0)</f>
        <v/>
      </c>
      <c r="DU29" s="539">
        <f>DT29*DT$6</f>
        <v/>
      </c>
      <c r="DV29" s="538">
        <f>DS29-DU29</f>
        <v/>
      </c>
      <c r="DW29" s="538">
        <f>IF(OR(BG29="Canada",BG29="United Kingdom",BG29="Australia",BG29="Netherlands Antilles",BG29="Bermuda",BG29="Cayman Islands",BG29="British Virgin Islands",BG29="Channel Islands",BG29="Isle of Man",BG29="Australia",BG29="Netherlands",BG29="Germany",BG29="Sweden",BG29="Switzerland",BG29="Austria",BG29="Belgium",BG29="Denmark",BG29="Finland",BG29="Iceland",BG29="Ireland",BG29="Lichtenstein",BG29="Luxemborg",BG29="Norway"),DV29,0)</f>
        <v/>
      </c>
      <c r="DX29" s="539">
        <f>DW29*DW$6</f>
        <v/>
      </c>
      <c r="DY29" s="538">
        <f>DV29-DX29</f>
        <v/>
      </c>
      <c r="DZ29" s="538">
        <f>IF(BI29="Yes",DY29,0)</f>
        <v/>
      </c>
      <c r="EA29" s="539">
        <f>DZ29*DZ$6</f>
        <v/>
      </c>
      <c r="EB29" s="538">
        <f>DY29-EA29</f>
        <v/>
      </c>
      <c r="EC29" s="538">
        <f>IF(OR(Z29="Delayed Draw",Z29="Revolver"),EB29,0)</f>
        <v/>
      </c>
      <c r="ED29" s="539">
        <f>EC29*EC$6</f>
        <v/>
      </c>
      <c r="EE29" s="538">
        <f>EB29-ED29</f>
        <v/>
      </c>
      <c r="EF29" s="538">
        <f>IF(S29="Yes",EE29,0)</f>
        <v/>
      </c>
      <c r="EG29" s="539">
        <f>EF29*EF$6</f>
        <v/>
      </c>
      <c r="EH29" s="538">
        <f>EE29-EG29</f>
        <v/>
      </c>
      <c r="EI29" s="538">
        <f>IF(Q29="Yes",EH29,0)</f>
        <v/>
      </c>
      <c r="EJ29" s="539">
        <f>EI29*EI$6</f>
        <v/>
      </c>
      <c r="EK29" s="538">
        <f>EH29-EJ29</f>
        <v/>
      </c>
      <c r="EL29" s="538">
        <f>IF(BD29="Semi-Annually",EK29,0)</f>
        <v/>
      </c>
      <c r="EM29" s="539">
        <f>EL29*EL$6</f>
        <v/>
      </c>
      <c r="EN29" s="538">
        <f>EK29-EM29</f>
        <v/>
      </c>
      <c r="EO29" s="538">
        <f>IF(BK29="Yes",EN29,0)</f>
        <v/>
      </c>
      <c r="EP29" s="539">
        <f>EO29*EO$6</f>
        <v/>
      </c>
      <c r="EQ29" s="538">
        <f>EN29-EP29</f>
        <v/>
      </c>
      <c r="ER29" s="538">
        <f>IF(BL29="Yes",EQ29,0)</f>
        <v/>
      </c>
      <c r="ES29" s="539">
        <f>ER29*ER$6</f>
        <v/>
      </c>
      <c r="ET29" s="538">
        <f>EQ29-ES29</f>
        <v/>
      </c>
      <c r="EU29" s="538">
        <f>IF(BM29="Yes",ET29,0)</f>
        <v/>
      </c>
      <c r="EV29" s="539">
        <f>EU29*EU$6</f>
        <v/>
      </c>
      <c r="EW29" s="538">
        <f>ET29-EV29</f>
        <v/>
      </c>
      <c r="EX29" s="538">
        <f>IF(BV29="Yes",EW29,0)</f>
        <v/>
      </c>
      <c r="EY29" s="539">
        <f>EX29*EX$6</f>
        <v/>
      </c>
      <c r="EZ29" s="538">
        <f>EW29-EY29</f>
        <v/>
      </c>
      <c r="FA29" s="538">
        <f>IF(AR29="Yes",EZ29,0)</f>
        <v/>
      </c>
      <c r="FB29" s="539">
        <f>FA29*FA$6</f>
        <v/>
      </c>
      <c r="FC29" s="538">
        <f>EZ29-FB29</f>
        <v/>
      </c>
      <c r="FD29" s="538">
        <f>IF(OR(BF29="EUR",BF29="AUD",BF29="CAD",BF29="GBP"),FC29,0)</f>
        <v/>
      </c>
      <c r="FE29" s="539">
        <f>FD29*FD$6</f>
        <v/>
      </c>
      <c r="FF29" s="538">
        <f>FC29-FE29</f>
        <v/>
      </c>
      <c r="FG29" s="538">
        <f>FF29</f>
        <v/>
      </c>
      <c r="FH29" s="538">
        <f>IF(FF29=0,0,VLOOKUP(C29,$GU$10:$GV$406,2,FALSE)*FF29)</f>
        <v/>
      </c>
      <c r="FI29" s="538">
        <f>FF29-FH29</f>
        <v/>
      </c>
      <c r="FJ29" s="538">
        <f>FI29</f>
        <v/>
      </c>
      <c r="FK29" s="538">
        <f>IF(OR(IB29="",FI29&lt;0.01),,VLOOKUP(IB29,$GL$10:$GM$406,2,FALSE)*FI29)</f>
        <v/>
      </c>
      <c r="FL29" s="538">
        <f>FI29-FK29</f>
        <v/>
      </c>
      <c r="FM29" s="538">
        <f>FL29</f>
        <v/>
      </c>
      <c r="FN29" s="538">
        <f>IF(FL29=0,0,VLOOKUP(C29,$HD$10:$HE$406,2,FALSE)*FL29)</f>
        <v/>
      </c>
      <c r="FO29" s="538">
        <f>FL29-FN29</f>
        <v/>
      </c>
      <c r="FP29" s="538">
        <f>IF(SUM(CY29:DC29)&gt;0,0,IF(AND(AL29&gt;=5000000,AL29&lt;7500000),FO29,0))</f>
        <v/>
      </c>
      <c r="FQ29" s="539">
        <f>IF(B29="",0,FP29*FP$6*(1-$U29))</f>
        <v/>
      </c>
      <c r="FR29" s="538">
        <f>FO29-FQ29</f>
        <v/>
      </c>
      <c r="FS29" s="538">
        <f>IF(SUM(CY29:DC29)&gt;0,0,IF(AL29&lt;15000000,FR29,0))</f>
        <v/>
      </c>
      <c r="FT29" s="539">
        <f>IF(B29="",0,FS29*FS$6*(1-$U29))</f>
        <v/>
      </c>
      <c r="FU29" s="538">
        <f>FR29-FT29</f>
        <v/>
      </c>
      <c r="FV29" s="538">
        <f>IF(SUM(CY29:DC29)&gt;0,0,IF(OR(AND(X29="No",AN29="Tier 1",AI29&gt;$AG$3),AND(X29="No",AN29="Tier 2",AI29&gt;$AH$3),AND(X29="No",AN29="Tier 3",AI29&gt;$AI$3)),FU29,0))</f>
        <v/>
      </c>
      <c r="FW29" s="538">
        <f>IF(SUM(CY29:DC29)&gt;0,0,IF(OR(AND(X29="No",AN29="Tier 1",AJ29&gt;$AG$4),AND(X29="No",AN29="Tier 2",AJ29&gt;$AH$4),AND(X29="No",AN29="Tier 3",AJ29&gt;$AI$4)),FU29,0))</f>
        <v/>
      </c>
      <c r="FX29" s="538">
        <f>IF(SUM(CY29:DC29)&gt;0,0,IF(OR(AND(X29="Yes",AN29="Tier 1",AJ29&gt;$AG$5),AND(X29="Yes",AN29="Tier 2",AJ29&gt;$AH$5),AND(X29="Yes",AN29="Tier 3",AJ29&gt;$AI$5)),FU29,0))</f>
        <v/>
      </c>
      <c r="FY29" s="538">
        <f>IF(SUM(FV29:FX29)&gt;0,FU29,0)</f>
        <v/>
      </c>
      <c r="FZ29" s="539">
        <f>IF(B29="",0,FY29*FV$6*(1-MIN(90%,T29)))</f>
        <v/>
      </c>
      <c r="GA29" s="538">
        <f>FU29-FZ29</f>
        <v/>
      </c>
      <c r="GB29" s="538">
        <f>IF(AND(N29="No",DI29=0),GA29,IF(AND(N29="No",DI29&lt;&gt;0,K29=0),0,IF(AND(N29="No",DI29&lt;&gt;0,K29&gt;0,J29&lt;&gt;K29),MAX(0,M29-(DH29-GA29)),DG29)))</f>
        <v/>
      </c>
      <c r="GC29" s="540">
        <f>+GB29*V29</f>
        <v/>
      </c>
      <c r="GD29" s="138">
        <f>IFERROR(GC29/K29,"")</f>
        <v/>
      </c>
      <c r="GE29" s="541">
        <f>IF(IB29="","",IB29)</f>
        <v/>
      </c>
      <c r="GF29" s="538">
        <f t="array" ref="GF29">IF(SUM(IF(IB$9:IB28=IB29,1,0))&gt;0,0,SUMIF($IB$10:$IB$406,IB29,$FI$10:$FI$406))</f>
        <v/>
      </c>
      <c r="GG29" s="270">
        <f>GF29</f>
        <v/>
      </c>
      <c r="GH29" s="137">
        <f>GH28+1</f>
        <v/>
      </c>
      <c r="GI29" s="542">
        <f>LARGE($GG$10:$GG$406,GH29)</f>
        <v/>
      </c>
      <c r="GJ29" s="542">
        <f>IF(GH29&gt;GH$6,0,IF(GH29=$GH$2,$GJ$2,IF(GH29&lt;4,$GJ$3,$GJ$4)))</f>
        <v/>
      </c>
      <c r="GK29" s="489">
        <f>MAX(0,GI29-GJ29)</f>
        <v/>
      </c>
      <c r="GL29" s="137">
        <f t="array" ref="GL29">IF(GI29=0,0,LARGE(IF($GF$10:$GF$406=GI29,$GE$10:$GE$406,0),COUNTIF($GI$10:$GI$406,GI29)-COUNTIF(GI$9:GI28,GI29)))</f>
        <v/>
      </c>
      <c r="GM29" s="272">
        <f>IF(GI29=0,0,GK29/GI29)</f>
        <v/>
      </c>
      <c r="GO29" s="137">
        <f>IF(C29="","",IF(ISERROR(MATCH(C29,C$10:C28,0)),MAX(GO$10:GO28)+1,INDEX(GO$10:GO28,MATCH(C29,C$10:C28,0))))</f>
        <v/>
      </c>
      <c r="GP29" s="538">
        <f>IF(COUNTIF($A$10:A29,A29)&lt;=1,SUMIF($A$10:$A$406,A29,$FG$10:$FG$406),0)</f>
        <v/>
      </c>
      <c r="GQ29" s="137">
        <f>GQ28+1</f>
        <v/>
      </c>
      <c r="GR29" s="542">
        <f>LARGE($GP$10:$GP$406,GQ29)</f>
        <v/>
      </c>
      <c r="GS29" s="542">
        <f>IF(GQ29&gt;GQ$6,0,IF(GQ29&lt;=GQ$2,GS$2,IF(AND(GQ29&lt;=$GQ$3,GQ29&gt;$GQ$2),GS$3,GS$4)))</f>
        <v/>
      </c>
      <c r="GT29" s="489">
        <f>MAX(0,GR29-GS29)</f>
        <v/>
      </c>
      <c r="GU29" s="137">
        <f t="array" ref="GU29">IF(GR29=0,0,LARGE(IF($GP$10:$GP$406=GR29,$GO$10:$GO$406,0),COUNTIF($GR$10:$GR$406,GR29)-COUNTIF(GR$9:GR28,GR29)))</f>
        <v/>
      </c>
      <c r="GV29" s="272">
        <f>IF(GR29=0,0,GT29/GR29)</f>
        <v/>
      </c>
      <c r="GW29" s="272" t="n"/>
      <c r="GX29" s="137">
        <f>IF(C29="","",IF(ISERROR(MATCH(C29,C$10:C28,0)),MAX(GO$10:GO28)+1,INDEX(GO$10:GO28,MATCH(C29,C$10:C28,0))))</f>
        <v/>
      </c>
      <c r="GY29" s="538">
        <f>IF(COUNTIF($A$10:A29,A29)&lt;=1,SUMIF($A$10:$A$406,A29,$FG$10:$FG$406),0)</f>
        <v/>
      </c>
      <c r="GZ29" s="137">
        <f>GZ28+1</f>
        <v/>
      </c>
      <c r="HA29" s="542">
        <f>LARGE($GY$10:$GY$406,GZ29)</f>
        <v/>
      </c>
      <c r="HB29" s="543" t="inlineStr">
        <is>
          <t>-</t>
        </is>
      </c>
      <c r="HC29" s="489">
        <f>IF(GZ29&lt;6,MAX(0,$HC$2/5),0)</f>
        <v/>
      </c>
      <c r="HD29" s="137">
        <f t="array" ref="HD29">IF(HA29=0,0,LARGE(IF($GY$10:$GY$406=HA29,$GX$10:$GX$406,0),COUNTIF($HA$10:$HA$406,HA29)-COUNTIF(HA$9:HA28,HA29)))</f>
        <v/>
      </c>
      <c r="HE29" s="272">
        <f>IF(HA29=0,0,HC29/HA29)</f>
        <v/>
      </c>
      <c r="HG29" s="270">
        <f>DG29-GA29</f>
        <v/>
      </c>
      <c r="HH29" s="544" t="n">
        <v>0</v>
      </c>
      <c r="HI29" s="538">
        <f>MIN(HH29,DE29)</f>
        <v/>
      </c>
      <c r="HK29" s="137">
        <f>IF(COUNTIF($C$10:$C$406,HK28+1),HK28+1,"")</f>
        <v/>
      </c>
      <c r="HL29" s="538">
        <f>SUMIF($C$10:$C$406,HK29,$DG$10:$DG$406)</f>
        <v/>
      </c>
      <c r="HN29" s="521">
        <f>MIN(HO29:HS29)</f>
        <v/>
      </c>
      <c r="HO29" s="521">
        <f>IF(B29="","",$M29)</f>
        <v/>
      </c>
      <c r="HP29" s="521">
        <f>IF($N29="Yes",IF(P29&gt;=6,0,MIN($T29*$M29,$U29*$M29)),"")</f>
        <v/>
      </c>
      <c r="HQ29" s="521">
        <f>IF(AND(N29="Yes",P29&gt;=6),"",IF($S29="Yes",$R29*$M29,""))</f>
        <v/>
      </c>
      <c r="HR29" s="521">
        <f>IF($Q29="Yes",MIN($M29,$T29*$M29),"")</f>
        <v/>
      </c>
      <c r="HS29" s="521">
        <f>IF(AND($N29="Yes",$P29&gt;=6),"",IF(OR(CY29=1,DC29=1,),MIN($T29*$M29,$U29*$M29),IF(OR(CZ29=1,DA29=1,DB29=1),IF(AK29&gt;=5000000,MIN($T29*$M29,$IE29*$M29),MIN($T29*$M29,$U29*$M29)),"")))</f>
        <v/>
      </c>
      <c r="HT29" s="521">
        <f>IF(DD29&gt;0,DD29,"")</f>
        <v/>
      </c>
      <c r="HU29" s="522">
        <f>IF(B29="",0,$L29-$M29)</f>
        <v/>
      </c>
      <c r="HV29" s="274">
        <f>IF(OR(SUM(HP29:HT29)&gt;0,P29&gt;=6),"",IF($B29="","",1))</f>
        <v/>
      </c>
      <c r="HW29" s="522">
        <f>IF(AND($HT29&lt;&gt;0,OR(HT29&lt;=MIN(HP29:HS29),SUM(HP29:HS29)=0)),$HT29,0)</f>
        <v/>
      </c>
      <c r="HX29" s="522">
        <f>IF(AND($HS29&lt;&gt;0,OR(AND($HS29&lt;&gt;$HT29,$HS29&lt;&gt;$HR29,$HS29&lt;&gt;$HQ29,$HS29&lt;&gt;$HP29,$HS29&lt;MIN($HP29:$HR29),$HS29&lt;HT29),SUM($HP29:$HR29)+SUM(HT29)=0),IA29&lt;=0),$HS29,0)</f>
        <v/>
      </c>
      <c r="HY29" s="522">
        <f>IF(AND($HR29&lt;&gt;0,OR(AND($HR29&lt;&gt;$HT29,$HR29&lt;&gt;$HS29,$HR29&lt;&gt;$HQ29,$HR29&lt;&gt;$HP29),$HR29&lt;MIN($HP29:$HQ29),$HR29&lt;MIN($HS29:$HT29),SUM($HP29:$HQ29)+SUM($HS29:$HT29)=0)),$HR29,0)</f>
        <v/>
      </c>
      <c r="HZ29" s="522">
        <f>IF(AND($HQ29&lt;&gt;0,OR(AND($HQ29&lt;&gt;$HT29,HQ29&lt;&gt;HS29,HQ29&lt;&gt;HR29,HQ29&lt;&gt;HP29,HQ29&lt;MIN(HR29:HT29)),SUM(HP29)+SUM(HR29:HT29)=0)),$HQ29,0)</f>
        <v/>
      </c>
      <c r="IA29" s="522">
        <f>IF(AND($HP29&lt;&gt;0,OR(HP29&lt;=MIN(HQ29:HT29),SUM(HQ29:HT29)=0)),$HP29,0)</f>
        <v/>
      </c>
      <c r="IB29" s="545" t="n">
        <v>12</v>
      </c>
      <c r="IC29">
        <f>HU29=DF29</f>
        <v/>
      </c>
      <c r="IE29" s="351">
        <f>IF(B29="","",IF(AND(Y29="Second Lien",OR(CZ29=1,DA29=1,DB29=1)),50%,IF(CZ29=1,90%,IF(DA29=1,80%,IF(DB29=1,65%,"No Initial Haircut")))))</f>
        <v/>
      </c>
    </row>
    <row r="30">
      <c r="A30">
        <f>D30</f>
        <v/>
      </c>
      <c r="B30" s="242">
        <f>IF(D30="","",B29+1)</f>
        <v/>
      </c>
      <c r="C30" s="242">
        <f>IF(COUNTIF($A$10:A29,A30)&gt;0,C29,C29+1)</f>
        <v/>
      </c>
      <c r="D30" s="243" t="inlineStr">
        <is>
          <t>Lakeshore Holdings, LLC</t>
        </is>
      </c>
      <c r="E30" s="243" t="inlineStr">
        <is>
          <t>Lakeshore (Term Loan)</t>
        </is>
      </c>
      <c r="F30" s="244" t="n"/>
      <c r="G30" s="528" t="n">
        <v>20000000</v>
      </c>
      <c r="H30" s="528" t="n">
        <v>20000000</v>
      </c>
      <c r="I30" s="246" t="n">
        <v>1</v>
      </c>
      <c r="J30" s="529">
        <f>IF(B30="","",G30*I30)</f>
        <v/>
      </c>
      <c r="K30" s="529">
        <f>IF(B30="","",H30*I30)</f>
        <v/>
      </c>
      <c r="L30" s="529">
        <f>IF(B30="","",IF(COUNTIF($CE30:$CX30,1)&gt;0,0,J30))</f>
        <v/>
      </c>
      <c r="M30" s="529">
        <f>IF(B30="","",IF(COUNTIF($CE30:$CX30,1)&gt;0,0,K30))</f>
        <v/>
      </c>
      <c r="N30" s="248" t="inlineStr">
        <is>
          <t>No</t>
        </is>
      </c>
      <c r="O30" s="248" t="inlineStr">
        <is>
          <t>N/A</t>
        </is>
      </c>
      <c r="P30" s="249">
        <f>IF(B30="","",IF(OR(O30="N/A",O30=""),0,YEARFRAC('Borrowing Base'!$J$4,'Loan List'!O30)*12))</f>
        <v/>
      </c>
      <c r="Q30" s="248" t="inlineStr">
        <is>
          <t>No</t>
        </is>
      </c>
      <c r="R30" s="250" t="n">
        <v>0.995</v>
      </c>
      <c r="S30" s="251">
        <f>IF(B30="","",IF(R30&lt;95%,"Yes","No"))</f>
        <v/>
      </c>
      <c r="T30" s="250" t="n">
        <v>0.995</v>
      </c>
      <c r="U30" s="252">
        <f>IF(B30="","",IF(OR(Y30="First Lien",Y30="Split First Lien",Y30="Tier 1 Split Lien",Y30="Tier 2 Split Lien"),50%,30%))</f>
        <v/>
      </c>
      <c r="V30" s="252">
        <f>IF(B30="",0,IF(AND(Y30="First Lien",AN30="Tier 1"),IF(AND(X30="Yes",MIN(AH30,$AJ$5)&gt;4.5),(((4.5/MIN(AH30,$AJ$5))*72.5%)+(((MIN(AH30,$AJ$5)-4.5)/MIN(AH30,$AJ$5))*35%)),72.5%),IF(AND(Y30="First Lien",AN30="Tier 2"),IF(AND(X30="Yes",MIN(AH30,$AK$5)&gt;4.5),(((4.5/MIN(AH30,$AK$5))*72.5%)+(((MIN(AH30,$AK$5)-4.5)/MIN(AH30,$AK$5))*35%)),72.5%),IF(AND(X30="Yes",MIN(AH30,$AL$5)&gt;4),(((4/MIN(AH30,$AL$5))*72.5%)+(((MIN(AH30,$AL$5)-4)/MIN(AH30,$AL$5))*35%)),IF(OR(Y30="First Lien",Y30="Split First Lien"),72.5%,IF(Y30="Split Lien", 53%,35%))))))</f>
        <v/>
      </c>
      <c r="W30" s="530">
        <f>IF($C30="","",MIN($HO30:$HS30))</f>
        <v/>
      </c>
      <c r="X30" s="248" t="inlineStr">
        <is>
          <t>No</t>
        </is>
      </c>
      <c r="Y30" s="254" t="inlineStr">
        <is>
          <t>First Lien</t>
        </is>
      </c>
      <c r="Z30" s="254" t="inlineStr">
        <is>
          <t>Term Loan</t>
        </is>
      </c>
      <c r="AA30" s="531" t="inlineStr">
        <is>
          <t>NR</t>
        </is>
      </c>
      <c r="AB30" s="531" t="inlineStr">
        <is>
          <t xml:space="preserve"> NR</t>
        </is>
      </c>
      <c r="AC30" s="532" t="n">
        <v>1.833866181362357</v>
      </c>
      <c r="AD30" s="532" t="n">
        <v>0</v>
      </c>
      <c r="AE30" s="532" t="n">
        <v>0</v>
      </c>
      <c r="AF30" s="257" t="n">
        <v>0.3248128795367889</v>
      </c>
      <c r="AG30" s="533" t="n">
        <v>4.130376223399479</v>
      </c>
      <c r="AH30" s="533" t="n">
        <v>4.130376223399479</v>
      </c>
      <c r="AI30" s="533" t="n">
        <v>4.130376223399479</v>
      </c>
      <c r="AJ30" s="533" t="n">
        <v>4.130376223399479</v>
      </c>
      <c r="AK30" s="534" t="n">
        <v>33411000</v>
      </c>
      <c r="AL30" s="534" t="n">
        <v>33411000</v>
      </c>
      <c r="AM30" s="260" t="n">
        <v>45838</v>
      </c>
      <c r="AN30" s="529">
        <f>IF(C30="","",(IF(AK30&gt;=50000000,"Tier 1",(IF(OR(AK30&gt;=20000000,AND(AK30&gt;5000000,AC30&gt;=1.25,AF30&lt;=0.65)),"Tier 2","Tier 3")))))</f>
        <v/>
      </c>
      <c r="AO30" s="244" t="n">
        <v>48060</v>
      </c>
      <c r="AP30" s="535" t="n">
        <v>6</v>
      </c>
      <c r="AQ30" s="535">
        <f>IF(C30="","",AP30)</f>
        <v/>
      </c>
      <c r="AR30" s="248" t="inlineStr">
        <is>
          <t>No</t>
        </is>
      </c>
      <c r="AS30" s="250" t="n">
        <v>0</v>
      </c>
      <c r="AT30" s="248" t="inlineStr">
        <is>
          <t>Yes</t>
        </is>
      </c>
      <c r="AU30" s="250" t="n">
        <v>0.01</v>
      </c>
      <c r="AV30" s="250" t="n">
        <v>0.055</v>
      </c>
      <c r="AW30" s="250" t="n">
        <v>0.033079</v>
      </c>
      <c r="AX30" s="262">
        <f>IF(C30="","",MAX(AU30,AW30))</f>
        <v/>
      </c>
      <c r="AY30" s="250" t="n">
        <v>0</v>
      </c>
      <c r="AZ30" s="250" t="n">
        <v>0</v>
      </c>
      <c r="BA30" s="250" t="n">
        <v>0</v>
      </c>
      <c r="BB30" s="412">
        <f>IF(B30="","",IF(AR30="No",AV30-AZ30,""))</f>
        <v/>
      </c>
      <c r="BC30" s="412">
        <f>IF(B30="","",IF(AR30="Yes",AS30-BA30,""))</f>
        <v/>
      </c>
      <c r="BD30" s="254" t="inlineStr">
        <is>
          <t>Monthly</t>
        </is>
      </c>
      <c r="BE30" s="536" t="inlineStr">
        <is>
          <t>Professional Services</t>
        </is>
      </c>
      <c r="BF30" s="254" t="inlineStr">
        <is>
          <t>USD</t>
        </is>
      </c>
      <c r="BG30" s="254" t="inlineStr">
        <is>
          <t>United States</t>
        </is>
      </c>
      <c r="BH30" s="248" t="inlineStr">
        <is>
          <t>No</t>
        </is>
      </c>
      <c r="BI30" s="413">
        <f>IF(B30="","",IF(OR(AND(AZ30&gt;0,BB30&gt;=2.5%,BB30&lt;4%),AND(BA30&gt;0,BC30&gt;=6%,BC30&lt;8%)),"Yes","No"))</f>
        <v/>
      </c>
      <c r="BJ30" s="413">
        <f>IF(B30="","",IF(OR(AND(AZ30&gt;0,BB30&lt;2.5%),AND(BA30&gt;0,BC30&lt;6%)),"Yes","No"))</f>
        <v/>
      </c>
      <c r="BK30" s="248" t="inlineStr">
        <is>
          <t>No</t>
        </is>
      </c>
      <c r="BL30" s="248" t="inlineStr">
        <is>
          <t>No</t>
        </is>
      </c>
      <c r="BM30" s="248" t="inlineStr">
        <is>
          <t>No</t>
        </is>
      </c>
      <c r="BN30" s="248" t="inlineStr">
        <is>
          <t>No</t>
        </is>
      </c>
      <c r="BO30" s="248" t="inlineStr">
        <is>
          <t>No</t>
        </is>
      </c>
      <c r="BP30" s="248" t="inlineStr">
        <is>
          <t>No</t>
        </is>
      </c>
      <c r="BQ30" s="248" t="inlineStr">
        <is>
          <t>No</t>
        </is>
      </c>
      <c r="BR30" s="248" t="inlineStr">
        <is>
          <t>No</t>
        </is>
      </c>
      <c r="BS30" s="248" t="inlineStr">
        <is>
          <t>No</t>
        </is>
      </c>
      <c r="BT30" s="248" t="inlineStr">
        <is>
          <t>No</t>
        </is>
      </c>
      <c r="BU30" s="248" t="inlineStr">
        <is>
          <t>No</t>
        </is>
      </c>
      <c r="BV30" s="248" t="inlineStr">
        <is>
          <t>No</t>
        </is>
      </c>
      <c r="BW30" s="248" t="inlineStr">
        <is>
          <t>No</t>
        </is>
      </c>
      <c r="BX30" s="248" t="inlineStr">
        <is>
          <t>No</t>
        </is>
      </c>
      <c r="BY30" s="248" t="inlineStr">
        <is>
          <t>No</t>
        </is>
      </c>
      <c r="BZ30" s="248" t="inlineStr">
        <is>
          <t>No</t>
        </is>
      </c>
      <c r="CA30" s="248" t="inlineStr">
        <is>
          <t>Yes</t>
        </is>
      </c>
      <c r="CB30" s="537">
        <f>IF(B30="","",IF(AT30="No",((BB30+AW30)-$AZ$4),((BB30+AX30)-$AZ$4))*IF(DD30&gt;0,0,M30))</f>
        <v/>
      </c>
      <c r="CC30" s="537">
        <f>IF(B30="","",AY30*(L30-M30)*IF(DD30&gt;0,0,1))</f>
        <v/>
      </c>
      <c r="CD30" s="265" t="n"/>
      <c r="CE30" s="265">
        <f>IF(AND(B30&lt;&gt;"",R30&lt;=85%),1,0)</f>
        <v/>
      </c>
      <c r="CF30" s="265">
        <f>IF(B30="",0,(IF(OR(BF30="USD",BF30="CAD",BF30="GBP",BF30="AUD",BF30="EUR"),0,1)))</f>
        <v/>
      </c>
      <c r="CG30" s="265">
        <f>IF(B30="",0,(IF(OR(BG30="United States",BG30="Canada",BG30="United Kingdom",BG30="Australia",BG30="Netherlands Antilles",BG30="Bermuda",BG30="Cayman Islands",BG30="British Virgin Islands",BG30="Channel Islands",BG30="Isle of Man",BG30="Australia",BG30="Netherlands",BG30="Germany",BG30="Sweden",BG30="Switzerland",BG30="Austria",BG30="Belgium",BG30="Denmark",BG30="Finland",BG30="Iceland",BG30="Ireland",BG30="Lichtenstein",BG30="Luxemborg",BG30="Norway"),0,1)))</f>
        <v/>
      </c>
      <c r="CH30" s="265">
        <f>IF(BN30="Yes",1,0)</f>
        <v/>
      </c>
      <c r="CI30" s="265">
        <f>IF(BO30="Yes",1,0)</f>
        <v/>
      </c>
      <c r="CJ30" s="265">
        <f>IF(BP30="Yes",1,0)</f>
        <v/>
      </c>
      <c r="CK30" s="265">
        <f>IF(BQ30="Yes",1,0)</f>
        <v/>
      </c>
      <c r="CL30" s="265">
        <f>IF(BR30="Yes",1,0)</f>
        <v/>
      </c>
      <c r="CM30" s="265">
        <f>IF(BS30="Yes",1,0)</f>
        <v/>
      </c>
      <c r="CN30" s="265">
        <f>IF(OR(AND(BJ30="Yes",N30="No"),AND(BJ30="Yes",N30="Yes",P30&gt;=6)),1,0)</f>
        <v/>
      </c>
      <c r="CO30" s="265">
        <f>IF(BT30="Yes",1,0)</f>
        <v/>
      </c>
      <c r="CP30" s="265">
        <f>IF(AND(BU30="Yes",BV30="No"),1,0)</f>
        <v/>
      </c>
      <c r="CQ30" s="265">
        <f>IF(BW30="Yes",1,0)</f>
        <v/>
      </c>
      <c r="CR30" s="265">
        <f>IF(AP30="",0,IF(AP30&gt;7,1,0))</f>
        <v/>
      </c>
      <c r="CS30" s="265">
        <f>IF(OR(BD30&lt;&gt;"Monthly",BD30&lt;&gt;"Quarterly",BD30&lt;&gt;"Semi-Annually"),0,1)</f>
        <v/>
      </c>
      <c r="CT30" s="265">
        <f>IF(BX30="Yes",1,0)</f>
        <v/>
      </c>
      <c r="CU30" s="265">
        <f>IF(BY30="Yes",1,0)</f>
        <v/>
      </c>
      <c r="CV30" s="265">
        <f>IF(BZ30="Yes",1,0)</f>
        <v/>
      </c>
      <c r="CW30" s="265">
        <f>IF(CA30="No",1,0)</f>
        <v/>
      </c>
      <c r="CX30" s="265">
        <f>IF(B30="",0,IF(AK30&gt;=5000000,0,1))</f>
        <v/>
      </c>
      <c r="CY30" s="265">
        <f>IF(B30="",0,IF(AL30&gt;=5000000,0,1))</f>
        <v/>
      </c>
      <c r="CZ30" s="265">
        <f>IF(OR(DA30=1,DB30=1,DC30=1),0,IF(B30="",0,IF(OR(AND(AN30="Tier 1",X30="No",OR(AI30&gt;$AJ$3,AJ30&gt;$AJ$4)),(AND(AN30="Tier 1",X30="Yes",AJ30&gt;$AJ$5)),(AND(AN30="Tier 2",X30="No",OR(AI30&gt;$AK$3,AJ30&gt;$AK$4))),(AND(AN30="Tier 2",X30="Yes",AJ30&gt;$AK$5)),(AND(AN30="Tier 3",X30="No",OR(AI30&gt;$AL$3,AJ30&gt;$AL$4))),(AND(AN30="Tier 3",X30="Yes",AJ30&gt;$AL$5))),1,0)))</f>
        <v/>
      </c>
      <c r="DA30" s="265">
        <f>IF(OR(DB30=1,DC30=1),0,IF(B30="",0,IF(OR(AND(AN30="Tier 1",X30="No",OR(AI30&gt;$AM$3,AJ30&gt;$AM$4)),(AND(AN30="Tier 1",X30="Yes",AJ30&gt;$AM$5)),(AND(AN30="Tier 2",X30="No",OR(AI30&gt;$AN$3,AJ30&gt;$AN$4))),(AND(AN30="Tier 2",X30="Yes",AJ30&gt;$AN$5)),(AND(AN30="Tier 3",X30="No",OR(AI30&gt;$AO$3,AJ30&gt;$AO$4))),(AND(AN30="Tier 3",X30="Yes",AJ30&gt;$AO$5))),1,0)))</f>
        <v/>
      </c>
      <c r="DB30" s="265">
        <f>IF(DC30=1,0,IF(B30="",0,IF(OR(AND(AN30="Tier 1",X30="No",OR(AI30&gt;$AP$3,AJ30&gt;$AP$4)),(AND(AN30="Tier 1",X30="Yes",AJ30&gt;$AP$5)),(AND(AN30="Tier 2",X30="No",OR(AI30&gt;$AQ$3,AJ30&gt;$AQ$4))),(AND(AN30="Tier 2",X30="Yes",AJ30&gt;$AQ$5)),(AND(AN30="Tier 3",X30="No",OR(AI30&gt;$AR$3,AJ30&gt;$AR$4))),(AND(AN30="Tier 3",X30="Yes",AJ30&gt;$AR$5))),1,0)))</f>
        <v/>
      </c>
      <c r="DC30" s="265">
        <f>IF(B30="",0,IF(OR(AND(AN30="Tier 1",X30="No",OR(AI30&gt;$AS$3,AJ30&gt;$AS$4)),(AND(AN30="Tier 1",X30="Yes",AJ30&gt;$AS$5)),(AND(AN30="Tier 2",X30="No",OR(AI30&gt;$AT$3,AJ30&gt;$AT$4))),(AND(AN30="Tier 2",X30="Yes",AJ30&gt;$AT$5)),(AND(AN30="Tier 3",X30="No",OR(AI30&gt;$AU$3,AJ30&gt;$AU$4))),(AND(AN30="Tier 3",X30="Yes",AJ30&gt;$AU$5))),1,0))</f>
        <v/>
      </c>
      <c r="DD30" s="265">
        <f>IF((SUM(CE30:CX30)=0),0,W30)</f>
        <v/>
      </c>
      <c r="DE30" s="265">
        <f>IF(OR(B30="",DD30&gt;0),0,W30)</f>
        <v/>
      </c>
      <c r="DF30" s="265">
        <f>IF(B30="",0,IF(COUNTIF(CE30:CX30,1)&gt;0,0,L30-M30))</f>
        <v/>
      </c>
      <c r="DG30" s="265">
        <f>DE30+IF(DD30&gt;0,0,DF30)</f>
        <v/>
      </c>
      <c r="DH30" s="265">
        <f>IF(B30="","",M30+DF30)</f>
        <v/>
      </c>
      <c r="DI30" s="265">
        <f>IF(B30="",0,J30-K30)</f>
        <v/>
      </c>
      <c r="DJ30" s="265">
        <f>IF(OR(BF30="EUR",BF30="CAD",BF30="GBP",BF30="AUD"),(GA30*(1-V30))+(HG30)+IF(HX30="",0,HX30*(1-U30)),0)</f>
        <v/>
      </c>
      <c r="DK30" s="265">
        <f>IF(BF30="EUR",33%,IF(BF30="CAD",38%,IF(BF30="GBP",51%,IF(BF30="AUD",61%,0))))</f>
        <v/>
      </c>
      <c r="DL30" s="265">
        <f>DJ30*DK30</f>
        <v/>
      </c>
      <c r="DN30" s="538">
        <f>IF(OR(Y30="Second Lien",Y30="Tier 1 Split Lien",Y30="Tier 2 Split Lien"),DG30,0)</f>
        <v/>
      </c>
      <c r="DO30" s="539">
        <f>DN30*DN$6</f>
        <v/>
      </c>
      <c r="DP30" s="538">
        <f>DG30-DO30</f>
        <v/>
      </c>
      <c r="DQ30" s="538">
        <f>IF(Y30="Second Lien",DP30,0)</f>
        <v/>
      </c>
      <c r="DR30" s="539">
        <f>DQ30*DQ$6</f>
        <v/>
      </c>
      <c r="DS30" s="538">
        <f>DP30-DR30</f>
        <v/>
      </c>
      <c r="DT30" s="538">
        <f>IF(BH30="Yes",DS30,0)</f>
        <v/>
      </c>
      <c r="DU30" s="539">
        <f>DT30*DT$6</f>
        <v/>
      </c>
      <c r="DV30" s="538">
        <f>DS30-DU30</f>
        <v/>
      </c>
      <c r="DW30" s="538">
        <f>IF(OR(BG30="Canada",BG30="United Kingdom",BG30="Australia",BG30="Netherlands Antilles",BG30="Bermuda",BG30="Cayman Islands",BG30="British Virgin Islands",BG30="Channel Islands",BG30="Isle of Man",BG30="Australia",BG30="Netherlands",BG30="Germany",BG30="Sweden",BG30="Switzerland",BG30="Austria",BG30="Belgium",BG30="Denmark",BG30="Finland",BG30="Iceland",BG30="Ireland",BG30="Lichtenstein",BG30="Luxemborg",BG30="Norway"),DV30,0)</f>
        <v/>
      </c>
      <c r="DX30" s="539">
        <f>DW30*DW$6</f>
        <v/>
      </c>
      <c r="DY30" s="538">
        <f>DV30-DX30</f>
        <v/>
      </c>
      <c r="DZ30" s="538">
        <f>IF(BI30="Yes",DY30,0)</f>
        <v/>
      </c>
      <c r="EA30" s="539">
        <f>DZ30*DZ$6</f>
        <v/>
      </c>
      <c r="EB30" s="538">
        <f>DY30-EA30</f>
        <v/>
      </c>
      <c r="EC30" s="538">
        <f>IF(OR(Z30="Delayed Draw",Z30="Revolver"),EB30,0)</f>
        <v/>
      </c>
      <c r="ED30" s="539">
        <f>EC30*EC$6</f>
        <v/>
      </c>
      <c r="EE30" s="538">
        <f>EB30-ED30</f>
        <v/>
      </c>
      <c r="EF30" s="538">
        <f>IF(S30="Yes",EE30,0)</f>
        <v/>
      </c>
      <c r="EG30" s="539">
        <f>EF30*EF$6</f>
        <v/>
      </c>
      <c r="EH30" s="538">
        <f>EE30-EG30</f>
        <v/>
      </c>
      <c r="EI30" s="538">
        <f>IF(Q30="Yes",EH30,0)</f>
        <v/>
      </c>
      <c r="EJ30" s="539">
        <f>EI30*EI$6</f>
        <v/>
      </c>
      <c r="EK30" s="538">
        <f>EH30-EJ30</f>
        <v/>
      </c>
      <c r="EL30" s="538">
        <f>IF(BD30="Semi-Annually",EK30,0)</f>
        <v/>
      </c>
      <c r="EM30" s="539">
        <f>EL30*EL$6</f>
        <v/>
      </c>
      <c r="EN30" s="538">
        <f>EK30-EM30</f>
        <v/>
      </c>
      <c r="EO30" s="538">
        <f>IF(BK30="Yes",EN30,0)</f>
        <v/>
      </c>
      <c r="EP30" s="539">
        <f>EO30*EO$6</f>
        <v/>
      </c>
      <c r="EQ30" s="538">
        <f>EN30-EP30</f>
        <v/>
      </c>
      <c r="ER30" s="538">
        <f>IF(BL30="Yes",EQ30,0)</f>
        <v/>
      </c>
      <c r="ES30" s="539">
        <f>ER30*ER$6</f>
        <v/>
      </c>
      <c r="ET30" s="538">
        <f>EQ30-ES30</f>
        <v/>
      </c>
      <c r="EU30" s="538">
        <f>IF(BM30="Yes",ET30,0)</f>
        <v/>
      </c>
      <c r="EV30" s="539">
        <f>EU30*EU$6</f>
        <v/>
      </c>
      <c r="EW30" s="538">
        <f>ET30-EV30</f>
        <v/>
      </c>
      <c r="EX30" s="538">
        <f>IF(BV30="Yes",EW30,0)</f>
        <v/>
      </c>
      <c r="EY30" s="539">
        <f>EX30*EX$6</f>
        <v/>
      </c>
      <c r="EZ30" s="538">
        <f>EW30-EY30</f>
        <v/>
      </c>
      <c r="FA30" s="538">
        <f>IF(AR30="Yes",EZ30,0)</f>
        <v/>
      </c>
      <c r="FB30" s="539">
        <f>FA30*FA$6</f>
        <v/>
      </c>
      <c r="FC30" s="538">
        <f>EZ30-FB30</f>
        <v/>
      </c>
      <c r="FD30" s="538">
        <f>IF(OR(BF30="EUR",BF30="AUD",BF30="CAD",BF30="GBP"),FC30,0)</f>
        <v/>
      </c>
      <c r="FE30" s="539">
        <f>FD30*FD$6</f>
        <v/>
      </c>
      <c r="FF30" s="538">
        <f>FC30-FE30</f>
        <v/>
      </c>
      <c r="FG30" s="538">
        <f>FF30</f>
        <v/>
      </c>
      <c r="FH30" s="538">
        <f>IF(FF30=0,0,VLOOKUP(C30,$GU$10:$GV$406,2,FALSE)*FF30)</f>
        <v/>
      </c>
      <c r="FI30" s="538">
        <f>FF30-FH30</f>
        <v/>
      </c>
      <c r="FJ30" s="538">
        <f>FI30</f>
        <v/>
      </c>
      <c r="FK30" s="538">
        <f>IF(OR(IB30="",FI30&lt;0.01),,VLOOKUP(IB30,$GL$10:$GM$406,2,FALSE)*FI30)</f>
        <v/>
      </c>
      <c r="FL30" s="538">
        <f>FI30-FK30</f>
        <v/>
      </c>
      <c r="FM30" s="538">
        <f>FL30</f>
        <v/>
      </c>
      <c r="FN30" s="538">
        <f>IF(FL30=0,0,VLOOKUP(C30,$HD$10:$HE$406,2,FALSE)*FL30)</f>
        <v/>
      </c>
      <c r="FO30" s="538">
        <f>FL30-FN30</f>
        <v/>
      </c>
      <c r="FP30" s="538">
        <f>IF(SUM(CY30:DC30)&gt;0,0,IF(AND(AL30&gt;=5000000,AL30&lt;7500000),FO30,0))</f>
        <v/>
      </c>
      <c r="FQ30" s="539">
        <f>IF(B30="",0,FP30*FP$6*(1-$U30))</f>
        <v/>
      </c>
      <c r="FR30" s="538">
        <f>FO30-FQ30</f>
        <v/>
      </c>
      <c r="FS30" s="538">
        <f>IF(SUM(CY30:DC30)&gt;0,0,IF(AL30&lt;15000000,FR30,0))</f>
        <v/>
      </c>
      <c r="FT30" s="539">
        <f>IF(B30="",0,FS30*FS$6*(1-$U30))</f>
        <v/>
      </c>
      <c r="FU30" s="538">
        <f>FR30-FT30</f>
        <v/>
      </c>
      <c r="FV30" s="538">
        <f>IF(SUM(CY30:DC30)&gt;0,0,IF(OR(AND(X30="No",AN30="Tier 1",AI30&gt;$AG$3),AND(X30="No",AN30="Tier 2",AI30&gt;$AH$3),AND(X30="No",AN30="Tier 3",AI30&gt;$AI$3)),FU30,0))</f>
        <v/>
      </c>
      <c r="FW30" s="538">
        <f>IF(SUM(CY30:DC30)&gt;0,0,IF(OR(AND(X30="No",AN30="Tier 1",AJ30&gt;$AG$4),AND(X30="No",AN30="Tier 2",AJ30&gt;$AH$4),AND(X30="No",AN30="Tier 3",AJ30&gt;$AI$4)),FU30,0))</f>
        <v/>
      </c>
      <c r="FX30" s="538">
        <f>IF(SUM(CY30:DC30)&gt;0,0,IF(OR(AND(X30="Yes",AN30="Tier 1",AJ30&gt;$AG$5),AND(X30="Yes",AN30="Tier 2",AJ30&gt;$AH$5),AND(X30="Yes",AN30="Tier 3",AJ30&gt;$AI$5)),FU30,0))</f>
        <v/>
      </c>
      <c r="FY30" s="538">
        <f>IF(SUM(FV30:FX30)&gt;0,FU30,0)</f>
        <v/>
      </c>
      <c r="FZ30" s="539">
        <f>IF(B30="",0,FY30*FV$6*(1-MIN(90%,T30)))</f>
        <v/>
      </c>
      <c r="GA30" s="538">
        <f>FU30-FZ30</f>
        <v/>
      </c>
      <c r="GB30" s="538">
        <f>IF(AND(N30="No",DI30=0),GA30,IF(AND(N30="No",DI30&lt;&gt;0,K30=0),0,IF(AND(N30="No",DI30&lt;&gt;0,K30&gt;0,J30&lt;&gt;K30),MAX(0,M30-(DH30-GA30)),DG30)))</f>
        <v/>
      </c>
      <c r="GC30" s="540">
        <f>+GB30*V30</f>
        <v/>
      </c>
      <c r="GD30" s="138">
        <f>IFERROR(GC30/K30,"")</f>
        <v/>
      </c>
      <c r="GE30" s="541">
        <f>IF(IB30="","",IB30)</f>
        <v/>
      </c>
      <c r="GF30" s="538">
        <f t="array" ref="GF30">IF(SUM(IF(IB$9:IB29=IB30,1,0))&gt;0,0,SUMIF($IB$10:$IB$406,IB30,$FI$10:$FI$406))</f>
        <v/>
      </c>
      <c r="GG30" s="270">
        <f>GF30</f>
        <v/>
      </c>
      <c r="GH30" s="137">
        <f>GH29+1</f>
        <v/>
      </c>
      <c r="GI30" s="542">
        <f>LARGE($GG$10:$GG$406,GH30)</f>
        <v/>
      </c>
      <c r="GJ30" s="542">
        <f>IF(GH30&gt;GH$6,0,IF(GH30=$GH$2,$GJ$2,IF(GH30&lt;4,$GJ$3,$GJ$4)))</f>
        <v/>
      </c>
      <c r="GK30" s="489">
        <f>MAX(0,GI30-GJ30)</f>
        <v/>
      </c>
      <c r="GL30" s="137">
        <f t="array" ref="GL30">IF(GI30=0,0,LARGE(IF($GF$10:$GF$406=GI30,$GE$10:$GE$406,0),COUNTIF($GI$10:$GI$406,GI30)-COUNTIF(GI$9:GI29,GI30)))</f>
        <v/>
      </c>
      <c r="GM30" s="272">
        <f>IF(GI30=0,0,GK30/GI30)</f>
        <v/>
      </c>
      <c r="GO30" s="137">
        <f>IF(C30="","",IF(ISERROR(MATCH(C30,C$10:C29,0)),MAX(GO$10:GO29)+1,INDEX(GO$10:GO29,MATCH(C30,C$10:C29,0))))</f>
        <v/>
      </c>
      <c r="GP30" s="538">
        <f>IF(COUNTIF($A$10:A30,A30)&lt;=1,SUMIF($A$10:$A$406,A30,$FG$10:$FG$406),0)</f>
        <v/>
      </c>
      <c r="GQ30" s="137">
        <f>GQ29+1</f>
        <v/>
      </c>
      <c r="GR30" s="542">
        <f>LARGE($GP$10:$GP$406,GQ30)</f>
        <v/>
      </c>
      <c r="GS30" s="542">
        <f>IF(GQ30&gt;GQ$6,0,IF(GQ30&lt;=GQ$2,GS$2,IF(AND(GQ30&lt;=$GQ$3,GQ30&gt;$GQ$2),GS$3,GS$4)))</f>
        <v/>
      </c>
      <c r="GT30" s="489">
        <f>MAX(0,GR30-GS30)</f>
        <v/>
      </c>
      <c r="GU30" s="137">
        <f t="array" ref="GU30">IF(GR30=0,0,LARGE(IF($GP$10:$GP$406=GR30,$GO$10:$GO$406,0),COUNTIF($GR$10:$GR$406,GR30)-COUNTIF(GR$9:GR29,GR30)))</f>
        <v/>
      </c>
      <c r="GV30" s="272">
        <f>IF(GR30=0,0,GT30/GR30)</f>
        <v/>
      </c>
      <c r="GW30" s="272" t="n"/>
      <c r="GX30" s="137">
        <f>IF(C30="","",IF(ISERROR(MATCH(C30,C$10:C29,0)),MAX(GO$10:GO29)+1,INDEX(GO$10:GO29,MATCH(C30,C$10:C29,0))))</f>
        <v/>
      </c>
      <c r="GY30" s="538">
        <f>IF(COUNTIF($A$10:A30,A30)&lt;=1,SUMIF($A$10:$A$406,A30,$FG$10:$FG$406),0)</f>
        <v/>
      </c>
      <c r="GZ30" s="137">
        <f>GZ29+1</f>
        <v/>
      </c>
      <c r="HA30" s="542">
        <f>LARGE($GY$10:$GY$406,GZ30)</f>
        <v/>
      </c>
      <c r="HB30" s="543" t="inlineStr">
        <is>
          <t>-</t>
        </is>
      </c>
      <c r="HC30" s="489">
        <f>IF(GZ30&lt;6,MAX(0,$HC$2/5),0)</f>
        <v/>
      </c>
      <c r="HD30" s="137">
        <f t="array" ref="HD30">IF(HA30=0,0,LARGE(IF($GY$10:$GY$406=HA30,$GX$10:$GX$406,0),COUNTIF($HA$10:$HA$406,HA30)-COUNTIF(HA$9:HA29,HA30)))</f>
        <v/>
      </c>
      <c r="HE30" s="272">
        <f>IF(HA30=0,0,HC30/HA30)</f>
        <v/>
      </c>
      <c r="HG30" s="270">
        <f>DG30-GA30</f>
        <v/>
      </c>
      <c r="HH30" s="544" t="n">
        <v>0</v>
      </c>
      <c r="HI30" s="538">
        <f>MIN(HH30,DE30)</f>
        <v/>
      </c>
      <c r="HK30" s="137">
        <f>IF(COUNTIF($C$10:$C$406,HK29+1),HK29+1,"")</f>
        <v/>
      </c>
      <c r="HL30" s="538">
        <f>SUMIF($C$10:$C$406,HK30,$DG$10:$DG$406)</f>
        <v/>
      </c>
      <c r="HN30" s="521">
        <f>MIN(HO30:HS30)</f>
        <v/>
      </c>
      <c r="HO30" s="521">
        <f>IF(B30="","",$M30)</f>
        <v/>
      </c>
      <c r="HP30" s="521">
        <f>IF($N30="Yes",IF(P30&gt;=6,0,MIN($T30*$M30,$U30*$M30)),"")</f>
        <v/>
      </c>
      <c r="HQ30" s="521">
        <f>IF(AND(N30="Yes",P30&gt;=6),"",IF($S30="Yes",$R30*$M30,""))</f>
        <v/>
      </c>
      <c r="HR30" s="521">
        <f>IF($Q30="Yes",MIN($M30,$T30*$M30),"")</f>
        <v/>
      </c>
      <c r="HS30" s="521">
        <f>IF(AND($N30="Yes",$P30&gt;=6),"",IF(OR(CY30=1,DC30=1,),MIN($T30*$M30,$U30*$M30),IF(OR(CZ30=1,DA30=1,DB30=1),IF(AK30&gt;=5000000,MIN($T30*$M30,$IE30*$M30),MIN($T30*$M30,$U30*$M30)),"")))</f>
        <v/>
      </c>
      <c r="HT30" s="521">
        <f>IF(DD30&gt;0,DD30,"")</f>
        <v/>
      </c>
      <c r="HU30" s="522">
        <f>IF(B30="",0,$L30-$M30)</f>
        <v/>
      </c>
      <c r="HV30" s="274">
        <f>IF(OR(SUM(HP30:HT30)&gt;0,P30&gt;=6),"",IF($B30="","",1))</f>
        <v/>
      </c>
      <c r="HW30" s="522">
        <f>IF(AND($HT30&lt;&gt;0,OR(HT30&lt;=MIN(HP30:HS30),SUM(HP30:HS30)=0)),$HT30,0)</f>
        <v/>
      </c>
      <c r="HX30" s="522">
        <f>IF(AND($HS30&lt;&gt;0,OR(AND($HS30&lt;&gt;$HT30,$HS30&lt;&gt;$HR30,$HS30&lt;&gt;$HQ30,$HS30&lt;&gt;$HP30,$HS30&lt;MIN($HP30:$HR30),$HS30&lt;HT30),SUM($HP30:$HR30)+SUM(HT30)=0),IA30&lt;=0),$HS30,0)</f>
        <v/>
      </c>
      <c r="HY30" s="522">
        <f>IF(AND($HR30&lt;&gt;0,OR(AND($HR30&lt;&gt;$HT30,$HR30&lt;&gt;$HS30,$HR30&lt;&gt;$HQ30,$HR30&lt;&gt;$HP30),$HR30&lt;MIN($HP30:$HQ30),$HR30&lt;MIN($HS30:$HT30),SUM($HP30:$HQ30)+SUM($HS30:$HT30)=0)),$HR30,0)</f>
        <v/>
      </c>
      <c r="HZ30" s="522">
        <f>IF(AND($HQ30&lt;&gt;0,OR(AND($HQ30&lt;&gt;$HT30,HQ30&lt;&gt;HS30,HQ30&lt;&gt;HR30,HQ30&lt;&gt;HP30,HQ30&lt;MIN(HR30:HT30)),SUM(HP30)+SUM(HR30:HT30)=0)),$HQ30,0)</f>
        <v/>
      </c>
      <c r="IA30" s="522">
        <f>IF(AND($HP30&lt;&gt;0,OR(HP30&lt;=MIN(HQ30:HT30),SUM(HQ30:HT30)=0)),$HP30,0)</f>
        <v/>
      </c>
      <c r="IB30" s="545" t="n">
        <v>55</v>
      </c>
      <c r="IC30">
        <f>HU30=DF30</f>
        <v/>
      </c>
      <c r="IE30" s="351">
        <f>IF(B30="","",IF(AND(Y30="Second Lien",OR(CZ30=1,DA30=1,DB30=1)),50%,IF(CZ30=1,90%,IF(DA30=1,80%,IF(DB30=1,65%,"No Initial Haircut")))))</f>
        <v/>
      </c>
    </row>
    <row r="31">
      <c r="A31">
        <f>D31</f>
        <v/>
      </c>
      <c r="B31" s="242">
        <f>IF(D31="","",B30+1)</f>
        <v/>
      </c>
      <c r="C31" s="242">
        <f>IF(COUNTIF($A$10:A30,A31)&gt;0,C30,C30+1)</f>
        <v/>
      </c>
      <c r="D31" s="243" t="inlineStr">
        <is>
          <t>Windermere Holdings, LLC</t>
        </is>
      </c>
      <c r="E31" s="243" t="inlineStr">
        <is>
          <t>Windermere (Term Loan)</t>
        </is>
      </c>
      <c r="F31" s="244" t="n"/>
      <c r="G31" s="528" t="n">
        <v>4477772.23</v>
      </c>
      <c r="H31" s="528" t="n">
        <v>4477772.23</v>
      </c>
      <c r="I31" s="246" t="n">
        <v>1</v>
      </c>
      <c r="J31" s="529">
        <f>IF(B31="","",G31*I31)</f>
        <v/>
      </c>
      <c r="K31" s="529">
        <f>IF(B31="","",H31*I31)</f>
        <v/>
      </c>
      <c r="L31" s="529">
        <f>IF(B31="","",IF(COUNTIF($CE31:$CX31,1)&gt;0,0,J31))</f>
        <v/>
      </c>
      <c r="M31" s="529">
        <f>IF(B31="","",IF(COUNTIF($CE31:$CX31,1)&gt;0,0,K31))</f>
        <v/>
      </c>
      <c r="N31" s="248" t="inlineStr">
        <is>
          <t>No</t>
        </is>
      </c>
      <c r="O31" s="248" t="inlineStr">
        <is>
          <t>N/A</t>
        </is>
      </c>
      <c r="P31" s="249">
        <f>IF(B31="","",IF(OR(O31="N/A",O31=""),0,YEARFRAC('Borrowing Base'!$J$4,'Loan List'!O31)*12))</f>
        <v/>
      </c>
      <c r="Q31" s="248" t="inlineStr">
        <is>
          <t>No</t>
        </is>
      </c>
      <c r="R31" s="250" t="n">
        <v>0.99</v>
      </c>
      <c r="S31" s="251">
        <f>IF(B31="","",IF(R31&lt;95%,"Yes","No"))</f>
        <v/>
      </c>
      <c r="T31" s="250" t="n">
        <v>1</v>
      </c>
      <c r="U31" s="252">
        <f>IF(B31="","",IF(OR(Y31="First Lien",Y31="Split First Lien",Y31="Tier 1 Split Lien",Y31="Tier 2 Split Lien"),50%,30%))</f>
        <v/>
      </c>
      <c r="V31" s="252">
        <f>IF(B31="",0,IF(AND(Y31="First Lien",AN31="Tier 1"),IF(AND(X31="Yes",MIN(AH31,$AJ$5)&gt;4.5),(((4.5/MIN(AH31,$AJ$5))*72.5%)+(((MIN(AH31,$AJ$5)-4.5)/MIN(AH31,$AJ$5))*35%)),72.5%),IF(AND(Y31="First Lien",AN31="Tier 2"),IF(AND(X31="Yes",MIN(AH31,$AK$5)&gt;4.5),(((4.5/MIN(AH31,$AK$5))*72.5%)+(((MIN(AH31,$AK$5)-4.5)/MIN(AH31,$AK$5))*35%)),72.5%),IF(AND(X31="Yes",MIN(AH31,$AL$5)&gt;4),(((4/MIN(AH31,$AL$5))*72.5%)+(((MIN(AH31,$AL$5)-4)/MIN(AH31,$AL$5))*35%)),IF(OR(Y31="First Lien",Y31="Split First Lien"),72.5%,IF(Y31="Split Lien", 53%,35%))))))</f>
        <v/>
      </c>
      <c r="W31" s="530">
        <f>IF($C31="","",MIN($HO31:$HS31))</f>
        <v/>
      </c>
      <c r="X31" s="248" t="inlineStr">
        <is>
          <t>Yes</t>
        </is>
      </c>
      <c r="Y31" s="254" t="inlineStr">
        <is>
          <t>First Lien</t>
        </is>
      </c>
      <c r="Z31" s="254" t="inlineStr">
        <is>
          <t>Term</t>
        </is>
      </c>
      <c r="AA31" s="531" t="inlineStr">
        <is>
          <t>NR</t>
        </is>
      </c>
      <c r="AB31" s="531" t="inlineStr">
        <is>
          <t xml:space="preserve"> NR</t>
        </is>
      </c>
      <c r="AC31" s="532" t="n">
        <v>0</v>
      </c>
      <c r="AD31" s="532" t="n">
        <v>4.36</v>
      </c>
      <c r="AE31" s="532" t="n">
        <v>0.9694799218091852</v>
      </c>
      <c r="AF31" s="257" t="n">
        <v>0.1706539074960128</v>
      </c>
      <c r="AG31" s="533" t="n">
        <v>4.36</v>
      </c>
      <c r="AH31" s="533" t="n">
        <v>4.36</v>
      </c>
      <c r="AI31" s="533" t="n">
        <v>0.9694799218091852</v>
      </c>
      <c r="AJ31" s="533" t="n">
        <v>0.9694799218091852</v>
      </c>
      <c r="AK31" s="534" t="n">
        <v>24522040.5034298</v>
      </c>
      <c r="AL31" s="534" t="n">
        <v>98990608.17155206</v>
      </c>
      <c r="AM31" s="276" t="n">
        <v>45838</v>
      </c>
      <c r="AN31" s="529">
        <f>IF(C31="","",(IF(AK31&gt;=50000000,"Tier 1",(IF(OR(AK31&gt;=20000000,AND(AK31&gt;5000000,AC31&gt;=1.25,AF31&lt;=0.65)),"Tier 2","Tier 3")))))</f>
        <v/>
      </c>
      <c r="AO31" s="244" t="n">
        <v>46630</v>
      </c>
      <c r="AP31" s="535" t="n">
        <v>2.083333333333333</v>
      </c>
      <c r="AQ31" s="535">
        <f>IF(C31="","",AP31)</f>
        <v/>
      </c>
      <c r="AR31" s="248" t="inlineStr">
        <is>
          <t>No</t>
        </is>
      </c>
      <c r="AS31" s="250" t="n">
        <v>0</v>
      </c>
      <c r="AT31" s="248" t="inlineStr">
        <is>
          <t>Yes</t>
        </is>
      </c>
      <c r="AU31" s="250" t="n">
        <v>0.01</v>
      </c>
      <c r="AV31" s="250" t="n">
        <v>0.0535</v>
      </c>
      <c r="AW31" s="250" t="n">
        <v>0.042956</v>
      </c>
      <c r="AX31" s="262">
        <f>IF(C31="","",MAX(AU31,AW31))</f>
        <v/>
      </c>
      <c r="AY31" s="250" t="n">
        <v>0</v>
      </c>
      <c r="AZ31" s="250" t="n">
        <v>0</v>
      </c>
      <c r="BA31" s="250" t="n">
        <v>0</v>
      </c>
      <c r="BB31" s="412">
        <f>IF(B31="","",IF(AR31="No",AV31-AZ31,""))</f>
        <v/>
      </c>
      <c r="BC31" s="412">
        <f>IF(B31="","",IF(AR31="Yes",AS31-BA31,""))</f>
        <v/>
      </c>
      <c r="BD31" s="254" t="inlineStr">
        <is>
          <t>Quarterly</t>
        </is>
      </c>
      <c r="BE31" s="536" t="inlineStr">
        <is>
          <t>Leisure Products</t>
        </is>
      </c>
      <c r="BF31" s="254" t="inlineStr">
        <is>
          <t>USD</t>
        </is>
      </c>
      <c r="BG31" s="254" t="inlineStr">
        <is>
          <t>United States</t>
        </is>
      </c>
      <c r="BH31" s="248" t="inlineStr">
        <is>
          <t>No</t>
        </is>
      </c>
      <c r="BI31" s="413">
        <f>IF(B31="","",IF(OR(AND(AZ31&gt;0,BB31&gt;=2.5%,BB31&lt;4%),AND(BA31&gt;0,BC31&gt;=6%,BC31&lt;8%)),"Yes","No"))</f>
        <v/>
      </c>
      <c r="BJ31" s="413">
        <f>IF(B31="","",IF(OR(AND(AZ31&gt;0,BB31&lt;2.5%),AND(BA31&gt;0,BC31&lt;6%)),"Yes","No"))</f>
        <v/>
      </c>
      <c r="BK31" s="248" t="inlineStr">
        <is>
          <t>No</t>
        </is>
      </c>
      <c r="BL31" s="248" t="inlineStr">
        <is>
          <t>No</t>
        </is>
      </c>
      <c r="BM31" s="248" t="inlineStr">
        <is>
          <t>No</t>
        </is>
      </c>
      <c r="BN31" s="248" t="inlineStr">
        <is>
          <t>No</t>
        </is>
      </c>
      <c r="BO31" s="248" t="inlineStr">
        <is>
          <t>No</t>
        </is>
      </c>
      <c r="BP31" s="248" t="inlineStr">
        <is>
          <t>No</t>
        </is>
      </c>
      <c r="BQ31" s="248" t="inlineStr">
        <is>
          <t>No</t>
        </is>
      </c>
      <c r="BR31" s="248" t="inlineStr">
        <is>
          <t>No</t>
        </is>
      </c>
      <c r="BS31" s="248" t="inlineStr">
        <is>
          <t>No</t>
        </is>
      </c>
      <c r="BT31" s="248" t="inlineStr">
        <is>
          <t>No</t>
        </is>
      </c>
      <c r="BU31" s="248" t="inlineStr">
        <is>
          <t>No</t>
        </is>
      </c>
      <c r="BV31" s="248" t="inlineStr">
        <is>
          <t>No</t>
        </is>
      </c>
      <c r="BW31" s="248" t="inlineStr">
        <is>
          <t>No</t>
        </is>
      </c>
      <c r="BX31" s="248" t="inlineStr">
        <is>
          <t>No</t>
        </is>
      </c>
      <c r="BY31" s="248" t="inlineStr">
        <is>
          <t>No</t>
        </is>
      </c>
      <c r="BZ31" s="248" t="inlineStr">
        <is>
          <t>No</t>
        </is>
      </c>
      <c r="CA31" s="248" t="inlineStr">
        <is>
          <t>Yes</t>
        </is>
      </c>
      <c r="CB31" s="537">
        <f>IF(B31="","",IF(AT31="No",((BB31+AW31)-$AZ$4),((BB31+AX31)-$AZ$4))*IF(DD31&gt;0,0,M31))</f>
        <v/>
      </c>
      <c r="CC31" s="537">
        <f>IF(B31="","",AY31*(L31-M31)*IF(DD31&gt;0,0,1))</f>
        <v/>
      </c>
      <c r="CD31" s="265" t="n"/>
      <c r="CE31" s="265">
        <f>IF(AND(B31&lt;&gt;"",R31&lt;=85%),1,0)</f>
        <v/>
      </c>
      <c r="CF31" s="265">
        <f>IF(B31="",0,(IF(OR(BF31="USD",BF31="CAD",BF31="GBP",BF31="AUD",BF31="EUR"),0,1)))</f>
        <v/>
      </c>
      <c r="CG31" s="265">
        <f>IF(B31="",0,(IF(OR(BG31="United States",BG31="Canada",BG31="United Kingdom",BG31="Australia",BG31="Netherlands Antilles",BG31="Bermuda",BG31="Cayman Islands",BG31="British Virgin Islands",BG31="Channel Islands",BG31="Isle of Man",BG31="Australia",BG31="Netherlands",BG31="Germany",BG31="Sweden",BG31="Switzerland",BG31="Austria",BG31="Belgium",BG31="Denmark",BG31="Finland",BG31="Iceland",BG31="Ireland",BG31="Lichtenstein",BG31="Luxemborg",BG31="Norway"),0,1)))</f>
        <v/>
      </c>
      <c r="CH31" s="265">
        <f>IF(BN31="Yes",1,0)</f>
        <v/>
      </c>
      <c r="CI31" s="265">
        <f>IF(BO31="Yes",1,0)</f>
        <v/>
      </c>
      <c r="CJ31" s="265">
        <f>IF(BP31="Yes",1,0)</f>
        <v/>
      </c>
      <c r="CK31" s="265">
        <f>IF(BQ31="Yes",1,0)</f>
        <v/>
      </c>
      <c r="CL31" s="265">
        <f>IF(BR31="Yes",1,0)</f>
        <v/>
      </c>
      <c r="CM31" s="265">
        <f>IF(BS31="Yes",1,0)</f>
        <v/>
      </c>
      <c r="CN31" s="265">
        <f>IF(OR(AND(BJ31="Yes",N31="No"),AND(BJ31="Yes",N31="Yes",P31&gt;=6)),1,0)</f>
        <v/>
      </c>
      <c r="CO31" s="265">
        <f>IF(BT31="Yes",1,0)</f>
        <v/>
      </c>
      <c r="CP31" s="265">
        <f>IF(AND(BU31="Yes",BV31="No"),1,0)</f>
        <v/>
      </c>
      <c r="CQ31" s="265">
        <f>IF(BW31="Yes",1,0)</f>
        <v/>
      </c>
      <c r="CR31" s="265">
        <f>IF(AP31="",0,IF(AP31&gt;7,1,0))</f>
        <v/>
      </c>
      <c r="CS31" s="265">
        <f>IF(OR(BD31&lt;&gt;"Monthly",BD31&lt;&gt;"Quarterly",BD31&lt;&gt;"Semi-Annually"),0,1)</f>
        <v/>
      </c>
      <c r="CT31" s="265">
        <f>IF(BX31="Yes",1,0)</f>
        <v/>
      </c>
      <c r="CU31" s="265">
        <f>IF(BY31="Yes",1,0)</f>
        <v/>
      </c>
      <c r="CV31" s="265">
        <f>IF(BZ31="Yes",1,0)</f>
        <v/>
      </c>
      <c r="CW31" s="265">
        <f>IF(CA31="No",1,0)</f>
        <v/>
      </c>
      <c r="CX31" s="265">
        <f>IF(B31="",0,IF(AK31&gt;=5000000,0,1))</f>
        <v/>
      </c>
      <c r="CY31" s="265">
        <f>IF(B31="",0,IF(AL31&gt;=5000000,0,1))</f>
        <v/>
      </c>
      <c r="CZ31" s="265">
        <f>IF(OR(DA31=1,DB31=1,DC31=1),0,IF(B31="",0,IF(OR(AND(AN31="Tier 1",X31="No",OR(AI31&gt;$AJ$3,AJ31&gt;$AJ$4)),(AND(AN31="Tier 1",X31="Yes",AJ31&gt;$AJ$5)),(AND(AN31="Tier 2",X31="No",OR(AI31&gt;$AK$3,AJ31&gt;$AK$4))),(AND(AN31="Tier 2",X31="Yes",AJ31&gt;$AK$5)),(AND(AN31="Tier 3",X31="No",OR(AI31&gt;$AL$3,AJ31&gt;$AL$4))),(AND(AN31="Tier 3",X31="Yes",AJ31&gt;$AL$5))),1,0)))</f>
        <v/>
      </c>
      <c r="DA31" s="265">
        <f>IF(OR(DB31=1,DC31=1),0,IF(B31="",0,IF(OR(AND(AN31="Tier 1",X31="No",OR(AI31&gt;$AM$3,AJ31&gt;$AM$4)),(AND(AN31="Tier 1",X31="Yes",AJ31&gt;$AM$5)),(AND(AN31="Tier 2",X31="No",OR(AI31&gt;$AN$3,AJ31&gt;$AN$4))),(AND(AN31="Tier 2",X31="Yes",AJ31&gt;$AN$5)),(AND(AN31="Tier 3",X31="No",OR(AI31&gt;$AO$3,AJ31&gt;$AO$4))),(AND(AN31="Tier 3",X31="Yes",AJ31&gt;$AO$5))),1,0)))</f>
        <v/>
      </c>
      <c r="DB31" s="265">
        <f>IF(DC31=1,0,IF(B31="",0,IF(OR(AND(AN31="Tier 1",X31="No",OR(AI31&gt;$AP$3,AJ31&gt;$AP$4)),(AND(AN31="Tier 1",X31="Yes",AJ31&gt;$AP$5)),(AND(AN31="Tier 2",X31="No",OR(AI31&gt;$AQ$3,AJ31&gt;$AQ$4))),(AND(AN31="Tier 2",X31="Yes",AJ31&gt;$AQ$5)),(AND(AN31="Tier 3",X31="No",OR(AI31&gt;$AR$3,AJ31&gt;$AR$4))),(AND(AN31="Tier 3",X31="Yes",AJ31&gt;$AR$5))),1,0)))</f>
        <v/>
      </c>
      <c r="DC31" s="265">
        <f>IF(B31="",0,IF(OR(AND(AN31="Tier 1",X31="No",OR(AI31&gt;$AS$3,AJ31&gt;$AS$4)),(AND(AN31="Tier 1",X31="Yes",AJ31&gt;$AS$5)),(AND(AN31="Tier 2",X31="No",OR(AI31&gt;$AT$3,AJ31&gt;$AT$4))),(AND(AN31="Tier 2",X31="Yes",AJ31&gt;$AT$5)),(AND(AN31="Tier 3",X31="No",OR(AI31&gt;$AU$3,AJ31&gt;$AU$4))),(AND(AN31="Tier 3",X31="Yes",AJ31&gt;$AU$5))),1,0))</f>
        <v/>
      </c>
      <c r="DD31" s="265">
        <f>IF((SUM(CE31:CX31)=0),0,W31)</f>
        <v/>
      </c>
      <c r="DE31" s="265">
        <f>IF(OR(B31="",DD31&gt;0),0,W31)</f>
        <v/>
      </c>
      <c r="DF31" s="265">
        <f>IF(B31="",0,IF(COUNTIF(CE31:CX31,1)&gt;0,0,L31-M31))</f>
        <v/>
      </c>
      <c r="DG31" s="265">
        <f>DE31+IF(DD31&gt;0,0,DF31)</f>
        <v/>
      </c>
      <c r="DH31" s="265">
        <f>IF(B31="","",M31+DF31)</f>
        <v/>
      </c>
      <c r="DI31" s="265">
        <f>IF(B31="",0,J31-K31)</f>
        <v/>
      </c>
      <c r="DJ31" s="265">
        <f>IF(OR(BF31="EUR",BF31="CAD",BF31="GBP",BF31="AUD"),(GA31*(1-V31))+(HG31)+IF(HX31="",0,HX31*(1-U31)),0)</f>
        <v/>
      </c>
      <c r="DK31" s="265">
        <f>IF(BF31="EUR",33%,IF(BF31="CAD",38%,IF(BF31="GBP",51%,IF(BF31="AUD",61%,0))))</f>
        <v/>
      </c>
      <c r="DL31" s="265">
        <f>DJ31*DK31</f>
        <v/>
      </c>
      <c r="DN31" s="538">
        <f>IF(OR(Y31="Second Lien",Y31="Tier 1 Split Lien",Y31="Tier 2 Split Lien"),DG31,0)</f>
        <v/>
      </c>
      <c r="DO31" s="539">
        <f>DN31*DN$6</f>
        <v/>
      </c>
      <c r="DP31" s="538">
        <f>DG31-DO31</f>
        <v/>
      </c>
      <c r="DQ31" s="538">
        <f>IF(Y31="Second Lien",DP31,0)</f>
        <v/>
      </c>
      <c r="DR31" s="539">
        <f>DQ31*DQ$6</f>
        <v/>
      </c>
      <c r="DS31" s="538">
        <f>DP31-DR31</f>
        <v/>
      </c>
      <c r="DT31" s="538">
        <f>IF(BH31="Yes",DS31,0)</f>
        <v/>
      </c>
      <c r="DU31" s="539">
        <f>DT31*DT$6</f>
        <v/>
      </c>
      <c r="DV31" s="538">
        <f>DS31-DU31</f>
        <v/>
      </c>
      <c r="DW31" s="538">
        <f>IF(OR(BG31="Canada",BG31="United Kingdom",BG31="Australia",BG31="Netherlands Antilles",BG31="Bermuda",BG31="Cayman Islands",BG31="British Virgin Islands",BG31="Channel Islands",BG31="Isle of Man",BG31="Australia",BG31="Netherlands",BG31="Germany",BG31="Sweden",BG31="Switzerland",BG31="Austria",BG31="Belgium",BG31="Denmark",BG31="Finland",BG31="Iceland",BG31="Ireland",BG31="Lichtenstein",BG31="Luxemborg",BG31="Norway"),DV31,0)</f>
        <v/>
      </c>
      <c r="DX31" s="539">
        <f>DW31*DW$6</f>
        <v/>
      </c>
      <c r="DY31" s="538">
        <f>DV31-DX31</f>
        <v/>
      </c>
      <c r="DZ31" s="538">
        <f>IF(BI31="Yes",DY31,0)</f>
        <v/>
      </c>
      <c r="EA31" s="539">
        <f>DZ31*DZ$6</f>
        <v/>
      </c>
      <c r="EB31" s="538">
        <f>DY31-EA31</f>
        <v/>
      </c>
      <c r="EC31" s="538">
        <f>IF(OR(Z31="Delayed Draw",Z31="Revolver"),EB31,0)</f>
        <v/>
      </c>
      <c r="ED31" s="539">
        <f>EC31*EC$6</f>
        <v/>
      </c>
      <c r="EE31" s="538">
        <f>EB31-ED31</f>
        <v/>
      </c>
      <c r="EF31" s="538">
        <f>IF(S31="Yes",EE31,0)</f>
        <v/>
      </c>
      <c r="EG31" s="539">
        <f>EF31*EF$6</f>
        <v/>
      </c>
      <c r="EH31" s="538">
        <f>EE31-EG31</f>
        <v/>
      </c>
      <c r="EI31" s="538">
        <f>IF(Q31="Yes",EH31,0)</f>
        <v/>
      </c>
      <c r="EJ31" s="539">
        <f>EI31*EI$6</f>
        <v/>
      </c>
      <c r="EK31" s="538">
        <f>EH31-EJ31</f>
        <v/>
      </c>
      <c r="EL31" s="538">
        <f>IF(BD31="Semi-Annually",EK31,0)</f>
        <v/>
      </c>
      <c r="EM31" s="539">
        <f>EL31*EL$6</f>
        <v/>
      </c>
      <c r="EN31" s="538">
        <f>EK31-EM31</f>
        <v/>
      </c>
      <c r="EO31" s="538">
        <f>IF(BK31="Yes",EN31,0)</f>
        <v/>
      </c>
      <c r="EP31" s="539">
        <f>EO31*EO$6</f>
        <v/>
      </c>
      <c r="EQ31" s="538">
        <f>EN31-EP31</f>
        <v/>
      </c>
      <c r="ER31" s="538">
        <f>IF(BL31="Yes",EQ31,0)</f>
        <v/>
      </c>
      <c r="ES31" s="539">
        <f>ER31*ER$6</f>
        <v/>
      </c>
      <c r="ET31" s="538">
        <f>EQ31-ES31</f>
        <v/>
      </c>
      <c r="EU31" s="538">
        <f>IF(BM31="Yes",ET31,0)</f>
        <v/>
      </c>
      <c r="EV31" s="539">
        <f>EU31*EU$6</f>
        <v/>
      </c>
      <c r="EW31" s="538">
        <f>ET31-EV31</f>
        <v/>
      </c>
      <c r="EX31" s="538">
        <f>IF(BV31="Yes",EW31,0)</f>
        <v/>
      </c>
      <c r="EY31" s="539">
        <f>EX31*EX$6</f>
        <v/>
      </c>
      <c r="EZ31" s="538">
        <f>EW31-EY31</f>
        <v/>
      </c>
      <c r="FA31" s="538">
        <f>IF(AR31="Yes",EZ31,0)</f>
        <v/>
      </c>
      <c r="FB31" s="539">
        <f>FA31*FA$6</f>
        <v/>
      </c>
      <c r="FC31" s="538">
        <f>EZ31-FB31</f>
        <v/>
      </c>
      <c r="FD31" s="538">
        <f>IF(OR(BF31="EUR",BF31="AUD",BF31="CAD",BF31="GBP"),FC31,0)</f>
        <v/>
      </c>
      <c r="FE31" s="539">
        <f>FD31*FD$6</f>
        <v/>
      </c>
      <c r="FF31" s="538">
        <f>FC31-FE31</f>
        <v/>
      </c>
      <c r="FG31" s="538">
        <f>FF31</f>
        <v/>
      </c>
      <c r="FH31" s="538">
        <f>IF(FF31=0,0,VLOOKUP(C31,$GU$10:$GV$406,2,FALSE)*FF31)</f>
        <v/>
      </c>
      <c r="FI31" s="538">
        <f>FF31-FH31</f>
        <v/>
      </c>
      <c r="FJ31" s="538">
        <f>FI31</f>
        <v/>
      </c>
      <c r="FK31" s="538">
        <f>IF(OR(IB31="",FI31&lt;0.01),,VLOOKUP(IB31,$GL$10:$GM$406,2,FALSE)*FI31)</f>
        <v/>
      </c>
      <c r="FL31" s="538">
        <f>FI31-FK31</f>
        <v/>
      </c>
      <c r="FM31" s="538">
        <f>FL31</f>
        <v/>
      </c>
      <c r="FN31" s="538">
        <f>IF(FL31=0,0,VLOOKUP(C31,$HD$10:$HE$406,2,FALSE)*FL31)</f>
        <v/>
      </c>
      <c r="FO31" s="538">
        <f>FL31-FN31</f>
        <v/>
      </c>
      <c r="FP31" s="538">
        <f>IF(SUM(CY31:DC31)&gt;0,0,IF(AND(AL31&gt;=5000000,AL31&lt;7500000),FO31,0))</f>
        <v/>
      </c>
      <c r="FQ31" s="539">
        <f>IF(B31="",0,FP31*FP$6*(1-$U31))</f>
        <v/>
      </c>
      <c r="FR31" s="538">
        <f>FO31-FQ31</f>
        <v/>
      </c>
      <c r="FS31" s="538">
        <f>IF(SUM(CY31:DC31)&gt;0,0,IF(AL31&lt;15000000,FR31,0))</f>
        <v/>
      </c>
      <c r="FT31" s="539">
        <f>IF(B31="",0,FS31*FS$6*(1-$U31))</f>
        <v/>
      </c>
      <c r="FU31" s="538">
        <f>FR31-FT31</f>
        <v/>
      </c>
      <c r="FV31" s="538">
        <f>IF(SUM(CY31:DC31)&gt;0,0,IF(OR(AND(X31="No",AN31="Tier 1",AI31&gt;$AG$3),AND(X31="No",AN31="Tier 2",AI31&gt;$AH$3),AND(X31="No",AN31="Tier 3",AI31&gt;$AI$3)),FU31,0))</f>
        <v/>
      </c>
      <c r="FW31" s="538">
        <f>IF(SUM(CY31:DC31)&gt;0,0,IF(OR(AND(X31="No",AN31="Tier 1",AJ31&gt;$AG$4),AND(X31="No",AN31="Tier 2",AJ31&gt;$AH$4),AND(X31="No",AN31="Tier 3",AJ31&gt;$AI$4)),FU31,0))</f>
        <v/>
      </c>
      <c r="FX31" s="538">
        <f>IF(SUM(CY31:DC31)&gt;0,0,IF(OR(AND(X31="Yes",AN31="Tier 1",AJ31&gt;$AG$5),AND(X31="Yes",AN31="Tier 2",AJ31&gt;$AH$5),AND(X31="Yes",AN31="Tier 3",AJ31&gt;$AI$5)),FU31,0))</f>
        <v/>
      </c>
      <c r="FY31" s="538">
        <f>IF(SUM(FV31:FX31)&gt;0,FU31,0)</f>
        <v/>
      </c>
      <c r="FZ31" s="539">
        <f>IF(B31="",0,FY31*FV$6*(1-MIN(90%,T31)))</f>
        <v/>
      </c>
      <c r="GA31" s="538">
        <f>FU31-FZ31</f>
        <v/>
      </c>
      <c r="GB31" s="538">
        <f>IF(AND(N31="No",DI31=0),GA31,IF(AND(N31="No",DI31&lt;&gt;0,K31=0),0,IF(AND(N31="No",DI31&lt;&gt;0,K31&gt;0,J31&lt;&gt;K31),MAX(0,M31-(DH31-GA31)),DG31)))</f>
        <v/>
      </c>
      <c r="GC31" s="540">
        <f>+GB31*V31</f>
        <v/>
      </c>
      <c r="GD31" s="138">
        <f>IFERROR(GC31/K31,"")</f>
        <v/>
      </c>
      <c r="GE31" s="541">
        <f>IF(IB31="","",IB31)</f>
        <v/>
      </c>
      <c r="GF31" s="538">
        <f t="array" ref="GF31">IF(SUM(IF(IB$9:IB30=IB31,1,0))&gt;0,0,SUMIF($IB$10:$IB$406,IB31,$FI$10:$FI$406))</f>
        <v/>
      </c>
      <c r="GG31" s="270">
        <f>GF31</f>
        <v/>
      </c>
      <c r="GH31" s="137">
        <f>GH30+1</f>
        <v/>
      </c>
      <c r="GI31" s="542">
        <f>LARGE($GG$10:$GG$406,GH31)</f>
        <v/>
      </c>
      <c r="GJ31" s="542">
        <f>IF(GH31&gt;GH$6,0,IF(GH31=$GH$2,$GJ$2,IF(GH31&lt;4,$GJ$3,$GJ$4)))</f>
        <v/>
      </c>
      <c r="GK31" s="489">
        <f>MAX(0,GI31-GJ31)</f>
        <v/>
      </c>
      <c r="GL31" s="137">
        <f t="array" ref="GL31">IF(GI31=0,0,LARGE(IF($GF$10:$GF$406=GI31,$GE$10:$GE$406,0),COUNTIF($GI$10:$GI$406,GI31)-COUNTIF(GI$9:GI30,GI31)))</f>
        <v/>
      </c>
      <c r="GM31" s="272">
        <f>IF(GI31=0,0,GK31/GI31)</f>
        <v/>
      </c>
      <c r="GO31" s="137">
        <f>IF(C31="","",IF(ISERROR(MATCH(C31,C$10:C30,0)),MAX(GO$10:GO30)+1,INDEX(GO$10:GO30,MATCH(C31,C$10:C30,0))))</f>
        <v/>
      </c>
      <c r="GP31" s="538">
        <f>IF(COUNTIF($A$10:A31,A31)&lt;=1,SUMIF($A$10:$A$406,A31,$FG$10:$FG$406),0)</f>
        <v/>
      </c>
      <c r="GQ31" s="137">
        <f>GQ30+1</f>
        <v/>
      </c>
      <c r="GR31" s="542">
        <f>LARGE($GP$10:$GP$406,GQ31)</f>
        <v/>
      </c>
      <c r="GS31" s="542">
        <f>IF(GQ31&gt;GQ$6,0,IF(GQ31&lt;=GQ$2,GS$2,IF(AND(GQ31&lt;=$GQ$3,GQ31&gt;$GQ$2),GS$3,GS$4)))</f>
        <v/>
      </c>
      <c r="GT31" s="489">
        <f>MAX(0,GR31-GS31)</f>
        <v/>
      </c>
      <c r="GU31" s="137">
        <f t="array" ref="GU31">IF(GR31=0,0,LARGE(IF($GP$10:$GP$406=GR31,$GO$10:$GO$406,0),COUNTIF($GR$10:$GR$406,GR31)-COUNTIF(GR$9:GR30,GR31)))</f>
        <v/>
      </c>
      <c r="GV31" s="272">
        <f>IF(GR31=0,0,GT31/GR31)</f>
        <v/>
      </c>
      <c r="GW31" s="272" t="n"/>
      <c r="GX31" s="137">
        <f>IF(C31="","",IF(ISERROR(MATCH(C31,C$10:C30,0)),MAX(GO$10:GO30)+1,INDEX(GO$10:GO30,MATCH(C31,C$10:C30,0))))</f>
        <v/>
      </c>
      <c r="GY31" s="538">
        <f>IF(COUNTIF($A$10:A31,A31)&lt;=1,SUMIF($A$10:$A$406,A31,$FG$10:$FG$406),0)</f>
        <v/>
      </c>
      <c r="GZ31" s="137">
        <f>GZ30+1</f>
        <v/>
      </c>
      <c r="HA31" s="542">
        <f>LARGE($GY$10:$GY$406,GZ31)</f>
        <v/>
      </c>
      <c r="HB31" s="543" t="inlineStr">
        <is>
          <t>-</t>
        </is>
      </c>
      <c r="HC31" s="489">
        <f>IF(GZ31&lt;6,MAX(0,$HC$2/5),0)</f>
        <v/>
      </c>
      <c r="HD31" s="137">
        <f t="array" ref="HD31">IF(HA31=0,0,LARGE(IF($GY$10:$GY$406=HA31,$GX$10:$GX$406,0),COUNTIF($HA$10:$HA$406,HA31)-COUNTIF(HA$9:HA30,HA31)))</f>
        <v/>
      </c>
      <c r="HE31" s="272">
        <f>IF(HA31=0,0,HC31/HA31)</f>
        <v/>
      </c>
      <c r="HG31" s="270">
        <f>DG31-GA31</f>
        <v/>
      </c>
      <c r="HH31" s="544" t="n">
        <v>0</v>
      </c>
      <c r="HI31" s="538">
        <f>MIN(HH31,DE31)</f>
        <v/>
      </c>
      <c r="HK31" s="137">
        <f>IF(COUNTIF($C$10:$C$406,HK30+1),HK30+1,"")</f>
        <v/>
      </c>
      <c r="HL31" s="538">
        <f>SUMIF($C$10:$C$406,HK31,$DG$10:$DG$406)</f>
        <v/>
      </c>
      <c r="HN31" s="521">
        <f>MIN(HO31:HS31)</f>
        <v/>
      </c>
      <c r="HO31" s="521">
        <f>IF(B31="","",$M31)</f>
        <v/>
      </c>
      <c r="HP31" s="521">
        <f>IF($N31="Yes",IF(P31&gt;=6,0,MIN($T31*$M31,$U31*$M31)),"")</f>
        <v/>
      </c>
      <c r="HQ31" s="521">
        <f>IF(AND(N31="Yes",P31&gt;=6),"",IF($S31="Yes",$R31*$M31,""))</f>
        <v/>
      </c>
      <c r="HR31" s="521">
        <f>IF($Q31="Yes",MIN($M31,$T31*$M31),"")</f>
        <v/>
      </c>
      <c r="HS31" s="521">
        <f>IF(AND($N31="Yes",$P31&gt;=6),"",IF(OR(CY31=1,DC31=1,),MIN($T31*$M31,$U31*$M31),IF(OR(CZ31=1,DA31=1,DB31=1),IF(AK31&gt;=5000000,MIN($T31*$M31,$IE31*$M31),MIN($T31*$M31,$U31*$M31)),"")))</f>
        <v/>
      </c>
      <c r="HT31" s="521">
        <f>IF(DD31&gt;0,DD31,"")</f>
        <v/>
      </c>
      <c r="HU31" s="522">
        <f>IF(B31="",0,$L31-$M31)</f>
        <v/>
      </c>
      <c r="HV31" s="274">
        <f>IF(OR(SUM(HP31:HT31)&gt;0,P31&gt;=6),"",IF($B31="","",1))</f>
        <v/>
      </c>
      <c r="HW31" s="522">
        <f>IF(AND($HT31&lt;&gt;0,OR(HT31&lt;=MIN(HP31:HS31),SUM(HP31:HS31)=0)),$HT31,0)</f>
        <v/>
      </c>
      <c r="HX31" s="522">
        <f>IF(AND($HS31&lt;&gt;0,OR(AND($HS31&lt;&gt;$HT31,$HS31&lt;&gt;$HR31,$HS31&lt;&gt;$HQ31,$HS31&lt;&gt;$HP31,$HS31&lt;MIN($HP31:$HR31),$HS31&lt;HT31),SUM($HP31:$HR31)+SUM(HT31)=0),IA31&lt;=0),$HS31,0)</f>
        <v/>
      </c>
      <c r="HY31" s="522">
        <f>IF(AND($HR31&lt;&gt;0,OR(AND($HR31&lt;&gt;$HT31,$HR31&lt;&gt;$HS31,$HR31&lt;&gt;$HQ31,$HR31&lt;&gt;$HP31),$HR31&lt;MIN($HP31:$HQ31),$HR31&lt;MIN($HS31:$HT31),SUM($HP31:$HQ31)+SUM($HS31:$HT31)=0)),$HR31,0)</f>
        <v/>
      </c>
      <c r="HZ31" s="522">
        <f>IF(AND($HQ31&lt;&gt;0,OR(AND($HQ31&lt;&gt;$HT31,HQ31&lt;&gt;HS31,HQ31&lt;&gt;HR31,HQ31&lt;&gt;HP31,HQ31&lt;MIN(HR31:HT31)),SUM(HP31)+SUM(HR31:HT31)=0)),$HQ31,0)</f>
        <v/>
      </c>
      <c r="IA31" s="522">
        <f>IF(AND($HP31&lt;&gt;0,OR(HP31&lt;=MIN(HQ31:HT31),SUM(HQ31:HT31)=0)),$HP31,0)</f>
        <v/>
      </c>
      <c r="IB31" s="545" t="n">
        <v>42</v>
      </c>
      <c r="IC31">
        <f>HU31=DF31</f>
        <v/>
      </c>
      <c r="IE31" s="351">
        <f>IF(B31="","",IF(AND(Y31="Second Lien",OR(CZ31=1,DA31=1,DB31=1)),50%,IF(CZ31=1,90%,IF(DA31=1,80%,IF(DB31=1,65%,"No Initial Haircut")))))</f>
        <v/>
      </c>
    </row>
    <row r="32">
      <c r="A32">
        <f>D32</f>
        <v/>
      </c>
      <c r="B32" s="242">
        <f>IF(D32="","",B31+1)</f>
        <v/>
      </c>
      <c r="C32" s="242">
        <f>IF(COUNTIF($A$10:A31,A32)&gt;0,C31,C31+1)</f>
        <v/>
      </c>
      <c r="D32" s="243" t="inlineStr">
        <is>
          <t>Ashford Holdings, LLC</t>
        </is>
      </c>
      <c r="E32" s="243" t="inlineStr">
        <is>
          <t>Ashford (Term Loan)</t>
        </is>
      </c>
      <c r="F32" s="244" t="n"/>
      <c r="G32" s="528" t="n">
        <v>1049681.5</v>
      </c>
      <c r="H32" s="528" t="n">
        <v>1049681.5</v>
      </c>
      <c r="I32" s="246" t="n">
        <v>1</v>
      </c>
      <c r="J32" s="529">
        <f>IF(B32="","",G32*I32)</f>
        <v/>
      </c>
      <c r="K32" s="529">
        <f>IF(B32="","",H32*I32)</f>
        <v/>
      </c>
      <c r="L32" s="529">
        <f>IF(B32="","",IF(COUNTIF($CE32:$CX32,1)&gt;0,0,J32))</f>
        <v/>
      </c>
      <c r="M32" s="529">
        <f>IF(B32="","",IF(COUNTIF($CE32:$CX32,1)&gt;0,0,K32))</f>
        <v/>
      </c>
      <c r="N32" s="248" t="inlineStr">
        <is>
          <t>No</t>
        </is>
      </c>
      <c r="O32" s="248" t="inlineStr">
        <is>
          <t>N/A</t>
        </is>
      </c>
      <c r="P32" s="249">
        <f>IF(B32="","",IF(OR(O32="N/A",O32=""),0,YEARFRAC('Borrowing Base'!$J$4,'Loan List'!O32)*12))</f>
        <v/>
      </c>
      <c r="Q32" s="248" t="inlineStr">
        <is>
          <t>No</t>
        </is>
      </c>
      <c r="R32" s="250" t="n">
        <v>0.99</v>
      </c>
      <c r="S32" s="251">
        <f>IF(B32="","",IF(R32&lt;95%,"Yes","No"))</f>
        <v/>
      </c>
      <c r="T32" s="250" t="n">
        <v>0.9930000004763351</v>
      </c>
      <c r="U32" s="252">
        <f>IF(B32="","",IF(OR(Y32="First Lien",Y32="Split First Lien",Y32="Tier 1 Split Lien",Y32="Tier 2 Split Lien"),50%,30%))</f>
        <v/>
      </c>
      <c r="V32" s="252">
        <f>IF(B32="",0,IF(AND(Y32="First Lien",AN32="Tier 1"),IF(AND(X32="Yes",MIN(AH32,$AJ$5)&gt;4.5),(((4.5/MIN(AH32,$AJ$5))*72.5%)+(((MIN(AH32,$AJ$5)-4.5)/MIN(AH32,$AJ$5))*35%)),72.5%),IF(AND(Y32="First Lien",AN32="Tier 2"),IF(AND(X32="Yes",MIN(AH32,$AK$5)&gt;4.5),(((4.5/MIN(AH32,$AK$5))*72.5%)+(((MIN(AH32,$AK$5)-4.5)/MIN(AH32,$AK$5))*35%)),72.5%),IF(AND(X32="Yes",MIN(AH32,$AL$5)&gt;4),(((4/MIN(AH32,$AL$5))*72.5%)+(((MIN(AH32,$AL$5)-4)/MIN(AH32,$AL$5))*35%)),IF(OR(Y32="First Lien",Y32="Split First Lien"),72.5%,IF(Y32="Split Lien", 53%,35%))))))</f>
        <v/>
      </c>
      <c r="W32" s="530">
        <f>IF($C32="","",MIN($HO32:$HS32))</f>
        <v/>
      </c>
      <c r="X32" s="248" t="inlineStr">
        <is>
          <t>Yes</t>
        </is>
      </c>
      <c r="Y32" s="254" t="inlineStr">
        <is>
          <t>First Lien</t>
        </is>
      </c>
      <c r="Z32" s="254" t="inlineStr">
        <is>
          <t>Term</t>
        </is>
      </c>
      <c r="AA32" s="531" t="inlineStr">
        <is>
          <t>NR</t>
        </is>
      </c>
      <c r="AB32" s="531" t="inlineStr">
        <is>
          <t xml:space="preserve"> NR</t>
        </is>
      </c>
      <c r="AC32" s="532" t="n">
        <v>2.895030303030303</v>
      </c>
      <c r="AD32" s="532" t="n">
        <v>3.81139815944118</v>
      </c>
      <c r="AE32" s="532" t="n">
        <v>5.093423606409389</v>
      </c>
      <c r="AF32" s="257" t="n">
        <v>0.4602510460251046</v>
      </c>
      <c r="AG32" s="533" t="n">
        <v>3.81139815944118</v>
      </c>
      <c r="AH32" s="533" t="n">
        <v>3.81139815944118</v>
      </c>
      <c r="AI32" s="533" t="n">
        <v>4.994148100620309</v>
      </c>
      <c r="AJ32" s="533" t="n">
        <v>4.994148100620309</v>
      </c>
      <c r="AK32" s="534" t="n">
        <v>72152000</v>
      </c>
      <c r="AL32" s="534" t="n">
        <v>111794130</v>
      </c>
      <c r="AM32" s="276" t="n">
        <v>45838</v>
      </c>
      <c r="AN32" s="529">
        <f>IF(C32="","",(IF(AK32&gt;=50000000,"Tier 1",(IF(OR(AK32&gt;=20000000,AND(AK32&gt;5000000,AC32&gt;=1.25,AF32&lt;=0.65)),"Tier 2","Tier 3")))))</f>
        <v/>
      </c>
      <c r="AO32" s="244" t="n">
        <v>45964</v>
      </c>
      <c r="AP32" s="535" t="n">
        <v>0.2583333333333334</v>
      </c>
      <c r="AQ32" s="535">
        <f>IF(C32="","",AP32)</f>
        <v/>
      </c>
      <c r="AR32" s="248" t="inlineStr">
        <is>
          <t>No</t>
        </is>
      </c>
      <c r="AS32" s="250" t="n">
        <v>0</v>
      </c>
      <c r="AT32" s="248" t="inlineStr">
        <is>
          <t>Yes</t>
        </is>
      </c>
      <c r="AU32" s="250" t="n">
        <v>0.01</v>
      </c>
      <c r="AV32" s="250" t="n">
        <v>0.0525</v>
      </c>
      <c r="AW32" s="250" t="n">
        <v>0.04332700000000001</v>
      </c>
      <c r="AX32" s="262">
        <f>IF(C32="","",MAX(AU32,AW32))</f>
        <v/>
      </c>
      <c r="AY32" s="250" t="n">
        <v>0</v>
      </c>
      <c r="AZ32" s="250" t="n">
        <v>0</v>
      </c>
      <c r="BA32" s="250" t="n">
        <v>0</v>
      </c>
      <c r="BB32" s="412">
        <f>IF(B32="","",IF(AR32="No",AV32-AZ32,""))</f>
        <v/>
      </c>
      <c r="BC32" s="412">
        <f>IF(B32="","",IF(AR32="Yes",AS32-BA32,""))</f>
        <v/>
      </c>
      <c r="BD32" s="254" t="inlineStr">
        <is>
          <t>Quarterly</t>
        </is>
      </c>
      <c r="BE32" s="536" t="inlineStr">
        <is>
          <t>Personal Products</t>
        </is>
      </c>
      <c r="BF32" s="254" t="inlineStr">
        <is>
          <t>USD</t>
        </is>
      </c>
      <c r="BG32" s="254" t="inlineStr">
        <is>
          <t>United States</t>
        </is>
      </c>
      <c r="BH32" s="248" t="inlineStr">
        <is>
          <t>No</t>
        </is>
      </c>
      <c r="BI32" s="413">
        <f>IF(B32="","",IF(OR(AND(AZ32&gt;0,BB32&gt;=2.5%,BB32&lt;4%),AND(BA32&gt;0,BC32&gt;=6%,BC32&lt;8%)),"Yes","No"))</f>
        <v/>
      </c>
      <c r="BJ32" s="413">
        <f>IF(B32="","",IF(OR(AND(AZ32&gt;0,BB32&lt;2.5%),AND(BA32&gt;0,BC32&lt;6%)),"Yes","No"))</f>
        <v/>
      </c>
      <c r="BK32" s="248" t="inlineStr">
        <is>
          <t>No</t>
        </is>
      </c>
      <c r="BL32" s="248" t="inlineStr">
        <is>
          <t>No</t>
        </is>
      </c>
      <c r="BM32" s="248" t="inlineStr">
        <is>
          <t>No</t>
        </is>
      </c>
      <c r="BN32" s="248" t="inlineStr">
        <is>
          <t>No</t>
        </is>
      </c>
      <c r="BO32" s="248" t="inlineStr">
        <is>
          <t>No</t>
        </is>
      </c>
      <c r="BP32" s="248" t="inlineStr">
        <is>
          <t>No</t>
        </is>
      </c>
      <c r="BQ32" s="248" t="inlineStr">
        <is>
          <t>No</t>
        </is>
      </c>
      <c r="BR32" s="248" t="inlineStr">
        <is>
          <t>No</t>
        </is>
      </c>
      <c r="BS32" s="248" t="inlineStr">
        <is>
          <t>No</t>
        </is>
      </c>
      <c r="BT32" s="248" t="inlineStr">
        <is>
          <t>No</t>
        </is>
      </c>
      <c r="BU32" s="248" t="inlineStr">
        <is>
          <t>No</t>
        </is>
      </c>
      <c r="BV32" s="248" t="inlineStr">
        <is>
          <t>No</t>
        </is>
      </c>
      <c r="BW32" s="248" t="inlineStr">
        <is>
          <t>No</t>
        </is>
      </c>
      <c r="BX32" s="248" t="inlineStr">
        <is>
          <t>No</t>
        </is>
      </c>
      <c r="BY32" s="248" t="inlineStr">
        <is>
          <t>No</t>
        </is>
      </c>
      <c r="BZ32" s="248" t="inlineStr">
        <is>
          <t>No</t>
        </is>
      </c>
      <c r="CA32" s="248" t="inlineStr">
        <is>
          <t>Yes</t>
        </is>
      </c>
      <c r="CB32" s="537">
        <f>IF(B32="","",IF(AT32="No",((BB32+AW32)-$AZ$4),((BB32+AX32)-$AZ$4))*IF(DD32&gt;0,0,M32))</f>
        <v/>
      </c>
      <c r="CC32" s="537">
        <f>IF(B32="","",AY32*(L32-M32)*IF(DD32&gt;0,0,1))</f>
        <v/>
      </c>
      <c r="CD32" s="265" t="n"/>
      <c r="CE32" s="265">
        <f>IF(AND(B32&lt;&gt;"",R32&lt;=85%),1,0)</f>
        <v/>
      </c>
      <c r="CF32" s="265">
        <f>IF(B32="",0,(IF(OR(BF32="USD",BF32="CAD",BF32="GBP",BF32="AUD",BF32="EUR"),0,1)))</f>
        <v/>
      </c>
      <c r="CG32" s="265">
        <f>IF(B32="",0,(IF(OR(BG32="United States",BG32="Canada",BG32="United Kingdom",BG32="Australia",BG32="Netherlands Antilles",BG32="Bermuda",BG32="Cayman Islands",BG32="British Virgin Islands",BG32="Channel Islands",BG32="Isle of Man",BG32="Australia",BG32="Netherlands",BG32="Germany",BG32="Sweden",BG32="Switzerland",BG32="Austria",BG32="Belgium",BG32="Denmark",BG32="Finland",BG32="Iceland",BG32="Ireland",BG32="Lichtenstein",BG32="Luxemborg",BG32="Norway"),0,1)))</f>
        <v/>
      </c>
      <c r="CH32" s="265">
        <f>IF(BN32="Yes",1,0)</f>
        <v/>
      </c>
      <c r="CI32" s="265">
        <f>IF(BO32="Yes",1,0)</f>
        <v/>
      </c>
      <c r="CJ32" s="265">
        <f>IF(BP32="Yes",1,0)</f>
        <v/>
      </c>
      <c r="CK32" s="265">
        <f>IF(BQ32="Yes",1,0)</f>
        <v/>
      </c>
      <c r="CL32" s="265">
        <f>IF(BR32="Yes",1,0)</f>
        <v/>
      </c>
      <c r="CM32" s="265">
        <f>IF(BS32="Yes",1,0)</f>
        <v/>
      </c>
      <c r="CN32" s="265">
        <f>IF(OR(AND(BJ32="Yes",N32="No"),AND(BJ32="Yes",N32="Yes",P32&gt;=6)),1,0)</f>
        <v/>
      </c>
      <c r="CO32" s="265">
        <f>IF(BT32="Yes",1,0)</f>
        <v/>
      </c>
      <c r="CP32" s="265">
        <f>IF(AND(BU32="Yes",BV32="No"),1,0)</f>
        <v/>
      </c>
      <c r="CQ32" s="265">
        <f>IF(BW32="Yes",1,0)</f>
        <v/>
      </c>
      <c r="CR32" s="265">
        <f>IF(AP32="",0,IF(AP32&gt;7,1,0))</f>
        <v/>
      </c>
      <c r="CS32" s="265">
        <f>IF(OR(BD32&lt;&gt;"Monthly",BD32&lt;&gt;"Quarterly",BD32&lt;&gt;"Semi-Annually"),0,1)</f>
        <v/>
      </c>
      <c r="CT32" s="265">
        <f>IF(BX32="Yes",1,0)</f>
        <v/>
      </c>
      <c r="CU32" s="265">
        <f>IF(BY32="Yes",1,0)</f>
        <v/>
      </c>
      <c r="CV32" s="265">
        <f>IF(BZ32="Yes",1,0)</f>
        <v/>
      </c>
      <c r="CW32" s="265">
        <f>IF(CA32="No",1,0)</f>
        <v/>
      </c>
      <c r="CX32" s="265">
        <f>IF(B32="",0,IF(AK32&gt;=5000000,0,1))</f>
        <v/>
      </c>
      <c r="CY32" s="265">
        <f>IF(B32="",0,IF(AL32&gt;=5000000,0,1))</f>
        <v/>
      </c>
      <c r="CZ32" s="265">
        <f>IF(OR(DA32=1,DB32=1,DC32=1),0,IF(B32="",0,IF(OR(AND(AN32="Tier 1",X32="No",OR(AI32&gt;$AJ$3,AJ32&gt;$AJ$4)),(AND(AN32="Tier 1",X32="Yes",AJ32&gt;$AJ$5)),(AND(AN32="Tier 2",X32="No",OR(AI32&gt;$AK$3,AJ32&gt;$AK$4))),(AND(AN32="Tier 2",X32="Yes",AJ32&gt;$AK$5)),(AND(AN32="Tier 3",X32="No",OR(AI32&gt;$AL$3,AJ32&gt;$AL$4))),(AND(AN32="Tier 3",X32="Yes",AJ32&gt;$AL$5))),1,0)))</f>
        <v/>
      </c>
      <c r="DA32" s="265">
        <f>IF(OR(DB32=1,DC32=1),0,IF(B32="",0,IF(OR(AND(AN32="Tier 1",X32="No",OR(AI32&gt;$AM$3,AJ32&gt;$AM$4)),(AND(AN32="Tier 1",X32="Yes",AJ32&gt;$AM$5)),(AND(AN32="Tier 2",X32="No",OR(AI32&gt;$AN$3,AJ32&gt;$AN$4))),(AND(AN32="Tier 2",X32="Yes",AJ32&gt;$AN$5)),(AND(AN32="Tier 3",X32="No",OR(AI32&gt;$AO$3,AJ32&gt;$AO$4))),(AND(AN32="Tier 3",X32="Yes",AJ32&gt;$AO$5))),1,0)))</f>
        <v/>
      </c>
      <c r="DB32" s="265">
        <f>IF(DC32=1,0,IF(B32="",0,IF(OR(AND(AN32="Tier 1",X32="No",OR(AI32&gt;$AP$3,AJ32&gt;$AP$4)),(AND(AN32="Tier 1",X32="Yes",AJ32&gt;$AP$5)),(AND(AN32="Tier 2",X32="No",OR(AI32&gt;$AQ$3,AJ32&gt;$AQ$4))),(AND(AN32="Tier 2",X32="Yes",AJ32&gt;$AQ$5)),(AND(AN32="Tier 3",X32="No",OR(AI32&gt;$AR$3,AJ32&gt;$AR$4))),(AND(AN32="Tier 3",X32="Yes",AJ32&gt;$AR$5))),1,0)))</f>
        <v/>
      </c>
      <c r="DC32" s="265">
        <f>IF(B32="",0,IF(OR(AND(AN32="Tier 1",X32="No",OR(AI32&gt;$AS$3,AJ32&gt;$AS$4)),(AND(AN32="Tier 1",X32="Yes",AJ32&gt;$AS$5)),(AND(AN32="Tier 2",X32="No",OR(AI32&gt;$AT$3,AJ32&gt;$AT$4))),(AND(AN32="Tier 2",X32="Yes",AJ32&gt;$AT$5)),(AND(AN32="Tier 3",X32="No",OR(AI32&gt;$AU$3,AJ32&gt;$AU$4))),(AND(AN32="Tier 3",X32="Yes",AJ32&gt;$AU$5))),1,0))</f>
        <v/>
      </c>
      <c r="DD32" s="265">
        <f>IF((SUM(CE32:CX32)=0),0,W32)</f>
        <v/>
      </c>
      <c r="DE32" s="265">
        <f>IF(OR(B32="",DD32&gt;0),0,W32)</f>
        <v/>
      </c>
      <c r="DF32" s="265">
        <f>IF(B32="",0,IF(COUNTIF(CE32:CX32,1)&gt;0,0,L32-M32))</f>
        <v/>
      </c>
      <c r="DG32" s="265">
        <f>DE32+IF(DD32&gt;0,0,DF32)</f>
        <v/>
      </c>
      <c r="DH32" s="265">
        <f>IF(B32="","",M32+DF32)</f>
        <v/>
      </c>
      <c r="DI32" s="265">
        <f>IF(B32="",0,J32-K32)</f>
        <v/>
      </c>
      <c r="DJ32" s="265">
        <f>IF(OR(BF32="EUR",BF32="CAD",BF32="GBP",BF32="AUD"),(GA32*(1-V32))+(HG32)+IF(HX32="",0,HX32*(1-U32)),0)</f>
        <v/>
      </c>
      <c r="DK32" s="265">
        <f>IF(BF32="EUR",33%,IF(BF32="CAD",38%,IF(BF32="GBP",51%,IF(BF32="AUD",61%,0))))</f>
        <v/>
      </c>
      <c r="DL32" s="265">
        <f>DJ32*DK32</f>
        <v/>
      </c>
      <c r="DN32" s="538">
        <f>IF(OR(Y32="Second Lien",Y32="Tier 1 Split Lien",Y32="Tier 2 Split Lien"),DG32,0)</f>
        <v/>
      </c>
      <c r="DO32" s="539">
        <f>DN32*DN$6</f>
        <v/>
      </c>
      <c r="DP32" s="538">
        <f>DG32-DO32</f>
        <v/>
      </c>
      <c r="DQ32" s="538">
        <f>IF(Y32="Second Lien",DP32,0)</f>
        <v/>
      </c>
      <c r="DR32" s="539">
        <f>DQ32*DQ$6</f>
        <v/>
      </c>
      <c r="DS32" s="538">
        <f>DP32-DR32</f>
        <v/>
      </c>
      <c r="DT32" s="538">
        <f>IF(BH32="Yes",DS32,0)</f>
        <v/>
      </c>
      <c r="DU32" s="539">
        <f>DT32*DT$6</f>
        <v/>
      </c>
      <c r="DV32" s="538">
        <f>DS32-DU32</f>
        <v/>
      </c>
      <c r="DW32" s="538">
        <f>IF(OR(BG32="Canada",BG32="United Kingdom",BG32="Australia",BG32="Netherlands Antilles",BG32="Bermuda",BG32="Cayman Islands",BG32="British Virgin Islands",BG32="Channel Islands",BG32="Isle of Man",BG32="Australia",BG32="Netherlands",BG32="Germany",BG32="Sweden",BG32="Switzerland",BG32="Austria",BG32="Belgium",BG32="Denmark",BG32="Finland",BG32="Iceland",BG32="Ireland",BG32="Lichtenstein",BG32="Luxemborg",BG32="Norway"),DV32,0)</f>
        <v/>
      </c>
      <c r="DX32" s="539">
        <f>DW32*DW$6</f>
        <v/>
      </c>
      <c r="DY32" s="538">
        <f>DV32-DX32</f>
        <v/>
      </c>
      <c r="DZ32" s="538">
        <f>IF(BI32="Yes",DY32,0)</f>
        <v/>
      </c>
      <c r="EA32" s="539">
        <f>DZ32*DZ$6</f>
        <v/>
      </c>
      <c r="EB32" s="538">
        <f>DY32-EA32</f>
        <v/>
      </c>
      <c r="EC32" s="538">
        <f>IF(OR(Z32="Delayed Draw",Z32="Revolver"),EB32,0)</f>
        <v/>
      </c>
      <c r="ED32" s="539">
        <f>EC32*EC$6</f>
        <v/>
      </c>
      <c r="EE32" s="538">
        <f>EB32-ED32</f>
        <v/>
      </c>
      <c r="EF32" s="538">
        <f>IF(S32="Yes",EE32,0)</f>
        <v/>
      </c>
      <c r="EG32" s="539">
        <f>EF32*EF$6</f>
        <v/>
      </c>
      <c r="EH32" s="538">
        <f>EE32-EG32</f>
        <v/>
      </c>
      <c r="EI32" s="538">
        <f>IF(Q32="Yes",EH32,0)</f>
        <v/>
      </c>
      <c r="EJ32" s="539">
        <f>EI32*EI$6</f>
        <v/>
      </c>
      <c r="EK32" s="538">
        <f>EH32-EJ32</f>
        <v/>
      </c>
      <c r="EL32" s="538">
        <f>IF(BD32="Semi-Annually",EK32,0)</f>
        <v/>
      </c>
      <c r="EM32" s="539">
        <f>EL32*EL$6</f>
        <v/>
      </c>
      <c r="EN32" s="538">
        <f>EK32-EM32</f>
        <v/>
      </c>
      <c r="EO32" s="538">
        <f>IF(BK32="Yes",EN32,0)</f>
        <v/>
      </c>
      <c r="EP32" s="539">
        <f>EO32*EO$6</f>
        <v/>
      </c>
      <c r="EQ32" s="538">
        <f>EN32-EP32</f>
        <v/>
      </c>
      <c r="ER32" s="538">
        <f>IF(BL32="Yes",EQ32,0)</f>
        <v/>
      </c>
      <c r="ES32" s="539">
        <f>ER32*ER$6</f>
        <v/>
      </c>
      <c r="ET32" s="538">
        <f>EQ32-ES32</f>
        <v/>
      </c>
      <c r="EU32" s="538">
        <f>IF(BM32="Yes",ET32,0)</f>
        <v/>
      </c>
      <c r="EV32" s="539">
        <f>EU32*EU$6</f>
        <v/>
      </c>
      <c r="EW32" s="538">
        <f>ET32-EV32</f>
        <v/>
      </c>
      <c r="EX32" s="538">
        <f>IF(BV32="Yes",EW32,0)</f>
        <v/>
      </c>
      <c r="EY32" s="539">
        <f>EX32*EX$6</f>
        <v/>
      </c>
      <c r="EZ32" s="538">
        <f>EW32-EY32</f>
        <v/>
      </c>
      <c r="FA32" s="538">
        <f>IF(AR32="Yes",EZ32,0)</f>
        <v/>
      </c>
      <c r="FB32" s="539">
        <f>FA32*FA$6</f>
        <v/>
      </c>
      <c r="FC32" s="538">
        <f>EZ32-FB32</f>
        <v/>
      </c>
      <c r="FD32" s="538">
        <f>IF(OR(BF32="EUR",BF32="AUD",BF32="CAD",BF32="GBP"),FC32,0)</f>
        <v/>
      </c>
      <c r="FE32" s="539">
        <f>FD32*FD$6</f>
        <v/>
      </c>
      <c r="FF32" s="538">
        <f>FC32-FE32</f>
        <v/>
      </c>
      <c r="FG32" s="538">
        <f>FF32</f>
        <v/>
      </c>
      <c r="FH32" s="538">
        <f>IF(FF32=0,0,VLOOKUP(C32,$GU$10:$GV$406,2,FALSE)*FF32)</f>
        <v/>
      </c>
      <c r="FI32" s="538">
        <f>FF32-FH32</f>
        <v/>
      </c>
      <c r="FJ32" s="538">
        <f>FI32</f>
        <v/>
      </c>
      <c r="FK32" s="538">
        <f>IF(OR(IB32="",FI32&lt;0.01),,VLOOKUP(IB32,$GL$10:$GM$406,2,FALSE)*FI32)</f>
        <v/>
      </c>
      <c r="FL32" s="538">
        <f>FI32-FK32</f>
        <v/>
      </c>
      <c r="FM32" s="538">
        <f>FL32</f>
        <v/>
      </c>
      <c r="FN32" s="538">
        <f>IF(FL32=0,0,VLOOKUP(C32,$HD$10:$HE$406,2,FALSE)*FL32)</f>
        <v/>
      </c>
      <c r="FO32" s="538">
        <f>FL32-FN32</f>
        <v/>
      </c>
      <c r="FP32" s="538">
        <f>IF(SUM(CY32:DC32)&gt;0,0,IF(AND(AL32&gt;=5000000,AL32&lt;7500000),FO32,0))</f>
        <v/>
      </c>
      <c r="FQ32" s="539">
        <f>IF(B32="",0,FP32*FP$6*(1-$U32))</f>
        <v/>
      </c>
      <c r="FR32" s="538">
        <f>FO32-FQ32</f>
        <v/>
      </c>
      <c r="FS32" s="538">
        <f>IF(SUM(CY32:DC32)&gt;0,0,IF(AL32&lt;15000000,FR32,0))</f>
        <v/>
      </c>
      <c r="FT32" s="539">
        <f>IF(B32="",0,FS32*FS$6*(1-$U32))</f>
        <v/>
      </c>
      <c r="FU32" s="538">
        <f>FR32-FT32</f>
        <v/>
      </c>
      <c r="FV32" s="538">
        <f>IF(SUM(CY32:DC32)&gt;0,0,IF(OR(AND(X32="No",AN32="Tier 1",AI32&gt;$AG$3),AND(X32="No",AN32="Tier 2",AI32&gt;$AH$3),AND(X32="No",AN32="Tier 3",AI32&gt;$AI$3)),FU32,0))</f>
        <v/>
      </c>
      <c r="FW32" s="538">
        <f>IF(SUM(CY32:DC32)&gt;0,0,IF(OR(AND(X32="No",AN32="Tier 1",AJ32&gt;$AG$4),AND(X32="No",AN32="Tier 2",AJ32&gt;$AH$4),AND(X32="No",AN32="Tier 3",AJ32&gt;$AI$4)),FU32,0))</f>
        <v/>
      </c>
      <c r="FX32" s="538">
        <f>IF(SUM(CY32:DC32)&gt;0,0,IF(OR(AND(X32="Yes",AN32="Tier 1",AJ32&gt;$AG$5),AND(X32="Yes",AN32="Tier 2",AJ32&gt;$AH$5),AND(X32="Yes",AN32="Tier 3",AJ32&gt;$AI$5)),FU32,0))</f>
        <v/>
      </c>
      <c r="FY32" s="538">
        <f>IF(SUM(FV32:FX32)&gt;0,FU32,0)</f>
        <v/>
      </c>
      <c r="FZ32" s="539">
        <f>IF(B32="",0,FY32*FV$6*(1-MIN(90%,T32)))</f>
        <v/>
      </c>
      <c r="GA32" s="538">
        <f>FU32-FZ32</f>
        <v/>
      </c>
      <c r="GB32" s="538">
        <f>IF(AND(N32="No",DI32=0),GA32,IF(AND(N32="No",DI32&lt;&gt;0,K32=0),0,IF(AND(N32="No",DI32&lt;&gt;0,K32&gt;0,J32&lt;&gt;K32),MAX(0,M32-(DH32-GA32)),DG32)))</f>
        <v/>
      </c>
      <c r="GC32" s="540">
        <f>+GB32*V32</f>
        <v/>
      </c>
      <c r="GD32" s="138">
        <f>IFERROR(GC32/K32,"")</f>
        <v/>
      </c>
      <c r="GE32" s="541">
        <f>IF(IB32="","",IB32)</f>
        <v/>
      </c>
      <c r="GF32" s="538">
        <f t="array" ref="GF32">IF(SUM(IF(IB$9:IB31=IB32,1,0))&gt;0,0,SUMIF($IB$10:$IB$406,IB32,$FI$10:$FI$406))</f>
        <v/>
      </c>
      <c r="GG32" s="270">
        <f>GF32</f>
        <v/>
      </c>
      <c r="GH32" s="137">
        <f>GH31+1</f>
        <v/>
      </c>
      <c r="GI32" s="542">
        <f>LARGE($GG$10:$GG$406,GH32)</f>
        <v/>
      </c>
      <c r="GJ32" s="542">
        <f>IF(GH32&gt;GH$6,0,IF(GH32=$GH$2,$GJ$2,IF(GH32&lt;4,$GJ$3,$GJ$4)))</f>
        <v/>
      </c>
      <c r="GK32" s="489">
        <f>MAX(0,GI32-GJ32)</f>
        <v/>
      </c>
      <c r="GL32" s="137">
        <f t="array" ref="GL32">IF(GI32=0,0,LARGE(IF($GF$10:$GF$406=GI32,$GE$10:$GE$406,0),COUNTIF($GI$10:$GI$406,GI32)-COUNTIF(GI$9:GI31,GI32)))</f>
        <v/>
      </c>
      <c r="GM32" s="272">
        <f>IF(GI32=0,0,GK32/GI32)</f>
        <v/>
      </c>
      <c r="GO32" s="137">
        <f>IF(C32="","",IF(ISERROR(MATCH(C32,C$10:C31,0)),MAX(GO$10:GO31)+1,INDEX(GO$10:GO31,MATCH(C32,C$10:C31,0))))</f>
        <v/>
      </c>
      <c r="GP32" s="538">
        <f>IF(COUNTIF($A$10:A32,A32)&lt;=1,SUMIF($A$10:$A$406,A32,$FG$10:$FG$406),0)</f>
        <v/>
      </c>
      <c r="GQ32" s="137">
        <f>GQ31+1</f>
        <v/>
      </c>
      <c r="GR32" s="542">
        <f>LARGE($GP$10:$GP$406,GQ32)</f>
        <v/>
      </c>
      <c r="GS32" s="542">
        <f>IF(GQ32&gt;GQ$6,0,IF(GQ32&lt;=GQ$2,GS$2,IF(AND(GQ32&lt;=$GQ$3,GQ32&gt;$GQ$2),GS$3,GS$4)))</f>
        <v/>
      </c>
      <c r="GT32" s="489">
        <f>MAX(0,GR32-GS32)</f>
        <v/>
      </c>
      <c r="GU32" s="137">
        <f t="array" ref="GU32">IF(GR32=0,0,LARGE(IF($GP$10:$GP$406=GR32,$GO$10:$GO$406,0),COUNTIF($GR$10:$GR$406,GR32)-COUNTIF(GR$9:GR31,GR32)))</f>
        <v/>
      </c>
      <c r="GV32" s="272">
        <f>IF(GR32=0,0,GT32/GR32)</f>
        <v/>
      </c>
      <c r="GW32" s="272" t="n"/>
      <c r="GX32" s="137">
        <f>IF(C32="","",IF(ISERROR(MATCH(C32,C$10:C31,0)),MAX(GO$10:GO31)+1,INDEX(GO$10:GO31,MATCH(C32,C$10:C31,0))))</f>
        <v/>
      </c>
      <c r="GY32" s="538">
        <f>IF(COUNTIF($A$10:A32,A32)&lt;=1,SUMIF($A$10:$A$406,A32,$FG$10:$FG$406),0)</f>
        <v/>
      </c>
      <c r="GZ32" s="137">
        <f>GZ31+1</f>
        <v/>
      </c>
      <c r="HA32" s="542">
        <f>LARGE($GY$10:$GY$406,GZ32)</f>
        <v/>
      </c>
      <c r="HB32" s="543" t="inlineStr">
        <is>
          <t>-</t>
        </is>
      </c>
      <c r="HC32" s="489">
        <f>IF(GZ32&lt;6,MAX(0,$HC$2/5),0)</f>
        <v/>
      </c>
      <c r="HD32" s="137">
        <f t="array" ref="HD32">IF(HA32=0,0,LARGE(IF($GY$10:$GY$406=HA32,$GX$10:$GX$406,0),COUNTIF($HA$10:$HA$406,HA32)-COUNTIF(HA$9:HA31,HA32)))</f>
        <v/>
      </c>
      <c r="HE32" s="272">
        <f>IF(HA32=0,0,HC32/HA32)</f>
        <v/>
      </c>
      <c r="HG32" s="270">
        <f>DG32-GA32</f>
        <v/>
      </c>
      <c r="HH32" s="544" t="n">
        <v>0</v>
      </c>
      <c r="HI32" s="538">
        <f>MIN(HH32,DE32)</f>
        <v/>
      </c>
      <c r="HK32" s="137">
        <f>IF(COUNTIF($C$10:$C$406,HK31+1),HK31+1,"")</f>
        <v/>
      </c>
      <c r="HL32" s="538">
        <f>SUMIF($C$10:$C$406,HK32,$DG$10:$DG$406)</f>
        <v/>
      </c>
      <c r="HN32" s="521">
        <f>MIN(HO32:HS32)</f>
        <v/>
      </c>
      <c r="HO32" s="521">
        <f>IF(B32="","",$M32)</f>
        <v/>
      </c>
      <c r="HP32" s="521">
        <f>IF($N32="Yes",IF(P32&gt;=6,0,MIN($T32*$M32,$U32*$M32)),"")</f>
        <v/>
      </c>
      <c r="HQ32" s="521">
        <f>IF(AND(N32="Yes",P32&gt;=6),"",IF($S32="Yes",$R32*$M32,""))</f>
        <v/>
      </c>
      <c r="HR32" s="521">
        <f>IF($Q32="Yes",MIN($M32,$T32*$M32),"")</f>
        <v/>
      </c>
      <c r="HS32" s="521">
        <f>IF(AND($N32="Yes",$P32&gt;=6),"",IF(OR(CY32=1,DC32=1,),MIN($T32*$M32,$U32*$M32),IF(OR(CZ32=1,DA32=1,DB32=1),IF(AK32&gt;=5000000,MIN($T32*$M32,$IE32*$M32),MIN($T32*$M32,$U32*$M32)),"")))</f>
        <v/>
      </c>
      <c r="HT32" s="521">
        <f>IF(DD32&gt;0,DD32,"")</f>
        <v/>
      </c>
      <c r="HU32" s="522">
        <f>IF(B32="",0,$L32-$M32)</f>
        <v/>
      </c>
      <c r="HV32" s="274">
        <f>IF(OR(SUM(HP32:HT32)&gt;0,P32&gt;=6),"",IF($B32="","",1))</f>
        <v/>
      </c>
      <c r="HW32" s="522">
        <f>IF(AND($HT32&lt;&gt;0,OR(HT32&lt;=MIN(HP32:HS32),SUM(HP32:HS32)=0)),$HT32,0)</f>
        <v/>
      </c>
      <c r="HX32" s="522">
        <f>IF(AND($HS32&lt;&gt;0,OR(AND($HS32&lt;&gt;$HT32,$HS32&lt;&gt;$HR32,$HS32&lt;&gt;$HQ32,$HS32&lt;&gt;$HP32,$HS32&lt;MIN($HP32:$HR32),$HS32&lt;HT32),SUM($HP32:$HR32)+SUM(HT32)=0),IA32&lt;=0),$HS32,0)</f>
        <v/>
      </c>
      <c r="HY32" s="522">
        <f>IF(AND($HR32&lt;&gt;0,OR(AND($HR32&lt;&gt;$HT32,$HR32&lt;&gt;$HS32,$HR32&lt;&gt;$HQ32,$HR32&lt;&gt;$HP32),$HR32&lt;MIN($HP32:$HQ32),$HR32&lt;MIN($HS32:$HT32),SUM($HP32:$HQ32)+SUM($HS32:$HT32)=0)),$HR32,0)</f>
        <v/>
      </c>
      <c r="HZ32" s="522">
        <f>IF(AND($HQ32&lt;&gt;0,OR(AND($HQ32&lt;&gt;$HT32,HQ32&lt;&gt;HS32,HQ32&lt;&gt;HR32,HQ32&lt;&gt;HP32,HQ32&lt;MIN(HR32:HT32)),SUM(HP32)+SUM(HR32:HT32)=0)),$HQ32,0)</f>
        <v/>
      </c>
      <c r="IA32" s="522">
        <f>IF(AND($HP32&lt;&gt;0,OR(HP32&lt;=MIN(HQ32:HT32),SUM(HQ32:HT32)=0)),$HP32,0)</f>
        <v/>
      </c>
      <c r="IB32" s="545" t="n">
        <v>53</v>
      </c>
      <c r="IC32">
        <f>HU32=DF32</f>
        <v/>
      </c>
      <c r="IE32" s="351">
        <f>IF(B32="","",IF(AND(Y32="Second Lien",OR(CZ32=1,DA32=1,DB32=1)),50%,IF(CZ32=1,90%,IF(DA32=1,80%,IF(DB32=1,65%,"No Initial Haircut")))))</f>
        <v/>
      </c>
    </row>
    <row r="33">
      <c r="A33">
        <f>D33</f>
        <v/>
      </c>
      <c r="B33" s="242">
        <f>IF(D33="","",B32+1)</f>
        <v/>
      </c>
      <c r="C33" s="242">
        <f>IF(COUNTIF($A$10:A32,A33)&gt;0,C32,C32+1)</f>
        <v/>
      </c>
      <c r="D33" s="243" t="inlineStr">
        <is>
          <t>Highgate Holdings, LLC</t>
        </is>
      </c>
      <c r="E33" s="243" t="inlineStr">
        <is>
          <t>Highgate (Term Loan)</t>
        </is>
      </c>
      <c r="F33" s="244" t="n"/>
      <c r="G33" s="528" t="n">
        <v>2283660.74</v>
      </c>
      <c r="H33" s="528" t="n">
        <v>2283660.74</v>
      </c>
      <c r="I33" s="246" t="n">
        <v>1</v>
      </c>
      <c r="J33" s="529">
        <f>IF(B33="","",G33*I33)</f>
        <v/>
      </c>
      <c r="K33" s="529">
        <f>IF(B33="","",H33*I33)</f>
        <v/>
      </c>
      <c r="L33" s="529">
        <f>IF(B33="","",IF(COUNTIF($CE33:$CX33,1)&gt;0,0,J33))</f>
        <v/>
      </c>
      <c r="M33" s="529">
        <f>IF(B33="","",IF(COUNTIF($CE33:$CX33,1)&gt;0,0,K33))</f>
        <v/>
      </c>
      <c r="N33" s="248" t="inlineStr">
        <is>
          <t>No</t>
        </is>
      </c>
      <c r="O33" s="248" t="inlineStr">
        <is>
          <t>N/A</t>
        </is>
      </c>
      <c r="P33" s="249">
        <f>IF(B33="","",IF(OR(O33="N/A",O33=""),0,YEARFRAC('Borrowing Base'!$J$4,'Loan List'!O33)*12))</f>
        <v/>
      </c>
      <c r="Q33" s="248" t="inlineStr">
        <is>
          <t>No</t>
        </is>
      </c>
      <c r="R33" s="250" t="n">
        <v>0.9900000000000001</v>
      </c>
      <c r="S33" s="251">
        <f>IF(B33="","",IF(R33&lt;95%,"Yes","No"))</f>
        <v/>
      </c>
      <c r="T33" s="250" t="n">
        <v>1</v>
      </c>
      <c r="U33" s="252">
        <f>IF(B33="","",IF(OR(Y33="First Lien",Y33="Split First Lien",Y33="Tier 1 Split Lien",Y33="Tier 2 Split Lien"),50%,30%))</f>
        <v/>
      </c>
      <c r="V33" s="252">
        <f>IF(B33="",0,IF(AND(Y33="First Lien",AN33="Tier 1"),IF(AND(X33="Yes",MIN(AH33,$AJ$5)&gt;4.5),(((4.5/MIN(AH33,$AJ$5))*72.5%)+(((MIN(AH33,$AJ$5)-4.5)/MIN(AH33,$AJ$5))*35%)),72.5%),IF(AND(Y33="First Lien",AN33="Tier 2"),IF(AND(X33="Yes",MIN(AH33,$AK$5)&gt;4.5),(((4.5/MIN(AH33,$AK$5))*72.5%)+(((MIN(AH33,$AK$5)-4.5)/MIN(AH33,$AK$5))*35%)),72.5%),IF(AND(X33="Yes",MIN(AH33,$AL$5)&gt;4),(((4/MIN(AH33,$AL$5))*72.5%)+(((MIN(AH33,$AL$5)-4)/MIN(AH33,$AL$5))*35%)),IF(OR(Y33="First Lien",Y33="Split First Lien"),72.5%,IF(Y33="Split Lien", 53%,35%))))))</f>
        <v/>
      </c>
      <c r="W33" s="530">
        <f>IF($C33="","",MIN($HO33:$HS33))</f>
        <v/>
      </c>
      <c r="X33" s="248" t="inlineStr">
        <is>
          <t>No</t>
        </is>
      </c>
      <c r="Y33" s="254" t="inlineStr">
        <is>
          <t>First Lien</t>
        </is>
      </c>
      <c r="Z33" s="254" t="inlineStr">
        <is>
          <t>Term</t>
        </is>
      </c>
      <c r="AA33" s="531" t="inlineStr">
        <is>
          <t>NR</t>
        </is>
      </c>
      <c r="AB33" s="531" t="inlineStr">
        <is>
          <t xml:space="preserve"> NR</t>
        </is>
      </c>
      <c r="AC33" s="532" t="n">
        <v>1.398169990382793</v>
      </c>
      <c r="AD33" s="532" t="n">
        <v>3.487804232260367</v>
      </c>
      <c r="AE33" s="532" t="n">
        <v>2.477263538839344</v>
      </c>
      <c r="AF33" s="257" t="n">
        <v>0.2974397590361446</v>
      </c>
      <c r="AG33" s="533" t="n">
        <v>3.487804232260367</v>
      </c>
      <c r="AH33" s="533" t="n">
        <v>3.487804232260367</v>
      </c>
      <c r="AI33" s="533" t="n">
        <v>2.477263538839344</v>
      </c>
      <c r="AJ33" s="533" t="n">
        <v>2.477263538839344</v>
      </c>
      <c r="AK33" s="534" t="n">
        <v>22650353.84420125</v>
      </c>
      <c r="AL33" s="534" t="n">
        <v>23211000</v>
      </c>
      <c r="AM33" s="276" t="n">
        <v>45808</v>
      </c>
      <c r="AN33" s="529">
        <f>IF(C33="","",(IF(AK33&gt;=50000000,"Tier 1",(IF(OR(AK33&gt;=20000000,AND(AK33&gt;5000000,AC33&gt;=1.25,AF33&lt;=0.65)),"Tier 2","Tier 3")))))</f>
        <v/>
      </c>
      <c r="AO33" s="244" t="n">
        <v>47756</v>
      </c>
      <c r="AP33" s="535" t="n">
        <v>5.166666666666667</v>
      </c>
      <c r="AQ33" s="535">
        <f>IF(C33="","",AP33)</f>
        <v/>
      </c>
      <c r="AR33" s="248" t="inlineStr">
        <is>
          <t>No</t>
        </is>
      </c>
      <c r="AS33" s="250" t="n">
        <v>0</v>
      </c>
      <c r="AT33" s="248" t="inlineStr">
        <is>
          <t>Yes</t>
        </is>
      </c>
      <c r="AU33" s="250" t="n">
        <v>0.01</v>
      </c>
      <c r="AV33" s="250" t="n">
        <v>0.0475</v>
      </c>
      <c r="AW33" s="250" t="n">
        <v>0.04295600000000001</v>
      </c>
      <c r="AX33" s="262">
        <f>IF(C33="","",MAX(AU33,AW33))</f>
        <v/>
      </c>
      <c r="AY33" s="250" t="n">
        <v>0</v>
      </c>
      <c r="AZ33" s="250" t="n">
        <v>0</v>
      </c>
      <c r="BA33" s="250" t="n">
        <v>0</v>
      </c>
      <c r="BB33" s="412">
        <f>IF(B33="","",IF(AR33="No",AV33-AZ33,""))</f>
        <v/>
      </c>
      <c r="BC33" s="412">
        <f>IF(B33="","",IF(AR33="Yes",AS33-BA33,""))</f>
        <v/>
      </c>
      <c r="BD33" s="254" t="inlineStr">
        <is>
          <t>Quarterly</t>
        </is>
      </c>
      <c r="BE33" s="536" t="inlineStr">
        <is>
          <t>Professional Services</t>
        </is>
      </c>
      <c r="BF33" s="254" t="inlineStr">
        <is>
          <t>USD</t>
        </is>
      </c>
      <c r="BG33" s="254" t="inlineStr">
        <is>
          <t>United States</t>
        </is>
      </c>
      <c r="BH33" s="248" t="inlineStr">
        <is>
          <t>No</t>
        </is>
      </c>
      <c r="BI33" s="413">
        <f>IF(B33="","",IF(OR(AND(AZ33&gt;0,BB33&gt;=2.5%,BB33&lt;4%),AND(BA33&gt;0,BC33&gt;=6%,BC33&lt;8%)),"Yes","No"))</f>
        <v/>
      </c>
      <c r="BJ33" s="413">
        <f>IF(B33="","",IF(OR(AND(AZ33&gt;0,BB33&lt;2.5%),AND(BA33&gt;0,BC33&lt;6%)),"Yes","No"))</f>
        <v/>
      </c>
      <c r="BK33" s="248" t="inlineStr">
        <is>
          <t>No</t>
        </is>
      </c>
      <c r="BL33" s="248" t="inlineStr">
        <is>
          <t>No</t>
        </is>
      </c>
      <c r="BM33" s="248" t="inlineStr">
        <is>
          <t>No</t>
        </is>
      </c>
      <c r="BN33" s="248" t="inlineStr">
        <is>
          <t>No</t>
        </is>
      </c>
      <c r="BO33" s="248" t="inlineStr">
        <is>
          <t>No</t>
        </is>
      </c>
      <c r="BP33" s="248" t="inlineStr">
        <is>
          <t>No</t>
        </is>
      </c>
      <c r="BQ33" s="248" t="inlineStr">
        <is>
          <t>No</t>
        </is>
      </c>
      <c r="BR33" s="248" t="inlineStr">
        <is>
          <t>No</t>
        </is>
      </c>
      <c r="BS33" s="248" t="inlineStr">
        <is>
          <t>No</t>
        </is>
      </c>
      <c r="BT33" s="248" t="inlineStr">
        <is>
          <t>No</t>
        </is>
      </c>
      <c r="BU33" s="248" t="inlineStr">
        <is>
          <t>No</t>
        </is>
      </c>
      <c r="BV33" s="248" t="inlineStr">
        <is>
          <t>No</t>
        </is>
      </c>
      <c r="BW33" s="248" t="inlineStr">
        <is>
          <t>No</t>
        </is>
      </c>
      <c r="BX33" s="248" t="inlineStr">
        <is>
          <t>No</t>
        </is>
      </c>
      <c r="BY33" s="248" t="inlineStr">
        <is>
          <t>No</t>
        </is>
      </c>
      <c r="BZ33" s="248" t="inlineStr">
        <is>
          <t>No</t>
        </is>
      </c>
      <c r="CA33" s="248" t="inlineStr">
        <is>
          <t>Yes</t>
        </is>
      </c>
      <c r="CB33" s="537">
        <f>IF(B33="","",IF(AT33="No",((BB33+AW33)-$AZ$4),((BB33+AX33)-$AZ$4))*IF(DD33&gt;0,0,M33))</f>
        <v/>
      </c>
      <c r="CC33" s="537">
        <f>IF(B33="","",AY33*(L33-M33)*IF(DD33&gt;0,0,1))</f>
        <v/>
      </c>
      <c r="CD33" s="265" t="n"/>
      <c r="CE33" s="265">
        <f>IF(AND(B33&lt;&gt;"",R33&lt;=85%),1,0)</f>
        <v/>
      </c>
      <c r="CF33" s="265">
        <f>IF(B33="",0,(IF(OR(BF33="USD",BF33="CAD",BF33="GBP",BF33="AUD",BF33="EUR"),0,1)))</f>
        <v/>
      </c>
      <c r="CG33" s="265">
        <f>IF(B33="",0,(IF(OR(BG33="United States",BG33="Canada",BG33="United Kingdom",BG33="Australia",BG33="Netherlands Antilles",BG33="Bermuda",BG33="Cayman Islands",BG33="British Virgin Islands",BG33="Channel Islands",BG33="Isle of Man",BG33="Australia",BG33="Netherlands",BG33="Germany",BG33="Sweden",BG33="Switzerland",BG33="Austria",BG33="Belgium",BG33="Denmark",BG33="Finland",BG33="Iceland",BG33="Ireland",BG33="Lichtenstein",BG33="Luxemborg",BG33="Norway"),0,1)))</f>
        <v/>
      </c>
      <c r="CH33" s="265">
        <f>IF(BN33="Yes",1,0)</f>
        <v/>
      </c>
      <c r="CI33" s="265">
        <f>IF(BO33="Yes",1,0)</f>
        <v/>
      </c>
      <c r="CJ33" s="265">
        <f>IF(BP33="Yes",1,0)</f>
        <v/>
      </c>
      <c r="CK33" s="265">
        <f>IF(BQ33="Yes",1,0)</f>
        <v/>
      </c>
      <c r="CL33" s="265">
        <f>IF(BR33="Yes",1,0)</f>
        <v/>
      </c>
      <c r="CM33" s="265">
        <f>IF(BS33="Yes",1,0)</f>
        <v/>
      </c>
      <c r="CN33" s="265">
        <f>IF(OR(AND(BJ33="Yes",N33="No"),AND(BJ33="Yes",N33="Yes",P33&gt;=6)),1,0)</f>
        <v/>
      </c>
      <c r="CO33" s="265">
        <f>IF(BT33="Yes",1,0)</f>
        <v/>
      </c>
      <c r="CP33" s="265">
        <f>IF(AND(BU33="Yes",BV33="No"),1,0)</f>
        <v/>
      </c>
      <c r="CQ33" s="265">
        <f>IF(BW33="Yes",1,0)</f>
        <v/>
      </c>
      <c r="CR33" s="265">
        <f>IF(AP33="",0,IF(AP33&gt;7,1,0))</f>
        <v/>
      </c>
      <c r="CS33" s="265">
        <f>IF(OR(BD33&lt;&gt;"Monthly",BD33&lt;&gt;"Quarterly",BD33&lt;&gt;"Semi-Annually"),0,1)</f>
        <v/>
      </c>
      <c r="CT33" s="265">
        <f>IF(BX33="Yes",1,0)</f>
        <v/>
      </c>
      <c r="CU33" s="265">
        <f>IF(BY33="Yes",1,0)</f>
        <v/>
      </c>
      <c r="CV33" s="265">
        <f>IF(BZ33="Yes",1,0)</f>
        <v/>
      </c>
      <c r="CW33" s="265">
        <f>IF(CA33="No",1,0)</f>
        <v/>
      </c>
      <c r="CX33" s="265">
        <f>IF(B33="",0,IF(AK33&gt;=5000000,0,1))</f>
        <v/>
      </c>
      <c r="CY33" s="265">
        <f>IF(B33="",0,IF(AL33&gt;=5000000,0,1))</f>
        <v/>
      </c>
      <c r="CZ33" s="265">
        <f>IF(OR(DA33=1,DB33=1,DC33=1),0,IF(B33="",0,IF(OR(AND(AN33="Tier 1",X33="No",OR(AI33&gt;$AJ$3,AJ33&gt;$AJ$4)),(AND(AN33="Tier 1",X33="Yes",AJ33&gt;$AJ$5)),(AND(AN33="Tier 2",X33="No",OR(AI33&gt;$AK$3,AJ33&gt;$AK$4))),(AND(AN33="Tier 2",X33="Yes",AJ33&gt;$AK$5)),(AND(AN33="Tier 3",X33="No",OR(AI33&gt;$AL$3,AJ33&gt;$AL$4))),(AND(AN33="Tier 3",X33="Yes",AJ33&gt;$AL$5))),1,0)))</f>
        <v/>
      </c>
      <c r="DA33" s="265">
        <f>IF(OR(DB33=1,DC33=1),0,IF(B33="",0,IF(OR(AND(AN33="Tier 1",X33="No",OR(AI33&gt;$AM$3,AJ33&gt;$AM$4)),(AND(AN33="Tier 1",X33="Yes",AJ33&gt;$AM$5)),(AND(AN33="Tier 2",X33="No",OR(AI33&gt;$AN$3,AJ33&gt;$AN$4))),(AND(AN33="Tier 2",X33="Yes",AJ33&gt;$AN$5)),(AND(AN33="Tier 3",X33="No",OR(AI33&gt;$AO$3,AJ33&gt;$AO$4))),(AND(AN33="Tier 3",X33="Yes",AJ33&gt;$AO$5))),1,0)))</f>
        <v/>
      </c>
      <c r="DB33" s="265">
        <f>IF(DC33=1,0,IF(B33="",0,IF(OR(AND(AN33="Tier 1",X33="No",OR(AI33&gt;$AP$3,AJ33&gt;$AP$4)),(AND(AN33="Tier 1",X33="Yes",AJ33&gt;$AP$5)),(AND(AN33="Tier 2",X33="No",OR(AI33&gt;$AQ$3,AJ33&gt;$AQ$4))),(AND(AN33="Tier 2",X33="Yes",AJ33&gt;$AQ$5)),(AND(AN33="Tier 3",X33="No",OR(AI33&gt;$AR$3,AJ33&gt;$AR$4))),(AND(AN33="Tier 3",X33="Yes",AJ33&gt;$AR$5))),1,0)))</f>
        <v/>
      </c>
      <c r="DC33" s="265">
        <f>IF(B33="",0,IF(OR(AND(AN33="Tier 1",X33="No",OR(AI33&gt;$AS$3,AJ33&gt;$AS$4)),(AND(AN33="Tier 1",X33="Yes",AJ33&gt;$AS$5)),(AND(AN33="Tier 2",X33="No",OR(AI33&gt;$AT$3,AJ33&gt;$AT$4))),(AND(AN33="Tier 2",X33="Yes",AJ33&gt;$AT$5)),(AND(AN33="Tier 3",X33="No",OR(AI33&gt;$AU$3,AJ33&gt;$AU$4))),(AND(AN33="Tier 3",X33="Yes",AJ33&gt;$AU$5))),1,0))</f>
        <v/>
      </c>
      <c r="DD33" s="265">
        <f>IF((SUM(CE33:CX33)=0),0,W33)</f>
        <v/>
      </c>
      <c r="DE33" s="265">
        <f>IF(OR(B33="",DD33&gt;0),0,W33)</f>
        <v/>
      </c>
      <c r="DF33" s="265">
        <f>IF(B33="",0,IF(COUNTIF(CE33:CX33,1)&gt;0,0,L33-M33))</f>
        <v/>
      </c>
      <c r="DG33" s="265">
        <f>DE33+IF(DD33&gt;0,0,DF33)</f>
        <v/>
      </c>
      <c r="DH33" s="265">
        <f>IF(B33="","",M33+DF33)</f>
        <v/>
      </c>
      <c r="DI33" s="265">
        <f>IF(B33="",0,J33-K33)</f>
        <v/>
      </c>
      <c r="DJ33" s="265">
        <f>IF(OR(BF33="EUR",BF33="CAD",BF33="GBP",BF33="AUD"),(GA33*(1-V33))+(HG33)+IF(HX33="",0,HX33*(1-U33)),0)</f>
        <v/>
      </c>
      <c r="DK33" s="265">
        <f>IF(BF33="EUR",33%,IF(BF33="CAD",38%,IF(BF33="GBP",51%,IF(BF33="AUD",61%,0))))</f>
        <v/>
      </c>
      <c r="DL33" s="265">
        <f>DJ33*DK33</f>
        <v/>
      </c>
      <c r="DN33" s="538">
        <f>IF(OR(Y33="Second Lien",Y33="Tier 1 Split Lien",Y33="Tier 2 Split Lien"),DG33,0)</f>
        <v/>
      </c>
      <c r="DO33" s="539">
        <f>DN33*DN$6</f>
        <v/>
      </c>
      <c r="DP33" s="538">
        <f>DG33-DO33</f>
        <v/>
      </c>
      <c r="DQ33" s="538">
        <f>IF(Y33="Second Lien",DP33,0)</f>
        <v/>
      </c>
      <c r="DR33" s="539">
        <f>DQ33*DQ$6</f>
        <v/>
      </c>
      <c r="DS33" s="538">
        <f>DP33-DR33</f>
        <v/>
      </c>
      <c r="DT33" s="538">
        <f>IF(BH33="Yes",DS33,0)</f>
        <v/>
      </c>
      <c r="DU33" s="539">
        <f>DT33*DT$6</f>
        <v/>
      </c>
      <c r="DV33" s="538">
        <f>DS33-DU33</f>
        <v/>
      </c>
      <c r="DW33" s="538">
        <f>IF(OR(BG33="Canada",BG33="United Kingdom",BG33="Australia",BG33="Netherlands Antilles",BG33="Bermuda",BG33="Cayman Islands",BG33="British Virgin Islands",BG33="Channel Islands",BG33="Isle of Man",BG33="Australia",BG33="Netherlands",BG33="Germany",BG33="Sweden",BG33="Switzerland",BG33="Austria",BG33="Belgium",BG33="Denmark",BG33="Finland",BG33="Iceland",BG33="Ireland",BG33="Lichtenstein",BG33="Luxemborg",BG33="Norway"),DV33,0)</f>
        <v/>
      </c>
      <c r="DX33" s="539">
        <f>DW33*DW$6</f>
        <v/>
      </c>
      <c r="DY33" s="538">
        <f>DV33-DX33</f>
        <v/>
      </c>
      <c r="DZ33" s="538">
        <f>IF(BI33="Yes",DY33,0)</f>
        <v/>
      </c>
      <c r="EA33" s="539">
        <f>DZ33*DZ$6</f>
        <v/>
      </c>
      <c r="EB33" s="538">
        <f>DY33-EA33</f>
        <v/>
      </c>
      <c r="EC33" s="538">
        <f>IF(OR(Z33="Delayed Draw",Z33="Revolver"),EB33,0)</f>
        <v/>
      </c>
      <c r="ED33" s="539">
        <f>EC33*EC$6</f>
        <v/>
      </c>
      <c r="EE33" s="538">
        <f>EB33-ED33</f>
        <v/>
      </c>
      <c r="EF33" s="538">
        <f>IF(S33="Yes",EE33,0)</f>
        <v/>
      </c>
      <c r="EG33" s="539">
        <f>EF33*EF$6</f>
        <v/>
      </c>
      <c r="EH33" s="538">
        <f>EE33-EG33</f>
        <v/>
      </c>
      <c r="EI33" s="538">
        <f>IF(Q33="Yes",EH33,0)</f>
        <v/>
      </c>
      <c r="EJ33" s="539">
        <f>EI33*EI$6</f>
        <v/>
      </c>
      <c r="EK33" s="538">
        <f>EH33-EJ33</f>
        <v/>
      </c>
      <c r="EL33" s="538">
        <f>IF(BD33="Semi-Annually",EK33,0)</f>
        <v/>
      </c>
      <c r="EM33" s="539">
        <f>EL33*EL$6</f>
        <v/>
      </c>
      <c r="EN33" s="538">
        <f>EK33-EM33</f>
        <v/>
      </c>
      <c r="EO33" s="538">
        <f>IF(BK33="Yes",EN33,0)</f>
        <v/>
      </c>
      <c r="EP33" s="539">
        <f>EO33*EO$6</f>
        <v/>
      </c>
      <c r="EQ33" s="538">
        <f>EN33-EP33</f>
        <v/>
      </c>
      <c r="ER33" s="538">
        <f>IF(BL33="Yes",EQ33,0)</f>
        <v/>
      </c>
      <c r="ES33" s="539">
        <f>ER33*ER$6</f>
        <v/>
      </c>
      <c r="ET33" s="538">
        <f>EQ33-ES33</f>
        <v/>
      </c>
      <c r="EU33" s="538">
        <f>IF(BM33="Yes",ET33,0)</f>
        <v/>
      </c>
      <c r="EV33" s="539">
        <f>EU33*EU$6</f>
        <v/>
      </c>
      <c r="EW33" s="538">
        <f>ET33-EV33</f>
        <v/>
      </c>
      <c r="EX33" s="538">
        <f>IF(BV33="Yes",EW33,0)</f>
        <v/>
      </c>
      <c r="EY33" s="539">
        <f>EX33*EX$6</f>
        <v/>
      </c>
      <c r="EZ33" s="538">
        <f>EW33-EY33</f>
        <v/>
      </c>
      <c r="FA33" s="538">
        <f>IF(AR33="Yes",EZ33,0)</f>
        <v/>
      </c>
      <c r="FB33" s="539">
        <f>FA33*FA$6</f>
        <v/>
      </c>
      <c r="FC33" s="538">
        <f>EZ33-FB33</f>
        <v/>
      </c>
      <c r="FD33" s="538">
        <f>IF(OR(BF33="EUR",BF33="AUD",BF33="CAD",BF33="GBP"),FC33,0)</f>
        <v/>
      </c>
      <c r="FE33" s="539">
        <f>FD33*FD$6</f>
        <v/>
      </c>
      <c r="FF33" s="538">
        <f>FC33-FE33</f>
        <v/>
      </c>
      <c r="FG33" s="538">
        <f>FF33</f>
        <v/>
      </c>
      <c r="FH33" s="538">
        <f>IF(FF33=0,0,VLOOKUP(C33,$GU$10:$GV$406,2,FALSE)*FF33)</f>
        <v/>
      </c>
      <c r="FI33" s="538">
        <f>FF33-FH33</f>
        <v/>
      </c>
      <c r="FJ33" s="538">
        <f>FI33</f>
        <v/>
      </c>
      <c r="FK33" s="538">
        <f>IF(OR(IB33="",FI33&lt;0.01),,VLOOKUP(IB33,$GL$10:$GM$406,2,FALSE)*FI33)</f>
        <v/>
      </c>
      <c r="FL33" s="538">
        <f>FI33-FK33</f>
        <v/>
      </c>
      <c r="FM33" s="538">
        <f>FL33</f>
        <v/>
      </c>
      <c r="FN33" s="538">
        <f>IF(FL33=0,0,VLOOKUP(C33,$HD$10:$HE$406,2,FALSE)*FL33)</f>
        <v/>
      </c>
      <c r="FO33" s="538">
        <f>FL33-FN33</f>
        <v/>
      </c>
      <c r="FP33" s="538">
        <f>IF(SUM(CY33:DC33)&gt;0,0,IF(AND(AL33&gt;=5000000,AL33&lt;7500000),FO33,0))</f>
        <v/>
      </c>
      <c r="FQ33" s="539">
        <f>IF(B33="",0,FP33*FP$6*(1-$U33))</f>
        <v/>
      </c>
      <c r="FR33" s="538">
        <f>FO33-FQ33</f>
        <v/>
      </c>
      <c r="FS33" s="538">
        <f>IF(SUM(CY33:DC33)&gt;0,0,IF(AL33&lt;15000000,FR33,0))</f>
        <v/>
      </c>
      <c r="FT33" s="539">
        <f>IF(B33="",0,FS33*FS$6*(1-$U33))</f>
        <v/>
      </c>
      <c r="FU33" s="538">
        <f>FR33-FT33</f>
        <v/>
      </c>
      <c r="FV33" s="538">
        <f>IF(SUM(CY33:DC33)&gt;0,0,IF(OR(AND(X33="No",AN33="Tier 1",AI33&gt;$AG$3),AND(X33="No",AN33="Tier 2",AI33&gt;$AH$3),AND(X33="No",AN33="Tier 3",AI33&gt;$AI$3)),FU33,0))</f>
        <v/>
      </c>
      <c r="FW33" s="538">
        <f>IF(SUM(CY33:DC33)&gt;0,0,IF(OR(AND(X33="No",AN33="Tier 1",AJ33&gt;$AG$4),AND(X33="No",AN33="Tier 2",AJ33&gt;$AH$4),AND(X33="No",AN33="Tier 3",AJ33&gt;$AI$4)),FU33,0))</f>
        <v/>
      </c>
      <c r="FX33" s="538">
        <f>IF(SUM(CY33:DC33)&gt;0,0,IF(OR(AND(X33="Yes",AN33="Tier 1",AJ33&gt;$AG$5),AND(X33="Yes",AN33="Tier 2",AJ33&gt;$AH$5),AND(X33="Yes",AN33="Tier 3",AJ33&gt;$AI$5)),FU33,0))</f>
        <v/>
      </c>
      <c r="FY33" s="538">
        <f>IF(SUM(FV33:FX33)&gt;0,FU33,0)</f>
        <v/>
      </c>
      <c r="FZ33" s="539">
        <f>IF(B33="",0,FY33*FV$6*(1-MIN(90%,T33)))</f>
        <v/>
      </c>
      <c r="GA33" s="538">
        <f>FU33-FZ33</f>
        <v/>
      </c>
      <c r="GB33" s="538">
        <f>IF(AND(N33="No",DI33=0),GA33,IF(AND(N33="No",DI33&lt;&gt;0,K33=0),0,IF(AND(N33="No",DI33&lt;&gt;0,K33&gt;0,J33&lt;&gt;K33),MAX(0,M33-(DH33-GA33)),DG33)))</f>
        <v/>
      </c>
      <c r="GC33" s="540">
        <f>+GB33*V33</f>
        <v/>
      </c>
      <c r="GD33" s="138">
        <f>IFERROR(GC33/K33,"")</f>
        <v/>
      </c>
      <c r="GE33" s="541">
        <f>IF(IB33="","",IB33)</f>
        <v/>
      </c>
      <c r="GF33" s="538">
        <f t="array" ref="GF33">IF(SUM(IF(IB$9:IB32=IB33,1,0))&gt;0,0,SUMIF($IB$10:$IB$406,IB33,$FI$10:$FI$406))</f>
        <v/>
      </c>
      <c r="GG33" s="270">
        <f>GF33</f>
        <v/>
      </c>
      <c r="GH33" s="137">
        <f>GH32+1</f>
        <v/>
      </c>
      <c r="GI33" s="542">
        <f>LARGE($GG$10:$GG$406,GH33)</f>
        <v/>
      </c>
      <c r="GJ33" s="542">
        <f>IF(GH33&gt;GH$6,0,IF(GH33=$GH$2,$GJ$2,IF(GH33&lt;4,$GJ$3,$GJ$4)))</f>
        <v/>
      </c>
      <c r="GK33" s="489">
        <f>MAX(0,GI33-GJ33)</f>
        <v/>
      </c>
      <c r="GL33" s="137">
        <f t="array" ref="GL33">IF(GI33=0,0,LARGE(IF($GF$10:$GF$406=GI33,$GE$10:$GE$406,0),COUNTIF($GI$10:$GI$406,GI33)-COUNTIF(GI$9:GI32,GI33)))</f>
        <v/>
      </c>
      <c r="GM33" s="272">
        <f>IF(GI33=0,0,GK33/GI33)</f>
        <v/>
      </c>
      <c r="GO33" s="137">
        <f>IF(C33="","",IF(ISERROR(MATCH(C33,C$10:C32,0)),MAX(GO$10:GO32)+1,INDEX(GO$10:GO32,MATCH(C33,C$10:C32,0))))</f>
        <v/>
      </c>
      <c r="GP33" s="538">
        <f>IF(COUNTIF($A$10:A33,A33)&lt;=1,SUMIF($A$10:$A$406,A33,$FG$10:$FG$406),0)</f>
        <v/>
      </c>
      <c r="GQ33" s="137">
        <f>GQ32+1</f>
        <v/>
      </c>
      <c r="GR33" s="542">
        <f>LARGE($GP$10:$GP$406,GQ33)</f>
        <v/>
      </c>
      <c r="GS33" s="542">
        <f>IF(GQ33&gt;GQ$6,0,IF(GQ33&lt;=GQ$2,GS$2,IF(AND(GQ33&lt;=$GQ$3,GQ33&gt;$GQ$2),GS$3,GS$4)))</f>
        <v/>
      </c>
      <c r="GT33" s="489">
        <f>MAX(0,GR33-GS33)</f>
        <v/>
      </c>
      <c r="GU33" s="137">
        <f t="array" ref="GU33">IF(GR33=0,0,LARGE(IF($GP$10:$GP$406=GR33,$GO$10:$GO$406,0),COUNTIF($GR$10:$GR$406,GR33)-COUNTIF(GR$9:GR32,GR33)))</f>
        <v/>
      </c>
      <c r="GV33" s="272">
        <f>IF(GR33=0,0,GT33/GR33)</f>
        <v/>
      </c>
      <c r="GW33" s="272" t="n"/>
      <c r="GX33" s="137">
        <f>IF(C33="","",IF(ISERROR(MATCH(C33,C$10:C32,0)),MAX(GO$10:GO32)+1,INDEX(GO$10:GO32,MATCH(C33,C$10:C32,0))))</f>
        <v/>
      </c>
      <c r="GY33" s="538">
        <f>IF(COUNTIF($A$10:A33,A33)&lt;=1,SUMIF($A$10:$A$406,A33,$FG$10:$FG$406),0)</f>
        <v/>
      </c>
      <c r="GZ33" s="137">
        <f>GZ32+1</f>
        <v/>
      </c>
      <c r="HA33" s="542">
        <f>LARGE($GY$10:$GY$406,GZ33)</f>
        <v/>
      </c>
      <c r="HB33" s="543" t="inlineStr">
        <is>
          <t>-</t>
        </is>
      </c>
      <c r="HC33" s="489">
        <f>IF(GZ33&lt;6,MAX(0,$HC$2/5),0)</f>
        <v/>
      </c>
      <c r="HD33" s="137">
        <f t="array" ref="HD33">IF(HA33=0,0,LARGE(IF($GY$10:$GY$406=HA33,$GX$10:$GX$406,0),COUNTIF($HA$10:$HA$406,HA33)-COUNTIF(HA$9:HA32,HA33)))</f>
        <v/>
      </c>
      <c r="HE33" s="272">
        <f>IF(HA33=0,0,HC33/HA33)</f>
        <v/>
      </c>
      <c r="HG33" s="270">
        <f>DG33-GA33</f>
        <v/>
      </c>
      <c r="HH33" s="544" t="n">
        <v>0</v>
      </c>
      <c r="HI33" s="538">
        <f>MIN(HH33,DE33)</f>
        <v/>
      </c>
      <c r="HK33" s="137">
        <f>IF(COUNTIF($C$10:$C$406,HK32+1),HK32+1,"")</f>
        <v/>
      </c>
      <c r="HL33" s="538">
        <f>SUMIF($C$10:$C$406,HK33,$DG$10:$DG$406)</f>
        <v/>
      </c>
      <c r="HN33" s="521">
        <f>MIN(HO33:HS33)</f>
        <v/>
      </c>
      <c r="HO33" s="521">
        <f>IF(B33="","",$M33)</f>
        <v/>
      </c>
      <c r="HP33" s="521">
        <f>IF($N33="Yes",IF(P33&gt;=6,0,MIN($T33*$M33,$U33*$M33)),"")</f>
        <v/>
      </c>
      <c r="HQ33" s="521">
        <f>IF(AND(N33="Yes",P33&gt;=6),"",IF($S33="Yes",$R33*$M33,""))</f>
        <v/>
      </c>
      <c r="HR33" s="521">
        <f>IF($Q33="Yes",MIN($M33,$T33*$M33),"")</f>
        <v/>
      </c>
      <c r="HS33" s="521">
        <f>IF(AND($N33="Yes",$P33&gt;=6),"",IF(OR(CY33=1,DC33=1,),MIN($T33*$M33,$U33*$M33),IF(OR(CZ33=1,DA33=1,DB33=1),IF(AK33&gt;=5000000,MIN($T33*$M33,$IE33*$M33),MIN($T33*$M33,$U33*$M33)),"")))</f>
        <v/>
      </c>
      <c r="HT33" s="521">
        <f>IF(DD33&gt;0,DD33,"")</f>
        <v/>
      </c>
      <c r="HU33" s="522">
        <f>IF(B33="",0,$L33-$M33)</f>
        <v/>
      </c>
      <c r="HV33" s="274">
        <f>IF(OR(SUM(HP33:HT33)&gt;0,P33&gt;=6),"",IF($B33="","",1))</f>
        <v/>
      </c>
      <c r="HW33" s="522">
        <f>IF(AND($HT33&lt;&gt;0,OR(HT33&lt;=MIN(HP33:HS33),SUM(HP33:HS33)=0)),$HT33,0)</f>
        <v/>
      </c>
      <c r="HX33" s="522">
        <f>IF(AND($HS33&lt;&gt;0,OR(AND($HS33&lt;&gt;$HT33,$HS33&lt;&gt;$HR33,$HS33&lt;&gt;$HQ33,$HS33&lt;&gt;$HP33,$HS33&lt;MIN($HP33:$HR33),$HS33&lt;HT33),SUM($HP33:$HR33)+SUM(HT33)=0),IA33&lt;=0),$HS33,0)</f>
        <v/>
      </c>
      <c r="HY33" s="522">
        <f>IF(AND($HR33&lt;&gt;0,OR(AND($HR33&lt;&gt;$HT33,$HR33&lt;&gt;$HS33,$HR33&lt;&gt;$HQ33,$HR33&lt;&gt;$HP33),$HR33&lt;MIN($HP33:$HQ33),$HR33&lt;MIN($HS33:$HT33),SUM($HP33:$HQ33)+SUM($HS33:$HT33)=0)),$HR33,0)</f>
        <v/>
      </c>
      <c r="HZ33" s="522">
        <f>IF(AND($HQ33&lt;&gt;0,OR(AND($HQ33&lt;&gt;$HT33,HQ33&lt;&gt;HS33,HQ33&lt;&gt;HR33,HQ33&lt;&gt;HP33,HQ33&lt;MIN(HR33:HT33)),SUM(HP33)+SUM(HR33:HT33)=0)),$HQ33,0)</f>
        <v/>
      </c>
      <c r="IA33" s="522">
        <f>IF(AND($HP33&lt;&gt;0,OR(HP33&lt;=MIN(HQ33:HT33),SUM(HQ33:HT33)=0)),$HP33,0)</f>
        <v/>
      </c>
      <c r="IB33" s="545" t="n">
        <v>55</v>
      </c>
      <c r="IC33">
        <f>HU33=DF33</f>
        <v/>
      </c>
      <c r="IE33" s="351">
        <f>IF(B33="","",IF(AND(Y33="Second Lien",OR(CZ33=1,DA33=1,DB33=1)),50%,IF(CZ33=1,90%,IF(DA33=1,80%,IF(DB33=1,65%,"No Initial Haircut")))))</f>
        <v/>
      </c>
    </row>
    <row r="34">
      <c r="A34">
        <f>D34</f>
        <v/>
      </c>
      <c r="B34" s="242">
        <f>IF(D34="","",B33+1)</f>
        <v/>
      </c>
      <c r="C34" s="242">
        <f>IF(COUNTIF($A$10:A33,A34)&gt;0,C33,C33+1)</f>
        <v/>
      </c>
      <c r="D34" s="243" t="inlineStr">
        <is>
          <t>Brookstone Holdings, LLC</t>
        </is>
      </c>
      <c r="E34" s="243" t="inlineStr">
        <is>
          <t>Brookstone</t>
        </is>
      </c>
      <c r="F34" s="244" t="n"/>
      <c r="G34" s="528" t="n">
        <v>6957073.699899998</v>
      </c>
      <c r="H34" s="528" t="n">
        <v>6957073.699899998</v>
      </c>
      <c r="I34" s="246" t="n">
        <v>1</v>
      </c>
      <c r="J34" s="529">
        <f>IF(B34="","",G34*I34)</f>
        <v/>
      </c>
      <c r="K34" s="529">
        <f>IF(B34="","",H34*I34)</f>
        <v/>
      </c>
      <c r="L34" s="529">
        <f>IF(B34="","",IF(COUNTIF($CE34:$CX34,1)&gt;0,0,J34))</f>
        <v/>
      </c>
      <c r="M34" s="529">
        <f>IF(B34="","",IF(COUNTIF($CE34:$CX34,1)&gt;0,0,K34))</f>
        <v/>
      </c>
      <c r="N34" s="248" t="inlineStr">
        <is>
          <t>No</t>
        </is>
      </c>
      <c r="O34" s="248" t="inlineStr">
        <is>
          <t>N/A</t>
        </is>
      </c>
      <c r="P34" s="249">
        <f>IF(B34="","",IF(OR(O34="N/A",O34=""),0,YEARFRAC('Borrowing Base'!$J$4,'Loan List'!O34)*12))</f>
        <v/>
      </c>
      <c r="Q34" s="248" t="inlineStr">
        <is>
          <t>No</t>
        </is>
      </c>
      <c r="R34" s="250" t="n">
        <v>0.9950000000000001</v>
      </c>
      <c r="S34" s="251">
        <f>IF(B34="","",IF(R34&lt;95%,"Yes","No"))</f>
        <v/>
      </c>
      <c r="T34" s="250" t="n">
        <v>0.8000000036043139</v>
      </c>
      <c r="U34" s="252">
        <f>IF(B34="","",IF(OR(Y34="First Lien",Y34="Split First Lien",Y34="Tier 1 Split Lien",Y34="Tier 2 Split Lien"),50%,30%))</f>
        <v/>
      </c>
      <c r="V34" s="252">
        <f>IF(B34="",0,IF(AND(Y34="First Lien",AN34="Tier 1"),IF(AND(X34="Yes",MIN(AH34,$AJ$5)&gt;4.5),(((4.5/MIN(AH34,$AJ$5))*72.5%)+(((MIN(AH34,$AJ$5)-4.5)/MIN(AH34,$AJ$5))*35%)),72.5%),IF(AND(Y34="First Lien",AN34="Tier 2"),IF(AND(X34="Yes",MIN(AH34,$AK$5)&gt;4.5),(((4.5/MIN(AH34,$AK$5))*72.5%)+(((MIN(AH34,$AK$5)-4.5)/MIN(AH34,$AK$5))*35%)),72.5%),IF(AND(X34="Yes",MIN(AH34,$AL$5)&gt;4),(((4/MIN(AH34,$AL$5))*72.5%)+(((MIN(AH34,$AL$5)-4)/MIN(AH34,$AL$5))*35%)),IF(OR(Y34="First Lien",Y34="Split First Lien"),72.5%,IF(Y34="Split Lien", 53%,35%))))))</f>
        <v/>
      </c>
      <c r="W34" s="530">
        <f>IF($C34="","",MIN($HO34:$HS34))</f>
        <v/>
      </c>
      <c r="X34" s="248" t="inlineStr">
        <is>
          <t>Yes</t>
        </is>
      </c>
      <c r="Y34" s="254" t="inlineStr">
        <is>
          <t>First Lien</t>
        </is>
      </c>
      <c r="Z34" s="254" t="inlineStr">
        <is>
          <t>Term</t>
        </is>
      </c>
      <c r="AA34" s="531" t="inlineStr">
        <is>
          <t>NR</t>
        </is>
      </c>
      <c r="AB34" s="531" t="inlineStr">
        <is>
          <t xml:space="preserve"> NR</t>
        </is>
      </c>
      <c r="AC34" s="532" t="n">
        <v>2.37</v>
      </c>
      <c r="AD34" s="532" t="n">
        <v>5.440222023358248</v>
      </c>
      <c r="AE34" s="532" t="n">
        <v>10.12583275974688</v>
      </c>
      <c r="AF34" s="257" t="n">
        <v>0.4303097345132743</v>
      </c>
      <c r="AG34" s="533" t="n">
        <v>5.440222023358248</v>
      </c>
      <c r="AH34" s="533" t="n">
        <v>5.440222023358248</v>
      </c>
      <c r="AI34" s="533" t="n">
        <v>9.615053269382226</v>
      </c>
      <c r="AJ34" s="533" t="n">
        <v>9.615053269382226</v>
      </c>
      <c r="AK34" s="534" t="n">
        <v>14300000</v>
      </c>
      <c r="AL34" s="534" t="n">
        <v>13215096</v>
      </c>
      <c r="AM34" s="276" t="n">
        <v>45808</v>
      </c>
      <c r="AN34" s="529">
        <f>IF(C34="","",(IF(AK34&gt;=50000000,"Tier 1",(IF(OR(AK34&gt;=20000000,AND(AK34&gt;5000000,AC34&gt;=1.25,AF34&lt;=0.65)),"Tier 2","Tier 3")))))</f>
        <v/>
      </c>
      <c r="AO34" s="244" t="n">
        <v>46295</v>
      </c>
      <c r="AP34" s="535" t="n">
        <v>1.166666666666667</v>
      </c>
      <c r="AQ34" s="535">
        <f>IF(C34="","",AP34)</f>
        <v/>
      </c>
      <c r="AR34" s="248" t="inlineStr">
        <is>
          <t>No</t>
        </is>
      </c>
      <c r="AS34" s="250" t="n">
        <v>0</v>
      </c>
      <c r="AT34" s="248" t="inlineStr">
        <is>
          <t>Yes</t>
        </is>
      </c>
      <c r="AU34" s="250" t="n">
        <v>0.01</v>
      </c>
      <c r="AV34" s="250" t="n">
        <v>0.09761610000000001</v>
      </c>
      <c r="AW34" s="250" t="n">
        <v>0.04295589999999999</v>
      </c>
      <c r="AX34" s="262">
        <f>IF(C34="","",MAX(AU34,AW34))</f>
        <v/>
      </c>
      <c r="AY34" s="250" t="n">
        <v>0</v>
      </c>
      <c r="AZ34" s="250" t="n">
        <v>0.015</v>
      </c>
      <c r="BA34" s="250" t="n">
        <v>0</v>
      </c>
      <c r="BB34" s="412">
        <f>IF(B34="","",IF(AR34="No",AV34-AZ34,""))</f>
        <v/>
      </c>
      <c r="BC34" s="412">
        <f>IF(B34="","",IF(AR34="Yes",AS34-BA34,""))</f>
        <v/>
      </c>
      <c r="BD34" s="254" t="inlineStr">
        <is>
          <t>Quarterly</t>
        </is>
      </c>
      <c r="BE34" s="536" t="inlineStr">
        <is>
          <t>Media</t>
        </is>
      </c>
      <c r="BF34" s="254" t="inlineStr">
        <is>
          <t>USD</t>
        </is>
      </c>
      <c r="BG34" s="254" t="inlineStr">
        <is>
          <t>United States</t>
        </is>
      </c>
      <c r="BH34" s="248" t="inlineStr">
        <is>
          <t>No</t>
        </is>
      </c>
      <c r="BI34" s="413">
        <f>IF(B34="","",IF(OR(AND(AZ34&gt;0,BB34&gt;=2.5%,BB34&lt;4%),AND(BA34&gt;0,BC34&gt;=6%,BC34&lt;8%)),"Yes","No"))</f>
        <v/>
      </c>
      <c r="BJ34" s="413">
        <f>IF(B34="","",IF(OR(AND(AZ34&gt;0,BB34&lt;2.5%),AND(BA34&gt;0,BC34&lt;6%)),"Yes","No"))</f>
        <v/>
      </c>
      <c r="BK34" s="248" t="inlineStr">
        <is>
          <t>No</t>
        </is>
      </c>
      <c r="BL34" s="248" t="inlineStr">
        <is>
          <t>No</t>
        </is>
      </c>
      <c r="BM34" s="248" t="inlineStr">
        <is>
          <t>No</t>
        </is>
      </c>
      <c r="BN34" s="248" t="inlineStr">
        <is>
          <t>No</t>
        </is>
      </c>
      <c r="BO34" s="248" t="inlineStr">
        <is>
          <t>No</t>
        </is>
      </c>
      <c r="BP34" s="248" t="inlineStr">
        <is>
          <t>No</t>
        </is>
      </c>
      <c r="BQ34" s="248" t="inlineStr">
        <is>
          <t>No</t>
        </is>
      </c>
      <c r="BR34" s="248" t="inlineStr">
        <is>
          <t>No</t>
        </is>
      </c>
      <c r="BS34" s="248" t="inlineStr">
        <is>
          <t>No</t>
        </is>
      </c>
      <c r="BT34" s="248" t="inlineStr">
        <is>
          <t>No</t>
        </is>
      </c>
      <c r="BU34" s="248" t="inlineStr">
        <is>
          <t>No</t>
        </is>
      </c>
      <c r="BV34" s="248" t="inlineStr">
        <is>
          <t>No</t>
        </is>
      </c>
      <c r="BW34" s="248" t="inlineStr">
        <is>
          <t>No</t>
        </is>
      </c>
      <c r="BX34" s="248" t="inlineStr">
        <is>
          <t>No</t>
        </is>
      </c>
      <c r="BY34" s="248" t="inlineStr">
        <is>
          <t>No</t>
        </is>
      </c>
      <c r="BZ34" s="248" t="inlineStr">
        <is>
          <t>No</t>
        </is>
      </c>
      <c r="CA34" s="248" t="inlineStr">
        <is>
          <t>Yes</t>
        </is>
      </c>
      <c r="CB34" s="537">
        <f>IF(B34="","",IF(AT34="No",((BB34+AW34)-$AZ$4),((BB34+AX34)-$AZ$4))*IF(DD34&gt;0,0,M34))</f>
        <v/>
      </c>
      <c r="CC34" s="537">
        <f>IF(B34="","",AY34*(L34-M34)*IF(DD34&gt;0,0,1))</f>
        <v/>
      </c>
      <c r="CD34" s="265" t="n"/>
      <c r="CE34" s="265">
        <f>IF(AND(B34&lt;&gt;"",R34&lt;=85%),1,0)</f>
        <v/>
      </c>
      <c r="CF34" s="265">
        <f>IF(B34="",0,(IF(OR(BF34="USD",BF34="CAD",BF34="GBP",BF34="AUD",BF34="EUR"),0,1)))</f>
        <v/>
      </c>
      <c r="CG34" s="265">
        <f>IF(B34="",0,(IF(OR(BG34="United States",BG34="Canada",BG34="United Kingdom",BG34="Australia",BG34="Netherlands Antilles",BG34="Bermuda",BG34="Cayman Islands",BG34="British Virgin Islands",BG34="Channel Islands",BG34="Isle of Man",BG34="Australia",BG34="Netherlands",BG34="Germany",BG34="Sweden",BG34="Switzerland",BG34="Austria",BG34="Belgium",BG34="Denmark",BG34="Finland",BG34="Iceland",BG34="Ireland",BG34="Lichtenstein",BG34="Luxemborg",BG34="Norway"),0,1)))</f>
        <v/>
      </c>
      <c r="CH34" s="265">
        <f>IF(BN34="Yes",1,0)</f>
        <v/>
      </c>
      <c r="CI34" s="265">
        <f>IF(BO34="Yes",1,0)</f>
        <v/>
      </c>
      <c r="CJ34" s="265">
        <f>IF(BP34="Yes",1,0)</f>
        <v/>
      </c>
      <c r="CK34" s="265">
        <f>IF(BQ34="Yes",1,0)</f>
        <v/>
      </c>
      <c r="CL34" s="265">
        <f>IF(BR34="Yes",1,0)</f>
        <v/>
      </c>
      <c r="CM34" s="265">
        <f>IF(BS34="Yes",1,0)</f>
        <v/>
      </c>
      <c r="CN34" s="265">
        <f>IF(OR(AND(BJ34="Yes",N34="No"),AND(BJ34="Yes",N34="Yes",P34&gt;=6)),1,0)</f>
        <v/>
      </c>
      <c r="CO34" s="265">
        <f>IF(BT34="Yes",1,0)</f>
        <v/>
      </c>
      <c r="CP34" s="265">
        <f>IF(AND(BU34="Yes",BV34="No"),1,0)</f>
        <v/>
      </c>
      <c r="CQ34" s="265">
        <f>IF(BW34="Yes",1,0)</f>
        <v/>
      </c>
      <c r="CR34" s="265">
        <f>IF(AP34="",0,IF(AP34&gt;7,1,0))</f>
        <v/>
      </c>
      <c r="CS34" s="265">
        <f>IF(OR(BD34&lt;&gt;"Monthly",BD34&lt;&gt;"Quarterly",BD34&lt;&gt;"Semi-Annually"),0,1)</f>
        <v/>
      </c>
      <c r="CT34" s="265">
        <f>IF(BX34="Yes",1,0)</f>
        <v/>
      </c>
      <c r="CU34" s="265">
        <f>IF(BY34="Yes",1,0)</f>
        <v/>
      </c>
      <c r="CV34" s="265">
        <f>IF(BZ34="Yes",1,0)</f>
        <v/>
      </c>
      <c r="CW34" s="265">
        <f>IF(CA34="No",1,0)</f>
        <v/>
      </c>
      <c r="CX34" s="265">
        <f>IF(B34="",0,IF(AK34&gt;=5000000,0,1))</f>
        <v/>
      </c>
      <c r="CY34" s="265">
        <f>IF(B34="",0,IF(AL34&gt;=5000000,0,1))</f>
        <v/>
      </c>
      <c r="CZ34" s="265">
        <f>IF(OR(DA34=1,DB34=1,DC34=1),0,IF(B34="",0,IF(OR(AND(AN34="Tier 1",X34="No",OR(AI34&gt;$AJ$3,AJ34&gt;$AJ$4)),(AND(AN34="Tier 1",X34="Yes",AJ34&gt;$AJ$5)),(AND(AN34="Tier 2",X34="No",OR(AI34&gt;$AK$3,AJ34&gt;$AK$4))),(AND(AN34="Tier 2",X34="Yes",AJ34&gt;$AK$5)),(AND(AN34="Tier 3",X34="No",OR(AI34&gt;$AL$3,AJ34&gt;$AL$4))),(AND(AN34="Tier 3",X34="Yes",AJ34&gt;$AL$5))),1,0)))</f>
        <v/>
      </c>
      <c r="DA34" s="265">
        <f>IF(OR(DB34=1,DC34=1),0,IF(B34="",0,IF(OR(AND(AN34="Tier 1",X34="No",OR(AI34&gt;$AM$3,AJ34&gt;$AM$4)),(AND(AN34="Tier 1",X34="Yes",AJ34&gt;$AM$5)),(AND(AN34="Tier 2",X34="No",OR(AI34&gt;$AN$3,AJ34&gt;$AN$4))),(AND(AN34="Tier 2",X34="Yes",AJ34&gt;$AN$5)),(AND(AN34="Tier 3",X34="No",OR(AI34&gt;$AO$3,AJ34&gt;$AO$4))),(AND(AN34="Tier 3",X34="Yes",AJ34&gt;$AO$5))),1,0)))</f>
        <v/>
      </c>
      <c r="DB34" s="265">
        <f>IF(DC34=1,0,IF(B34="",0,IF(OR(AND(AN34="Tier 1",X34="No",OR(AI34&gt;$AP$3,AJ34&gt;$AP$4)),(AND(AN34="Tier 1",X34="Yes",AJ34&gt;$AP$5)),(AND(AN34="Tier 2",X34="No",OR(AI34&gt;$AQ$3,AJ34&gt;$AQ$4))),(AND(AN34="Tier 2",X34="Yes",AJ34&gt;$AQ$5)),(AND(AN34="Tier 3",X34="No",OR(AI34&gt;$AR$3,AJ34&gt;$AR$4))),(AND(AN34="Tier 3",X34="Yes",AJ34&gt;$AR$5))),1,0)))</f>
        <v/>
      </c>
      <c r="DC34" s="265">
        <f>IF(B34="",0,IF(OR(AND(AN34="Tier 1",X34="No",OR(AI34&gt;$AS$3,AJ34&gt;$AS$4)),(AND(AN34="Tier 1",X34="Yes",AJ34&gt;$AS$5)),(AND(AN34="Tier 2",X34="No",OR(AI34&gt;$AT$3,AJ34&gt;$AT$4))),(AND(AN34="Tier 2",X34="Yes",AJ34&gt;$AT$5)),(AND(AN34="Tier 3",X34="No",OR(AI34&gt;$AU$3,AJ34&gt;$AU$4))),(AND(AN34="Tier 3",X34="Yes",AJ34&gt;$AU$5))),1,0))</f>
        <v/>
      </c>
      <c r="DD34" s="265">
        <f>IF((SUM(CE34:CX34)=0),0,W34)</f>
        <v/>
      </c>
      <c r="DE34" s="265">
        <f>IF(OR(B34="",DD34&gt;0),0,W34)</f>
        <v/>
      </c>
      <c r="DF34" s="265">
        <f>IF(B34="",0,IF(COUNTIF(CE34:CX34,1)&gt;0,0,L34-M34))</f>
        <v/>
      </c>
      <c r="DG34" s="265">
        <f>DE34+IF(DD34&gt;0,0,DF34)</f>
        <v/>
      </c>
      <c r="DH34" s="265">
        <f>IF(B34="","",M34+DF34)</f>
        <v/>
      </c>
      <c r="DI34" s="265">
        <f>IF(B34="",0,J34-K34)</f>
        <v/>
      </c>
      <c r="DJ34" s="265">
        <f>IF(OR(BF34="EUR",BF34="CAD",BF34="GBP",BF34="AUD"),(GA34*(1-V34))+(HG34)+IF(HX34="",0,HX34*(1-U34)),0)</f>
        <v/>
      </c>
      <c r="DK34" s="265">
        <f>IF(BF34="EUR",33%,IF(BF34="CAD",38%,IF(BF34="GBP",51%,IF(BF34="AUD",61%,0))))</f>
        <v/>
      </c>
      <c r="DL34" s="265">
        <f>DJ34*DK34</f>
        <v/>
      </c>
      <c r="DN34" s="538">
        <f>IF(OR(Y34="Second Lien",Y34="Tier 1 Split Lien",Y34="Tier 2 Split Lien"),DG34,0)</f>
        <v/>
      </c>
      <c r="DO34" s="539">
        <f>DN34*DN$6</f>
        <v/>
      </c>
      <c r="DP34" s="538">
        <f>DG34-DO34</f>
        <v/>
      </c>
      <c r="DQ34" s="538">
        <f>IF(Y34="Second Lien",DP34,0)</f>
        <v/>
      </c>
      <c r="DR34" s="539">
        <f>DQ34*DQ$6</f>
        <v/>
      </c>
      <c r="DS34" s="538">
        <f>DP34-DR34</f>
        <v/>
      </c>
      <c r="DT34" s="538">
        <f>IF(BH34="Yes",DS34,0)</f>
        <v/>
      </c>
      <c r="DU34" s="539">
        <f>DT34*DT$6</f>
        <v/>
      </c>
      <c r="DV34" s="538">
        <f>DS34-DU34</f>
        <v/>
      </c>
      <c r="DW34" s="538">
        <f>IF(OR(BG34="Canada",BG34="United Kingdom",BG34="Australia",BG34="Netherlands Antilles",BG34="Bermuda",BG34="Cayman Islands",BG34="British Virgin Islands",BG34="Channel Islands",BG34="Isle of Man",BG34="Australia",BG34="Netherlands",BG34="Germany",BG34="Sweden",BG34="Switzerland",BG34="Austria",BG34="Belgium",BG34="Denmark",BG34="Finland",BG34="Iceland",BG34="Ireland",BG34="Lichtenstein",BG34="Luxemborg",BG34="Norway"),DV34,0)</f>
        <v/>
      </c>
      <c r="DX34" s="539">
        <f>DW34*DW$6</f>
        <v/>
      </c>
      <c r="DY34" s="538">
        <f>DV34-DX34</f>
        <v/>
      </c>
      <c r="DZ34" s="538">
        <f>IF(BI34="Yes",DY34,0)</f>
        <v/>
      </c>
      <c r="EA34" s="539">
        <f>DZ34*DZ$6</f>
        <v/>
      </c>
      <c r="EB34" s="538">
        <f>DY34-EA34</f>
        <v/>
      </c>
      <c r="EC34" s="538">
        <f>IF(OR(Z34="Delayed Draw",Z34="Revolver"),EB34,0)</f>
        <v/>
      </c>
      <c r="ED34" s="539">
        <f>EC34*EC$6</f>
        <v/>
      </c>
      <c r="EE34" s="538">
        <f>EB34-ED34</f>
        <v/>
      </c>
      <c r="EF34" s="538">
        <f>IF(S34="Yes",EE34,0)</f>
        <v/>
      </c>
      <c r="EG34" s="539">
        <f>EF34*EF$6</f>
        <v/>
      </c>
      <c r="EH34" s="538">
        <f>EE34-EG34</f>
        <v/>
      </c>
      <c r="EI34" s="538">
        <f>IF(Q34="Yes",EH34,0)</f>
        <v/>
      </c>
      <c r="EJ34" s="539">
        <f>EI34*EI$6</f>
        <v/>
      </c>
      <c r="EK34" s="538">
        <f>EH34-EJ34</f>
        <v/>
      </c>
      <c r="EL34" s="538">
        <f>IF(BD34="Semi-Annually",EK34,0)</f>
        <v/>
      </c>
      <c r="EM34" s="539">
        <f>EL34*EL$6</f>
        <v/>
      </c>
      <c r="EN34" s="538">
        <f>EK34-EM34</f>
        <v/>
      </c>
      <c r="EO34" s="538">
        <f>IF(BK34="Yes",EN34,0)</f>
        <v/>
      </c>
      <c r="EP34" s="539">
        <f>EO34*EO$6</f>
        <v/>
      </c>
      <c r="EQ34" s="538">
        <f>EN34-EP34</f>
        <v/>
      </c>
      <c r="ER34" s="538">
        <f>IF(BL34="Yes",EQ34,0)</f>
        <v/>
      </c>
      <c r="ES34" s="539">
        <f>ER34*ER$6</f>
        <v/>
      </c>
      <c r="ET34" s="538">
        <f>EQ34-ES34</f>
        <v/>
      </c>
      <c r="EU34" s="538">
        <f>IF(BM34="Yes",ET34,0)</f>
        <v/>
      </c>
      <c r="EV34" s="539">
        <f>EU34*EU$6</f>
        <v/>
      </c>
      <c r="EW34" s="538">
        <f>ET34-EV34</f>
        <v/>
      </c>
      <c r="EX34" s="538">
        <f>IF(BV34="Yes",EW34,0)</f>
        <v/>
      </c>
      <c r="EY34" s="539">
        <f>EX34*EX$6</f>
        <v/>
      </c>
      <c r="EZ34" s="538">
        <f>EW34-EY34</f>
        <v/>
      </c>
      <c r="FA34" s="538">
        <f>IF(AR34="Yes",EZ34,0)</f>
        <v/>
      </c>
      <c r="FB34" s="539">
        <f>FA34*FA$6</f>
        <v/>
      </c>
      <c r="FC34" s="538">
        <f>EZ34-FB34</f>
        <v/>
      </c>
      <c r="FD34" s="538">
        <f>IF(OR(BF34="EUR",BF34="AUD",BF34="CAD",BF34="GBP"),FC34,0)</f>
        <v/>
      </c>
      <c r="FE34" s="539">
        <f>FD34*FD$6</f>
        <v/>
      </c>
      <c r="FF34" s="538">
        <f>FC34-FE34</f>
        <v/>
      </c>
      <c r="FG34" s="538">
        <f>FF34</f>
        <v/>
      </c>
      <c r="FH34" s="538">
        <f>IF(FF34=0,0,VLOOKUP(C34,$GU$10:$GV$406,2,FALSE)*FF34)</f>
        <v/>
      </c>
      <c r="FI34" s="538">
        <f>FF34-FH34</f>
        <v/>
      </c>
      <c r="FJ34" s="538">
        <f>FI34</f>
        <v/>
      </c>
      <c r="FK34" s="538">
        <f>IF(OR(IB34="",FI34&lt;0.01),,VLOOKUP(IB34,$GL$10:$GM$406,2,FALSE)*FI34)</f>
        <v/>
      </c>
      <c r="FL34" s="538">
        <f>FI34-FK34</f>
        <v/>
      </c>
      <c r="FM34" s="538">
        <f>FL34</f>
        <v/>
      </c>
      <c r="FN34" s="538">
        <f>IF(FL34=0,0,VLOOKUP(C34,$HD$10:$HE$406,2,FALSE)*FL34)</f>
        <v/>
      </c>
      <c r="FO34" s="538">
        <f>FL34-FN34</f>
        <v/>
      </c>
      <c r="FP34" s="538">
        <f>IF(SUM(CY34:DC34)&gt;0,0,IF(AND(AL34&gt;=5000000,AL34&lt;7500000),FO34,0))</f>
        <v/>
      </c>
      <c r="FQ34" s="539">
        <f>IF(B34="",0,FP34*FP$6*(1-$U34))</f>
        <v/>
      </c>
      <c r="FR34" s="538">
        <f>FO34-FQ34</f>
        <v/>
      </c>
      <c r="FS34" s="538">
        <f>IF(SUM(CY34:DC34)&gt;0,0,IF(AL34&lt;15000000,FR34,0))</f>
        <v/>
      </c>
      <c r="FT34" s="539">
        <f>IF(B34="",0,FS34*FS$6*(1-$U34))</f>
        <v/>
      </c>
      <c r="FU34" s="538">
        <f>FR34-FT34</f>
        <v/>
      </c>
      <c r="FV34" s="538">
        <f>IF(SUM(CY34:DC34)&gt;0,0,IF(OR(AND(X34="No",AN34="Tier 1",AI34&gt;$AG$3),AND(X34="No",AN34="Tier 2",AI34&gt;$AH$3),AND(X34="No",AN34="Tier 3",AI34&gt;$AI$3)),FU34,0))</f>
        <v/>
      </c>
      <c r="FW34" s="538">
        <f>IF(SUM(CY34:DC34)&gt;0,0,IF(OR(AND(X34="No",AN34="Tier 1",AJ34&gt;$AG$4),AND(X34="No",AN34="Tier 2",AJ34&gt;$AH$4),AND(X34="No",AN34="Tier 3",AJ34&gt;$AI$4)),FU34,0))</f>
        <v/>
      </c>
      <c r="FX34" s="538">
        <f>IF(SUM(CY34:DC34)&gt;0,0,IF(OR(AND(X34="Yes",AN34="Tier 1",AJ34&gt;$AG$5),AND(X34="Yes",AN34="Tier 2",AJ34&gt;$AH$5),AND(X34="Yes",AN34="Tier 3",AJ34&gt;$AI$5)),FU34,0))</f>
        <v/>
      </c>
      <c r="FY34" s="538">
        <f>IF(SUM(FV34:FX34)&gt;0,FU34,0)</f>
        <v/>
      </c>
      <c r="FZ34" s="539">
        <f>IF(B34="",0,FY34*FV$6*(1-MIN(90%,T34)))</f>
        <v/>
      </c>
      <c r="GA34" s="538">
        <f>FU34-FZ34</f>
        <v/>
      </c>
      <c r="GB34" s="538">
        <f>IF(AND(N34="No",DI34=0),GA34,IF(AND(N34="No",DI34&lt;&gt;0,K34=0),0,IF(AND(N34="No",DI34&lt;&gt;0,K34&gt;0,J34&lt;&gt;K34),MAX(0,M34-(DH34-GA34)),DG34)))</f>
        <v/>
      </c>
      <c r="GC34" s="540">
        <f>+GB34*V34</f>
        <v/>
      </c>
      <c r="GD34" s="138">
        <f>IFERROR(GC34/K34,"")</f>
        <v/>
      </c>
      <c r="GE34" s="541">
        <f>IF(IB34="","",IB34)</f>
        <v/>
      </c>
      <c r="GF34" s="538">
        <f t="array" ref="GF34">IF(SUM(IF(IB$9:IB33=IB34,1,0))&gt;0,0,SUMIF($IB$10:$IB$406,IB34,$FI$10:$FI$406))</f>
        <v/>
      </c>
      <c r="GG34" s="270">
        <f>GF34</f>
        <v/>
      </c>
      <c r="GH34" s="137">
        <f>GH33+1</f>
        <v/>
      </c>
      <c r="GI34" s="542">
        <f>LARGE($GG$10:$GG$406,GH34)</f>
        <v/>
      </c>
      <c r="GJ34" s="542">
        <f>IF(GH34&gt;GH$6,0,IF(GH34=$GH$2,$GJ$2,IF(GH34&lt;4,$GJ$3,$GJ$4)))</f>
        <v/>
      </c>
      <c r="GK34" s="489">
        <f>MAX(0,GI34-GJ34)</f>
        <v/>
      </c>
      <c r="GL34" s="137">
        <f t="array" ref="GL34">IF(GI34=0,0,LARGE(IF($GF$10:$GF$406=GI34,$GE$10:$GE$406,0),COUNTIF($GI$10:$GI$406,GI34)-COUNTIF(GI$9:GI33,GI34)))</f>
        <v/>
      </c>
      <c r="GM34" s="272">
        <f>IF(GI34=0,0,GK34/GI34)</f>
        <v/>
      </c>
      <c r="GO34" s="137">
        <f>IF(C34="","",IF(ISERROR(MATCH(C34,C$10:C33,0)),MAX(GO$10:GO33)+1,INDEX(GO$10:GO33,MATCH(C34,C$10:C33,0))))</f>
        <v/>
      </c>
      <c r="GP34" s="538">
        <f>IF(COUNTIF($A$10:A34,A34)&lt;=1,SUMIF($A$10:$A$406,A34,$FG$10:$FG$406),0)</f>
        <v/>
      </c>
      <c r="GQ34" s="137">
        <f>GQ33+1</f>
        <v/>
      </c>
      <c r="GR34" s="542">
        <f>LARGE($GP$10:$GP$406,GQ34)</f>
        <v/>
      </c>
      <c r="GS34" s="542">
        <f>IF(GQ34&gt;GQ$6,0,IF(GQ34&lt;=GQ$2,GS$2,IF(AND(GQ34&lt;=$GQ$3,GQ34&gt;$GQ$2),GS$3,GS$4)))</f>
        <v/>
      </c>
      <c r="GT34" s="489">
        <f>MAX(0,GR34-GS34)</f>
        <v/>
      </c>
      <c r="GU34" s="137">
        <f t="array" ref="GU34">IF(GR34=0,0,LARGE(IF($GP$10:$GP$406=GR34,$GO$10:$GO$406,0),COUNTIF($GR$10:$GR$406,GR34)-COUNTIF(GR$9:GR33,GR34)))</f>
        <v/>
      </c>
      <c r="GV34" s="272">
        <f>IF(GR34=0,0,GT34/GR34)</f>
        <v/>
      </c>
      <c r="GW34" s="272" t="n"/>
      <c r="GX34" s="137">
        <f>IF(C34="","",IF(ISERROR(MATCH(C34,C$10:C33,0)),MAX(GO$10:GO33)+1,INDEX(GO$10:GO33,MATCH(C34,C$10:C33,0))))</f>
        <v/>
      </c>
      <c r="GY34" s="538">
        <f>IF(COUNTIF($A$10:A34,A34)&lt;=1,SUMIF($A$10:$A$406,A34,$FG$10:$FG$406),0)</f>
        <v/>
      </c>
      <c r="GZ34" s="137">
        <f>GZ33+1</f>
        <v/>
      </c>
      <c r="HA34" s="542">
        <f>LARGE($GY$10:$GY$406,GZ34)</f>
        <v/>
      </c>
      <c r="HB34" s="543" t="inlineStr">
        <is>
          <t>-</t>
        </is>
      </c>
      <c r="HC34" s="489">
        <f>IF(GZ34&lt;6,MAX(0,$HC$2/5),0)</f>
        <v/>
      </c>
      <c r="HD34" s="137">
        <f t="array" ref="HD34">IF(HA34=0,0,LARGE(IF($GY$10:$GY$406=HA34,$GX$10:$GX$406,0),COUNTIF($HA$10:$HA$406,HA34)-COUNTIF(HA$9:HA33,HA34)))</f>
        <v/>
      </c>
      <c r="HE34" s="272">
        <f>IF(HA34=0,0,HC34/HA34)</f>
        <v/>
      </c>
      <c r="HG34" s="270">
        <f>DG34-GA34</f>
        <v/>
      </c>
      <c r="HH34" s="544" t="n">
        <v>0</v>
      </c>
      <c r="HI34" s="538">
        <f>MIN(HH34,DE34)</f>
        <v/>
      </c>
      <c r="HK34" s="137">
        <f>IF(COUNTIF($C$10:$C$406,HK33+1),HK33+1,"")</f>
        <v/>
      </c>
      <c r="HL34" s="538">
        <f>SUMIF($C$10:$C$406,HK34,$DG$10:$DG$406)</f>
        <v/>
      </c>
      <c r="HN34" s="521">
        <f>MIN(HO34:HS34)</f>
        <v/>
      </c>
      <c r="HO34" s="521">
        <f>IF(B34="","",$M34)</f>
        <v/>
      </c>
      <c r="HP34" s="521">
        <f>IF($N34="Yes",IF(P34&gt;=6,0,MIN($T34*$M34,$U34*$M34)),"")</f>
        <v/>
      </c>
      <c r="HQ34" s="521">
        <f>IF(AND(N34="Yes",P34&gt;=6),"",IF($S34="Yes",$R34*$M34,""))</f>
        <v/>
      </c>
      <c r="HR34" s="521">
        <f>IF($Q34="Yes",MIN($M34,$T34*$M34),"")</f>
        <v/>
      </c>
      <c r="HS34" s="521">
        <f>IF(AND($N34="Yes",$P34&gt;=6),"",IF(OR(CY34=1,DC34=1,),MIN($T34*$M34,$U34*$M34),IF(OR(CZ34=1,DA34=1,DB34=1),IF(AK34&gt;=5000000,MIN($T34*$M34,$IE34*$M34),MIN($T34*$M34,$U34*$M34)),"")))</f>
        <v/>
      </c>
      <c r="HT34" s="521">
        <f>IF(DD34&gt;0,DD34,"")</f>
        <v/>
      </c>
      <c r="HU34" s="522">
        <f>IF(B34="",0,$L34-$M34)</f>
        <v/>
      </c>
      <c r="HV34" s="274">
        <f>IF(OR(SUM(HP34:HT34)&gt;0,P34&gt;=6),"",IF($B34="","",1))</f>
        <v/>
      </c>
      <c r="HW34" s="522">
        <f>IF(AND($HT34&lt;&gt;0,OR(HT34&lt;=MIN(HP34:HS34),SUM(HP34:HS34)=0)),$HT34,0)</f>
        <v/>
      </c>
      <c r="HX34" s="522">
        <f>IF(AND($HS34&lt;&gt;0,OR(AND($HS34&lt;&gt;$HT34,$HS34&lt;&gt;$HR34,$HS34&lt;&gt;$HQ34,$HS34&lt;&gt;$HP34,$HS34&lt;MIN($HP34:$HR34),$HS34&lt;HT34),SUM($HP34:$HR34)+SUM(HT34)=0),IA34&lt;=0),$HS34,0)</f>
        <v/>
      </c>
      <c r="HY34" s="522">
        <f>IF(AND($HR34&lt;&gt;0,OR(AND($HR34&lt;&gt;$HT34,$HR34&lt;&gt;$HS34,$HR34&lt;&gt;$HQ34,$HR34&lt;&gt;$HP34),$HR34&lt;MIN($HP34:$HQ34),$HR34&lt;MIN($HS34:$HT34),SUM($HP34:$HQ34)+SUM($HS34:$HT34)=0)),$HR34,0)</f>
        <v/>
      </c>
      <c r="HZ34" s="522">
        <f>IF(AND($HQ34&lt;&gt;0,OR(AND($HQ34&lt;&gt;$HT34,HQ34&lt;&gt;HS34,HQ34&lt;&gt;HR34,HQ34&lt;&gt;HP34,HQ34&lt;MIN(HR34:HT34)),SUM(HP34)+SUM(HR34:HT34)=0)),$HQ34,0)</f>
        <v/>
      </c>
      <c r="IA34" s="522">
        <f>IF(AND($HP34&lt;&gt;0,OR(HP34&lt;=MIN(HQ34:HT34),SUM(HQ34:HT34)=0)),$HP34,0)</f>
        <v/>
      </c>
      <c r="IB34" s="545" t="n">
        <v>46</v>
      </c>
      <c r="IC34">
        <f>HU34=DF34</f>
        <v/>
      </c>
      <c r="IE34" s="351">
        <f>IF(B34="","",IF(AND(Y34="Second Lien",OR(CZ34=1,DA34=1,DB34=1)),50%,IF(CZ34=1,90%,IF(DA34=1,80%,IF(DB34=1,65%,"No Initial Haircut")))))</f>
        <v/>
      </c>
    </row>
    <row r="35">
      <c r="A35">
        <f>D35</f>
        <v/>
      </c>
      <c r="B35" s="242">
        <f>IF(D35="","",B34+1)</f>
        <v/>
      </c>
      <c r="C35" s="242">
        <f>IF(COUNTIF($A$10:A34,A35)&gt;0,C34,C34+1)</f>
        <v/>
      </c>
      <c r="D35" s="243" t="inlineStr">
        <is>
          <t>Cobalt Holdings, LLC</t>
        </is>
      </c>
      <c r="E35" s="243" t="inlineStr">
        <is>
          <t>Cobalt (Term Loan)</t>
        </is>
      </c>
      <c r="F35" s="244" t="n"/>
      <c r="G35" s="528" t="n">
        <v>5706825.26</v>
      </c>
      <c r="H35" s="528" t="n">
        <v>5706825.26</v>
      </c>
      <c r="I35" s="246" t="n">
        <v>1</v>
      </c>
      <c r="J35" s="529">
        <f>IF(B35="","",G35*I35)</f>
        <v/>
      </c>
      <c r="K35" s="529">
        <f>IF(B35="","",H35*I35)</f>
        <v/>
      </c>
      <c r="L35" s="529">
        <f>IF(B35="","",IF(COUNTIF($CE35:$CX35,1)&gt;0,0,J35))</f>
        <v/>
      </c>
      <c r="M35" s="529">
        <f>IF(B35="","",IF(COUNTIF($CE35:$CX35,1)&gt;0,0,K35))</f>
        <v/>
      </c>
      <c r="N35" s="248" t="inlineStr">
        <is>
          <t>No</t>
        </is>
      </c>
      <c r="O35" s="248" t="inlineStr">
        <is>
          <t>N/A</t>
        </is>
      </c>
      <c r="P35" s="249">
        <f>IF(B35="","",IF(OR(O35="N/A",O35=""),0,YEARFRAC('Borrowing Base'!$J$4,'Loan List'!O35)*12))</f>
        <v/>
      </c>
      <c r="Q35" s="248" t="inlineStr">
        <is>
          <t>No</t>
        </is>
      </c>
      <c r="R35" s="250" t="n">
        <v>0.9925</v>
      </c>
      <c r="S35" s="251">
        <f>IF(B35="","",IF(R35&lt;95%,"Yes","No"))</f>
        <v/>
      </c>
      <c r="T35" s="250" t="n">
        <v>1</v>
      </c>
      <c r="U35" s="252">
        <f>IF(B35="","",IF(OR(Y35="First Lien",Y35="Split First Lien",Y35="Tier 1 Split Lien",Y35="Tier 2 Split Lien"),50%,30%))</f>
        <v/>
      </c>
      <c r="V35" s="252">
        <f>IF(B35="",0,IF(AND(Y35="First Lien",AN35="Tier 1"),IF(AND(X35="Yes",MIN(AH35,$AJ$5)&gt;4.5),(((4.5/MIN(AH35,$AJ$5))*72.5%)+(((MIN(AH35,$AJ$5)-4.5)/MIN(AH35,$AJ$5))*35%)),72.5%),IF(AND(Y35="First Lien",AN35="Tier 2"),IF(AND(X35="Yes",MIN(AH35,$AK$5)&gt;4.5),(((4.5/MIN(AH35,$AK$5))*72.5%)+(((MIN(AH35,$AK$5)-4.5)/MIN(AH35,$AK$5))*35%)),72.5%),IF(AND(X35="Yes",MIN(AH35,$AL$5)&gt;4),(((4/MIN(AH35,$AL$5))*72.5%)+(((MIN(AH35,$AL$5)-4)/MIN(AH35,$AL$5))*35%)),IF(OR(Y35="First Lien",Y35="Split First Lien"),72.5%,IF(Y35="Split Lien", 53%,35%))))))</f>
        <v/>
      </c>
      <c r="W35" s="530">
        <f>IF($C35="","",MIN($HO35:$HS35))</f>
        <v/>
      </c>
      <c r="X35" s="248" t="inlineStr">
        <is>
          <t>No</t>
        </is>
      </c>
      <c r="Y35" s="254" t="inlineStr">
        <is>
          <t>First Lien</t>
        </is>
      </c>
      <c r="Z35" s="254" t="inlineStr">
        <is>
          <t>Term</t>
        </is>
      </c>
      <c r="AA35" s="531" t="inlineStr">
        <is>
          <t>NR</t>
        </is>
      </c>
      <c r="AB35" s="531" t="inlineStr">
        <is>
          <t xml:space="preserve"> NR</t>
        </is>
      </c>
      <c r="AC35" s="532" t="n">
        <v>1.456744149249299</v>
      </c>
      <c r="AD35" s="532" t="n">
        <v>4.594401970034608</v>
      </c>
      <c r="AE35" s="532" t="n">
        <v>3.865206131030195</v>
      </c>
      <c r="AF35" s="257" t="n">
        <v>0.7142857142857143</v>
      </c>
      <c r="AG35" s="533" t="n">
        <v>4.594401970034608</v>
      </c>
      <c r="AH35" s="533" t="n">
        <v>4.594401970034608</v>
      </c>
      <c r="AI35" s="533" t="n">
        <v>3.865206131030195</v>
      </c>
      <c r="AJ35" s="533" t="n">
        <v>3.865206131030195</v>
      </c>
      <c r="AK35" s="534" t="n">
        <v>35390895.49858764</v>
      </c>
      <c r="AL35" s="534" t="n">
        <v>34855789.73354566</v>
      </c>
      <c r="AM35" s="276" t="n">
        <v>45838</v>
      </c>
      <c r="AN35" s="529">
        <f>IF(C35="","",(IF(AK35&gt;=50000000,"Tier 1",(IF(OR(AK35&gt;=20000000,AND(AK35&gt;5000000,AC35&gt;=1.25,AF35&lt;=0.65)),"Tier 2","Tier 3")))))</f>
        <v/>
      </c>
      <c r="AO35" s="244" t="n">
        <v>46678</v>
      </c>
      <c r="AP35" s="535" t="n">
        <v>2.216666666666667</v>
      </c>
      <c r="AQ35" s="535">
        <f>IF(C35="","",AP35)</f>
        <v/>
      </c>
      <c r="AR35" s="248" t="inlineStr">
        <is>
          <t>No</t>
        </is>
      </c>
      <c r="AS35" s="250" t="n">
        <v>0</v>
      </c>
      <c r="AT35" s="248" t="inlineStr">
        <is>
          <t>Yes</t>
        </is>
      </c>
      <c r="AU35" s="250" t="n">
        <v>0.01</v>
      </c>
      <c r="AV35" s="250" t="n">
        <v>0.055</v>
      </c>
      <c r="AW35" s="250" t="n">
        <v>0.042956</v>
      </c>
      <c r="AX35" s="262">
        <f>IF(C35="","",MAX(AU35,AW35))</f>
        <v/>
      </c>
      <c r="AY35" s="250" t="n">
        <v>0</v>
      </c>
      <c r="AZ35" s="250" t="n">
        <v>0</v>
      </c>
      <c r="BA35" s="250" t="n">
        <v>0</v>
      </c>
      <c r="BB35" s="412">
        <f>IF(B35="","",IF(AR35="No",AV35-AZ35,""))</f>
        <v/>
      </c>
      <c r="BC35" s="412">
        <f>IF(B35="","",IF(AR35="Yes",AS35-BA35,""))</f>
        <v/>
      </c>
      <c r="BD35" s="254" t="inlineStr">
        <is>
          <t>Quarterly</t>
        </is>
      </c>
      <c r="BE35" s="536" t="inlineStr">
        <is>
          <t>Health Care Providers &amp; Services</t>
        </is>
      </c>
      <c r="BF35" s="254" t="inlineStr">
        <is>
          <t>USD</t>
        </is>
      </c>
      <c r="BG35" s="254" t="inlineStr">
        <is>
          <t>United States</t>
        </is>
      </c>
      <c r="BH35" s="248" t="inlineStr">
        <is>
          <t>No</t>
        </is>
      </c>
      <c r="BI35" s="413">
        <f>IF(B35="","",IF(OR(AND(AZ35&gt;0,BB35&gt;=2.5%,BB35&lt;4%),AND(BA35&gt;0,BC35&gt;=6%,BC35&lt;8%)),"Yes","No"))</f>
        <v/>
      </c>
      <c r="BJ35" s="413">
        <f>IF(B35="","",IF(OR(AND(AZ35&gt;0,BB35&lt;2.5%),AND(BA35&gt;0,BC35&lt;6%)),"Yes","No"))</f>
        <v/>
      </c>
      <c r="BK35" s="248" t="inlineStr">
        <is>
          <t>No</t>
        </is>
      </c>
      <c r="BL35" s="248" t="inlineStr">
        <is>
          <t>No</t>
        </is>
      </c>
      <c r="BM35" s="248" t="inlineStr">
        <is>
          <t>No</t>
        </is>
      </c>
      <c r="BN35" s="248" t="inlineStr">
        <is>
          <t>No</t>
        </is>
      </c>
      <c r="BO35" s="248" t="inlineStr">
        <is>
          <t>No</t>
        </is>
      </c>
      <c r="BP35" s="248" t="inlineStr">
        <is>
          <t>No</t>
        </is>
      </c>
      <c r="BQ35" s="248" t="inlineStr">
        <is>
          <t>No</t>
        </is>
      </c>
      <c r="BR35" s="248" t="inlineStr">
        <is>
          <t>No</t>
        </is>
      </c>
      <c r="BS35" s="248" t="inlineStr">
        <is>
          <t>No</t>
        </is>
      </c>
      <c r="BT35" s="248" t="inlineStr">
        <is>
          <t>No</t>
        </is>
      </c>
      <c r="BU35" s="248" t="inlineStr">
        <is>
          <t>No</t>
        </is>
      </c>
      <c r="BV35" s="248" t="inlineStr">
        <is>
          <t>No</t>
        </is>
      </c>
      <c r="BW35" s="248" t="inlineStr">
        <is>
          <t>No</t>
        </is>
      </c>
      <c r="BX35" s="248" t="inlineStr">
        <is>
          <t>No</t>
        </is>
      </c>
      <c r="BY35" s="248" t="inlineStr">
        <is>
          <t>No</t>
        </is>
      </c>
      <c r="BZ35" s="248" t="inlineStr">
        <is>
          <t>No</t>
        </is>
      </c>
      <c r="CA35" s="248" t="inlineStr">
        <is>
          <t>Yes</t>
        </is>
      </c>
      <c r="CB35" s="537">
        <f>IF(B35="","",IF(AT35="No",((BB35+AW35)-$AZ$4),((BB35+AX35)-$AZ$4))*IF(DD35&gt;0,0,M35))</f>
        <v/>
      </c>
      <c r="CC35" s="537">
        <f>IF(B35="","",AY35*(L35-M35)*IF(DD35&gt;0,0,1))</f>
        <v/>
      </c>
      <c r="CD35" s="265" t="n"/>
      <c r="CE35" s="265">
        <f>IF(AND(B35&lt;&gt;"",R35&lt;=85%),1,0)</f>
        <v/>
      </c>
      <c r="CF35" s="265">
        <f>IF(B35="",0,(IF(OR(BF35="USD",BF35="CAD",BF35="GBP",BF35="AUD",BF35="EUR"),0,1)))</f>
        <v/>
      </c>
      <c r="CG35" s="265">
        <f>IF(B35="",0,(IF(OR(BG35="United States",BG35="Canada",BG35="United Kingdom",BG35="Australia",BG35="Netherlands Antilles",BG35="Bermuda",BG35="Cayman Islands",BG35="British Virgin Islands",BG35="Channel Islands",BG35="Isle of Man",BG35="Australia",BG35="Netherlands",BG35="Germany",BG35="Sweden",BG35="Switzerland",BG35="Austria",BG35="Belgium",BG35="Denmark",BG35="Finland",BG35="Iceland",BG35="Ireland",BG35="Lichtenstein",BG35="Luxemborg",BG35="Norway"),0,1)))</f>
        <v/>
      </c>
      <c r="CH35" s="265">
        <f>IF(BN35="Yes",1,0)</f>
        <v/>
      </c>
      <c r="CI35" s="265">
        <f>IF(BO35="Yes",1,0)</f>
        <v/>
      </c>
      <c r="CJ35" s="265">
        <f>IF(BP35="Yes",1,0)</f>
        <v/>
      </c>
      <c r="CK35" s="265">
        <f>IF(BQ35="Yes",1,0)</f>
        <v/>
      </c>
      <c r="CL35" s="265">
        <f>IF(BR35="Yes",1,0)</f>
        <v/>
      </c>
      <c r="CM35" s="265">
        <f>IF(BS35="Yes",1,0)</f>
        <v/>
      </c>
      <c r="CN35" s="265">
        <f>IF(OR(AND(BJ35="Yes",N35="No"),AND(BJ35="Yes",N35="Yes",P35&gt;=6)),1,0)</f>
        <v/>
      </c>
      <c r="CO35" s="265">
        <f>IF(BT35="Yes",1,0)</f>
        <v/>
      </c>
      <c r="CP35" s="265">
        <f>IF(AND(BU35="Yes",BV35="No"),1,0)</f>
        <v/>
      </c>
      <c r="CQ35" s="265">
        <f>IF(BW35="Yes",1,0)</f>
        <v/>
      </c>
      <c r="CR35" s="265">
        <f>IF(AP35="",0,IF(AP35&gt;7,1,0))</f>
        <v/>
      </c>
      <c r="CS35" s="265">
        <f>IF(OR(BD35&lt;&gt;"Monthly",BD35&lt;&gt;"Quarterly",BD35&lt;&gt;"Semi-Annually"),0,1)</f>
        <v/>
      </c>
      <c r="CT35" s="265">
        <f>IF(BX35="Yes",1,0)</f>
        <v/>
      </c>
      <c r="CU35" s="265">
        <f>IF(BY35="Yes",1,0)</f>
        <v/>
      </c>
      <c r="CV35" s="265">
        <f>IF(BZ35="Yes",1,0)</f>
        <v/>
      </c>
      <c r="CW35" s="265">
        <f>IF(CA35="No",1,0)</f>
        <v/>
      </c>
      <c r="CX35" s="265">
        <f>IF(B35="",0,IF(AK35&gt;=5000000,0,1))</f>
        <v/>
      </c>
      <c r="CY35" s="265">
        <f>IF(B35="",0,IF(AL35&gt;=5000000,0,1))</f>
        <v/>
      </c>
      <c r="CZ35" s="265">
        <f>IF(OR(DA35=1,DB35=1,DC35=1),0,IF(B35="",0,IF(OR(AND(AN35="Tier 1",X35="No",OR(AI35&gt;$AJ$3,AJ35&gt;$AJ$4)),(AND(AN35="Tier 1",X35="Yes",AJ35&gt;$AJ$5)),(AND(AN35="Tier 2",X35="No",OR(AI35&gt;$AK$3,AJ35&gt;$AK$4))),(AND(AN35="Tier 2",X35="Yes",AJ35&gt;$AK$5)),(AND(AN35="Tier 3",X35="No",OR(AI35&gt;$AL$3,AJ35&gt;$AL$4))),(AND(AN35="Tier 3",X35="Yes",AJ35&gt;$AL$5))),1,0)))</f>
        <v/>
      </c>
      <c r="DA35" s="265">
        <f>IF(OR(DB35=1,DC35=1),0,IF(B35="",0,IF(OR(AND(AN35="Tier 1",X35="No",OR(AI35&gt;$AM$3,AJ35&gt;$AM$4)),(AND(AN35="Tier 1",X35="Yes",AJ35&gt;$AM$5)),(AND(AN35="Tier 2",X35="No",OR(AI35&gt;$AN$3,AJ35&gt;$AN$4))),(AND(AN35="Tier 2",X35="Yes",AJ35&gt;$AN$5)),(AND(AN35="Tier 3",X35="No",OR(AI35&gt;$AO$3,AJ35&gt;$AO$4))),(AND(AN35="Tier 3",X35="Yes",AJ35&gt;$AO$5))),1,0)))</f>
        <v/>
      </c>
      <c r="DB35" s="265">
        <f>IF(DC35=1,0,IF(B35="",0,IF(OR(AND(AN35="Tier 1",X35="No",OR(AI35&gt;$AP$3,AJ35&gt;$AP$4)),(AND(AN35="Tier 1",X35="Yes",AJ35&gt;$AP$5)),(AND(AN35="Tier 2",X35="No",OR(AI35&gt;$AQ$3,AJ35&gt;$AQ$4))),(AND(AN35="Tier 2",X35="Yes",AJ35&gt;$AQ$5)),(AND(AN35="Tier 3",X35="No",OR(AI35&gt;$AR$3,AJ35&gt;$AR$4))),(AND(AN35="Tier 3",X35="Yes",AJ35&gt;$AR$5))),1,0)))</f>
        <v/>
      </c>
      <c r="DC35" s="265">
        <f>IF(B35="",0,IF(OR(AND(AN35="Tier 1",X35="No",OR(AI35&gt;$AS$3,AJ35&gt;$AS$4)),(AND(AN35="Tier 1",X35="Yes",AJ35&gt;$AS$5)),(AND(AN35="Tier 2",X35="No",OR(AI35&gt;$AT$3,AJ35&gt;$AT$4))),(AND(AN35="Tier 2",X35="Yes",AJ35&gt;$AT$5)),(AND(AN35="Tier 3",X35="No",OR(AI35&gt;$AU$3,AJ35&gt;$AU$4))),(AND(AN35="Tier 3",X35="Yes",AJ35&gt;$AU$5))),1,0))</f>
        <v/>
      </c>
      <c r="DD35" s="265">
        <f>IF((SUM(CE35:CX35)=0),0,W35)</f>
        <v/>
      </c>
      <c r="DE35" s="265">
        <f>IF(OR(B35="",DD35&gt;0),0,W35)</f>
        <v/>
      </c>
      <c r="DF35" s="265">
        <f>IF(B35="",0,IF(COUNTIF(CE35:CX35,1)&gt;0,0,L35-M35))</f>
        <v/>
      </c>
      <c r="DG35" s="265">
        <f>DE35+IF(DD35&gt;0,0,DF35)</f>
        <v/>
      </c>
      <c r="DH35" s="265">
        <f>IF(B35="","",M35+DF35)</f>
        <v/>
      </c>
      <c r="DI35" s="265">
        <f>IF(B35="",0,J35-K35)</f>
        <v/>
      </c>
      <c r="DJ35" s="265">
        <f>IF(OR(BF35="EUR",BF35="CAD",BF35="GBP",BF35="AUD"),(GA35*(1-V35))+(HG35)+IF(HX35="",0,HX35*(1-U35)),0)</f>
        <v/>
      </c>
      <c r="DK35" s="265">
        <f>IF(BF35="EUR",33%,IF(BF35="CAD",38%,IF(BF35="GBP",51%,IF(BF35="AUD",61%,0))))</f>
        <v/>
      </c>
      <c r="DL35" s="265">
        <f>DJ35*DK35</f>
        <v/>
      </c>
      <c r="DN35" s="538">
        <f>IF(OR(Y35="Second Lien",Y35="Tier 1 Split Lien",Y35="Tier 2 Split Lien"),DG35,0)</f>
        <v/>
      </c>
      <c r="DO35" s="539">
        <f>DN35*DN$6</f>
        <v/>
      </c>
      <c r="DP35" s="538">
        <f>DG35-DO35</f>
        <v/>
      </c>
      <c r="DQ35" s="538">
        <f>IF(Y35="Second Lien",DP35,0)</f>
        <v/>
      </c>
      <c r="DR35" s="539">
        <f>DQ35*DQ$6</f>
        <v/>
      </c>
      <c r="DS35" s="538">
        <f>DP35-DR35</f>
        <v/>
      </c>
      <c r="DT35" s="538">
        <f>IF(BH35="Yes",DS35,0)</f>
        <v/>
      </c>
      <c r="DU35" s="539">
        <f>DT35*DT$6</f>
        <v/>
      </c>
      <c r="DV35" s="538">
        <f>DS35-DU35</f>
        <v/>
      </c>
      <c r="DW35" s="538">
        <f>IF(OR(BG35="Canada",BG35="United Kingdom",BG35="Australia",BG35="Netherlands Antilles",BG35="Bermuda",BG35="Cayman Islands",BG35="British Virgin Islands",BG35="Channel Islands",BG35="Isle of Man",BG35="Australia",BG35="Netherlands",BG35="Germany",BG35="Sweden",BG35="Switzerland",BG35="Austria",BG35="Belgium",BG35="Denmark",BG35="Finland",BG35="Iceland",BG35="Ireland",BG35="Lichtenstein",BG35="Luxemborg",BG35="Norway"),DV35,0)</f>
        <v/>
      </c>
      <c r="DX35" s="539">
        <f>DW35*DW$6</f>
        <v/>
      </c>
      <c r="DY35" s="538">
        <f>DV35-DX35</f>
        <v/>
      </c>
      <c r="DZ35" s="538">
        <f>IF(BI35="Yes",DY35,0)</f>
        <v/>
      </c>
      <c r="EA35" s="539">
        <f>DZ35*DZ$6</f>
        <v/>
      </c>
      <c r="EB35" s="538">
        <f>DY35-EA35</f>
        <v/>
      </c>
      <c r="EC35" s="538">
        <f>IF(OR(Z35="Delayed Draw",Z35="Revolver"),EB35,0)</f>
        <v/>
      </c>
      <c r="ED35" s="539">
        <f>EC35*EC$6</f>
        <v/>
      </c>
      <c r="EE35" s="538">
        <f>EB35-ED35</f>
        <v/>
      </c>
      <c r="EF35" s="538">
        <f>IF(S35="Yes",EE35,0)</f>
        <v/>
      </c>
      <c r="EG35" s="539">
        <f>EF35*EF$6</f>
        <v/>
      </c>
      <c r="EH35" s="538">
        <f>EE35-EG35</f>
        <v/>
      </c>
      <c r="EI35" s="538">
        <f>IF(Q35="Yes",EH35,0)</f>
        <v/>
      </c>
      <c r="EJ35" s="539">
        <f>EI35*EI$6</f>
        <v/>
      </c>
      <c r="EK35" s="538">
        <f>EH35-EJ35</f>
        <v/>
      </c>
      <c r="EL35" s="538">
        <f>IF(BD35="Semi-Annually",EK35,0)</f>
        <v/>
      </c>
      <c r="EM35" s="539">
        <f>EL35*EL$6</f>
        <v/>
      </c>
      <c r="EN35" s="538">
        <f>EK35-EM35</f>
        <v/>
      </c>
      <c r="EO35" s="538">
        <f>IF(BK35="Yes",EN35,0)</f>
        <v/>
      </c>
      <c r="EP35" s="539">
        <f>EO35*EO$6</f>
        <v/>
      </c>
      <c r="EQ35" s="538">
        <f>EN35-EP35</f>
        <v/>
      </c>
      <c r="ER35" s="538">
        <f>IF(BL35="Yes",EQ35,0)</f>
        <v/>
      </c>
      <c r="ES35" s="539">
        <f>ER35*ER$6</f>
        <v/>
      </c>
      <c r="ET35" s="538">
        <f>EQ35-ES35</f>
        <v/>
      </c>
      <c r="EU35" s="538">
        <f>IF(BM35="Yes",ET35,0)</f>
        <v/>
      </c>
      <c r="EV35" s="539">
        <f>EU35*EU$6</f>
        <v/>
      </c>
      <c r="EW35" s="538">
        <f>ET35-EV35</f>
        <v/>
      </c>
      <c r="EX35" s="538">
        <f>IF(BV35="Yes",EW35,0)</f>
        <v/>
      </c>
      <c r="EY35" s="539">
        <f>EX35*EX$6</f>
        <v/>
      </c>
      <c r="EZ35" s="538">
        <f>EW35-EY35</f>
        <v/>
      </c>
      <c r="FA35" s="538">
        <f>IF(AR35="Yes",EZ35,0)</f>
        <v/>
      </c>
      <c r="FB35" s="539">
        <f>FA35*FA$6</f>
        <v/>
      </c>
      <c r="FC35" s="538">
        <f>EZ35-FB35</f>
        <v/>
      </c>
      <c r="FD35" s="538">
        <f>IF(OR(BF35="EUR",BF35="AUD",BF35="CAD",BF35="GBP"),FC35,0)</f>
        <v/>
      </c>
      <c r="FE35" s="539">
        <f>FD35*FD$6</f>
        <v/>
      </c>
      <c r="FF35" s="538">
        <f>FC35-FE35</f>
        <v/>
      </c>
      <c r="FG35" s="538">
        <f>FF35</f>
        <v/>
      </c>
      <c r="FH35" s="538">
        <f>IF(FF35=0,0,VLOOKUP(C35,$GU$10:$GV$406,2,FALSE)*FF35)</f>
        <v/>
      </c>
      <c r="FI35" s="538">
        <f>FF35-FH35</f>
        <v/>
      </c>
      <c r="FJ35" s="538">
        <f>FI35</f>
        <v/>
      </c>
      <c r="FK35" s="538">
        <f>IF(OR(IB35="",FI35&lt;0.01),,VLOOKUP(IB35,$GL$10:$GM$406,2,FALSE)*FI35)</f>
        <v/>
      </c>
      <c r="FL35" s="538">
        <f>FI35-FK35</f>
        <v/>
      </c>
      <c r="FM35" s="538">
        <f>FL35</f>
        <v/>
      </c>
      <c r="FN35" s="538">
        <f>IF(FL35=0,0,VLOOKUP(C35,$HD$10:$HE$406,2,FALSE)*FL35)</f>
        <v/>
      </c>
      <c r="FO35" s="538">
        <f>FL35-FN35</f>
        <v/>
      </c>
      <c r="FP35" s="538">
        <f>IF(SUM(CY35:DC35)&gt;0,0,IF(AND(AL35&gt;=5000000,AL35&lt;7500000),FO35,0))</f>
        <v/>
      </c>
      <c r="FQ35" s="539">
        <f>IF(B35="",0,FP35*FP$6*(1-$U35))</f>
        <v/>
      </c>
      <c r="FR35" s="538">
        <f>FO35-FQ35</f>
        <v/>
      </c>
      <c r="FS35" s="538">
        <f>IF(SUM(CY35:DC35)&gt;0,0,IF(AL35&lt;15000000,FR35,0))</f>
        <v/>
      </c>
      <c r="FT35" s="539">
        <f>IF(B35="",0,FS35*FS$6*(1-$U35))</f>
        <v/>
      </c>
      <c r="FU35" s="538">
        <f>FR35-FT35</f>
        <v/>
      </c>
      <c r="FV35" s="538">
        <f>IF(SUM(CY35:DC35)&gt;0,0,IF(OR(AND(X35="No",AN35="Tier 1",AI35&gt;$AG$3),AND(X35="No",AN35="Tier 2",AI35&gt;$AH$3),AND(X35="No",AN35="Tier 3",AI35&gt;$AI$3)),FU35,0))</f>
        <v/>
      </c>
      <c r="FW35" s="538">
        <f>IF(SUM(CY35:DC35)&gt;0,0,IF(OR(AND(X35="No",AN35="Tier 1",AJ35&gt;$AG$4),AND(X35="No",AN35="Tier 2",AJ35&gt;$AH$4),AND(X35="No",AN35="Tier 3",AJ35&gt;$AI$4)),FU35,0))</f>
        <v/>
      </c>
      <c r="FX35" s="538">
        <f>IF(SUM(CY35:DC35)&gt;0,0,IF(OR(AND(X35="Yes",AN35="Tier 1",AJ35&gt;$AG$5),AND(X35="Yes",AN35="Tier 2",AJ35&gt;$AH$5),AND(X35="Yes",AN35="Tier 3",AJ35&gt;$AI$5)),FU35,0))</f>
        <v/>
      </c>
      <c r="FY35" s="538">
        <f>IF(SUM(FV35:FX35)&gt;0,FU35,0)</f>
        <v/>
      </c>
      <c r="FZ35" s="539">
        <f>IF(B35="",0,FY35*FV$6*(1-MIN(90%,T35)))</f>
        <v/>
      </c>
      <c r="GA35" s="538">
        <f>FU35-FZ35</f>
        <v/>
      </c>
      <c r="GB35" s="538">
        <f>IF(AND(N35="No",DI35=0),GA35,IF(AND(N35="No",DI35&lt;&gt;0,K35=0),0,IF(AND(N35="No",DI35&lt;&gt;0,K35&gt;0,J35&lt;&gt;K35),MAX(0,M35-(DH35-GA35)),DG35)))</f>
        <v/>
      </c>
      <c r="GC35" s="540">
        <f>+GB35*V35</f>
        <v/>
      </c>
      <c r="GD35" s="138">
        <f>IFERROR(GC35/K35,"")</f>
        <v/>
      </c>
      <c r="GE35" s="541">
        <f>IF(IB35="","",IB35)</f>
        <v/>
      </c>
      <c r="GF35" s="538">
        <f t="array" ref="GF35">IF(SUM(IF(IB$9:IB34=IB35,1,0))&gt;0,0,SUMIF($IB$10:$IB$406,IB35,$FI$10:$FI$406))</f>
        <v/>
      </c>
      <c r="GG35" s="270">
        <f>GF35</f>
        <v/>
      </c>
      <c r="GH35" s="137">
        <f>GH34+1</f>
        <v/>
      </c>
      <c r="GI35" s="542">
        <f>LARGE($GG$10:$GG$406,GH35)</f>
        <v/>
      </c>
      <c r="GJ35" s="542">
        <f>IF(GH35&gt;GH$6,0,IF(GH35=$GH$2,$GJ$2,IF(GH35&lt;4,$GJ$3,$GJ$4)))</f>
        <v/>
      </c>
      <c r="GK35" s="489">
        <f>MAX(0,GI35-GJ35)</f>
        <v/>
      </c>
      <c r="GL35" s="137">
        <f t="array" ref="GL35">IF(GI35=0,0,LARGE(IF($GF$10:$GF$406=GI35,$GE$10:$GE$406,0),COUNTIF($GI$10:$GI$406,GI35)-COUNTIF(GI$9:GI34,GI35)))</f>
        <v/>
      </c>
      <c r="GM35" s="272">
        <f>IF(GI35=0,0,GK35/GI35)</f>
        <v/>
      </c>
      <c r="GO35" s="137">
        <f>IF(C35="","",IF(ISERROR(MATCH(C35,C$10:C34,0)),MAX(GO$10:GO34)+1,INDEX(GO$10:GO34,MATCH(C35,C$10:C34,0))))</f>
        <v/>
      </c>
      <c r="GP35" s="538">
        <f>IF(COUNTIF($A$10:A35,A35)&lt;=1,SUMIF($A$10:$A$406,A35,$FG$10:$FG$406),0)</f>
        <v/>
      </c>
      <c r="GQ35" s="137">
        <f>GQ34+1</f>
        <v/>
      </c>
      <c r="GR35" s="542">
        <f>LARGE($GP$10:$GP$406,GQ35)</f>
        <v/>
      </c>
      <c r="GS35" s="542">
        <f>IF(GQ35&gt;GQ$6,0,IF(GQ35&lt;=GQ$2,GS$2,IF(AND(GQ35&lt;=$GQ$3,GQ35&gt;$GQ$2),GS$3,GS$4)))</f>
        <v/>
      </c>
      <c r="GT35" s="489">
        <f>MAX(0,GR35-GS35)</f>
        <v/>
      </c>
      <c r="GU35" s="137">
        <f t="array" ref="GU35">IF(GR35=0,0,LARGE(IF($GP$10:$GP$406=GR35,$GO$10:$GO$406,0),COUNTIF($GR$10:$GR$406,GR35)-COUNTIF(GR$9:GR34,GR35)))</f>
        <v/>
      </c>
      <c r="GV35" s="272">
        <f>IF(GR35=0,0,GT35/GR35)</f>
        <v/>
      </c>
      <c r="GW35" s="272" t="n"/>
      <c r="GX35" s="137">
        <f>IF(C35="","",IF(ISERROR(MATCH(C35,C$10:C34,0)),MAX(GO$10:GO34)+1,INDEX(GO$10:GO34,MATCH(C35,C$10:C34,0))))</f>
        <v/>
      </c>
      <c r="GY35" s="538">
        <f>IF(COUNTIF($A$10:A35,A35)&lt;=1,SUMIF($A$10:$A$406,A35,$FG$10:$FG$406),0)</f>
        <v/>
      </c>
      <c r="GZ35" s="137">
        <f>GZ34+1</f>
        <v/>
      </c>
      <c r="HA35" s="542">
        <f>LARGE($GY$10:$GY$406,GZ35)</f>
        <v/>
      </c>
      <c r="HB35" s="543" t="inlineStr">
        <is>
          <t>-</t>
        </is>
      </c>
      <c r="HC35" s="489">
        <f>IF(GZ35&lt;6,MAX(0,$HC$2/5),0)</f>
        <v/>
      </c>
      <c r="HD35" s="137">
        <f t="array" ref="HD35">IF(HA35=0,0,LARGE(IF($GY$10:$GY$406=HA35,$GX$10:$GX$406,0),COUNTIF($HA$10:$HA$406,HA35)-COUNTIF(HA$9:HA34,HA35)))</f>
        <v/>
      </c>
      <c r="HE35" s="272">
        <f>IF(HA35=0,0,HC35/HA35)</f>
        <v/>
      </c>
      <c r="HG35" s="270">
        <f>DG35-GA35</f>
        <v/>
      </c>
      <c r="HH35" s="544" t="n">
        <v>0</v>
      </c>
      <c r="HI35" s="538">
        <f>MIN(HH35,DE35)</f>
        <v/>
      </c>
      <c r="HK35" s="137">
        <f>IF(COUNTIF($C$10:$C$406,HK34+1),HK34+1,"")</f>
        <v/>
      </c>
      <c r="HL35" s="538">
        <f>SUMIF($C$10:$C$406,HK35,$DG$10:$DG$406)</f>
        <v/>
      </c>
      <c r="HN35" s="521">
        <f>MIN(HO35:HS35)</f>
        <v/>
      </c>
      <c r="HO35" s="521">
        <f>IF(B35="","",$M35)</f>
        <v/>
      </c>
      <c r="HP35" s="521">
        <f>IF($N35="Yes",IF(P35&gt;=6,0,MIN($T35*$M35,$U35*$M35)),"")</f>
        <v/>
      </c>
      <c r="HQ35" s="521">
        <f>IF(AND(N35="Yes",P35&gt;=6),"",IF($S35="Yes",$R35*$M35,""))</f>
        <v/>
      </c>
      <c r="HR35" s="521">
        <f>IF($Q35="Yes",MIN($M35,$T35*$M35),"")</f>
        <v/>
      </c>
      <c r="HS35" s="521">
        <f>IF(AND($N35="Yes",$P35&gt;=6),"",IF(OR(CY35=1,DC35=1,),MIN($T35*$M35,$U35*$M35),IF(OR(CZ35=1,DA35=1,DB35=1),IF(AK35&gt;=5000000,MIN($T35*$M35,$IE35*$M35),MIN($T35*$M35,$U35*$M35)),"")))</f>
        <v/>
      </c>
      <c r="HT35" s="521">
        <f>IF(DD35&gt;0,DD35,"")</f>
        <v/>
      </c>
      <c r="HU35" s="522">
        <f>IF(B35="",0,$L35-$M35)</f>
        <v/>
      </c>
      <c r="HV35" s="274">
        <f>IF(OR(SUM(HP35:HT35)&gt;0,P35&gt;=6),"",IF($B35="","",1))</f>
        <v/>
      </c>
      <c r="HW35" s="522">
        <f>IF(AND($HT35&lt;&gt;0,OR(HT35&lt;=MIN(HP35:HS35),SUM(HP35:HS35)=0)),$HT35,0)</f>
        <v/>
      </c>
      <c r="HX35" s="522">
        <f>IF(AND($HS35&lt;&gt;0,OR(AND($HS35&lt;&gt;$HT35,$HS35&lt;&gt;$HR35,$HS35&lt;&gt;$HQ35,$HS35&lt;&gt;$HP35,$HS35&lt;MIN($HP35:$HR35),$HS35&lt;HT35),SUM($HP35:$HR35)+SUM(HT35)=0),IA35&lt;=0),$HS35,0)</f>
        <v/>
      </c>
      <c r="HY35" s="522">
        <f>IF(AND($HR35&lt;&gt;0,OR(AND($HR35&lt;&gt;$HT35,$HR35&lt;&gt;$HS35,$HR35&lt;&gt;$HQ35,$HR35&lt;&gt;$HP35),$HR35&lt;MIN($HP35:$HQ35),$HR35&lt;MIN($HS35:$HT35),SUM($HP35:$HQ35)+SUM($HS35:$HT35)=0)),$HR35,0)</f>
        <v/>
      </c>
      <c r="HZ35" s="522">
        <f>IF(AND($HQ35&lt;&gt;0,OR(AND($HQ35&lt;&gt;$HT35,HQ35&lt;&gt;HS35,HQ35&lt;&gt;HR35,HQ35&lt;&gt;HP35,HQ35&lt;MIN(HR35:HT35)),SUM(HP35)+SUM(HR35:HT35)=0)),$HQ35,0)</f>
        <v/>
      </c>
      <c r="IA35" s="522">
        <f>IF(AND($HP35&lt;&gt;0,OR(HP35&lt;=MIN(HQ35:HT35),SUM(HQ35:HT35)=0)),$HP35,0)</f>
        <v/>
      </c>
      <c r="IB35" s="545" t="n">
        <v>31</v>
      </c>
      <c r="IC35">
        <f>HU35=DF35</f>
        <v/>
      </c>
      <c r="IE35" s="351">
        <f>IF(B35="","",IF(AND(Y35="Second Lien",OR(CZ35=1,DA35=1,DB35=1)),50%,IF(CZ35=1,90%,IF(DA35=1,80%,IF(DB35=1,65%,"No Initial Haircut")))))</f>
        <v/>
      </c>
    </row>
    <row r="36">
      <c r="A36">
        <f>D36</f>
        <v/>
      </c>
      <c r="B36" s="242">
        <f>IF(D36="","",B35+1)</f>
        <v/>
      </c>
      <c r="C36" s="242">
        <f>IF(COUNTIF($A$10:A35,A36)&gt;0,C35,C35+1)</f>
        <v/>
      </c>
      <c r="D36" s="243" t="inlineStr">
        <is>
          <t>Granite Holdings, LLC</t>
        </is>
      </c>
      <c r="E36" s="243" t="inlineStr">
        <is>
          <t>Granite (Term Loan)</t>
        </is>
      </c>
      <c r="F36" s="244" t="n"/>
      <c r="G36" s="528" t="n">
        <v>2179407.41</v>
      </c>
      <c r="H36" s="528" t="n">
        <v>2179407.41</v>
      </c>
      <c r="I36" s="246" t="n">
        <v>1</v>
      </c>
      <c r="J36" s="529">
        <f>IF(B36="","",G36*I36)</f>
        <v/>
      </c>
      <c r="K36" s="529">
        <f>IF(B36="","",H36*I36)</f>
        <v/>
      </c>
      <c r="L36" s="529">
        <f>IF(B36="","",IF(COUNTIF($CE36:$CX36,1)&gt;0,0,J36))</f>
        <v/>
      </c>
      <c r="M36" s="529">
        <f>IF(B36="","",IF(COUNTIF($CE36:$CX36,1)&gt;0,0,K36))</f>
        <v/>
      </c>
      <c r="N36" s="248" t="inlineStr">
        <is>
          <t>No</t>
        </is>
      </c>
      <c r="O36" s="248" t="inlineStr">
        <is>
          <t>N/A</t>
        </is>
      </c>
      <c r="P36" s="249">
        <f>IF(B36="","",IF(OR(O36="N/A",O36=""),0,YEARFRAC('Borrowing Base'!$J$4,'Loan List'!O36)*12))</f>
        <v/>
      </c>
      <c r="Q36" s="248" t="inlineStr">
        <is>
          <t>No</t>
        </is>
      </c>
      <c r="R36" s="250" t="n">
        <v>0.985</v>
      </c>
      <c r="S36" s="251">
        <f>IF(B36="","",IF(R36&lt;95%,"Yes","No"))</f>
        <v/>
      </c>
      <c r="T36" s="250" t="n">
        <v>1</v>
      </c>
      <c r="U36" s="252">
        <f>IF(B36="","",IF(OR(Y36="First Lien",Y36="Split First Lien",Y36="Tier 1 Split Lien",Y36="Tier 2 Split Lien"),50%,30%))</f>
        <v/>
      </c>
      <c r="V36" s="252">
        <f>IF(B36="",0,IF(AND(Y36="First Lien",AN36="Tier 1"),IF(AND(X36="Yes",MIN(AH36,$AJ$5)&gt;4.5),(((4.5/MIN(AH36,$AJ$5))*72.5%)+(((MIN(AH36,$AJ$5)-4.5)/MIN(AH36,$AJ$5))*35%)),72.5%),IF(AND(Y36="First Lien",AN36="Tier 2"),IF(AND(X36="Yes",MIN(AH36,$AK$5)&gt;4.5),(((4.5/MIN(AH36,$AK$5))*72.5%)+(((MIN(AH36,$AK$5)-4.5)/MIN(AH36,$AK$5))*35%)),72.5%),IF(AND(X36="Yes",MIN(AH36,$AL$5)&gt;4),(((4/MIN(AH36,$AL$5))*72.5%)+(((MIN(AH36,$AL$5)-4)/MIN(AH36,$AL$5))*35%)),IF(OR(Y36="First Lien",Y36="Split First Lien"),72.5%,IF(Y36="Split Lien", 53%,35%))))))</f>
        <v/>
      </c>
      <c r="W36" s="530">
        <f>IF($C36="","",MIN($HO36:$HS36))</f>
        <v/>
      </c>
      <c r="X36" s="248" t="inlineStr">
        <is>
          <t>No</t>
        </is>
      </c>
      <c r="Y36" s="254" t="inlineStr">
        <is>
          <t>First Lien</t>
        </is>
      </c>
      <c r="Z36" s="254" t="inlineStr">
        <is>
          <t>Term</t>
        </is>
      </c>
      <c r="AA36" s="531" t="inlineStr">
        <is>
          <t>NR</t>
        </is>
      </c>
      <c r="AB36" s="531" t="inlineStr">
        <is>
          <t xml:space="preserve"> NR</t>
        </is>
      </c>
      <c r="AC36" s="532" t="n">
        <v>2.144344857575539</v>
      </c>
      <c r="AD36" s="532" t="n">
        <v>3.49806153221327</v>
      </c>
      <c r="AE36" s="532" t="n">
        <v>3.6298339695465</v>
      </c>
      <c r="AF36" s="257" t="n">
        <v>0.5306834901279928</v>
      </c>
      <c r="AG36" s="533" t="n">
        <v>3.49806153221327</v>
      </c>
      <c r="AH36" s="533" t="n">
        <v>3.49806153221327</v>
      </c>
      <c r="AI36" s="533" t="n">
        <v>3.661360120457573</v>
      </c>
      <c r="AJ36" s="533" t="n">
        <v>3.661360120457573</v>
      </c>
      <c r="AK36" s="534" t="n">
        <v>15029396</v>
      </c>
      <c r="AL36" s="534" t="n">
        <v>12451853</v>
      </c>
      <c r="AM36" s="276" t="n">
        <v>45838</v>
      </c>
      <c r="AN36" s="529">
        <f>IF(C36="","",(IF(AK36&gt;=50000000,"Tier 1",(IF(OR(AK36&gt;=20000000,AND(AK36&gt;5000000,AC36&gt;=1.25,AF36&lt;=0.65)),"Tier 2","Tier 3")))))</f>
        <v/>
      </c>
      <c r="AO36" s="244" t="n">
        <v>47613</v>
      </c>
      <c r="AP36" s="535" t="n">
        <v>4.777777777777778</v>
      </c>
      <c r="AQ36" s="535">
        <f>IF(C36="","",AP36)</f>
        <v/>
      </c>
      <c r="AR36" s="248" t="inlineStr">
        <is>
          <t>No</t>
        </is>
      </c>
      <c r="AS36" s="250" t="n">
        <v>0</v>
      </c>
      <c r="AT36" s="248" t="inlineStr">
        <is>
          <t>Yes</t>
        </is>
      </c>
      <c r="AU36" s="250" t="n">
        <v>0.01</v>
      </c>
      <c r="AV36" s="250" t="n">
        <v>0.0575</v>
      </c>
      <c r="AW36" s="250" t="n">
        <v>0.043562</v>
      </c>
      <c r="AX36" s="262">
        <f>IF(C36="","",MAX(AU36,AW36))</f>
        <v/>
      </c>
      <c r="AY36" s="250" t="n">
        <v>0</v>
      </c>
      <c r="AZ36" s="250" t="n">
        <v>0</v>
      </c>
      <c r="BA36" s="250" t="n">
        <v>0</v>
      </c>
      <c r="BB36" s="412">
        <f>IF(B36="","",IF(AR36="No",AV36-AZ36,""))</f>
        <v/>
      </c>
      <c r="BC36" s="412">
        <f>IF(B36="","",IF(AR36="Yes",AS36-BA36,""))</f>
        <v/>
      </c>
      <c r="BD36" s="254" t="inlineStr">
        <is>
          <t>Quarterly</t>
        </is>
      </c>
      <c r="BE36" s="536" t="inlineStr">
        <is>
          <t>Health Care Providers &amp; Services</t>
        </is>
      </c>
      <c r="BF36" s="254" t="inlineStr">
        <is>
          <t>USD</t>
        </is>
      </c>
      <c r="BG36" s="254" t="inlineStr">
        <is>
          <t>United States</t>
        </is>
      </c>
      <c r="BH36" s="248" t="inlineStr">
        <is>
          <t>No</t>
        </is>
      </c>
      <c r="BI36" s="413">
        <f>IF(B36="","",IF(OR(AND(AZ36&gt;0,BB36&gt;=2.5%,BB36&lt;4%),AND(BA36&gt;0,BC36&gt;=6%,BC36&lt;8%)),"Yes","No"))</f>
        <v/>
      </c>
      <c r="BJ36" s="413">
        <f>IF(B36="","",IF(OR(AND(AZ36&gt;0,BB36&lt;2.5%),AND(BA36&gt;0,BC36&lt;6%)),"Yes","No"))</f>
        <v/>
      </c>
      <c r="BK36" s="248" t="inlineStr">
        <is>
          <t>No</t>
        </is>
      </c>
      <c r="BL36" s="248" t="inlineStr">
        <is>
          <t>No</t>
        </is>
      </c>
      <c r="BM36" s="248" t="inlineStr">
        <is>
          <t>No</t>
        </is>
      </c>
      <c r="BN36" s="248" t="inlineStr">
        <is>
          <t>No</t>
        </is>
      </c>
      <c r="BO36" s="248" t="inlineStr">
        <is>
          <t>No</t>
        </is>
      </c>
      <c r="BP36" s="248" t="inlineStr">
        <is>
          <t>No</t>
        </is>
      </c>
      <c r="BQ36" s="248" t="inlineStr">
        <is>
          <t>No</t>
        </is>
      </c>
      <c r="BR36" s="248" t="inlineStr">
        <is>
          <t>No</t>
        </is>
      </c>
      <c r="BS36" s="248" t="inlineStr">
        <is>
          <t>No</t>
        </is>
      </c>
      <c r="BT36" s="248" t="inlineStr">
        <is>
          <t>No</t>
        </is>
      </c>
      <c r="BU36" s="248" t="inlineStr">
        <is>
          <t>No</t>
        </is>
      </c>
      <c r="BV36" s="248" t="inlineStr">
        <is>
          <t>No</t>
        </is>
      </c>
      <c r="BW36" s="248" t="inlineStr">
        <is>
          <t>No</t>
        </is>
      </c>
      <c r="BX36" s="248" t="inlineStr">
        <is>
          <t>No</t>
        </is>
      </c>
      <c r="BY36" s="248" t="inlineStr">
        <is>
          <t>No</t>
        </is>
      </c>
      <c r="BZ36" s="248" t="inlineStr">
        <is>
          <t>No</t>
        </is>
      </c>
      <c r="CA36" s="248" t="inlineStr">
        <is>
          <t>Yes</t>
        </is>
      </c>
      <c r="CB36" s="537">
        <f>IF(B36="","",IF(AT36="No",((BB36+AW36)-$AZ$4),((BB36+AX36)-$AZ$4))*IF(DD36&gt;0,0,M36))</f>
        <v/>
      </c>
      <c r="CC36" s="537">
        <f>IF(B36="","",AY36*(L36-M36)*IF(DD36&gt;0,0,1))</f>
        <v/>
      </c>
      <c r="CD36" s="265" t="n"/>
      <c r="CE36" s="265">
        <f>IF(AND(B36&lt;&gt;"",R36&lt;=85%),1,0)</f>
        <v/>
      </c>
      <c r="CF36" s="265">
        <f>IF(B36="",0,(IF(OR(BF36="USD",BF36="CAD",BF36="GBP",BF36="AUD",BF36="EUR"),0,1)))</f>
        <v/>
      </c>
      <c r="CG36" s="265">
        <f>IF(B36="",0,(IF(OR(BG36="United States",BG36="Canada",BG36="United Kingdom",BG36="Australia",BG36="Netherlands Antilles",BG36="Bermuda",BG36="Cayman Islands",BG36="British Virgin Islands",BG36="Channel Islands",BG36="Isle of Man",BG36="Australia",BG36="Netherlands",BG36="Germany",BG36="Sweden",BG36="Switzerland",BG36="Austria",BG36="Belgium",BG36="Denmark",BG36="Finland",BG36="Iceland",BG36="Ireland",BG36="Lichtenstein",BG36="Luxemborg",BG36="Norway"),0,1)))</f>
        <v/>
      </c>
      <c r="CH36" s="265">
        <f>IF(BN36="Yes",1,0)</f>
        <v/>
      </c>
      <c r="CI36" s="265">
        <f>IF(BO36="Yes",1,0)</f>
        <v/>
      </c>
      <c r="CJ36" s="265">
        <f>IF(BP36="Yes",1,0)</f>
        <v/>
      </c>
      <c r="CK36" s="265">
        <f>IF(BQ36="Yes",1,0)</f>
        <v/>
      </c>
      <c r="CL36" s="265">
        <f>IF(BR36="Yes",1,0)</f>
        <v/>
      </c>
      <c r="CM36" s="265">
        <f>IF(BS36="Yes",1,0)</f>
        <v/>
      </c>
      <c r="CN36" s="265">
        <f>IF(OR(AND(BJ36="Yes",N36="No"),AND(BJ36="Yes",N36="Yes",P36&gt;=6)),1,0)</f>
        <v/>
      </c>
      <c r="CO36" s="265">
        <f>IF(BT36="Yes",1,0)</f>
        <v/>
      </c>
      <c r="CP36" s="265">
        <f>IF(AND(BU36="Yes",BV36="No"),1,0)</f>
        <v/>
      </c>
      <c r="CQ36" s="265">
        <f>IF(BW36="Yes",1,0)</f>
        <v/>
      </c>
      <c r="CR36" s="265">
        <f>IF(AP36="",0,IF(AP36&gt;7,1,0))</f>
        <v/>
      </c>
      <c r="CS36" s="265">
        <f>IF(OR(BD36&lt;&gt;"Monthly",BD36&lt;&gt;"Quarterly",BD36&lt;&gt;"Semi-Annually"),0,1)</f>
        <v/>
      </c>
      <c r="CT36" s="265">
        <f>IF(BX36="Yes",1,0)</f>
        <v/>
      </c>
      <c r="CU36" s="265">
        <f>IF(BY36="Yes",1,0)</f>
        <v/>
      </c>
      <c r="CV36" s="265">
        <f>IF(BZ36="Yes",1,0)</f>
        <v/>
      </c>
      <c r="CW36" s="265">
        <f>IF(CA36="No",1,0)</f>
        <v/>
      </c>
      <c r="CX36" s="265">
        <f>IF(B36="",0,IF(AK36&gt;=5000000,0,1))</f>
        <v/>
      </c>
      <c r="CY36" s="265">
        <f>IF(B36="",0,IF(AL36&gt;=5000000,0,1))</f>
        <v/>
      </c>
      <c r="CZ36" s="265">
        <f>IF(OR(DA36=1,DB36=1,DC36=1),0,IF(B36="",0,IF(OR(AND(AN36="Tier 1",X36="No",OR(AI36&gt;$AJ$3,AJ36&gt;$AJ$4)),(AND(AN36="Tier 1",X36="Yes",AJ36&gt;$AJ$5)),(AND(AN36="Tier 2",X36="No",OR(AI36&gt;$AK$3,AJ36&gt;$AK$4))),(AND(AN36="Tier 2",X36="Yes",AJ36&gt;$AK$5)),(AND(AN36="Tier 3",X36="No",OR(AI36&gt;$AL$3,AJ36&gt;$AL$4))),(AND(AN36="Tier 3",X36="Yes",AJ36&gt;$AL$5))),1,0)))</f>
        <v/>
      </c>
      <c r="DA36" s="265">
        <f>IF(OR(DB36=1,DC36=1),0,IF(B36="",0,IF(OR(AND(AN36="Tier 1",X36="No",OR(AI36&gt;$AM$3,AJ36&gt;$AM$4)),(AND(AN36="Tier 1",X36="Yes",AJ36&gt;$AM$5)),(AND(AN36="Tier 2",X36="No",OR(AI36&gt;$AN$3,AJ36&gt;$AN$4))),(AND(AN36="Tier 2",X36="Yes",AJ36&gt;$AN$5)),(AND(AN36="Tier 3",X36="No",OR(AI36&gt;$AO$3,AJ36&gt;$AO$4))),(AND(AN36="Tier 3",X36="Yes",AJ36&gt;$AO$5))),1,0)))</f>
        <v/>
      </c>
      <c r="DB36" s="265">
        <f>IF(DC36=1,0,IF(B36="",0,IF(OR(AND(AN36="Tier 1",X36="No",OR(AI36&gt;$AP$3,AJ36&gt;$AP$4)),(AND(AN36="Tier 1",X36="Yes",AJ36&gt;$AP$5)),(AND(AN36="Tier 2",X36="No",OR(AI36&gt;$AQ$3,AJ36&gt;$AQ$4))),(AND(AN36="Tier 2",X36="Yes",AJ36&gt;$AQ$5)),(AND(AN36="Tier 3",X36="No",OR(AI36&gt;$AR$3,AJ36&gt;$AR$4))),(AND(AN36="Tier 3",X36="Yes",AJ36&gt;$AR$5))),1,0)))</f>
        <v/>
      </c>
      <c r="DC36" s="265">
        <f>IF(B36="",0,IF(OR(AND(AN36="Tier 1",X36="No",OR(AI36&gt;$AS$3,AJ36&gt;$AS$4)),(AND(AN36="Tier 1",X36="Yes",AJ36&gt;$AS$5)),(AND(AN36="Tier 2",X36="No",OR(AI36&gt;$AT$3,AJ36&gt;$AT$4))),(AND(AN36="Tier 2",X36="Yes",AJ36&gt;$AT$5)),(AND(AN36="Tier 3",X36="No",OR(AI36&gt;$AU$3,AJ36&gt;$AU$4))),(AND(AN36="Tier 3",X36="Yes",AJ36&gt;$AU$5))),1,0))</f>
        <v/>
      </c>
      <c r="DD36" s="265">
        <f>IF((SUM(CE36:CX36)=0),0,W36)</f>
        <v/>
      </c>
      <c r="DE36" s="265">
        <f>IF(OR(B36="",DD36&gt;0),0,W36)</f>
        <v/>
      </c>
      <c r="DF36" s="265">
        <f>IF(B36="",0,IF(COUNTIF(CE36:CX36,1)&gt;0,0,L36-M36))</f>
        <v/>
      </c>
      <c r="DG36" s="265">
        <f>DE36+IF(DD36&gt;0,0,DF36)</f>
        <v/>
      </c>
      <c r="DH36" s="265">
        <f>IF(B36="","",M36+DF36)</f>
        <v/>
      </c>
      <c r="DI36" s="265">
        <f>IF(B36="",0,J36-K36)</f>
        <v/>
      </c>
      <c r="DJ36" s="265">
        <f>IF(OR(BF36="EUR",BF36="CAD",BF36="GBP",BF36="AUD"),(GA36*(1-V36))+(HG36)+IF(HX36="",0,HX36*(1-U36)),0)</f>
        <v/>
      </c>
      <c r="DK36" s="265">
        <f>IF(BF36="EUR",33%,IF(BF36="CAD",38%,IF(BF36="GBP",51%,IF(BF36="AUD",61%,0))))</f>
        <v/>
      </c>
      <c r="DL36" s="265">
        <f>DJ36*DK36</f>
        <v/>
      </c>
      <c r="DN36" s="538">
        <f>IF(OR(Y36="Second Lien",Y36="Tier 1 Split Lien",Y36="Tier 2 Split Lien"),DG36,0)</f>
        <v/>
      </c>
      <c r="DO36" s="539">
        <f>DN36*DN$6</f>
        <v/>
      </c>
      <c r="DP36" s="538">
        <f>DG36-DO36</f>
        <v/>
      </c>
      <c r="DQ36" s="538">
        <f>IF(Y36="Second Lien",DP36,0)</f>
        <v/>
      </c>
      <c r="DR36" s="539">
        <f>DQ36*DQ$6</f>
        <v/>
      </c>
      <c r="DS36" s="538">
        <f>DP36-DR36</f>
        <v/>
      </c>
      <c r="DT36" s="538">
        <f>IF(BH36="Yes",DS36,0)</f>
        <v/>
      </c>
      <c r="DU36" s="539">
        <f>DT36*DT$6</f>
        <v/>
      </c>
      <c r="DV36" s="538">
        <f>DS36-DU36</f>
        <v/>
      </c>
      <c r="DW36" s="538">
        <f>IF(OR(BG36="Canada",BG36="United Kingdom",BG36="Australia",BG36="Netherlands Antilles",BG36="Bermuda",BG36="Cayman Islands",BG36="British Virgin Islands",BG36="Channel Islands",BG36="Isle of Man",BG36="Australia",BG36="Netherlands",BG36="Germany",BG36="Sweden",BG36="Switzerland",BG36="Austria",BG36="Belgium",BG36="Denmark",BG36="Finland",BG36="Iceland",BG36="Ireland",BG36="Lichtenstein",BG36="Luxemborg",BG36="Norway"),DV36,0)</f>
        <v/>
      </c>
      <c r="DX36" s="539">
        <f>DW36*DW$6</f>
        <v/>
      </c>
      <c r="DY36" s="538">
        <f>DV36-DX36</f>
        <v/>
      </c>
      <c r="DZ36" s="538">
        <f>IF(BI36="Yes",DY36,0)</f>
        <v/>
      </c>
      <c r="EA36" s="539">
        <f>DZ36*DZ$6</f>
        <v/>
      </c>
      <c r="EB36" s="538">
        <f>DY36-EA36</f>
        <v/>
      </c>
      <c r="EC36" s="538">
        <f>IF(OR(Z36="Delayed Draw",Z36="Revolver"),EB36,0)</f>
        <v/>
      </c>
      <c r="ED36" s="539">
        <f>EC36*EC$6</f>
        <v/>
      </c>
      <c r="EE36" s="538">
        <f>EB36-ED36</f>
        <v/>
      </c>
      <c r="EF36" s="538">
        <f>IF(S36="Yes",EE36,0)</f>
        <v/>
      </c>
      <c r="EG36" s="539">
        <f>EF36*EF$6</f>
        <v/>
      </c>
      <c r="EH36" s="538">
        <f>EE36-EG36</f>
        <v/>
      </c>
      <c r="EI36" s="538">
        <f>IF(Q36="Yes",EH36,0)</f>
        <v/>
      </c>
      <c r="EJ36" s="539">
        <f>EI36*EI$6</f>
        <v/>
      </c>
      <c r="EK36" s="538">
        <f>EH36-EJ36</f>
        <v/>
      </c>
      <c r="EL36" s="538">
        <f>IF(BD36="Semi-Annually",EK36,0)</f>
        <v/>
      </c>
      <c r="EM36" s="539">
        <f>EL36*EL$6</f>
        <v/>
      </c>
      <c r="EN36" s="538">
        <f>EK36-EM36</f>
        <v/>
      </c>
      <c r="EO36" s="538">
        <f>IF(BK36="Yes",EN36,0)</f>
        <v/>
      </c>
      <c r="EP36" s="539">
        <f>EO36*EO$6</f>
        <v/>
      </c>
      <c r="EQ36" s="538">
        <f>EN36-EP36</f>
        <v/>
      </c>
      <c r="ER36" s="538">
        <f>IF(BL36="Yes",EQ36,0)</f>
        <v/>
      </c>
      <c r="ES36" s="539">
        <f>ER36*ER$6</f>
        <v/>
      </c>
      <c r="ET36" s="538">
        <f>EQ36-ES36</f>
        <v/>
      </c>
      <c r="EU36" s="538">
        <f>IF(BM36="Yes",ET36,0)</f>
        <v/>
      </c>
      <c r="EV36" s="539">
        <f>EU36*EU$6</f>
        <v/>
      </c>
      <c r="EW36" s="538">
        <f>ET36-EV36</f>
        <v/>
      </c>
      <c r="EX36" s="538">
        <f>IF(BV36="Yes",EW36,0)</f>
        <v/>
      </c>
      <c r="EY36" s="539">
        <f>EX36*EX$6</f>
        <v/>
      </c>
      <c r="EZ36" s="538">
        <f>EW36-EY36</f>
        <v/>
      </c>
      <c r="FA36" s="538">
        <f>IF(AR36="Yes",EZ36,0)</f>
        <v/>
      </c>
      <c r="FB36" s="539">
        <f>FA36*FA$6</f>
        <v/>
      </c>
      <c r="FC36" s="538">
        <f>EZ36-FB36</f>
        <v/>
      </c>
      <c r="FD36" s="538">
        <f>IF(OR(BF36="EUR",BF36="AUD",BF36="CAD",BF36="GBP"),FC36,0)</f>
        <v/>
      </c>
      <c r="FE36" s="539">
        <f>FD36*FD$6</f>
        <v/>
      </c>
      <c r="FF36" s="538">
        <f>FC36-FE36</f>
        <v/>
      </c>
      <c r="FG36" s="538">
        <f>FF36</f>
        <v/>
      </c>
      <c r="FH36" s="538">
        <f>IF(FF36=0,0,VLOOKUP(C36,$GU$10:$GV$406,2,FALSE)*FF36)</f>
        <v/>
      </c>
      <c r="FI36" s="538">
        <f>FF36-FH36</f>
        <v/>
      </c>
      <c r="FJ36" s="538">
        <f>FI36</f>
        <v/>
      </c>
      <c r="FK36" s="538">
        <f>IF(OR(IB36="",FI36&lt;0.01),,VLOOKUP(IB36,$GL$10:$GM$406,2,FALSE)*FI36)</f>
        <v/>
      </c>
      <c r="FL36" s="538">
        <f>FI36-FK36</f>
        <v/>
      </c>
      <c r="FM36" s="538">
        <f>FL36</f>
        <v/>
      </c>
      <c r="FN36" s="538">
        <f>IF(FL36=0,0,VLOOKUP(C36,$HD$10:$HE$406,2,FALSE)*FL36)</f>
        <v/>
      </c>
      <c r="FO36" s="538">
        <f>FL36-FN36</f>
        <v/>
      </c>
      <c r="FP36" s="538">
        <f>IF(SUM(CY36:DC36)&gt;0,0,IF(AND(AL36&gt;=5000000,AL36&lt;7500000),FO36,0))</f>
        <v/>
      </c>
      <c r="FQ36" s="539">
        <f>IF(B36="",0,FP36*FP$6*(1-$U36))</f>
        <v/>
      </c>
      <c r="FR36" s="538">
        <f>FO36-FQ36</f>
        <v/>
      </c>
      <c r="FS36" s="538">
        <f>IF(SUM(CY36:DC36)&gt;0,0,IF(AL36&lt;15000000,FR36,0))</f>
        <v/>
      </c>
      <c r="FT36" s="539">
        <f>IF(B36="",0,FS36*FS$6*(1-$U36))</f>
        <v/>
      </c>
      <c r="FU36" s="538">
        <f>FR36-FT36</f>
        <v/>
      </c>
      <c r="FV36" s="538">
        <f>IF(SUM(CY36:DC36)&gt;0,0,IF(OR(AND(X36="No",AN36="Tier 1",AI36&gt;$AG$3),AND(X36="No",AN36="Tier 2",AI36&gt;$AH$3),AND(X36="No",AN36="Tier 3",AI36&gt;$AI$3)),FU36,0))</f>
        <v/>
      </c>
      <c r="FW36" s="538">
        <f>IF(SUM(CY36:DC36)&gt;0,0,IF(OR(AND(X36="No",AN36="Tier 1",AJ36&gt;$AG$4),AND(X36="No",AN36="Tier 2",AJ36&gt;$AH$4),AND(X36="No",AN36="Tier 3",AJ36&gt;$AI$4)),FU36,0))</f>
        <v/>
      </c>
      <c r="FX36" s="538">
        <f>IF(SUM(CY36:DC36)&gt;0,0,IF(OR(AND(X36="Yes",AN36="Tier 1",AJ36&gt;$AG$5),AND(X36="Yes",AN36="Tier 2",AJ36&gt;$AH$5),AND(X36="Yes",AN36="Tier 3",AJ36&gt;$AI$5)),FU36,0))</f>
        <v/>
      </c>
      <c r="FY36" s="538">
        <f>IF(SUM(FV36:FX36)&gt;0,FU36,0)</f>
        <v/>
      </c>
      <c r="FZ36" s="539">
        <f>IF(B36="",0,FY36*FV$6*(1-MIN(90%,T36)))</f>
        <v/>
      </c>
      <c r="GA36" s="538">
        <f>FU36-FZ36</f>
        <v/>
      </c>
      <c r="GB36" s="538">
        <f>IF(AND(N36="No",DI36=0),GA36,IF(AND(N36="No",DI36&lt;&gt;0,K36=0),0,IF(AND(N36="No",DI36&lt;&gt;0,K36&gt;0,J36&lt;&gt;K36),MAX(0,M36-(DH36-GA36)),DG36)))</f>
        <v/>
      </c>
      <c r="GC36" s="540">
        <f>+GB36*V36</f>
        <v/>
      </c>
      <c r="GD36" s="138">
        <f>IFERROR(GC36/K36,"")</f>
        <v/>
      </c>
      <c r="GE36" s="541">
        <f>IF(IB36="","",IB36)</f>
        <v/>
      </c>
      <c r="GF36" s="538">
        <f t="array" ref="GF36">IF(SUM(IF(IB$9:IB35=IB36,1,0))&gt;0,0,SUMIF($IB$10:$IB$406,IB36,$FI$10:$FI$406))</f>
        <v/>
      </c>
      <c r="GG36" s="270">
        <f>GF36</f>
        <v/>
      </c>
      <c r="GH36" s="137">
        <f>GH35+1</f>
        <v/>
      </c>
      <c r="GI36" s="542">
        <f>LARGE($GG$10:$GG$406,GH36)</f>
        <v/>
      </c>
      <c r="GJ36" s="542">
        <f>IF(GH36&gt;GH$6,0,IF(GH36=$GH$2,$GJ$2,IF(GH36&lt;4,$GJ$3,$GJ$4)))</f>
        <v/>
      </c>
      <c r="GK36" s="489">
        <f>MAX(0,GI36-GJ36)</f>
        <v/>
      </c>
      <c r="GL36" s="137">
        <f t="array" ref="GL36">IF(GI36=0,0,LARGE(IF($GF$10:$GF$406=GI36,$GE$10:$GE$406,0),COUNTIF($GI$10:$GI$406,GI36)-COUNTIF(GI$9:GI35,GI36)))</f>
        <v/>
      </c>
      <c r="GM36" s="272">
        <f>IF(GI36=0,0,GK36/GI36)</f>
        <v/>
      </c>
      <c r="GO36" s="137">
        <f>IF(C36="","",IF(ISERROR(MATCH(C36,C$10:C35,0)),MAX(GO$10:GO35)+1,INDEX(GO$10:GO35,MATCH(C36,C$10:C35,0))))</f>
        <v/>
      </c>
      <c r="GP36" s="538">
        <f>IF(COUNTIF($A$10:A36,A36)&lt;=1,SUMIF($A$10:$A$406,A36,$FG$10:$FG$406),0)</f>
        <v/>
      </c>
      <c r="GQ36" s="137">
        <f>GQ35+1</f>
        <v/>
      </c>
      <c r="GR36" s="542">
        <f>LARGE($GP$10:$GP$406,GQ36)</f>
        <v/>
      </c>
      <c r="GS36" s="542">
        <f>IF(GQ36&gt;GQ$6,0,IF(GQ36&lt;=GQ$2,GS$2,IF(AND(GQ36&lt;=$GQ$3,GQ36&gt;$GQ$2),GS$3,GS$4)))</f>
        <v/>
      </c>
      <c r="GT36" s="489">
        <f>MAX(0,GR36-GS36)</f>
        <v/>
      </c>
      <c r="GU36" s="137">
        <f t="array" ref="GU36">IF(GR36=0,0,LARGE(IF($GP$10:$GP$406=GR36,$GO$10:$GO$406,0),COUNTIF($GR$10:$GR$406,GR36)-COUNTIF(GR$9:GR35,GR36)))</f>
        <v/>
      </c>
      <c r="GV36" s="272">
        <f>IF(GR36=0,0,GT36/GR36)</f>
        <v/>
      </c>
      <c r="GW36" s="272" t="n"/>
      <c r="GX36" s="137">
        <f>IF(C36="","",IF(ISERROR(MATCH(C36,C$10:C35,0)),MAX(GO$10:GO35)+1,INDEX(GO$10:GO35,MATCH(C36,C$10:C35,0))))</f>
        <v/>
      </c>
      <c r="GY36" s="538">
        <f>IF(COUNTIF($A$10:A36,A36)&lt;=1,SUMIF($A$10:$A$406,A36,$FG$10:$FG$406),0)</f>
        <v/>
      </c>
      <c r="GZ36" s="137">
        <f>GZ35+1</f>
        <v/>
      </c>
      <c r="HA36" s="542">
        <f>LARGE($GY$10:$GY$406,GZ36)</f>
        <v/>
      </c>
      <c r="HB36" s="543" t="inlineStr">
        <is>
          <t>-</t>
        </is>
      </c>
      <c r="HC36" s="489">
        <f>IF(GZ36&lt;6,MAX(0,$HC$2/5),0)</f>
        <v/>
      </c>
      <c r="HD36" s="137">
        <f t="array" ref="HD36">IF(HA36=0,0,LARGE(IF($GY$10:$GY$406=HA36,$GX$10:$GX$406,0),COUNTIF($HA$10:$HA$406,HA36)-COUNTIF(HA$9:HA35,HA36)))</f>
        <v/>
      </c>
      <c r="HE36" s="272">
        <f>IF(HA36=0,0,HC36/HA36)</f>
        <v/>
      </c>
      <c r="HG36" s="270">
        <f>DG36-GA36</f>
        <v/>
      </c>
      <c r="HH36" s="544" t="n">
        <v>0</v>
      </c>
      <c r="HI36" s="538">
        <f>MIN(HH36,DE36)</f>
        <v/>
      </c>
      <c r="HK36" s="137">
        <f>IF(COUNTIF($C$10:$C$406,HK35+1),HK35+1,"")</f>
        <v/>
      </c>
      <c r="HL36" s="538">
        <f>SUMIF($C$10:$C$406,HK36,$DG$10:$DG$406)</f>
        <v/>
      </c>
      <c r="HN36" s="521">
        <f>MIN(HO36:HS36)</f>
        <v/>
      </c>
      <c r="HO36" s="521">
        <f>IF(B36="","",$M36)</f>
        <v/>
      </c>
      <c r="HP36" s="521">
        <f>IF($N36="Yes",IF(P36&gt;=6,0,MIN($T36*$M36,$U36*$M36)),"")</f>
        <v/>
      </c>
      <c r="HQ36" s="521">
        <f>IF(AND(N36="Yes",P36&gt;=6),"",IF($S36="Yes",$R36*$M36,""))</f>
        <v/>
      </c>
      <c r="HR36" s="521">
        <f>IF($Q36="Yes",MIN($M36,$T36*$M36),"")</f>
        <v/>
      </c>
      <c r="HS36" s="521">
        <f>IF(AND($N36="Yes",$P36&gt;=6),"",IF(OR(CY36=1,DC36=1,),MIN($T36*$M36,$U36*$M36),IF(OR(CZ36=1,DA36=1,DB36=1),IF(AK36&gt;=5000000,MIN($T36*$M36,$IE36*$M36),MIN($T36*$M36,$U36*$M36)),"")))</f>
        <v/>
      </c>
      <c r="HT36" s="521">
        <f>IF(DD36&gt;0,DD36,"")</f>
        <v/>
      </c>
      <c r="HU36" s="522">
        <f>IF(B36="",0,$L36-$M36)</f>
        <v/>
      </c>
      <c r="HV36" s="274">
        <f>IF(OR(SUM(HP36:HT36)&gt;0,P36&gt;=6),"",IF($B36="","",1))</f>
        <v/>
      </c>
      <c r="HW36" s="522">
        <f>IF(AND($HT36&lt;&gt;0,OR(HT36&lt;=MIN(HP36:HS36),SUM(HP36:HS36)=0)),$HT36,0)</f>
        <v/>
      </c>
      <c r="HX36" s="522">
        <f>IF(AND($HS36&lt;&gt;0,OR(AND($HS36&lt;&gt;$HT36,$HS36&lt;&gt;$HR36,$HS36&lt;&gt;$HQ36,$HS36&lt;&gt;$HP36,$HS36&lt;MIN($HP36:$HR36),$HS36&lt;HT36),SUM($HP36:$HR36)+SUM(HT36)=0),IA36&lt;=0),$HS36,0)</f>
        <v/>
      </c>
      <c r="HY36" s="522">
        <f>IF(AND($HR36&lt;&gt;0,OR(AND($HR36&lt;&gt;$HT36,$HR36&lt;&gt;$HS36,$HR36&lt;&gt;$HQ36,$HR36&lt;&gt;$HP36),$HR36&lt;MIN($HP36:$HQ36),$HR36&lt;MIN($HS36:$HT36),SUM($HP36:$HQ36)+SUM($HS36:$HT36)=0)),$HR36,0)</f>
        <v/>
      </c>
      <c r="HZ36" s="522">
        <f>IF(AND($HQ36&lt;&gt;0,OR(AND($HQ36&lt;&gt;$HT36,HQ36&lt;&gt;HS36,HQ36&lt;&gt;HR36,HQ36&lt;&gt;HP36,HQ36&lt;MIN(HR36:HT36)),SUM(HP36)+SUM(HR36:HT36)=0)),$HQ36,0)</f>
        <v/>
      </c>
      <c r="IA36" s="522">
        <f>IF(AND($HP36&lt;&gt;0,OR(HP36&lt;=MIN(HQ36:HT36),SUM(HQ36:HT36)=0)),$HP36,0)</f>
        <v/>
      </c>
      <c r="IB36" s="545" t="n">
        <v>31</v>
      </c>
      <c r="IC36">
        <f>HU36=DF36</f>
        <v/>
      </c>
      <c r="IE36" s="351">
        <f>IF(B36="","",IF(AND(Y36="Second Lien",OR(CZ36=1,DA36=1,DB36=1)),50%,IF(CZ36=1,90%,IF(DA36=1,80%,IF(DB36=1,65%,"No Initial Haircut")))))</f>
        <v/>
      </c>
    </row>
    <row r="37">
      <c r="A37">
        <f>D37</f>
        <v/>
      </c>
      <c r="B37" s="242">
        <f>IF(D37="","",B36+1)</f>
        <v/>
      </c>
      <c r="C37" s="242">
        <f>IF(COUNTIF($A$10:A36,A37)&gt;0,C36,C36+1)</f>
        <v/>
      </c>
      <c r="D37" s="243" t="inlineStr">
        <is>
          <t>Maple Grove Holdings, LLC</t>
        </is>
      </c>
      <c r="E37" s="243" t="inlineStr">
        <is>
          <t>Maple Grove (Term Loan)</t>
        </is>
      </c>
      <c r="F37" s="244" t="n"/>
      <c r="G37" s="528" t="n">
        <v>3371550</v>
      </c>
      <c r="H37" s="528" t="n">
        <v>3371550</v>
      </c>
      <c r="I37" s="246" t="n">
        <v>1</v>
      </c>
      <c r="J37" s="529">
        <f>IF(B37="","",G37*I37)</f>
        <v/>
      </c>
      <c r="K37" s="529">
        <f>IF(B37="","",H37*I37)</f>
        <v/>
      </c>
      <c r="L37" s="529">
        <f>IF(B37="","",IF(COUNTIF($CE37:$CX37,1)&gt;0,0,J37))</f>
        <v/>
      </c>
      <c r="M37" s="529">
        <f>IF(B37="","",IF(COUNTIF($CE37:$CX37,1)&gt;0,0,K37))</f>
        <v/>
      </c>
      <c r="N37" s="248" t="inlineStr">
        <is>
          <t>No</t>
        </is>
      </c>
      <c r="O37" s="248" t="inlineStr">
        <is>
          <t>N/A</t>
        </is>
      </c>
      <c r="P37" s="249">
        <f>IF(B37="","",IF(OR(O37="N/A",O37=""),0,YEARFRAC('Borrowing Base'!$J$4,'Loan List'!O37)*12))</f>
        <v/>
      </c>
      <c r="Q37" s="248" t="inlineStr">
        <is>
          <t>No</t>
        </is>
      </c>
      <c r="R37" s="250" t="n">
        <v>0.990822532239645</v>
      </c>
      <c r="S37" s="251">
        <f>IF(B37="","",IF(R37&lt;95%,"Yes","No"))</f>
        <v/>
      </c>
      <c r="T37" s="250" t="n">
        <v>1</v>
      </c>
      <c r="U37" s="252">
        <f>IF(B37="","",IF(OR(Y37="First Lien",Y37="Split First Lien",Y37="Tier 1 Split Lien",Y37="Tier 2 Split Lien"),50%,30%))</f>
        <v/>
      </c>
      <c r="V37" s="252">
        <f>IF(B37="",0,IF(AND(Y37="First Lien",AN37="Tier 1"),IF(AND(X37="Yes",MIN(AH37,$AJ$5)&gt;4.5),(((4.5/MIN(AH37,$AJ$5))*72.5%)+(((MIN(AH37,$AJ$5)-4.5)/MIN(AH37,$AJ$5))*35%)),72.5%),IF(AND(Y37="First Lien",AN37="Tier 2"),IF(AND(X37="Yes",MIN(AH37,$AK$5)&gt;4.5),(((4.5/MIN(AH37,$AK$5))*72.5%)+(((MIN(AH37,$AK$5)-4.5)/MIN(AH37,$AK$5))*35%)),72.5%),IF(AND(X37="Yes",MIN(AH37,$AL$5)&gt;4),(((4/MIN(AH37,$AL$5))*72.5%)+(((MIN(AH37,$AL$5)-4)/MIN(AH37,$AL$5))*35%)),IF(OR(Y37="First Lien",Y37="Split First Lien"),72.5%,IF(Y37="Split Lien", 53%,35%))))))</f>
        <v/>
      </c>
      <c r="W37" s="530">
        <f>IF($C37="","",MIN($HO37:$HS37))</f>
        <v/>
      </c>
      <c r="X37" s="248" t="inlineStr">
        <is>
          <t>No</t>
        </is>
      </c>
      <c r="Y37" s="254" t="inlineStr">
        <is>
          <t>First Lien</t>
        </is>
      </c>
      <c r="Z37" s="254" t="inlineStr">
        <is>
          <t>Term</t>
        </is>
      </c>
      <c r="AA37" s="531" t="inlineStr">
        <is>
          <t>NR</t>
        </is>
      </c>
      <c r="AB37" s="531" t="inlineStr">
        <is>
          <t xml:space="preserve"> NR</t>
        </is>
      </c>
      <c r="AC37" s="532" t="n">
        <v>2.07609768480549</v>
      </c>
      <c r="AD37" s="532" t="n">
        <v>2.65957446808511</v>
      </c>
      <c r="AE37" s="532" t="n">
        <v>2.024791436121622</v>
      </c>
      <c r="AF37" s="257" t="n">
        <v>0.46972860125261</v>
      </c>
      <c r="AG37" s="533" t="n">
        <v>2.65957446808511</v>
      </c>
      <c r="AH37" s="533" t="n">
        <v>2.65957446808511</v>
      </c>
      <c r="AI37" s="533" t="n">
        <v>2.024791436121622</v>
      </c>
      <c r="AJ37" s="533" t="n">
        <v>2.024791436121622</v>
      </c>
      <c r="AK37" s="534" t="n">
        <v>14100000</v>
      </c>
      <c r="AL37" s="534" t="n">
        <v>18435479</v>
      </c>
      <c r="AM37" s="276" t="n">
        <v>45838</v>
      </c>
      <c r="AN37" s="529">
        <f>IF(C37="","",(IF(AK37&gt;=50000000,"Tier 1",(IF(OR(AK37&gt;=20000000,AND(AK37&gt;5000000,AC37&gt;=1.25,AF37&lt;=0.65)),"Tier 2","Tier 3")))))</f>
        <v/>
      </c>
      <c r="AO37" s="244" t="n">
        <v>47469</v>
      </c>
      <c r="AP37" s="535" t="n">
        <v>4.380555555555556</v>
      </c>
      <c r="AQ37" s="535">
        <f>IF(C37="","",AP37)</f>
        <v/>
      </c>
      <c r="AR37" s="248" t="inlineStr">
        <is>
          <t>No</t>
        </is>
      </c>
      <c r="AS37" s="250" t="n">
        <v>0</v>
      </c>
      <c r="AT37" s="248" t="inlineStr">
        <is>
          <t>Yes</t>
        </is>
      </c>
      <c r="AU37" s="250" t="n">
        <v>0.01</v>
      </c>
      <c r="AV37" s="250" t="n">
        <v>0.055</v>
      </c>
      <c r="AW37" s="250" t="n">
        <v>0.04317000000000001</v>
      </c>
      <c r="AX37" s="262">
        <f>IF(C37="","",MAX(AU37,AW37))</f>
        <v/>
      </c>
      <c r="AY37" s="250" t="n">
        <v>0</v>
      </c>
      <c r="AZ37" s="250" t="n">
        <v>0</v>
      </c>
      <c r="BA37" s="250" t="n">
        <v>0</v>
      </c>
      <c r="BB37" s="412">
        <f>IF(B37="","",IF(AR37="No",AV37-AZ37,""))</f>
        <v/>
      </c>
      <c r="BC37" s="412">
        <f>IF(B37="","",IF(AR37="Yes",AS37-BA37,""))</f>
        <v/>
      </c>
      <c r="BD37" s="254" t="inlineStr">
        <is>
          <t>Quarterly</t>
        </is>
      </c>
      <c r="BE37" s="536" t="inlineStr">
        <is>
          <t>Hotels, Restaurants &amp; Leisure</t>
        </is>
      </c>
      <c r="BF37" s="254" t="inlineStr">
        <is>
          <t>USD</t>
        </is>
      </c>
      <c r="BG37" s="254" t="inlineStr">
        <is>
          <t>United States</t>
        </is>
      </c>
      <c r="BH37" s="248" t="inlineStr">
        <is>
          <t>No</t>
        </is>
      </c>
      <c r="BI37" s="413">
        <f>IF(B37="","",IF(OR(AND(AZ37&gt;0,BB37&gt;=2.5%,BB37&lt;4%),AND(BA37&gt;0,BC37&gt;=6%,BC37&lt;8%)),"Yes","No"))</f>
        <v/>
      </c>
      <c r="BJ37" s="413">
        <f>IF(B37="","",IF(OR(AND(AZ37&gt;0,BB37&lt;2.5%),AND(BA37&gt;0,BC37&lt;6%)),"Yes","No"))</f>
        <v/>
      </c>
      <c r="BK37" s="248" t="inlineStr">
        <is>
          <t>No</t>
        </is>
      </c>
      <c r="BL37" s="248" t="inlineStr">
        <is>
          <t>No</t>
        </is>
      </c>
      <c r="BM37" s="248" t="inlineStr">
        <is>
          <t>No</t>
        </is>
      </c>
      <c r="BN37" s="248" t="inlineStr">
        <is>
          <t>No</t>
        </is>
      </c>
      <c r="BO37" s="248" t="inlineStr">
        <is>
          <t>No</t>
        </is>
      </c>
      <c r="BP37" s="248" t="inlineStr">
        <is>
          <t>No</t>
        </is>
      </c>
      <c r="BQ37" s="248" t="inlineStr">
        <is>
          <t>No</t>
        </is>
      </c>
      <c r="BR37" s="248" t="inlineStr">
        <is>
          <t>No</t>
        </is>
      </c>
      <c r="BS37" s="248" t="inlineStr">
        <is>
          <t>No</t>
        </is>
      </c>
      <c r="BT37" s="248" t="inlineStr">
        <is>
          <t>No</t>
        </is>
      </c>
      <c r="BU37" s="248" t="inlineStr">
        <is>
          <t>No</t>
        </is>
      </c>
      <c r="BV37" s="248" t="inlineStr">
        <is>
          <t>No</t>
        </is>
      </c>
      <c r="BW37" s="248" t="inlineStr">
        <is>
          <t>No</t>
        </is>
      </c>
      <c r="BX37" s="248" t="inlineStr">
        <is>
          <t>No</t>
        </is>
      </c>
      <c r="BY37" s="248" t="inlineStr">
        <is>
          <t>No</t>
        </is>
      </c>
      <c r="BZ37" s="248" t="inlineStr">
        <is>
          <t>No</t>
        </is>
      </c>
      <c r="CA37" s="248" t="inlineStr">
        <is>
          <t>Yes</t>
        </is>
      </c>
      <c r="CB37" s="537">
        <f>IF(B37="","",IF(AT37="No",((BB37+AW37)-$AZ$4),((BB37+AX37)-$AZ$4))*IF(DD37&gt;0,0,M37))</f>
        <v/>
      </c>
      <c r="CC37" s="537">
        <f>IF(B37="","",AY37*(L37-M37)*IF(DD37&gt;0,0,1))</f>
        <v/>
      </c>
      <c r="CD37" s="265" t="n"/>
      <c r="CE37" s="265">
        <f>IF(AND(B37&lt;&gt;"",R37&lt;=85%),1,0)</f>
        <v/>
      </c>
      <c r="CF37" s="265">
        <f>IF(B37="",0,(IF(OR(BF37="USD",BF37="CAD",BF37="GBP",BF37="AUD",BF37="EUR"),0,1)))</f>
        <v/>
      </c>
      <c r="CG37" s="265">
        <f>IF(B37="",0,(IF(OR(BG37="United States",BG37="Canada",BG37="United Kingdom",BG37="Australia",BG37="Netherlands Antilles",BG37="Bermuda",BG37="Cayman Islands",BG37="British Virgin Islands",BG37="Channel Islands",BG37="Isle of Man",BG37="Australia",BG37="Netherlands",BG37="Germany",BG37="Sweden",BG37="Switzerland",BG37="Austria",BG37="Belgium",BG37="Denmark",BG37="Finland",BG37="Iceland",BG37="Ireland",BG37="Lichtenstein",BG37="Luxemborg",BG37="Norway"),0,1)))</f>
        <v/>
      </c>
      <c r="CH37" s="265">
        <f>IF(BN37="Yes",1,0)</f>
        <v/>
      </c>
      <c r="CI37" s="265">
        <f>IF(BO37="Yes",1,0)</f>
        <v/>
      </c>
      <c r="CJ37" s="265">
        <f>IF(BP37="Yes",1,0)</f>
        <v/>
      </c>
      <c r="CK37" s="265">
        <f>IF(BQ37="Yes",1,0)</f>
        <v/>
      </c>
      <c r="CL37" s="265">
        <f>IF(BR37="Yes",1,0)</f>
        <v/>
      </c>
      <c r="CM37" s="265">
        <f>IF(BS37="Yes",1,0)</f>
        <v/>
      </c>
      <c r="CN37" s="265">
        <f>IF(OR(AND(BJ37="Yes",N37="No"),AND(BJ37="Yes",N37="Yes",P37&gt;=6)),1,0)</f>
        <v/>
      </c>
      <c r="CO37" s="265">
        <f>IF(BT37="Yes",1,0)</f>
        <v/>
      </c>
      <c r="CP37" s="265">
        <f>IF(AND(BU37="Yes",BV37="No"),1,0)</f>
        <v/>
      </c>
      <c r="CQ37" s="265">
        <f>IF(BW37="Yes",1,0)</f>
        <v/>
      </c>
      <c r="CR37" s="265">
        <f>IF(AP37="",0,IF(AP37&gt;7,1,0))</f>
        <v/>
      </c>
      <c r="CS37" s="265">
        <f>IF(OR(BD37&lt;&gt;"Monthly",BD37&lt;&gt;"Quarterly",BD37&lt;&gt;"Semi-Annually"),0,1)</f>
        <v/>
      </c>
      <c r="CT37" s="265">
        <f>IF(BX37="Yes",1,0)</f>
        <v/>
      </c>
      <c r="CU37" s="265">
        <f>IF(BY37="Yes",1,0)</f>
        <v/>
      </c>
      <c r="CV37" s="265">
        <f>IF(BZ37="Yes",1,0)</f>
        <v/>
      </c>
      <c r="CW37" s="265">
        <f>IF(CA37="No",1,0)</f>
        <v/>
      </c>
      <c r="CX37" s="265">
        <f>IF(B37="",0,IF(AK37&gt;=5000000,0,1))</f>
        <v/>
      </c>
      <c r="CY37" s="265">
        <f>IF(B37="",0,IF(AL37&gt;=5000000,0,1))</f>
        <v/>
      </c>
      <c r="CZ37" s="265">
        <f>IF(OR(DA37=1,DB37=1,DC37=1),0,IF(B37="",0,IF(OR(AND(AN37="Tier 1",X37="No",OR(AI37&gt;$AJ$3,AJ37&gt;$AJ$4)),(AND(AN37="Tier 1",X37="Yes",AJ37&gt;$AJ$5)),(AND(AN37="Tier 2",X37="No",OR(AI37&gt;$AK$3,AJ37&gt;$AK$4))),(AND(AN37="Tier 2",X37="Yes",AJ37&gt;$AK$5)),(AND(AN37="Tier 3",X37="No",OR(AI37&gt;$AL$3,AJ37&gt;$AL$4))),(AND(AN37="Tier 3",X37="Yes",AJ37&gt;$AL$5))),1,0)))</f>
        <v/>
      </c>
      <c r="DA37" s="265">
        <f>IF(OR(DB37=1,DC37=1),0,IF(B37="",0,IF(OR(AND(AN37="Tier 1",X37="No",OR(AI37&gt;$AM$3,AJ37&gt;$AM$4)),(AND(AN37="Tier 1",X37="Yes",AJ37&gt;$AM$5)),(AND(AN37="Tier 2",X37="No",OR(AI37&gt;$AN$3,AJ37&gt;$AN$4))),(AND(AN37="Tier 2",X37="Yes",AJ37&gt;$AN$5)),(AND(AN37="Tier 3",X37="No",OR(AI37&gt;$AO$3,AJ37&gt;$AO$4))),(AND(AN37="Tier 3",X37="Yes",AJ37&gt;$AO$5))),1,0)))</f>
        <v/>
      </c>
      <c r="DB37" s="265">
        <f>IF(DC37=1,0,IF(B37="",0,IF(OR(AND(AN37="Tier 1",X37="No",OR(AI37&gt;$AP$3,AJ37&gt;$AP$4)),(AND(AN37="Tier 1",X37="Yes",AJ37&gt;$AP$5)),(AND(AN37="Tier 2",X37="No",OR(AI37&gt;$AQ$3,AJ37&gt;$AQ$4))),(AND(AN37="Tier 2",X37="Yes",AJ37&gt;$AQ$5)),(AND(AN37="Tier 3",X37="No",OR(AI37&gt;$AR$3,AJ37&gt;$AR$4))),(AND(AN37="Tier 3",X37="Yes",AJ37&gt;$AR$5))),1,0)))</f>
        <v/>
      </c>
      <c r="DC37" s="265">
        <f>IF(B37="",0,IF(OR(AND(AN37="Tier 1",X37="No",OR(AI37&gt;$AS$3,AJ37&gt;$AS$4)),(AND(AN37="Tier 1",X37="Yes",AJ37&gt;$AS$5)),(AND(AN37="Tier 2",X37="No",OR(AI37&gt;$AT$3,AJ37&gt;$AT$4))),(AND(AN37="Tier 2",X37="Yes",AJ37&gt;$AT$5)),(AND(AN37="Tier 3",X37="No",OR(AI37&gt;$AU$3,AJ37&gt;$AU$4))),(AND(AN37="Tier 3",X37="Yes",AJ37&gt;$AU$5))),1,0))</f>
        <v/>
      </c>
      <c r="DD37" s="265">
        <f>IF((SUM(CE37:CX37)=0),0,W37)</f>
        <v/>
      </c>
      <c r="DE37" s="265">
        <f>IF(OR(B37="",DD37&gt;0),0,W37)</f>
        <v/>
      </c>
      <c r="DF37" s="265">
        <f>IF(B37="",0,IF(COUNTIF(CE37:CX37,1)&gt;0,0,L37-M37))</f>
        <v/>
      </c>
      <c r="DG37" s="265">
        <f>DE37+IF(DD37&gt;0,0,DF37)</f>
        <v/>
      </c>
      <c r="DH37" s="265">
        <f>IF(B37="","",M37+DF37)</f>
        <v/>
      </c>
      <c r="DI37" s="265">
        <f>IF(B37="",0,J37-K37)</f>
        <v/>
      </c>
      <c r="DJ37" s="265">
        <f>IF(OR(BF37="EUR",BF37="CAD",BF37="GBP",BF37="AUD"),(GA37*(1-V37))+(HG37)+IF(HX37="",0,HX37*(1-U37)),0)</f>
        <v/>
      </c>
      <c r="DK37" s="265">
        <f>IF(BF37="EUR",33%,IF(BF37="CAD",38%,IF(BF37="GBP",51%,IF(BF37="AUD",61%,0))))</f>
        <v/>
      </c>
      <c r="DL37" s="265">
        <f>DJ37*DK37</f>
        <v/>
      </c>
      <c r="DN37" s="538">
        <f>IF(OR(Y37="Second Lien",Y37="Tier 1 Split Lien",Y37="Tier 2 Split Lien"),DG37,0)</f>
        <v/>
      </c>
      <c r="DO37" s="539">
        <f>DN37*DN$6</f>
        <v/>
      </c>
      <c r="DP37" s="538">
        <f>DG37-DO37</f>
        <v/>
      </c>
      <c r="DQ37" s="538">
        <f>IF(Y37="Second Lien",DP37,0)</f>
        <v/>
      </c>
      <c r="DR37" s="539">
        <f>DQ37*DQ$6</f>
        <v/>
      </c>
      <c r="DS37" s="538">
        <f>DP37-DR37</f>
        <v/>
      </c>
      <c r="DT37" s="538">
        <f>IF(BH37="Yes",DS37,0)</f>
        <v/>
      </c>
      <c r="DU37" s="539">
        <f>DT37*DT$6</f>
        <v/>
      </c>
      <c r="DV37" s="538">
        <f>DS37-DU37</f>
        <v/>
      </c>
      <c r="DW37" s="538">
        <f>IF(OR(BG37="Canada",BG37="United Kingdom",BG37="Australia",BG37="Netherlands Antilles",BG37="Bermuda",BG37="Cayman Islands",BG37="British Virgin Islands",BG37="Channel Islands",BG37="Isle of Man",BG37="Australia",BG37="Netherlands",BG37="Germany",BG37="Sweden",BG37="Switzerland",BG37="Austria",BG37="Belgium",BG37="Denmark",BG37="Finland",BG37="Iceland",BG37="Ireland",BG37="Lichtenstein",BG37="Luxemborg",BG37="Norway"),DV37,0)</f>
        <v/>
      </c>
      <c r="DX37" s="539">
        <f>DW37*DW$6</f>
        <v/>
      </c>
      <c r="DY37" s="538">
        <f>DV37-DX37</f>
        <v/>
      </c>
      <c r="DZ37" s="538">
        <f>IF(BI37="Yes",DY37,0)</f>
        <v/>
      </c>
      <c r="EA37" s="539">
        <f>DZ37*DZ$6</f>
        <v/>
      </c>
      <c r="EB37" s="538">
        <f>DY37-EA37</f>
        <v/>
      </c>
      <c r="EC37" s="538">
        <f>IF(OR(Z37="Delayed Draw",Z37="Revolver"),EB37,0)</f>
        <v/>
      </c>
      <c r="ED37" s="539">
        <f>EC37*EC$6</f>
        <v/>
      </c>
      <c r="EE37" s="538">
        <f>EB37-ED37</f>
        <v/>
      </c>
      <c r="EF37" s="538">
        <f>IF(S37="Yes",EE37,0)</f>
        <v/>
      </c>
      <c r="EG37" s="539">
        <f>EF37*EF$6</f>
        <v/>
      </c>
      <c r="EH37" s="538">
        <f>EE37-EG37</f>
        <v/>
      </c>
      <c r="EI37" s="538">
        <f>IF(Q37="Yes",EH37,0)</f>
        <v/>
      </c>
      <c r="EJ37" s="539">
        <f>EI37*EI$6</f>
        <v/>
      </c>
      <c r="EK37" s="538">
        <f>EH37-EJ37</f>
        <v/>
      </c>
      <c r="EL37" s="538">
        <f>IF(BD37="Semi-Annually",EK37,0)</f>
        <v/>
      </c>
      <c r="EM37" s="539">
        <f>EL37*EL$6</f>
        <v/>
      </c>
      <c r="EN37" s="538">
        <f>EK37-EM37</f>
        <v/>
      </c>
      <c r="EO37" s="538">
        <f>IF(BK37="Yes",EN37,0)</f>
        <v/>
      </c>
      <c r="EP37" s="539">
        <f>EO37*EO$6</f>
        <v/>
      </c>
      <c r="EQ37" s="538">
        <f>EN37-EP37</f>
        <v/>
      </c>
      <c r="ER37" s="538">
        <f>IF(BL37="Yes",EQ37,0)</f>
        <v/>
      </c>
      <c r="ES37" s="539">
        <f>ER37*ER$6</f>
        <v/>
      </c>
      <c r="ET37" s="538">
        <f>EQ37-ES37</f>
        <v/>
      </c>
      <c r="EU37" s="538">
        <f>IF(BM37="Yes",ET37,0)</f>
        <v/>
      </c>
      <c r="EV37" s="539">
        <f>EU37*EU$6</f>
        <v/>
      </c>
      <c r="EW37" s="538">
        <f>ET37-EV37</f>
        <v/>
      </c>
      <c r="EX37" s="538">
        <f>IF(BV37="Yes",EW37,0)</f>
        <v/>
      </c>
      <c r="EY37" s="539">
        <f>EX37*EX$6</f>
        <v/>
      </c>
      <c r="EZ37" s="538">
        <f>EW37-EY37</f>
        <v/>
      </c>
      <c r="FA37" s="538">
        <f>IF(AR37="Yes",EZ37,0)</f>
        <v/>
      </c>
      <c r="FB37" s="539">
        <f>FA37*FA$6</f>
        <v/>
      </c>
      <c r="FC37" s="538">
        <f>EZ37-FB37</f>
        <v/>
      </c>
      <c r="FD37" s="538">
        <f>IF(OR(BF37="EUR",BF37="AUD",BF37="CAD",BF37="GBP"),FC37,0)</f>
        <v/>
      </c>
      <c r="FE37" s="539">
        <f>FD37*FD$6</f>
        <v/>
      </c>
      <c r="FF37" s="538">
        <f>FC37-FE37</f>
        <v/>
      </c>
      <c r="FG37" s="538">
        <f>FF37</f>
        <v/>
      </c>
      <c r="FH37" s="538">
        <f>IF(FF37=0,0,VLOOKUP(C37,$GU$10:$GV$406,2,FALSE)*FF37)</f>
        <v/>
      </c>
      <c r="FI37" s="538">
        <f>FF37-FH37</f>
        <v/>
      </c>
      <c r="FJ37" s="538">
        <f>FI37</f>
        <v/>
      </c>
      <c r="FK37" s="538">
        <f>IF(OR(IB37="",FI37&lt;0.01),,VLOOKUP(IB37,$GL$10:$GM$406,2,FALSE)*FI37)</f>
        <v/>
      </c>
      <c r="FL37" s="538">
        <f>FI37-FK37</f>
        <v/>
      </c>
      <c r="FM37" s="538">
        <f>FL37</f>
        <v/>
      </c>
      <c r="FN37" s="538">
        <f>IF(FL37=0,0,VLOOKUP(C37,$HD$10:$HE$406,2,FALSE)*FL37)</f>
        <v/>
      </c>
      <c r="FO37" s="538">
        <f>FL37-FN37</f>
        <v/>
      </c>
      <c r="FP37" s="538">
        <f>IF(SUM(CY37:DC37)&gt;0,0,IF(AND(AL37&gt;=5000000,AL37&lt;7500000),FO37,0))</f>
        <v/>
      </c>
      <c r="FQ37" s="539">
        <f>IF(B37="",0,FP37*FP$6*(1-$U37))</f>
        <v/>
      </c>
      <c r="FR37" s="538">
        <f>FO37-FQ37</f>
        <v/>
      </c>
      <c r="FS37" s="538">
        <f>IF(SUM(CY37:DC37)&gt;0,0,IF(AL37&lt;15000000,FR37,0))</f>
        <v/>
      </c>
      <c r="FT37" s="539">
        <f>IF(B37="",0,FS37*FS$6*(1-$U37))</f>
        <v/>
      </c>
      <c r="FU37" s="538">
        <f>FR37-FT37</f>
        <v/>
      </c>
      <c r="FV37" s="538">
        <f>IF(SUM(CY37:DC37)&gt;0,0,IF(OR(AND(X37="No",AN37="Tier 1",AI37&gt;$AG$3),AND(X37="No",AN37="Tier 2",AI37&gt;$AH$3),AND(X37="No",AN37="Tier 3",AI37&gt;$AI$3)),FU37,0))</f>
        <v/>
      </c>
      <c r="FW37" s="538">
        <f>IF(SUM(CY37:DC37)&gt;0,0,IF(OR(AND(X37="No",AN37="Tier 1",AJ37&gt;$AG$4),AND(X37="No",AN37="Tier 2",AJ37&gt;$AH$4),AND(X37="No",AN37="Tier 3",AJ37&gt;$AI$4)),FU37,0))</f>
        <v/>
      </c>
      <c r="FX37" s="538">
        <f>IF(SUM(CY37:DC37)&gt;0,0,IF(OR(AND(X37="Yes",AN37="Tier 1",AJ37&gt;$AG$5),AND(X37="Yes",AN37="Tier 2",AJ37&gt;$AH$5),AND(X37="Yes",AN37="Tier 3",AJ37&gt;$AI$5)),FU37,0))</f>
        <v/>
      </c>
      <c r="FY37" s="538">
        <f>IF(SUM(FV37:FX37)&gt;0,FU37,0)</f>
        <v/>
      </c>
      <c r="FZ37" s="539">
        <f>IF(B37="",0,FY37*FV$6*(1-MIN(90%,T37)))</f>
        <v/>
      </c>
      <c r="GA37" s="538">
        <f>FU37-FZ37</f>
        <v/>
      </c>
      <c r="GB37" s="538">
        <f>IF(AND(N37="No",DI37=0),GA37,IF(AND(N37="No",DI37&lt;&gt;0,K37=0),0,IF(AND(N37="No",DI37&lt;&gt;0,K37&gt;0,J37&lt;&gt;K37),MAX(0,M37-(DH37-GA37)),DG37)))</f>
        <v/>
      </c>
      <c r="GC37" s="540">
        <f>+GB37*V37</f>
        <v/>
      </c>
      <c r="GD37" s="138">
        <f>IFERROR(GC37/K37,"")</f>
        <v/>
      </c>
      <c r="GE37" s="541">
        <f>IF(IB37="","",IB37)</f>
        <v/>
      </c>
      <c r="GF37" s="538">
        <f t="array" ref="GF37">IF(SUM(IF(IB$9:IB36=IB37,1,0))&gt;0,0,SUMIF($IB$10:$IB$406,IB37,$FI$10:$FI$406))</f>
        <v/>
      </c>
      <c r="GG37" s="270">
        <f>GF37</f>
        <v/>
      </c>
      <c r="GH37" s="137">
        <f>GH36+1</f>
        <v/>
      </c>
      <c r="GI37" s="542">
        <f>LARGE($GG$10:$GG$406,GH37)</f>
        <v/>
      </c>
      <c r="GJ37" s="542">
        <f>IF(GH37&gt;GH$6,0,IF(GH37=$GH$2,$GJ$2,IF(GH37&lt;4,$GJ$3,$GJ$4)))</f>
        <v/>
      </c>
      <c r="GK37" s="489">
        <f>MAX(0,GI37-GJ37)</f>
        <v/>
      </c>
      <c r="GL37" s="137">
        <f t="array" ref="GL37">IF(GI37=0,0,LARGE(IF($GF$10:$GF$406=GI37,$GE$10:$GE$406,0),COUNTIF($GI$10:$GI$406,GI37)-COUNTIF(GI$9:GI36,GI37)))</f>
        <v/>
      </c>
      <c r="GM37" s="272">
        <f>IF(GI37=0,0,GK37/GI37)</f>
        <v/>
      </c>
      <c r="GO37" s="137">
        <f>IF(C37="","",IF(ISERROR(MATCH(C37,C$10:C36,0)),MAX(GO$10:GO36)+1,INDEX(GO$10:GO36,MATCH(C37,C$10:C36,0))))</f>
        <v/>
      </c>
      <c r="GP37" s="538">
        <f>IF(COUNTIF($A$10:A37,A37)&lt;=1,SUMIF($A$10:$A$406,A37,$FG$10:$FG$406),0)</f>
        <v/>
      </c>
      <c r="GQ37" s="137">
        <f>GQ36+1</f>
        <v/>
      </c>
      <c r="GR37" s="542">
        <f>LARGE($GP$10:$GP$406,GQ37)</f>
        <v/>
      </c>
      <c r="GS37" s="542">
        <f>IF(GQ37&gt;GQ$6,0,IF(GQ37&lt;=GQ$2,GS$2,IF(AND(GQ37&lt;=$GQ$3,GQ37&gt;$GQ$2),GS$3,GS$4)))</f>
        <v/>
      </c>
      <c r="GT37" s="489">
        <f>MAX(0,GR37-GS37)</f>
        <v/>
      </c>
      <c r="GU37" s="137">
        <f t="array" ref="GU37">IF(GR37=0,0,LARGE(IF($GP$10:$GP$406=GR37,$GO$10:$GO$406,0),COUNTIF($GR$10:$GR$406,GR37)-COUNTIF(GR$9:GR36,GR37)))</f>
        <v/>
      </c>
      <c r="GV37" s="272">
        <f>IF(GR37=0,0,GT37/GR37)</f>
        <v/>
      </c>
      <c r="GW37" s="272" t="n"/>
      <c r="GX37" s="137">
        <f>IF(C37="","",IF(ISERROR(MATCH(C37,C$10:C36,0)),MAX(GO$10:GO36)+1,INDEX(GO$10:GO36,MATCH(C37,C$10:C36,0))))</f>
        <v/>
      </c>
      <c r="GY37" s="538">
        <f>IF(COUNTIF($A$10:A37,A37)&lt;=1,SUMIF($A$10:$A$406,A37,$FG$10:$FG$406),0)</f>
        <v/>
      </c>
      <c r="GZ37" s="137">
        <f>GZ36+1</f>
        <v/>
      </c>
      <c r="HA37" s="542">
        <f>LARGE($GY$10:$GY$406,GZ37)</f>
        <v/>
      </c>
      <c r="HB37" s="543" t="inlineStr">
        <is>
          <t>-</t>
        </is>
      </c>
      <c r="HC37" s="489">
        <f>IF(GZ37&lt;6,MAX(0,$HC$2/5),0)</f>
        <v/>
      </c>
      <c r="HD37" s="137">
        <f t="array" ref="HD37">IF(HA37=0,0,LARGE(IF($GY$10:$GY$406=HA37,$GX$10:$GX$406,0),COUNTIF($HA$10:$HA$406,HA37)-COUNTIF(HA$9:HA36,HA37)))</f>
        <v/>
      </c>
      <c r="HE37" s="272">
        <f>IF(HA37=0,0,HC37/HA37)</f>
        <v/>
      </c>
      <c r="HG37" s="270">
        <f>DG37-GA37</f>
        <v/>
      </c>
      <c r="HH37" s="544" t="n">
        <v>0</v>
      </c>
      <c r="HI37" s="538">
        <f>MIN(HH37,DE37)</f>
        <v/>
      </c>
      <c r="HK37" s="137">
        <f>IF(COUNTIF($C$10:$C$406,HK36+1),HK36+1,"")</f>
        <v/>
      </c>
      <c r="HL37" s="538">
        <f>SUMIF($C$10:$C$406,HK37,$DG$10:$DG$406)</f>
        <v/>
      </c>
      <c r="HN37" s="521">
        <f>MIN(HO37:HS37)</f>
        <v/>
      </c>
      <c r="HO37" s="521">
        <f>IF(B37="","",$M37)</f>
        <v/>
      </c>
      <c r="HP37" s="521">
        <f>IF($N37="Yes",IF(P37&gt;=6,0,MIN($T37*$M37,$U37*$M37)),"")</f>
        <v/>
      </c>
      <c r="HQ37" s="521">
        <f>IF(AND(N37="Yes",P37&gt;=6),"",IF($S37="Yes",$R37*$M37,""))</f>
        <v/>
      </c>
      <c r="HR37" s="521">
        <f>IF($Q37="Yes",MIN($M37,$T37*$M37),"")</f>
        <v/>
      </c>
      <c r="HS37" s="521">
        <f>IF(AND($N37="Yes",$P37&gt;=6),"",IF(OR(CY37=1,DC37=1,),MIN($T37*$M37,$U37*$M37),IF(OR(CZ37=1,DA37=1,DB37=1),IF(AK37&gt;=5000000,MIN($T37*$M37,$IE37*$M37),MIN($T37*$M37,$U37*$M37)),"")))</f>
        <v/>
      </c>
      <c r="HT37" s="521">
        <f>IF(DD37&gt;0,DD37,"")</f>
        <v/>
      </c>
      <c r="HU37" s="522">
        <f>IF(B37="",0,$L37-$M37)</f>
        <v/>
      </c>
      <c r="HV37" s="274">
        <f>IF(OR(SUM(HP37:HT37)&gt;0,P37&gt;=6),"",IF($B37="","",1))</f>
        <v/>
      </c>
      <c r="HW37" s="522">
        <f>IF(AND($HT37&lt;&gt;0,OR(HT37&lt;=MIN(HP37:HS37),SUM(HP37:HS37)=0)),$HT37,0)</f>
        <v/>
      </c>
      <c r="HX37" s="522">
        <f>IF(AND($HS37&lt;&gt;0,OR(AND($HS37&lt;&gt;$HT37,$HS37&lt;&gt;$HR37,$HS37&lt;&gt;$HQ37,$HS37&lt;&gt;$HP37,$HS37&lt;MIN($HP37:$HR37),$HS37&lt;HT37),SUM($HP37:$HR37)+SUM(HT37)=0),IA37&lt;=0),$HS37,0)</f>
        <v/>
      </c>
      <c r="HY37" s="522">
        <f>IF(AND($HR37&lt;&gt;0,OR(AND($HR37&lt;&gt;$HT37,$HR37&lt;&gt;$HS37,$HR37&lt;&gt;$HQ37,$HR37&lt;&gt;$HP37),$HR37&lt;MIN($HP37:$HQ37),$HR37&lt;MIN($HS37:$HT37),SUM($HP37:$HQ37)+SUM($HS37:$HT37)=0)),$HR37,0)</f>
        <v/>
      </c>
      <c r="HZ37" s="522">
        <f>IF(AND($HQ37&lt;&gt;0,OR(AND($HQ37&lt;&gt;$HT37,HQ37&lt;&gt;HS37,HQ37&lt;&gt;HR37,HQ37&lt;&gt;HP37,HQ37&lt;MIN(HR37:HT37)),SUM(HP37)+SUM(HR37:HT37)=0)),$HQ37,0)</f>
        <v/>
      </c>
      <c r="IA37" s="522">
        <f>IF(AND($HP37&lt;&gt;0,OR(HP37&lt;=MIN(HQ37:HT37),SUM(HQ37:HT37)=0)),$HP37,0)</f>
        <v/>
      </c>
      <c r="IB37" s="545" t="n">
        <v>33</v>
      </c>
      <c r="IC37">
        <f>HU37=DF37</f>
        <v/>
      </c>
      <c r="IE37" s="351">
        <f>IF(B37="","",IF(AND(Y37="Second Lien",OR(CZ37=1,DA37=1,DB37=1)),50%,IF(CZ37=1,90%,IF(DA37=1,80%,IF(DB37=1,65%,"No Initial Haircut")))))</f>
        <v/>
      </c>
    </row>
    <row r="38">
      <c r="A38">
        <f>D38</f>
        <v/>
      </c>
      <c r="B38" s="242">
        <f>IF(D38="","",B37+1)</f>
        <v/>
      </c>
      <c r="C38" s="242">
        <f>IF(COUNTIF($A$10:A37,A38)&gt;0,C37,C37+1)</f>
        <v/>
      </c>
      <c r="D38" s="428" t="inlineStr">
        <is>
          <t>Sterling Holdings, LLC</t>
        </is>
      </c>
      <c r="E38" s="243" t="inlineStr">
        <is>
          <t>Sterling (First Lien Term Loan)</t>
        </is>
      </c>
      <c r="F38" s="244" t="n"/>
      <c r="G38" s="528" t="n">
        <v>25111100</v>
      </c>
      <c r="H38" s="528" t="n">
        <v>25111100</v>
      </c>
      <c r="I38" s="246" t="n">
        <v>1</v>
      </c>
      <c r="J38" s="529">
        <f>IF(B38="","",G38*I38)</f>
        <v/>
      </c>
      <c r="K38" s="529">
        <f>IF(B38="","",H38*I38)</f>
        <v/>
      </c>
      <c r="L38" s="529">
        <f>IF(B38="","",IF(COUNTIF($CE38:$CX38,1)&gt;0,0,J38))</f>
        <v/>
      </c>
      <c r="M38" s="529">
        <f>IF(B38="","",IF(COUNTIF($CE38:$CX38,1)&gt;0,0,K38))</f>
        <v/>
      </c>
      <c r="N38" s="248" t="inlineStr">
        <is>
          <t>No</t>
        </is>
      </c>
      <c r="O38" s="248" t="inlineStr">
        <is>
          <t>N/A</t>
        </is>
      </c>
      <c r="P38" s="249">
        <f>IF(B38="","",IF(OR(O38="N/A",O38=""),0,YEARFRAC('Borrowing Base'!$J$4,'Loan List'!O38)*12))</f>
        <v/>
      </c>
      <c r="Q38" s="248" t="inlineStr">
        <is>
          <t>No</t>
        </is>
      </c>
      <c r="R38" s="250" t="n">
        <v>0.995</v>
      </c>
      <c r="S38" s="251">
        <f>IF(B38="","",IF(R38&lt;95%,"Yes","No"))</f>
        <v/>
      </c>
      <c r="T38" s="250" t="n">
        <v>0.9940000000000001</v>
      </c>
      <c r="U38" s="252">
        <f>IF(B38="","",IF(OR(Y38="First Lien",Y38="Split First Lien",Y38="Tier 1 Split Lien",Y38="Tier 2 Split Lien"),50%,30%))</f>
        <v/>
      </c>
      <c r="V38" s="252">
        <f>IF(B38="",0,IF(AND(Y38="First Lien",AN38="Tier 1"),IF(AND(X38="Yes",MIN(AH38,$AJ$5)&gt;4.5),(((4.5/MIN(AH38,$AJ$5))*72.5%)+(((MIN(AH38,$AJ$5)-4.5)/MIN(AH38,$AJ$5))*35%)),72.5%),IF(AND(Y38="First Lien",AN38="Tier 2"),IF(AND(X38="Yes",MIN(AH38,$AK$5)&gt;4.5),(((4.5/MIN(AH38,$AK$5))*72.5%)+(((MIN(AH38,$AK$5)-4.5)/MIN(AH38,$AK$5))*35%)),72.5%),IF(AND(X38="Yes",MIN(AH38,$AL$5)&gt;4),(((4/MIN(AH38,$AL$5))*72.5%)+(((MIN(AH38,$AL$5)-4)/MIN(AH38,$AL$5))*35%)),IF(OR(Y38="First Lien",Y38="Split First Lien"),72.5%,IF(Y38="Split Lien", 53%,35%))))))</f>
        <v/>
      </c>
      <c r="W38" s="530">
        <f>IF($C38="","",MIN($HO38:$HS38))</f>
        <v/>
      </c>
      <c r="X38" s="248" t="inlineStr">
        <is>
          <t>No</t>
        </is>
      </c>
      <c r="Y38" s="254" t="inlineStr">
        <is>
          <t>First Lien</t>
        </is>
      </c>
      <c r="Z38" s="254" t="inlineStr">
        <is>
          <t>Term</t>
        </is>
      </c>
      <c r="AA38" s="531" t="inlineStr">
        <is>
          <t>NR</t>
        </is>
      </c>
      <c r="AB38" s="531" t="inlineStr">
        <is>
          <t xml:space="preserve"> NR</t>
        </is>
      </c>
      <c r="AC38" s="532" t="n">
        <v>1.072706935123042</v>
      </c>
      <c r="AD38" s="532" t="n">
        <v>5.265901981230448</v>
      </c>
      <c r="AE38" s="532" t="n">
        <v>4.76914300113138</v>
      </c>
      <c r="AF38" s="257" t="n">
        <v>0.4739616719866127</v>
      </c>
      <c r="AG38" s="533" t="n">
        <v>3.910323253388947</v>
      </c>
      <c r="AH38" s="533" t="n">
        <v>5.265901981230448</v>
      </c>
      <c r="AI38" s="533" t="n">
        <v>3.521344227864842</v>
      </c>
      <c r="AJ38" s="533" t="n">
        <v>4.76914300113138</v>
      </c>
      <c r="AK38" s="534" t="n">
        <v>95900000</v>
      </c>
      <c r="AL38" s="534" t="n">
        <v>104183465.1429259</v>
      </c>
      <c r="AM38" s="276" t="n">
        <v>45808</v>
      </c>
      <c r="AN38" s="529">
        <f>IF(C38="","",(IF(AK38&gt;=50000000,"Tier 1",(IF(OR(AK38&gt;=20000000,AND(AK38&gt;5000000,AC38&gt;=1.25,AF38&lt;=0.65)),"Tier 2","Tier 3")))))</f>
        <v/>
      </c>
      <c r="AO38" s="244" t="n">
        <v>47948</v>
      </c>
      <c r="AP38" s="535" t="n">
        <v>5.694444444444445</v>
      </c>
      <c r="AQ38" s="535">
        <f>IF(C38="","",AP38)</f>
        <v/>
      </c>
      <c r="AR38" s="248" t="inlineStr">
        <is>
          <t>No</t>
        </is>
      </c>
      <c r="AS38" s="250" t="n">
        <v>0</v>
      </c>
      <c r="AT38" s="248" t="inlineStr">
        <is>
          <t>Yes</t>
        </is>
      </c>
      <c r="AU38" s="250" t="n">
        <v>0.01</v>
      </c>
      <c r="AV38" s="250" t="n">
        <v>0.0625</v>
      </c>
      <c r="AW38" s="250" t="n">
        <v>0.043285</v>
      </c>
      <c r="AX38" s="262">
        <f>IF(C38="","",MAX(AU38,AW38))</f>
        <v/>
      </c>
      <c r="AY38" s="250" t="n">
        <v>0</v>
      </c>
      <c r="AZ38" s="250" t="n">
        <v>0</v>
      </c>
      <c r="BA38" s="250" t="n">
        <v>0</v>
      </c>
      <c r="BB38" s="412">
        <f>IF(B38="","",IF(AR38="No",AV38-AZ38,""))</f>
        <v/>
      </c>
      <c r="BC38" s="412">
        <f>IF(B38="","",IF(AR38="Yes",AS38-BA38,""))</f>
        <v/>
      </c>
      <c r="BD38" s="254" t="inlineStr">
        <is>
          <t>Quarterly</t>
        </is>
      </c>
      <c r="BE38" s="536" t="inlineStr">
        <is>
          <t>Automobiles</t>
        </is>
      </c>
      <c r="BF38" s="254" t="inlineStr">
        <is>
          <t>USD</t>
        </is>
      </c>
      <c r="BG38" s="254" t="inlineStr">
        <is>
          <t>United States</t>
        </is>
      </c>
      <c r="BH38" s="248" t="inlineStr">
        <is>
          <t>No</t>
        </is>
      </c>
      <c r="BI38" s="413">
        <f>IF(B38="","",IF(OR(AND(AZ38&gt;0,BB38&gt;=2.5%,BB38&lt;4%),AND(BA38&gt;0,BC38&gt;=6%,BC38&lt;8%)),"Yes","No"))</f>
        <v/>
      </c>
      <c r="BJ38" s="413">
        <f>IF(B38="","",IF(OR(AND(AZ38&gt;0,BB38&lt;2.5%),AND(BA38&gt;0,BC38&lt;6%)),"Yes","No"))</f>
        <v/>
      </c>
      <c r="BK38" s="248" t="inlineStr">
        <is>
          <t>No</t>
        </is>
      </c>
      <c r="BL38" s="248" t="inlineStr">
        <is>
          <t>No</t>
        </is>
      </c>
      <c r="BM38" s="248" t="inlineStr">
        <is>
          <t>No</t>
        </is>
      </c>
      <c r="BN38" s="248" t="inlineStr">
        <is>
          <t>No</t>
        </is>
      </c>
      <c r="BO38" s="248" t="inlineStr">
        <is>
          <t>No</t>
        </is>
      </c>
      <c r="BP38" s="248" t="inlineStr">
        <is>
          <t>No</t>
        </is>
      </c>
      <c r="BQ38" s="248" t="inlineStr">
        <is>
          <t>No</t>
        </is>
      </c>
      <c r="BR38" s="248" t="inlineStr">
        <is>
          <t>No</t>
        </is>
      </c>
      <c r="BS38" s="248" t="inlineStr">
        <is>
          <t>No</t>
        </is>
      </c>
      <c r="BT38" s="248" t="inlineStr">
        <is>
          <t>No</t>
        </is>
      </c>
      <c r="BU38" s="248" t="inlineStr">
        <is>
          <t>No</t>
        </is>
      </c>
      <c r="BV38" s="248" t="inlineStr">
        <is>
          <t>No</t>
        </is>
      </c>
      <c r="BW38" s="248" t="inlineStr">
        <is>
          <t>No</t>
        </is>
      </c>
      <c r="BX38" s="248" t="inlineStr">
        <is>
          <t>No</t>
        </is>
      </c>
      <c r="BY38" s="248" t="inlineStr">
        <is>
          <t>No</t>
        </is>
      </c>
      <c r="BZ38" s="248" t="inlineStr">
        <is>
          <t>No</t>
        </is>
      </c>
      <c r="CA38" s="248" t="inlineStr">
        <is>
          <t>Yes</t>
        </is>
      </c>
      <c r="CB38" s="537">
        <f>IF(B38="","",IF(AT38="No",((BB38+AW38)-$AZ$4),((BB38+AX38)-$AZ$4))*IF(DD38&gt;0,0,M38))</f>
        <v/>
      </c>
      <c r="CC38" s="537">
        <f>IF(B38="","",AY38*(L38-M38)*IF(DD38&gt;0,0,1))</f>
        <v/>
      </c>
      <c r="CD38" s="265" t="n"/>
      <c r="CE38" s="265">
        <f>IF(AND(B38&lt;&gt;"",R38&lt;=85%),1,0)</f>
        <v/>
      </c>
      <c r="CF38" s="265">
        <f>IF(B38="",0,(IF(OR(BF38="USD",BF38="CAD",BF38="GBP",BF38="AUD",BF38="EUR"),0,1)))</f>
        <v/>
      </c>
      <c r="CG38" s="265">
        <f>IF(B38="",0,(IF(OR(BG38="United States",BG38="Canada",BG38="United Kingdom",BG38="Australia",BG38="Netherlands Antilles",BG38="Bermuda",BG38="Cayman Islands",BG38="British Virgin Islands",BG38="Channel Islands",BG38="Isle of Man",BG38="Australia",BG38="Netherlands",BG38="Germany",BG38="Sweden",BG38="Switzerland",BG38="Austria",BG38="Belgium",BG38="Denmark",BG38="Finland",BG38="Iceland",BG38="Ireland",BG38="Lichtenstein",BG38="Luxemborg",BG38="Norway"),0,1)))</f>
        <v/>
      </c>
      <c r="CH38" s="265">
        <f>IF(BN38="Yes",1,0)</f>
        <v/>
      </c>
      <c r="CI38" s="265">
        <f>IF(BO38="Yes",1,0)</f>
        <v/>
      </c>
      <c r="CJ38" s="265">
        <f>IF(BP38="Yes",1,0)</f>
        <v/>
      </c>
      <c r="CK38" s="265">
        <f>IF(BQ38="Yes",1,0)</f>
        <v/>
      </c>
      <c r="CL38" s="265">
        <f>IF(BR38="Yes",1,0)</f>
        <v/>
      </c>
      <c r="CM38" s="265">
        <f>IF(BS38="Yes",1,0)</f>
        <v/>
      </c>
      <c r="CN38" s="265">
        <f>IF(OR(AND(BJ38="Yes",N38="No"),AND(BJ38="Yes",N38="Yes",P38&gt;=6)),1,0)</f>
        <v/>
      </c>
      <c r="CO38" s="265">
        <f>IF(BT38="Yes",1,0)</f>
        <v/>
      </c>
      <c r="CP38" s="265">
        <f>IF(AND(BU38="Yes",BV38="No"),1,0)</f>
        <v/>
      </c>
      <c r="CQ38" s="265">
        <f>IF(BW38="Yes",1,0)</f>
        <v/>
      </c>
      <c r="CR38" s="265">
        <f>IF(AP38="",0,IF(AP38&gt;7,1,0))</f>
        <v/>
      </c>
      <c r="CS38" s="265">
        <f>IF(OR(BD38&lt;&gt;"Monthly",BD38&lt;&gt;"Quarterly",BD38&lt;&gt;"Semi-Annually"),0,1)</f>
        <v/>
      </c>
      <c r="CT38" s="265">
        <f>IF(BX38="Yes",1,0)</f>
        <v/>
      </c>
      <c r="CU38" s="265">
        <f>IF(BY38="Yes",1,0)</f>
        <v/>
      </c>
      <c r="CV38" s="265">
        <f>IF(BZ38="Yes",1,0)</f>
        <v/>
      </c>
      <c r="CW38" s="265">
        <f>IF(CA38="No",1,0)</f>
        <v/>
      </c>
      <c r="CX38" s="265">
        <f>IF(B38="",0,IF(AK38&gt;=5000000,0,1))</f>
        <v/>
      </c>
      <c r="CY38" s="265">
        <f>IF(B38="",0,IF(AL38&gt;=5000000,0,1))</f>
        <v/>
      </c>
      <c r="CZ38" s="265">
        <f>IF(OR(DA38=1,DB38=1,DC38=1),0,IF(B38="",0,IF(OR(AND(AN38="Tier 1",X38="No",OR(AI38&gt;$AJ$3,AJ38&gt;$AJ$4)),(AND(AN38="Tier 1",X38="Yes",AJ38&gt;$AJ$5)),(AND(AN38="Tier 2",X38="No",OR(AI38&gt;$AK$3,AJ38&gt;$AK$4))),(AND(AN38="Tier 2",X38="Yes",AJ38&gt;$AK$5)),(AND(AN38="Tier 3",X38="No",OR(AI38&gt;$AL$3,AJ38&gt;$AL$4))),(AND(AN38="Tier 3",X38="Yes",AJ38&gt;$AL$5))),1,0)))</f>
        <v/>
      </c>
      <c r="DA38" s="265">
        <f>IF(OR(DB38=1,DC38=1),0,IF(B38="",0,IF(OR(AND(AN38="Tier 1",X38="No",OR(AI38&gt;$AM$3,AJ38&gt;$AM$4)),(AND(AN38="Tier 1",X38="Yes",AJ38&gt;$AM$5)),(AND(AN38="Tier 2",X38="No",OR(AI38&gt;$AN$3,AJ38&gt;$AN$4))),(AND(AN38="Tier 2",X38="Yes",AJ38&gt;$AN$5)),(AND(AN38="Tier 3",X38="No",OR(AI38&gt;$AO$3,AJ38&gt;$AO$4))),(AND(AN38="Tier 3",X38="Yes",AJ38&gt;$AO$5))),1,0)))</f>
        <v/>
      </c>
      <c r="DB38" s="265">
        <f>IF(DC38=1,0,IF(B38="",0,IF(OR(AND(AN38="Tier 1",X38="No",OR(AI38&gt;$AP$3,AJ38&gt;$AP$4)),(AND(AN38="Tier 1",X38="Yes",AJ38&gt;$AP$5)),(AND(AN38="Tier 2",X38="No",OR(AI38&gt;$AQ$3,AJ38&gt;$AQ$4))),(AND(AN38="Tier 2",X38="Yes",AJ38&gt;$AQ$5)),(AND(AN38="Tier 3",X38="No",OR(AI38&gt;$AR$3,AJ38&gt;$AR$4))),(AND(AN38="Tier 3",X38="Yes",AJ38&gt;$AR$5))),1,0)))</f>
        <v/>
      </c>
      <c r="DC38" s="265">
        <f>IF(B38="",0,IF(OR(AND(AN38="Tier 1",X38="No",OR(AI38&gt;$AS$3,AJ38&gt;$AS$4)),(AND(AN38="Tier 1",X38="Yes",AJ38&gt;$AS$5)),(AND(AN38="Tier 2",X38="No",OR(AI38&gt;$AT$3,AJ38&gt;$AT$4))),(AND(AN38="Tier 2",X38="Yes",AJ38&gt;$AT$5)),(AND(AN38="Tier 3",X38="No",OR(AI38&gt;$AU$3,AJ38&gt;$AU$4))),(AND(AN38="Tier 3",X38="Yes",AJ38&gt;$AU$5))),1,0))</f>
        <v/>
      </c>
      <c r="DD38" s="265">
        <f>IF((SUM(CE38:CX38)=0),0,W38)</f>
        <v/>
      </c>
      <c r="DE38" s="265">
        <f>IF(OR(B38="",DD38&gt;0),0,W38)</f>
        <v/>
      </c>
      <c r="DF38" s="265">
        <f>IF(B38="",0,IF(COUNTIF(CE38:CX38,1)&gt;0,0,L38-M38))</f>
        <v/>
      </c>
      <c r="DG38" s="265">
        <f>DE38+IF(DD38&gt;0,0,DF38)</f>
        <v/>
      </c>
      <c r="DH38" s="265">
        <f>IF(B38="","",M38+DF38)</f>
        <v/>
      </c>
      <c r="DI38" s="265">
        <f>IF(B38="",0,J38-K38)</f>
        <v/>
      </c>
      <c r="DJ38" s="265">
        <f>IF(OR(BF38="EUR",BF38="CAD",BF38="GBP",BF38="AUD"),(GA38*(1-V38))+(HG38)+IF(HX38="",0,HX38*(1-U38)),0)</f>
        <v/>
      </c>
      <c r="DK38" s="265">
        <f>IF(BF38="EUR",33%,IF(BF38="CAD",38%,IF(BF38="GBP",51%,IF(BF38="AUD",61%,0))))</f>
        <v/>
      </c>
      <c r="DL38" s="265">
        <f>DJ38*DK38</f>
        <v/>
      </c>
      <c r="DN38" s="538">
        <f>IF(OR(Y38="Second Lien",Y38="Tier 1 Split Lien",Y38="Tier 2 Split Lien"),DG38,0)</f>
        <v/>
      </c>
      <c r="DO38" s="539">
        <f>DN38*DN$6</f>
        <v/>
      </c>
      <c r="DP38" s="538">
        <f>DG38-DO38</f>
        <v/>
      </c>
      <c r="DQ38" s="538">
        <f>IF(Y38="Second Lien",DP38,0)</f>
        <v/>
      </c>
      <c r="DR38" s="539">
        <f>DQ38*DQ$6</f>
        <v/>
      </c>
      <c r="DS38" s="538">
        <f>DP38-DR38</f>
        <v/>
      </c>
      <c r="DT38" s="538">
        <f>IF(BH38="Yes",DS38,0)</f>
        <v/>
      </c>
      <c r="DU38" s="539">
        <f>DT38*DT$6</f>
        <v/>
      </c>
      <c r="DV38" s="538">
        <f>DS38-DU38</f>
        <v/>
      </c>
      <c r="DW38" s="538">
        <f>IF(OR(BG38="Canada",BG38="United Kingdom",BG38="Australia",BG38="Netherlands Antilles",BG38="Bermuda",BG38="Cayman Islands",BG38="British Virgin Islands",BG38="Channel Islands",BG38="Isle of Man",BG38="Australia",BG38="Netherlands",BG38="Germany",BG38="Sweden",BG38="Switzerland",BG38="Austria",BG38="Belgium",BG38="Denmark",BG38="Finland",BG38="Iceland",BG38="Ireland",BG38="Lichtenstein",BG38="Luxemborg",BG38="Norway"),DV38,0)</f>
        <v/>
      </c>
      <c r="DX38" s="539">
        <f>DW38*DW$6</f>
        <v/>
      </c>
      <c r="DY38" s="538">
        <f>DV38-DX38</f>
        <v/>
      </c>
      <c r="DZ38" s="538">
        <f>IF(BI38="Yes",DY38,0)</f>
        <v/>
      </c>
      <c r="EA38" s="539">
        <f>DZ38*DZ$6</f>
        <v/>
      </c>
      <c r="EB38" s="538">
        <f>DY38-EA38</f>
        <v/>
      </c>
      <c r="EC38" s="538">
        <f>IF(OR(Z38="Delayed Draw",Z38="Revolver"),EB38,0)</f>
        <v/>
      </c>
      <c r="ED38" s="539">
        <f>EC38*EC$6</f>
        <v/>
      </c>
      <c r="EE38" s="538">
        <f>EB38-ED38</f>
        <v/>
      </c>
      <c r="EF38" s="538">
        <f>IF(S38="Yes",EE38,0)</f>
        <v/>
      </c>
      <c r="EG38" s="539">
        <f>EF38*EF$6</f>
        <v/>
      </c>
      <c r="EH38" s="538">
        <f>EE38-EG38</f>
        <v/>
      </c>
      <c r="EI38" s="538">
        <f>IF(Q38="Yes",EH38,0)</f>
        <v/>
      </c>
      <c r="EJ38" s="539">
        <f>EI38*EI$6</f>
        <v/>
      </c>
      <c r="EK38" s="538">
        <f>EH38-EJ38</f>
        <v/>
      </c>
      <c r="EL38" s="538">
        <f>IF(BD38="Semi-Annually",EK38,0)</f>
        <v/>
      </c>
      <c r="EM38" s="539">
        <f>EL38*EL$6</f>
        <v/>
      </c>
      <c r="EN38" s="538">
        <f>EK38-EM38</f>
        <v/>
      </c>
      <c r="EO38" s="538">
        <f>IF(BK38="Yes",EN38,0)</f>
        <v/>
      </c>
      <c r="EP38" s="539">
        <f>EO38*EO$6</f>
        <v/>
      </c>
      <c r="EQ38" s="538">
        <f>EN38-EP38</f>
        <v/>
      </c>
      <c r="ER38" s="538">
        <f>IF(BL38="Yes",EQ38,0)</f>
        <v/>
      </c>
      <c r="ES38" s="539">
        <f>ER38*ER$6</f>
        <v/>
      </c>
      <c r="ET38" s="538">
        <f>EQ38-ES38</f>
        <v/>
      </c>
      <c r="EU38" s="538">
        <f>IF(BM38="Yes",ET38,0)</f>
        <v/>
      </c>
      <c r="EV38" s="539">
        <f>EU38*EU$6</f>
        <v/>
      </c>
      <c r="EW38" s="538">
        <f>ET38-EV38</f>
        <v/>
      </c>
      <c r="EX38" s="538">
        <f>IF(BV38="Yes",EW38,0)</f>
        <v/>
      </c>
      <c r="EY38" s="539">
        <f>EX38*EX$6</f>
        <v/>
      </c>
      <c r="EZ38" s="538">
        <f>EW38-EY38</f>
        <v/>
      </c>
      <c r="FA38" s="538">
        <f>IF(AR38="Yes",EZ38,0)</f>
        <v/>
      </c>
      <c r="FB38" s="539">
        <f>FA38*FA$6</f>
        <v/>
      </c>
      <c r="FC38" s="538">
        <f>EZ38-FB38</f>
        <v/>
      </c>
      <c r="FD38" s="538">
        <f>IF(OR(BF38="EUR",BF38="AUD",BF38="CAD",BF38="GBP"),FC38,0)</f>
        <v/>
      </c>
      <c r="FE38" s="539">
        <f>FD38*FD$6</f>
        <v/>
      </c>
      <c r="FF38" s="538">
        <f>FC38-FE38</f>
        <v/>
      </c>
      <c r="FG38" s="538">
        <f>FF38</f>
        <v/>
      </c>
      <c r="FH38" s="538">
        <f>IF(FF38=0,0,VLOOKUP(C38,$GU$10:$GV$406,2,FALSE)*FF38)</f>
        <v/>
      </c>
      <c r="FI38" s="538">
        <f>FF38-FH38</f>
        <v/>
      </c>
      <c r="FJ38" s="538">
        <f>FI38</f>
        <v/>
      </c>
      <c r="FK38" s="538">
        <f>IF(OR(IB38="",FI38&lt;0.01),,VLOOKUP(IB38,$GL$10:$GM$406,2,FALSE)*FI38)</f>
        <v/>
      </c>
      <c r="FL38" s="538">
        <f>FI38-FK38</f>
        <v/>
      </c>
      <c r="FM38" s="538">
        <f>FL38</f>
        <v/>
      </c>
      <c r="FN38" s="538">
        <f>IF(FL38=0,0,VLOOKUP(C38,$HD$10:$HE$406,2,FALSE)*FL38)</f>
        <v/>
      </c>
      <c r="FO38" s="538">
        <f>FL38-FN38</f>
        <v/>
      </c>
      <c r="FP38" s="538">
        <f>IF(SUM(CY38:DC38)&gt;0,0,IF(AND(AL38&gt;=5000000,AL38&lt;7500000),FO38,0))</f>
        <v/>
      </c>
      <c r="FQ38" s="539">
        <f>IF(B38="",0,FP38*FP$6*(1-$U38))</f>
        <v/>
      </c>
      <c r="FR38" s="538">
        <f>FO38-FQ38</f>
        <v/>
      </c>
      <c r="FS38" s="538">
        <f>IF(SUM(CY38:DC38)&gt;0,0,IF(AL38&lt;15000000,FR38,0))</f>
        <v/>
      </c>
      <c r="FT38" s="539">
        <f>IF(B38="",0,FS38*FS$6*(1-$U38))</f>
        <v/>
      </c>
      <c r="FU38" s="538">
        <f>FR38-FT38</f>
        <v/>
      </c>
      <c r="FV38" s="538">
        <f>IF(SUM(CY38:DC38)&gt;0,0,IF(OR(AND(X38="No",AN38="Tier 1",AI38&gt;$AG$3),AND(X38="No",AN38="Tier 2",AI38&gt;$AH$3),AND(X38="No",AN38="Tier 3",AI38&gt;$AI$3)),FU38,0))</f>
        <v/>
      </c>
      <c r="FW38" s="538">
        <f>IF(SUM(CY38:DC38)&gt;0,0,IF(OR(AND(X38="No",AN38="Tier 1",AJ38&gt;$AG$4),AND(X38="No",AN38="Tier 2",AJ38&gt;$AH$4),AND(X38="No",AN38="Tier 3",AJ38&gt;$AI$4)),FU38,0))</f>
        <v/>
      </c>
      <c r="FX38" s="538">
        <f>IF(SUM(CY38:DC38)&gt;0,0,IF(OR(AND(X38="Yes",AN38="Tier 1",AJ38&gt;$AG$5),AND(X38="Yes",AN38="Tier 2",AJ38&gt;$AH$5),AND(X38="Yes",AN38="Tier 3",AJ38&gt;$AI$5)),FU38,0))</f>
        <v/>
      </c>
      <c r="FY38" s="538">
        <f>IF(SUM(FV38:FX38)&gt;0,FU38,0)</f>
        <v/>
      </c>
      <c r="FZ38" s="539">
        <f>IF(B38="",0,FY38*FV$6*(1-MIN(90%,T38)))</f>
        <v/>
      </c>
      <c r="GA38" s="538">
        <f>FU38-FZ38</f>
        <v/>
      </c>
      <c r="GB38" s="538">
        <f>IF(AND(N38="No",DI38=0),GA38,IF(AND(N38="No",DI38&lt;&gt;0,K38=0),0,IF(AND(N38="No",DI38&lt;&gt;0,K38&gt;0,J38&lt;&gt;K38),MAX(0,M38-(DH38-GA38)),DG38)))</f>
        <v/>
      </c>
      <c r="GC38" s="540">
        <f>+GB38*V38</f>
        <v/>
      </c>
      <c r="GD38" s="138">
        <f>IFERROR(GC38/K38,"")</f>
        <v/>
      </c>
      <c r="GE38" s="541">
        <f>IF(IB38="","",IB38)</f>
        <v/>
      </c>
      <c r="GF38" s="538">
        <f t="array" ref="GF38">IF(SUM(IF(IB$9:IB37=IB38,1,0))&gt;0,0,SUMIF($IB$10:$IB$406,IB38,$FI$10:$FI$406))</f>
        <v/>
      </c>
      <c r="GG38" s="270">
        <f>GF38</f>
        <v/>
      </c>
      <c r="GH38" s="137">
        <f>GH37+1</f>
        <v/>
      </c>
      <c r="GI38" s="542">
        <f>LARGE($GG$10:$GG$406,GH38)</f>
        <v/>
      </c>
      <c r="GJ38" s="542">
        <f>IF(GH38&gt;GH$6,0,IF(GH38=$GH$2,$GJ$2,IF(GH38&lt;4,$GJ$3,$GJ$4)))</f>
        <v/>
      </c>
      <c r="GK38" s="489">
        <f>MAX(0,GI38-GJ38)</f>
        <v/>
      </c>
      <c r="GL38" s="137">
        <f t="array" ref="GL38">IF(GI38=0,0,LARGE(IF($GF$10:$GF$406=GI38,$GE$10:$GE$406,0),COUNTIF($GI$10:$GI$406,GI38)-COUNTIF(GI$9:GI37,GI38)))</f>
        <v/>
      </c>
      <c r="GM38" s="272">
        <f>IF(GI38=0,0,GK38/GI38)</f>
        <v/>
      </c>
      <c r="GO38" s="137">
        <f>IF(C38="","",IF(ISERROR(MATCH(C38,C$10:C37,0)),MAX(GO$10:GO37)+1,INDEX(GO$10:GO37,MATCH(C38,C$10:C37,0))))</f>
        <v/>
      </c>
      <c r="GP38" s="538">
        <f>IF(COUNTIF($A$10:A38,A38)&lt;=1,SUMIF($A$10:$A$406,A38,$FG$10:$FG$406),0)</f>
        <v/>
      </c>
      <c r="GQ38" s="137">
        <f>GQ37+1</f>
        <v/>
      </c>
      <c r="GR38" s="542">
        <f>LARGE($GP$10:$GP$406,GQ38)</f>
        <v/>
      </c>
      <c r="GS38" s="542">
        <f>IF(GQ38&gt;GQ$6,0,IF(GQ38&lt;=GQ$2,GS$2,IF(AND(GQ38&lt;=$GQ$3,GQ38&gt;$GQ$2),GS$3,GS$4)))</f>
        <v/>
      </c>
      <c r="GT38" s="489">
        <f>MAX(0,GR38-GS38)</f>
        <v/>
      </c>
      <c r="GU38" s="137">
        <f t="array" ref="GU38">IF(GR38=0,0,LARGE(IF($GP$10:$GP$406=GR38,$GO$10:$GO$406,0),COUNTIF($GR$10:$GR$406,GR38)-COUNTIF(GR$9:GR37,GR38)))</f>
        <v/>
      </c>
      <c r="GV38" s="272">
        <f>IF(GR38=0,0,GT38/GR38)</f>
        <v/>
      </c>
      <c r="GW38" s="272" t="n"/>
      <c r="GX38" s="137">
        <f>IF(C38="","",IF(ISERROR(MATCH(C38,C$10:C37,0)),MAX(GO$10:GO37)+1,INDEX(GO$10:GO37,MATCH(C38,C$10:C37,0))))</f>
        <v/>
      </c>
      <c r="GY38" s="538">
        <f>IF(COUNTIF($A$10:A38,A38)&lt;=1,SUMIF($A$10:$A$406,A38,$FG$10:$FG$406),0)</f>
        <v/>
      </c>
      <c r="GZ38" s="137">
        <f>GZ37+1</f>
        <v/>
      </c>
      <c r="HA38" s="542">
        <f>LARGE($GY$10:$GY$406,GZ38)</f>
        <v/>
      </c>
      <c r="HB38" s="543" t="inlineStr">
        <is>
          <t>-</t>
        </is>
      </c>
      <c r="HC38" s="489">
        <f>IF(GZ38&lt;6,MAX(0,$HC$2/5),0)</f>
        <v/>
      </c>
      <c r="HD38" s="137">
        <f t="array" ref="HD38">IF(HA38=0,0,LARGE(IF($GY$10:$GY$406=HA38,$GX$10:$GX$406,0),COUNTIF($HA$10:$HA$406,HA38)-COUNTIF(HA$9:HA37,HA38)))</f>
        <v/>
      </c>
      <c r="HE38" s="272">
        <f>IF(HA38=0,0,HC38/HA38)</f>
        <v/>
      </c>
      <c r="HG38" s="270">
        <f>DG38-GA38</f>
        <v/>
      </c>
      <c r="HH38" s="544" t="n">
        <v>0</v>
      </c>
      <c r="HI38" s="538">
        <f>MIN(HH38,DE38)</f>
        <v/>
      </c>
      <c r="HK38" s="137">
        <f>IF(COUNTIF($C$10:$C$406,HK37+1),HK37+1,"")</f>
        <v/>
      </c>
      <c r="HL38" s="538">
        <f>SUMIF($C$10:$C$406,HK38,$DG$10:$DG$406)</f>
        <v/>
      </c>
      <c r="HN38" s="521">
        <f>MIN(HO38:HS38)</f>
        <v/>
      </c>
      <c r="HO38" s="521">
        <f>IF(B38="","",$M38)</f>
        <v/>
      </c>
      <c r="HP38" s="521">
        <f>IF($N38="Yes",IF(P38&gt;=6,0,MIN($T38*$M38,$U38*$M38)),"")</f>
        <v/>
      </c>
      <c r="HQ38" s="521">
        <f>IF(AND(N38="Yes",P38&gt;=6),"",IF($S38="Yes",$R38*$M38,""))</f>
        <v/>
      </c>
      <c r="HR38" s="521">
        <f>IF($Q38="Yes",MIN($M38,$T38*$M38),"")</f>
        <v/>
      </c>
      <c r="HS38" s="521">
        <f>IF(AND($N38="Yes",$P38&gt;=6),"",IF(OR(CY38=1,DC38=1,),MIN($T38*$M38,$U38*$M38),IF(OR(CZ38=1,DA38=1,DB38=1),IF(AK38&gt;=5000000,MIN($T38*$M38,$IE38*$M38),MIN($T38*$M38,$U38*$M38)),"")))</f>
        <v/>
      </c>
      <c r="HT38" s="521">
        <f>IF(DD38&gt;0,DD38,"")</f>
        <v/>
      </c>
      <c r="HU38" s="522">
        <f>IF(B38="",0,$L38-$M38)</f>
        <v/>
      </c>
      <c r="HV38" s="274">
        <f>IF(OR(SUM(HP38:HT38)&gt;0,P38&gt;=6),"",IF($B38="","",1))</f>
        <v/>
      </c>
      <c r="HW38" s="522">
        <f>IF(AND($HT38&lt;&gt;0,OR(HT38&lt;=MIN(HP38:HS38),SUM(HP38:HS38)=0)),$HT38,0)</f>
        <v/>
      </c>
      <c r="HX38" s="522">
        <f>IF(AND($HS38&lt;&gt;0,OR(AND($HS38&lt;&gt;$HT38,$HS38&lt;&gt;$HR38,$HS38&lt;&gt;$HQ38,$HS38&lt;&gt;$HP38,$HS38&lt;MIN($HP38:$HR38),$HS38&lt;HT38),SUM($HP38:$HR38)+SUM(HT38)=0),IA38&lt;=0),$HS38,0)</f>
        <v/>
      </c>
      <c r="HY38" s="522">
        <f>IF(AND($HR38&lt;&gt;0,OR(AND($HR38&lt;&gt;$HT38,$HR38&lt;&gt;$HS38,$HR38&lt;&gt;$HQ38,$HR38&lt;&gt;$HP38),$HR38&lt;MIN($HP38:$HQ38),$HR38&lt;MIN($HS38:$HT38),SUM($HP38:$HQ38)+SUM($HS38:$HT38)=0)),$HR38,0)</f>
        <v/>
      </c>
      <c r="HZ38" s="522">
        <f>IF(AND($HQ38&lt;&gt;0,OR(AND($HQ38&lt;&gt;$HT38,HQ38&lt;&gt;HS38,HQ38&lt;&gt;HR38,HQ38&lt;&gt;HP38,HQ38&lt;MIN(HR38:HT38)),SUM(HP38)+SUM(HR38:HT38)=0)),$HQ38,0)</f>
        <v/>
      </c>
      <c r="IA38" s="522">
        <f>IF(AND($HP38&lt;&gt;0,OR(HP38&lt;=MIN(HQ38:HT38),SUM(HQ38:HT38)=0)),$HP38,0)</f>
        <v/>
      </c>
      <c r="IB38" s="545" t="n">
        <v>5</v>
      </c>
      <c r="IC38">
        <f>HU38=DF38</f>
        <v/>
      </c>
      <c r="IE38" s="351">
        <f>IF(B38="","",IF(AND(Y38="Second Lien",OR(CZ38=1,DA38=1,DB38=1)),50%,IF(CZ38=1,90%,IF(DA38=1,80%,IF(DB38=1,65%,"No Initial Haircut")))))</f>
        <v/>
      </c>
    </row>
    <row r="39">
      <c r="A39" t="inlineStr">
        <is>
          <t>First Medical Associates</t>
        </is>
      </c>
      <c r="B39" s="242">
        <f>IF(D39="","",B38+1)</f>
        <v/>
      </c>
      <c r="C39" s="242">
        <f>IF(COUNTIF($A$10:A38,A39)&gt;0,C38,C38+1)</f>
        <v/>
      </c>
      <c r="D39" s="243" t="inlineStr">
        <is>
          <t>Elmwood Holdings, LLC</t>
        </is>
      </c>
      <c r="E39" s="243" t="inlineStr">
        <is>
          <t>Elmwood (Term Loan)</t>
        </is>
      </c>
      <c r="F39" s="244" t="n"/>
      <c r="G39" s="528" t="n">
        <v>7500000</v>
      </c>
      <c r="H39" s="528" t="n">
        <v>7500000</v>
      </c>
      <c r="I39" s="246" t="n">
        <v>1</v>
      </c>
      <c r="J39" s="529">
        <f>IF(B39="","",G39*I39)</f>
        <v/>
      </c>
      <c r="K39" s="529">
        <f>IF(B39="","",H39*I39)</f>
        <v/>
      </c>
      <c r="L39" s="529">
        <f>IF(B39="","",IF(COUNTIF($CE39:$CX39,1)&gt;0,0,J39))</f>
        <v/>
      </c>
      <c r="M39" s="529">
        <f>IF(B39="","",IF(COUNTIF($CE39:$CX39,1)&gt;0,0,K39))</f>
        <v/>
      </c>
      <c r="N39" s="248" t="inlineStr">
        <is>
          <t>No</t>
        </is>
      </c>
      <c r="O39" s="248" t="inlineStr">
        <is>
          <t>N/A</t>
        </is>
      </c>
      <c r="P39" s="249">
        <f>IF(B39="","",IF(OR(O39="N/A",O39=""),0,YEARFRAC('Borrowing Base'!$J$4,'Loan List'!O39)*12))</f>
        <v/>
      </c>
      <c r="Q39" s="248" t="inlineStr">
        <is>
          <t>No</t>
        </is>
      </c>
      <c r="R39" s="250" t="n">
        <v>0.99</v>
      </c>
      <c r="S39" s="251">
        <f>IF(B39="","",IF(R39&lt;95%,"Yes","No"))</f>
        <v/>
      </c>
      <c r="T39" s="250" t="n">
        <v>0.99</v>
      </c>
      <c r="U39" s="252">
        <f>IF(B39="","",IF(OR(Y39="First Lien",Y39="Split First Lien",Y39="Tier 1 Split Lien",Y39="Tier 2 Split Lien"),50%,30%))</f>
        <v/>
      </c>
      <c r="V39" s="252">
        <f>IF(B39="",0,IF(AND(Y39="First Lien",AN39="Tier 1"),IF(AND(X39="Yes",MIN(AH39,$AJ$5)&gt;4.5),(((4.5/MIN(AH39,$AJ$5))*72.5%)+(((MIN(AH39,$AJ$5)-4.5)/MIN(AH39,$AJ$5))*35%)),72.5%),IF(AND(Y39="First Lien",AN39="Tier 2"),IF(AND(X39="Yes",MIN(AH39,$AK$5)&gt;4.5),(((4.5/MIN(AH39,$AK$5))*72.5%)+(((MIN(AH39,$AK$5)-4.5)/MIN(AH39,$AK$5))*35%)),72.5%),IF(AND(X39="Yes",MIN(AH39,$AL$5)&gt;4),(((4/MIN(AH39,$AL$5))*72.5%)+(((MIN(AH39,$AL$5)-4)/MIN(AH39,$AL$5))*35%)),IF(OR(Y39="First Lien",Y39="Split First Lien"),72.5%,IF(Y39="Split Lien", 53%,35%))))))</f>
        <v/>
      </c>
      <c r="W39" s="530">
        <f>IF($C39="","",MIN($HO39:$HS39))</f>
        <v/>
      </c>
      <c r="X39" s="248" t="inlineStr">
        <is>
          <t>No</t>
        </is>
      </c>
      <c r="Y39" s="254" t="inlineStr">
        <is>
          <t>First Lien</t>
        </is>
      </c>
      <c r="Z39" s="254" t="inlineStr">
        <is>
          <t>Term</t>
        </is>
      </c>
      <c r="AA39" s="531" t="inlineStr">
        <is>
          <t>NR</t>
        </is>
      </c>
      <c r="AB39" s="531" t="inlineStr">
        <is>
          <t xml:space="preserve"> NR</t>
        </is>
      </c>
      <c r="AC39" s="532" t="n">
        <v>3.02</v>
      </c>
      <c r="AD39" s="532" t="n">
        <v>2.09</v>
      </c>
      <c r="AE39" s="532" t="n">
        <v>2.085208399657284</v>
      </c>
      <c r="AF39" s="257" t="n">
        <v>0.231</v>
      </c>
      <c r="AG39" s="533" t="n">
        <v>2.09</v>
      </c>
      <c r="AH39" s="533" t="n">
        <v>2.09</v>
      </c>
      <c r="AI39" s="533" t="n">
        <v>2.085208399657284</v>
      </c>
      <c r="AJ39" s="533" t="n">
        <v>2.085208399657284</v>
      </c>
      <c r="AK39" s="534" t="n">
        <v>5769000</v>
      </c>
      <c r="AL39" s="534" t="n">
        <v>11538415.05911562</v>
      </c>
      <c r="AM39" s="276" t="n">
        <v>45716</v>
      </c>
      <c r="AN39" s="529">
        <f>IF(C39="","",(IF(AK39&gt;=50000000,"Tier 1",(IF(OR(AK39&gt;=20000000,AND(AK39&gt;5000000,AC39&gt;=1.25,AF39&lt;=0.65)),"Tier 2","Tier 3")))))</f>
        <v/>
      </c>
      <c r="AO39" s="244" t="n">
        <v>48012</v>
      </c>
      <c r="AP39" s="535" t="n">
        <v>5.869444444444444</v>
      </c>
      <c r="AQ39" s="535">
        <f>IF(C39="","",AP39)</f>
        <v/>
      </c>
      <c r="AR39" s="248" t="inlineStr">
        <is>
          <t>No</t>
        </is>
      </c>
      <c r="AS39" s="250" t="n">
        <v>0</v>
      </c>
      <c r="AT39" s="248" t="inlineStr">
        <is>
          <t>Yes</t>
        </is>
      </c>
      <c r="AU39" s="250" t="n">
        <v>0.01</v>
      </c>
      <c r="AV39" s="250" t="n">
        <v>0.0575</v>
      </c>
      <c r="AW39" s="250" t="n">
        <v>0.04322499999999999</v>
      </c>
      <c r="AX39" s="262">
        <f>IF(C39="","",MAX(AU39,AW39))</f>
        <v/>
      </c>
      <c r="AY39" s="250" t="n">
        <v>0</v>
      </c>
      <c r="AZ39" s="250" t="n">
        <v>0</v>
      </c>
      <c r="BA39" s="250" t="n">
        <v>0</v>
      </c>
      <c r="BB39" s="412">
        <f>IF(B39="","",IF(AR39="No",AV39-AZ39,""))</f>
        <v/>
      </c>
      <c r="BC39" s="412">
        <f>IF(B39="","",IF(AR39="Yes",AS39-BA39,""))</f>
        <v/>
      </c>
      <c r="BD39" s="254" t="inlineStr">
        <is>
          <t>Quarterly</t>
        </is>
      </c>
      <c r="BE39" s="536" t="inlineStr">
        <is>
          <t>Health Care Providers &amp; Services</t>
        </is>
      </c>
      <c r="BF39" s="254" t="inlineStr">
        <is>
          <t>USD</t>
        </is>
      </c>
      <c r="BG39" s="254" t="inlineStr">
        <is>
          <t>United States</t>
        </is>
      </c>
      <c r="BH39" s="248" t="inlineStr">
        <is>
          <t>No</t>
        </is>
      </c>
      <c r="BI39" s="413">
        <f>IF(B39="","",IF(OR(AND(AZ39&gt;0,BB39&gt;=2.5%,BB39&lt;4%),AND(BA39&gt;0,BC39&gt;=6%,BC39&lt;8%)),"Yes","No"))</f>
        <v/>
      </c>
      <c r="BJ39" s="413">
        <f>IF(B39="","",IF(OR(AND(AZ39&gt;0,BB39&lt;2.5%),AND(BA39&gt;0,BC39&lt;6%)),"Yes","No"))</f>
        <v/>
      </c>
      <c r="BK39" s="248" t="inlineStr">
        <is>
          <t>No</t>
        </is>
      </c>
      <c r="BL39" s="248" t="inlineStr">
        <is>
          <t>No</t>
        </is>
      </c>
      <c r="BM39" s="248" t="inlineStr">
        <is>
          <t>No</t>
        </is>
      </c>
      <c r="BN39" s="248" t="inlineStr">
        <is>
          <t>No</t>
        </is>
      </c>
      <c r="BO39" s="248" t="inlineStr">
        <is>
          <t>No</t>
        </is>
      </c>
      <c r="BP39" s="248" t="inlineStr">
        <is>
          <t>No</t>
        </is>
      </c>
      <c r="BQ39" s="248" t="inlineStr">
        <is>
          <t>No</t>
        </is>
      </c>
      <c r="BR39" s="248" t="inlineStr">
        <is>
          <t>No</t>
        </is>
      </c>
      <c r="BS39" s="248" t="inlineStr">
        <is>
          <t>No</t>
        </is>
      </c>
      <c r="BT39" s="248" t="inlineStr">
        <is>
          <t>No</t>
        </is>
      </c>
      <c r="BU39" s="248" t="inlineStr">
        <is>
          <t>No</t>
        </is>
      </c>
      <c r="BV39" s="248" t="inlineStr">
        <is>
          <t>No</t>
        </is>
      </c>
      <c r="BW39" s="248" t="inlineStr">
        <is>
          <t>No</t>
        </is>
      </c>
      <c r="BX39" s="248" t="inlineStr">
        <is>
          <t>No</t>
        </is>
      </c>
      <c r="BY39" s="248" t="inlineStr">
        <is>
          <t>No</t>
        </is>
      </c>
      <c r="BZ39" s="248" t="inlineStr">
        <is>
          <t>No</t>
        </is>
      </c>
      <c r="CA39" s="248" t="inlineStr">
        <is>
          <t>Yes</t>
        </is>
      </c>
      <c r="CB39" s="537">
        <f>IF(B39="","",IF(AT39="No",((BB39+AW39)-$AZ$4),((BB39+AX39)-$AZ$4))*IF(DD39&gt;0,0,M39))</f>
        <v/>
      </c>
      <c r="CC39" s="537">
        <f>IF(B39="","",AY39*(L39-M39)*IF(DD39&gt;0,0,1))</f>
        <v/>
      </c>
      <c r="CD39" s="265" t="n"/>
      <c r="CE39" s="265">
        <f>IF(AND(B39&lt;&gt;"",R39&lt;=85%),1,0)</f>
        <v/>
      </c>
      <c r="CF39" s="265">
        <f>IF(B39="",0,(IF(OR(BF39="USD",BF39="CAD",BF39="GBP",BF39="AUD",BF39="EUR"),0,1)))</f>
        <v/>
      </c>
      <c r="CG39" s="265">
        <f>IF(B39="",0,(IF(OR(BG39="United States",BG39="Canada",BG39="United Kingdom",BG39="Australia",BG39="Netherlands Antilles",BG39="Bermuda",BG39="Cayman Islands",BG39="British Virgin Islands",BG39="Channel Islands",BG39="Isle of Man",BG39="Australia",BG39="Netherlands",BG39="Germany",BG39="Sweden",BG39="Switzerland",BG39="Austria",BG39="Belgium",BG39="Denmark",BG39="Finland",BG39="Iceland",BG39="Ireland",BG39="Lichtenstein",BG39="Luxemborg",BG39="Norway"),0,1)))</f>
        <v/>
      </c>
      <c r="CH39" s="265">
        <f>IF(BN39="Yes",1,0)</f>
        <v/>
      </c>
      <c r="CI39" s="265">
        <f>IF(BO39="Yes",1,0)</f>
        <v/>
      </c>
      <c r="CJ39" s="265">
        <f>IF(BP39="Yes",1,0)</f>
        <v/>
      </c>
      <c r="CK39" s="265">
        <f>IF(BQ39="Yes",1,0)</f>
        <v/>
      </c>
      <c r="CL39" s="265">
        <f>IF(BR39="Yes",1,0)</f>
        <v/>
      </c>
      <c r="CM39" s="265">
        <f>IF(BS39="Yes",1,0)</f>
        <v/>
      </c>
      <c r="CN39" s="265">
        <f>IF(OR(AND(BJ39="Yes",N39="No"),AND(BJ39="Yes",N39="Yes",P39&gt;=6)),1,0)</f>
        <v/>
      </c>
      <c r="CO39" s="265">
        <f>IF(BT39="Yes",1,0)</f>
        <v/>
      </c>
      <c r="CP39" s="265">
        <f>IF(AND(BU39="Yes",BV39="No"),1,0)</f>
        <v/>
      </c>
      <c r="CQ39" s="265">
        <f>IF(BW39="Yes",1,0)</f>
        <v/>
      </c>
      <c r="CR39" s="265">
        <f>IF(AP39="",0,IF(AP39&gt;7,1,0))</f>
        <v/>
      </c>
      <c r="CS39" s="265">
        <f>IF(OR(BD39&lt;&gt;"Monthly",BD39&lt;&gt;"Quarterly",BD39&lt;&gt;"Semi-Annually"),0,1)</f>
        <v/>
      </c>
      <c r="CT39" s="265">
        <f>IF(BX39="Yes",1,0)</f>
        <v/>
      </c>
      <c r="CU39" s="265">
        <f>IF(BY39="Yes",1,0)</f>
        <v/>
      </c>
      <c r="CV39" s="265">
        <f>IF(BZ39="Yes",1,0)</f>
        <v/>
      </c>
      <c r="CW39" s="265">
        <f>IF(CA39="No",1,0)</f>
        <v/>
      </c>
      <c r="CX39" s="265">
        <f>IF(B39="",0,IF(AK39&gt;=5000000,0,1))</f>
        <v/>
      </c>
      <c r="CY39" s="265">
        <f>IF(B39="",0,IF(AL39&gt;=5000000,0,1))</f>
        <v/>
      </c>
      <c r="CZ39" s="265">
        <f>IF(OR(DA39=1,DB39=1,DC39=1),0,IF(B39="",0,IF(OR(AND(AN39="Tier 1",X39="No",OR(AI39&gt;$AJ$3,AJ39&gt;$AJ$4)),(AND(AN39="Tier 1",X39="Yes",AJ39&gt;$AJ$5)),(AND(AN39="Tier 2",X39="No",OR(AI39&gt;$AK$3,AJ39&gt;$AK$4))),(AND(AN39="Tier 2",X39="Yes",AJ39&gt;$AK$5)),(AND(AN39="Tier 3",X39="No",OR(AI39&gt;$AL$3,AJ39&gt;$AL$4))),(AND(AN39="Tier 3",X39="Yes",AJ39&gt;$AL$5))),1,0)))</f>
        <v/>
      </c>
      <c r="DA39" s="265">
        <f>IF(OR(DB39=1,DC39=1),0,IF(B39="",0,IF(OR(AND(AN39="Tier 1",X39="No",OR(AI39&gt;$AM$3,AJ39&gt;$AM$4)),(AND(AN39="Tier 1",X39="Yes",AJ39&gt;$AM$5)),(AND(AN39="Tier 2",X39="No",OR(AI39&gt;$AN$3,AJ39&gt;$AN$4))),(AND(AN39="Tier 2",X39="Yes",AJ39&gt;$AN$5)),(AND(AN39="Tier 3",X39="No",OR(AI39&gt;$AO$3,AJ39&gt;$AO$4))),(AND(AN39="Tier 3",X39="Yes",AJ39&gt;$AO$5))),1,0)))</f>
        <v/>
      </c>
      <c r="DB39" s="265">
        <f>IF(DC39=1,0,IF(B39="",0,IF(OR(AND(AN39="Tier 1",X39="No",OR(AI39&gt;$AP$3,AJ39&gt;$AP$4)),(AND(AN39="Tier 1",X39="Yes",AJ39&gt;$AP$5)),(AND(AN39="Tier 2",X39="No",OR(AI39&gt;$AQ$3,AJ39&gt;$AQ$4))),(AND(AN39="Tier 2",X39="Yes",AJ39&gt;$AQ$5)),(AND(AN39="Tier 3",X39="No",OR(AI39&gt;$AR$3,AJ39&gt;$AR$4))),(AND(AN39="Tier 3",X39="Yes",AJ39&gt;$AR$5))),1,0)))</f>
        <v/>
      </c>
      <c r="DC39" s="265">
        <f>IF(B39="",0,IF(OR(AND(AN39="Tier 1",X39="No",OR(AI39&gt;$AS$3,AJ39&gt;$AS$4)),(AND(AN39="Tier 1",X39="Yes",AJ39&gt;$AS$5)),(AND(AN39="Tier 2",X39="No",OR(AI39&gt;$AT$3,AJ39&gt;$AT$4))),(AND(AN39="Tier 2",X39="Yes",AJ39&gt;$AT$5)),(AND(AN39="Tier 3",X39="No",OR(AI39&gt;$AU$3,AJ39&gt;$AU$4))),(AND(AN39="Tier 3",X39="Yes",AJ39&gt;$AU$5))),1,0))</f>
        <v/>
      </c>
      <c r="DD39" s="265">
        <f>IF((SUM(CE39:CX39)=0),0,W39)</f>
        <v/>
      </c>
      <c r="DE39" s="265">
        <f>IF(OR(B39="",DD39&gt;0),0,W39)</f>
        <v/>
      </c>
      <c r="DF39" s="265">
        <f>IF(B39="",0,IF(COUNTIF(CE39:CX39,1)&gt;0,0,L39-M39))</f>
        <v/>
      </c>
      <c r="DG39" s="265">
        <f>DE39+IF(DD39&gt;0,0,DF39)</f>
        <v/>
      </c>
      <c r="DH39" s="265">
        <f>IF(B39="","",M39+DF39)</f>
        <v/>
      </c>
      <c r="DI39" s="265">
        <f>IF(B39="",0,J39-K39)</f>
        <v/>
      </c>
      <c r="DJ39" s="265">
        <f>IF(OR(BF39="EUR",BF39="CAD",BF39="GBP",BF39="AUD"),(GA39*(1-V39))+(HG39)+IF(HX39="",0,HX39*(1-U39)),0)</f>
        <v/>
      </c>
      <c r="DK39" s="265">
        <f>IF(BF39="EUR",33%,IF(BF39="CAD",38%,IF(BF39="GBP",51%,IF(BF39="AUD",61%,0))))</f>
        <v/>
      </c>
      <c r="DL39" s="265">
        <f>DJ39*DK39</f>
        <v/>
      </c>
      <c r="DN39" s="538">
        <f>IF(OR(Y39="Second Lien",Y39="Tier 1 Split Lien",Y39="Tier 2 Split Lien"),DG39,0)</f>
        <v/>
      </c>
      <c r="DO39" s="539">
        <f>DN39*DN$6</f>
        <v/>
      </c>
      <c r="DP39" s="538">
        <f>DG39-DO39</f>
        <v/>
      </c>
      <c r="DQ39" s="538">
        <f>IF(Y39="Second Lien",DP39,0)</f>
        <v/>
      </c>
      <c r="DR39" s="539">
        <f>DQ39*DQ$6</f>
        <v/>
      </c>
      <c r="DS39" s="538">
        <f>DP39-DR39</f>
        <v/>
      </c>
      <c r="DT39" s="538">
        <f>IF(BH39="Yes",DS39,0)</f>
        <v/>
      </c>
      <c r="DU39" s="539">
        <f>DT39*DT$6</f>
        <v/>
      </c>
      <c r="DV39" s="538">
        <f>DS39-DU39</f>
        <v/>
      </c>
      <c r="DW39" s="538">
        <f>IF(OR(BG39="Canada",BG39="United Kingdom",BG39="Australia",BG39="Netherlands Antilles",BG39="Bermuda",BG39="Cayman Islands",BG39="British Virgin Islands",BG39="Channel Islands",BG39="Isle of Man",BG39="Australia",BG39="Netherlands",BG39="Germany",BG39="Sweden",BG39="Switzerland",BG39="Austria",BG39="Belgium",BG39="Denmark",BG39="Finland",BG39="Iceland",BG39="Ireland",BG39="Lichtenstein",BG39="Luxemborg",BG39="Norway"),DV39,0)</f>
        <v/>
      </c>
      <c r="DX39" s="539">
        <f>DW39*DW$6</f>
        <v/>
      </c>
      <c r="DY39" s="538">
        <f>DV39-DX39</f>
        <v/>
      </c>
      <c r="DZ39" s="538">
        <f>IF(BI39="Yes",DY39,0)</f>
        <v/>
      </c>
      <c r="EA39" s="539">
        <f>DZ39*DZ$6</f>
        <v/>
      </c>
      <c r="EB39" s="538">
        <f>DY39-EA39</f>
        <v/>
      </c>
      <c r="EC39" s="538">
        <f>IF(OR(Z39="Delayed Draw",Z39="Revolver"),EB39,0)</f>
        <v/>
      </c>
      <c r="ED39" s="539">
        <f>EC39*EC$6</f>
        <v/>
      </c>
      <c r="EE39" s="538">
        <f>EB39-ED39</f>
        <v/>
      </c>
      <c r="EF39" s="538">
        <f>IF(S39="Yes",EE39,0)</f>
        <v/>
      </c>
      <c r="EG39" s="539">
        <f>EF39*EF$6</f>
        <v/>
      </c>
      <c r="EH39" s="538">
        <f>EE39-EG39</f>
        <v/>
      </c>
      <c r="EI39" s="538">
        <f>IF(Q39="Yes",EH39,0)</f>
        <v/>
      </c>
      <c r="EJ39" s="539">
        <f>EI39*EI$6</f>
        <v/>
      </c>
      <c r="EK39" s="538">
        <f>EH39-EJ39</f>
        <v/>
      </c>
      <c r="EL39" s="538">
        <f>IF(BD39="Semi-Annually",EK39,0)</f>
        <v/>
      </c>
      <c r="EM39" s="539">
        <f>EL39*EL$6</f>
        <v/>
      </c>
      <c r="EN39" s="538">
        <f>EK39-EM39</f>
        <v/>
      </c>
      <c r="EO39" s="538">
        <f>IF(BK39="Yes",EN39,0)</f>
        <v/>
      </c>
      <c r="EP39" s="539">
        <f>EO39*EO$6</f>
        <v/>
      </c>
      <c r="EQ39" s="538">
        <f>EN39-EP39</f>
        <v/>
      </c>
      <c r="ER39" s="538">
        <f>IF(BL39="Yes",EQ39,0)</f>
        <v/>
      </c>
      <c r="ES39" s="539">
        <f>ER39*ER$6</f>
        <v/>
      </c>
      <c r="ET39" s="538">
        <f>EQ39-ES39</f>
        <v/>
      </c>
      <c r="EU39" s="538">
        <f>IF(BM39="Yes",ET39,0)</f>
        <v/>
      </c>
      <c r="EV39" s="539">
        <f>EU39*EU$6</f>
        <v/>
      </c>
      <c r="EW39" s="538">
        <f>ET39-EV39</f>
        <v/>
      </c>
      <c r="EX39" s="538">
        <f>IF(BV39="Yes",EW39,0)</f>
        <v/>
      </c>
      <c r="EY39" s="539">
        <f>EX39*EX$6</f>
        <v/>
      </c>
      <c r="EZ39" s="538">
        <f>EW39-EY39</f>
        <v/>
      </c>
      <c r="FA39" s="538">
        <f>IF(AR39="Yes",EZ39,0)</f>
        <v/>
      </c>
      <c r="FB39" s="539">
        <f>FA39*FA$6</f>
        <v/>
      </c>
      <c r="FC39" s="538">
        <f>EZ39-FB39</f>
        <v/>
      </c>
      <c r="FD39" s="538">
        <f>IF(OR(BF39="EUR",BF39="AUD",BF39="CAD",BF39="GBP"),FC39,0)</f>
        <v/>
      </c>
      <c r="FE39" s="539">
        <f>FD39*FD$6</f>
        <v/>
      </c>
      <c r="FF39" s="538">
        <f>FC39-FE39</f>
        <v/>
      </c>
      <c r="FG39" s="538">
        <f>FF39</f>
        <v/>
      </c>
      <c r="FH39" s="538">
        <f>IF(FF39=0,0,VLOOKUP(C39,$GU$10:$GV$406,2,FALSE)*FF39)</f>
        <v/>
      </c>
      <c r="FI39" s="538">
        <f>FF39-FH39</f>
        <v/>
      </c>
      <c r="FJ39" s="538">
        <f>FI39</f>
        <v/>
      </c>
      <c r="FK39" s="538">
        <f>IF(OR(IB39="",FI39&lt;0.01),,VLOOKUP(IB39,$GL$10:$GM$406,2,FALSE)*FI39)</f>
        <v/>
      </c>
      <c r="FL39" s="538">
        <f>FI39-FK39</f>
        <v/>
      </c>
      <c r="FM39" s="538">
        <f>FL39</f>
        <v/>
      </c>
      <c r="FN39" s="538">
        <f>IF(FL39=0,0,VLOOKUP(C39,$HD$10:$HE$406,2,FALSE)*FL39)</f>
        <v/>
      </c>
      <c r="FO39" s="538">
        <f>FL39-FN39</f>
        <v/>
      </c>
      <c r="FP39" s="538">
        <f>IF(SUM(CY39:DC39)&gt;0,0,IF(AND(AL39&gt;=5000000,AL39&lt;7500000),FO39,0))</f>
        <v/>
      </c>
      <c r="FQ39" s="539">
        <f>IF(B39="",0,FP39*FP$6*(1-$U39))</f>
        <v/>
      </c>
      <c r="FR39" s="538">
        <f>FO39-FQ39</f>
        <v/>
      </c>
      <c r="FS39" s="538">
        <f>IF(SUM(CY39:DC39)&gt;0,0,IF(AL39&lt;15000000,FR39,0))</f>
        <v/>
      </c>
      <c r="FT39" s="539">
        <f>IF(B39="",0,FS39*FS$6*(1-$U39))</f>
        <v/>
      </c>
      <c r="FU39" s="538">
        <f>FR39-FT39</f>
        <v/>
      </c>
      <c r="FV39" s="538">
        <f>IF(SUM(CY39:DC39)&gt;0,0,IF(OR(AND(X39="No",AN39="Tier 1",AI39&gt;$AG$3),AND(X39="No",AN39="Tier 2",AI39&gt;$AH$3),AND(X39="No",AN39="Tier 3",AI39&gt;$AI$3)),FU39,0))</f>
        <v/>
      </c>
      <c r="FW39" s="538">
        <f>IF(SUM(CY39:DC39)&gt;0,0,IF(OR(AND(X39="No",AN39="Tier 1",AJ39&gt;$AG$4),AND(X39="No",AN39="Tier 2",AJ39&gt;$AH$4),AND(X39="No",AN39="Tier 3",AJ39&gt;$AI$4)),FU39,0))</f>
        <v/>
      </c>
      <c r="FX39" s="538">
        <f>IF(SUM(CY39:DC39)&gt;0,0,IF(OR(AND(X39="Yes",AN39="Tier 1",AJ39&gt;$AG$5),AND(X39="Yes",AN39="Tier 2",AJ39&gt;$AH$5),AND(X39="Yes",AN39="Tier 3",AJ39&gt;$AI$5)),FU39,0))</f>
        <v/>
      </c>
      <c r="FY39" s="538">
        <f>IF(SUM(FV39:FX39)&gt;0,FU39,0)</f>
        <v/>
      </c>
      <c r="FZ39" s="539">
        <f>IF(B39="",0,FY39*FV$6*(1-MIN(90%,T39)))</f>
        <v/>
      </c>
      <c r="GA39" s="538">
        <f>FU39-FZ39</f>
        <v/>
      </c>
      <c r="GB39" s="538">
        <f>IF(AND(N39="No",DI39=0),GA39,IF(AND(N39="No",DI39&lt;&gt;0,K39=0),0,IF(AND(N39="No",DI39&lt;&gt;0,K39&gt;0,J39&lt;&gt;K39),MAX(0,M39-(DH39-GA39)),DG39)))</f>
        <v/>
      </c>
      <c r="GC39" s="540">
        <f>+GB39*V39</f>
        <v/>
      </c>
      <c r="GD39" s="138">
        <f>IFERROR(GC39/K39,"")</f>
        <v/>
      </c>
      <c r="GE39" s="541">
        <f>IF(IB39="","",IB39)</f>
        <v/>
      </c>
      <c r="GF39" s="538">
        <f t="array" ref="GF39">IF(SUM(IF(IB$9:IB38=IB39,1,0))&gt;0,0,SUMIF($IB$10:$IB$406,IB39,$FI$10:$FI$406))</f>
        <v/>
      </c>
      <c r="GG39" s="270">
        <f>GF39</f>
        <v/>
      </c>
      <c r="GH39" s="137">
        <f>GH38+1</f>
        <v/>
      </c>
      <c r="GI39" s="542">
        <f>LARGE($GG$10:$GG$406,GH39)</f>
        <v/>
      </c>
      <c r="GJ39" s="542">
        <f>IF(GH39&gt;GH$6,0,IF(GH39=$GH$2,$GJ$2,IF(GH39&lt;4,$GJ$3,$GJ$4)))</f>
        <v/>
      </c>
      <c r="GK39" s="489">
        <f>MAX(0,GI39-GJ39)</f>
        <v/>
      </c>
      <c r="GL39" s="137">
        <f t="array" ref="GL39">IF(GI39=0,0,LARGE(IF($GF$10:$GF$406=GI39,$GE$10:$GE$406,0),COUNTIF($GI$10:$GI$406,GI39)-COUNTIF(GI$9:GI38,GI39)))</f>
        <v/>
      </c>
      <c r="GM39" s="272">
        <f>IF(GI39=0,0,GK39/GI39)</f>
        <v/>
      </c>
      <c r="GO39" s="137">
        <f>IF(C39="","",IF(ISERROR(MATCH(C39,C$10:C38,0)),MAX(GO$10:GO38)+1,INDEX(GO$10:GO38,MATCH(C39,C$10:C38,0))))</f>
        <v/>
      </c>
      <c r="GP39" s="538">
        <f>IF(COUNTIF($A$10:A39,A39)&lt;=1,SUMIF($A$10:$A$406,A39,$FG$10:$FG$406),0)</f>
        <v/>
      </c>
      <c r="GQ39" s="137">
        <f>GQ38+1</f>
        <v/>
      </c>
      <c r="GR39" s="542">
        <f>LARGE($GP$10:$GP$406,GQ39)</f>
        <v/>
      </c>
      <c r="GS39" s="542">
        <f>IF(GQ39&gt;GQ$6,0,IF(GQ39&lt;=GQ$2,GS$2,IF(AND(GQ39&lt;=$GQ$3,GQ39&gt;$GQ$2),GS$3,GS$4)))</f>
        <v/>
      </c>
      <c r="GT39" s="489">
        <f>MAX(0,GR39-GS39)</f>
        <v/>
      </c>
      <c r="GU39" s="137">
        <f t="array" ref="GU39">IF(GR39=0,0,LARGE(IF($GP$10:$GP$406=GR39,$GO$10:$GO$406,0),COUNTIF($GR$10:$GR$406,GR39)-COUNTIF(GR$9:GR38,GR39)))</f>
        <v/>
      </c>
      <c r="GV39" s="272">
        <f>IF(GR39=0,0,GT39/GR39)</f>
        <v/>
      </c>
      <c r="GW39" s="272" t="n"/>
      <c r="GX39" s="137">
        <f>IF(C39="","",IF(ISERROR(MATCH(C39,C$10:C38,0)),MAX(GO$10:GO38)+1,INDEX(GO$10:GO38,MATCH(C39,C$10:C38,0))))</f>
        <v/>
      </c>
      <c r="GY39" s="538">
        <f>IF(COUNTIF($A$10:A39,A39)&lt;=1,SUMIF($A$10:$A$406,A39,$FG$10:$FG$406),0)</f>
        <v/>
      </c>
      <c r="GZ39" s="137">
        <f>GZ38+1</f>
        <v/>
      </c>
      <c r="HA39" s="542">
        <f>LARGE($GY$10:$GY$406,GZ39)</f>
        <v/>
      </c>
      <c r="HB39" s="543" t="inlineStr">
        <is>
          <t>-</t>
        </is>
      </c>
      <c r="HC39" s="489">
        <f>IF(GZ39&lt;6,MAX(0,$HC$2/5),0)</f>
        <v/>
      </c>
      <c r="HD39" s="137">
        <f t="array" ref="HD39">IF(HA39=0,0,LARGE(IF($GY$10:$GY$406=HA39,$GX$10:$GX$406,0),COUNTIF($HA$10:$HA$406,HA39)-COUNTIF(HA$9:HA38,HA39)))</f>
        <v/>
      </c>
      <c r="HE39" s="272">
        <f>IF(HA39=0,0,HC39/HA39)</f>
        <v/>
      </c>
      <c r="HG39" s="270">
        <f>DG39-GA39</f>
        <v/>
      </c>
      <c r="HH39" s="544" t="n">
        <v>0</v>
      </c>
      <c r="HI39" s="538">
        <f>MIN(HH39,DE39)</f>
        <v/>
      </c>
      <c r="HK39" s="137">
        <f>IF(COUNTIF($C$10:$C$406,HK38+1),HK38+1,"")</f>
        <v/>
      </c>
      <c r="HL39" s="538">
        <f>SUMIF($C$10:$C$406,HK39,$DG$10:$DG$406)</f>
        <v/>
      </c>
      <c r="HN39" s="521">
        <f>MIN(HO39:HS39)</f>
        <v/>
      </c>
      <c r="HO39" s="521">
        <f>IF(B39="","",$M39)</f>
        <v/>
      </c>
      <c r="HP39" s="521">
        <f>IF($N39="Yes",IF(P39&gt;=6,0,MIN($T39*$M39,$U39*$M39)),"")</f>
        <v/>
      </c>
      <c r="HQ39" s="521">
        <f>IF(AND(N39="Yes",P39&gt;=6),"",IF($S39="Yes",$R39*$M39,""))</f>
        <v/>
      </c>
      <c r="HR39" s="521">
        <f>IF($Q39="Yes",MIN($M39,$T39*$M39),"")</f>
        <v/>
      </c>
      <c r="HS39" s="521">
        <f>IF(AND($N39="Yes",$P39&gt;=6),"",IF(OR(CY39=1,DC39=1,),MIN($T39*$M39,$U39*$M39),IF(OR(CZ39=1,DA39=1,DB39=1),IF(AK39&gt;=5000000,MIN($T39*$M39,$IE39*$M39),MIN($T39*$M39,$U39*$M39)),"")))</f>
        <v/>
      </c>
      <c r="HT39" s="521">
        <f>IF(DD39&gt;0,DD39,"")</f>
        <v/>
      </c>
      <c r="HU39" s="522">
        <f>IF(B39="",0,$L39-$M39)</f>
        <v/>
      </c>
      <c r="HV39" s="274">
        <f>IF(OR(SUM(HP39:HT39)&gt;0,P39&gt;=6),"",IF($B39="","",1))</f>
        <v/>
      </c>
      <c r="HW39" s="522">
        <f>IF(AND($HT39&lt;&gt;0,OR(HT39&lt;=MIN(HP39:HS39),SUM(HP39:HS39)=0)),$HT39,0)</f>
        <v/>
      </c>
      <c r="HX39" s="522">
        <f>IF(AND($HS39&lt;&gt;0,OR(AND($HS39&lt;&gt;$HT39,$HS39&lt;&gt;$HR39,$HS39&lt;&gt;$HQ39,$HS39&lt;&gt;$HP39,$HS39&lt;MIN($HP39:$HR39),$HS39&lt;HT39),SUM($HP39:$HR39)+SUM(HT39)=0),IA39&lt;=0),$HS39,0)</f>
        <v/>
      </c>
      <c r="HY39" s="522">
        <f>IF(AND($HR39&lt;&gt;0,OR(AND($HR39&lt;&gt;$HT39,$HR39&lt;&gt;$HS39,$HR39&lt;&gt;$HQ39,$HR39&lt;&gt;$HP39),$HR39&lt;MIN($HP39:$HQ39),$HR39&lt;MIN($HS39:$HT39),SUM($HP39:$HQ39)+SUM($HS39:$HT39)=0)),$HR39,0)</f>
        <v/>
      </c>
      <c r="HZ39" s="522">
        <f>IF(AND($HQ39&lt;&gt;0,OR(AND($HQ39&lt;&gt;$HT39,HQ39&lt;&gt;HS39,HQ39&lt;&gt;HR39,HQ39&lt;&gt;HP39,HQ39&lt;MIN(HR39:HT39)),SUM(HP39)+SUM(HR39:HT39)=0)),$HQ39,0)</f>
        <v/>
      </c>
      <c r="IA39" s="522">
        <f>IF(AND($HP39&lt;&gt;0,OR(HP39&lt;=MIN(HQ39:HT39),SUM(HQ39:HT39)=0)),$HP39,0)</f>
        <v/>
      </c>
      <c r="IB39" s="545" t="n">
        <v>31</v>
      </c>
      <c r="IC39">
        <f>HU39=DF39</f>
        <v/>
      </c>
      <c r="IE39" s="351">
        <f>IF(B39="","",IF(AND(Y39="Second Lien",OR(CZ39=1,DA39=1,DB39=1)),50%,IF(CZ39=1,90%,IF(DA39=1,80%,IF(DB39=1,65%,"No Initial Haircut")))))</f>
        <v/>
      </c>
    </row>
    <row r="40">
      <c r="A40">
        <f>D40</f>
        <v/>
      </c>
      <c r="B40" s="242">
        <f>IF(D40="","",B39+1)</f>
        <v/>
      </c>
      <c r="C40" s="242">
        <f>IF(COUNTIF($A$10:A39,A40)&gt;0,C39,C39+1)</f>
        <v/>
      </c>
      <c r="D40" s="243" t="inlineStr">
        <is>
          <t>Foxglove Holdings, LLC</t>
        </is>
      </c>
      <c r="E40" s="243" t="inlineStr">
        <is>
          <t>Foxglove (TL)</t>
        </is>
      </c>
      <c r="F40" s="244" t="n"/>
      <c r="G40" s="528" t="n">
        <v>196059.01</v>
      </c>
      <c r="H40" s="528" t="n">
        <v>196059.01</v>
      </c>
      <c r="I40" s="246" t="n">
        <v>1</v>
      </c>
      <c r="J40" s="529">
        <f>IF(B40="","",G40*I40)</f>
        <v/>
      </c>
      <c r="K40" s="529">
        <f>IF(B40="","",H40*I40)</f>
        <v/>
      </c>
      <c r="L40" s="529">
        <f>IF(B40="","",IF(COUNTIF($CE40:$CX40,1)&gt;0,0,J40))</f>
        <v/>
      </c>
      <c r="M40" s="529">
        <f>IF(B40="","",IF(COUNTIF($CE40:$CX40,1)&gt;0,0,K40))</f>
        <v/>
      </c>
      <c r="N40" s="248" t="inlineStr">
        <is>
          <t>No</t>
        </is>
      </c>
      <c r="O40" s="248" t="inlineStr">
        <is>
          <t>N/A</t>
        </is>
      </c>
      <c r="P40" s="249">
        <f>IF(B40="","",IF(OR(O40="N/A",O40=""),0,YEARFRAC('Borrowing Base'!$J$4,'Loan List'!O40)*12))</f>
        <v/>
      </c>
      <c r="Q40" s="248" t="inlineStr">
        <is>
          <t>No</t>
        </is>
      </c>
      <c r="R40" s="250" t="n">
        <v>1</v>
      </c>
      <c r="S40" s="251">
        <f>IF(B40="","",IF(R40&lt;95%,"Yes","No"))</f>
        <v/>
      </c>
      <c r="T40" s="250" t="n">
        <v>0.9800000213254575</v>
      </c>
      <c r="U40" s="252">
        <f>IF(B40="","",IF(OR(Y40="First Lien",Y40="Split First Lien",Y40="Tier 1 Split Lien",Y40="Tier 2 Split Lien"),50%,30%))</f>
        <v/>
      </c>
      <c r="V40" s="252">
        <f>IF(B40="",0,IF(AND(Y40="First Lien",AN40="Tier 1"),IF(AND(X40="Yes",MIN(AH40,$AJ$5)&gt;4.5),(((4.5/MIN(AH40,$AJ$5))*72.5%)+(((MIN(AH40,$AJ$5)-4.5)/MIN(AH40,$AJ$5))*35%)),72.5%),IF(AND(Y40="First Lien",AN40="Tier 2"),IF(AND(X40="Yes",MIN(AH40,$AK$5)&gt;4.5),(((4.5/MIN(AH40,$AK$5))*72.5%)+(((MIN(AH40,$AK$5)-4.5)/MIN(AH40,$AK$5))*35%)),72.5%),IF(AND(X40="Yes",MIN(AH40,$AL$5)&gt;4),(((4/MIN(AH40,$AL$5))*72.5%)+(((MIN(AH40,$AL$5)-4)/MIN(AH40,$AL$5))*35%)),IF(OR(Y40="First Lien",Y40="Split First Lien"),72.5%,IF(Y40="Split Lien", 53%,35%))))))</f>
        <v/>
      </c>
      <c r="W40" s="530">
        <f>IF($C40="","",MIN($HO40:$HS40))</f>
        <v/>
      </c>
      <c r="X40" s="248" t="inlineStr">
        <is>
          <t>No</t>
        </is>
      </c>
      <c r="Y40" s="254" t="inlineStr">
        <is>
          <t>First Lien</t>
        </is>
      </c>
      <c r="Z40" s="254" t="inlineStr">
        <is>
          <t>Term</t>
        </is>
      </c>
      <c r="AA40" s="531" t="inlineStr">
        <is>
          <t>NR</t>
        </is>
      </c>
      <c r="AB40" s="531" t="inlineStr">
        <is>
          <t xml:space="preserve"> NR</t>
        </is>
      </c>
      <c r="AC40" s="532" t="n">
        <v>1.698851437370334</v>
      </c>
      <c r="AD40" s="532" t="n">
        <v>3.152403935400037</v>
      </c>
      <c r="AE40" s="532" t="n">
        <v>6.55629724158241</v>
      </c>
      <c r="AF40" s="257" t="n">
        <v>0.3637376171352075</v>
      </c>
      <c r="AG40" s="533" t="n">
        <v>2.583905698904771</v>
      </c>
      <c r="AH40" s="533" t="n">
        <v>2.583905698904771</v>
      </c>
      <c r="AI40" s="533" t="n">
        <v>6.346716220842094</v>
      </c>
      <c r="AJ40" s="533" t="n">
        <v>6.415179226368037</v>
      </c>
      <c r="AK40" s="534" t="n">
        <v>21548000</v>
      </c>
      <c r="AL40" s="534" t="n">
        <v>20449000</v>
      </c>
      <c r="AM40" s="276" t="n">
        <v>45838</v>
      </c>
      <c r="AN40" s="529">
        <f>IF(C40="","",(IF(AK40&gt;=50000000,"Tier 1",(IF(OR(AK40&gt;=20000000,AND(AK40&gt;5000000,AC40&gt;=1.25,AF40&lt;=0.65)),"Tier 2","Tier 3")))))</f>
        <v/>
      </c>
      <c r="AO40" s="244" t="n">
        <v>46806</v>
      </c>
      <c r="AP40" s="535" t="n">
        <v>2.563888888888889</v>
      </c>
      <c r="AQ40" s="535">
        <f>IF(C40="","",AP40)</f>
        <v/>
      </c>
      <c r="AR40" s="248" t="inlineStr">
        <is>
          <t>No</t>
        </is>
      </c>
      <c r="AS40" s="250" t="n">
        <v>0</v>
      </c>
      <c r="AT40" s="248" t="inlineStr">
        <is>
          <t>Yes</t>
        </is>
      </c>
      <c r="AU40" s="250" t="n">
        <v>0.01</v>
      </c>
      <c r="AV40" s="250" t="n">
        <v>0.07149999999999999</v>
      </c>
      <c r="AW40" s="250" t="n">
        <v>0.06332700000000001</v>
      </c>
      <c r="AX40" s="262">
        <f>IF(C40="","",MAX(AU40,AW40))</f>
        <v/>
      </c>
      <c r="AY40" s="250" t="n">
        <v>0</v>
      </c>
      <c r="AZ40" s="250" t="n">
        <v>0</v>
      </c>
      <c r="BA40" s="250" t="n">
        <v>0</v>
      </c>
      <c r="BB40" s="412">
        <f>IF(B40="","",IF(AR40="No",AV40-AZ40,""))</f>
        <v/>
      </c>
      <c r="BC40" s="412">
        <f>IF(B40="","",IF(AR40="Yes",AS40-BA40,""))</f>
        <v/>
      </c>
      <c r="BD40" s="254" t="inlineStr">
        <is>
          <t>Quarterly</t>
        </is>
      </c>
      <c r="BE40" s="536" t="inlineStr">
        <is>
          <t>Hotels, Restaurants &amp; Leisure</t>
        </is>
      </c>
      <c r="BF40" s="254" t="inlineStr">
        <is>
          <t>USD</t>
        </is>
      </c>
      <c r="BG40" s="254" t="inlineStr">
        <is>
          <t>United States</t>
        </is>
      </c>
      <c r="BH40" s="248" t="inlineStr">
        <is>
          <t>No</t>
        </is>
      </c>
      <c r="BI40" s="413">
        <f>IF(B40="","",IF(OR(AND(AZ40&gt;0,BB40&gt;=2.5%,BB40&lt;4%),AND(BA40&gt;0,BC40&gt;=6%,BC40&lt;8%)),"Yes","No"))</f>
        <v/>
      </c>
      <c r="BJ40" s="413">
        <f>IF(B40="","",IF(OR(AND(AZ40&gt;0,BB40&lt;2.5%),AND(BA40&gt;0,BC40&lt;6%)),"Yes","No"))</f>
        <v/>
      </c>
      <c r="BK40" s="248" t="inlineStr">
        <is>
          <t>No</t>
        </is>
      </c>
      <c r="BL40" s="248" t="inlineStr">
        <is>
          <t>No</t>
        </is>
      </c>
      <c r="BM40" s="248" t="inlineStr">
        <is>
          <t>No</t>
        </is>
      </c>
      <c r="BN40" s="248" t="inlineStr">
        <is>
          <t>No</t>
        </is>
      </c>
      <c r="BO40" s="248" t="inlineStr">
        <is>
          <t>No</t>
        </is>
      </c>
      <c r="BP40" s="248" t="inlineStr">
        <is>
          <t>No</t>
        </is>
      </c>
      <c r="BQ40" s="248" t="inlineStr">
        <is>
          <t>No</t>
        </is>
      </c>
      <c r="BR40" s="248" t="inlineStr">
        <is>
          <t>No</t>
        </is>
      </c>
      <c r="BS40" s="248" t="inlineStr">
        <is>
          <t>No</t>
        </is>
      </c>
      <c r="BT40" s="248" t="inlineStr">
        <is>
          <t>No</t>
        </is>
      </c>
      <c r="BU40" s="248" t="inlineStr">
        <is>
          <t>No</t>
        </is>
      </c>
      <c r="BV40" s="248" t="inlineStr">
        <is>
          <t>No</t>
        </is>
      </c>
      <c r="BW40" s="248" t="inlineStr">
        <is>
          <t>No</t>
        </is>
      </c>
      <c r="BX40" s="248" t="inlineStr">
        <is>
          <t>No</t>
        </is>
      </c>
      <c r="BY40" s="248" t="inlineStr">
        <is>
          <t>No</t>
        </is>
      </c>
      <c r="BZ40" s="248" t="inlineStr">
        <is>
          <t>No</t>
        </is>
      </c>
      <c r="CA40" s="248" t="inlineStr">
        <is>
          <t>Yes</t>
        </is>
      </c>
      <c r="CB40" s="537">
        <f>IF(B40="","",IF(AT40="No",((BB40+AW40)-$AZ$4),((BB40+AX40)-$AZ$4))*IF(DD40&gt;0,0,M40))</f>
        <v/>
      </c>
      <c r="CC40" s="537">
        <f>IF(B40="","",AY40*(L40-M40)*IF(DD40&gt;0,0,1))</f>
        <v/>
      </c>
      <c r="CD40" s="265" t="n"/>
      <c r="CE40" s="265">
        <f>IF(AND(B40&lt;&gt;"",R40&lt;=85%),1,0)</f>
        <v/>
      </c>
      <c r="CF40" s="265">
        <f>IF(B40="",0,(IF(OR(BF40="USD",BF40="CAD",BF40="GBP",BF40="AUD",BF40="EUR"),0,1)))</f>
        <v/>
      </c>
      <c r="CG40" s="265">
        <f>IF(B40="",0,(IF(OR(BG40="United States",BG40="Canada",BG40="United Kingdom",BG40="Australia",BG40="Netherlands Antilles",BG40="Bermuda",BG40="Cayman Islands",BG40="British Virgin Islands",BG40="Channel Islands",BG40="Isle of Man",BG40="Australia",BG40="Netherlands",BG40="Germany",BG40="Sweden",BG40="Switzerland",BG40="Austria",BG40="Belgium",BG40="Denmark",BG40="Finland",BG40="Iceland",BG40="Ireland",BG40="Lichtenstein",BG40="Luxemborg",BG40="Norway"),0,1)))</f>
        <v/>
      </c>
      <c r="CH40" s="265">
        <f>IF(BN40="Yes",1,0)</f>
        <v/>
      </c>
      <c r="CI40" s="265">
        <f>IF(BO40="Yes",1,0)</f>
        <v/>
      </c>
      <c r="CJ40" s="265">
        <f>IF(BP40="Yes",1,0)</f>
        <v/>
      </c>
      <c r="CK40" s="265">
        <f>IF(BQ40="Yes",1,0)</f>
        <v/>
      </c>
      <c r="CL40" s="265">
        <f>IF(BR40="Yes",1,0)</f>
        <v/>
      </c>
      <c r="CM40" s="265">
        <f>IF(BS40="Yes",1,0)</f>
        <v/>
      </c>
      <c r="CN40" s="265">
        <f>IF(OR(AND(BJ40="Yes",N40="No"),AND(BJ40="Yes",N40="Yes",P40&gt;=6)),1,0)</f>
        <v/>
      </c>
      <c r="CO40" s="265">
        <f>IF(BT40="Yes",1,0)</f>
        <v/>
      </c>
      <c r="CP40" s="265">
        <f>IF(AND(BU40="Yes",BV40="No"),1,0)</f>
        <v/>
      </c>
      <c r="CQ40" s="265">
        <f>IF(BW40="Yes",1,0)</f>
        <v/>
      </c>
      <c r="CR40" s="265">
        <f>IF(AP40="",0,IF(AP40&gt;7,1,0))</f>
        <v/>
      </c>
      <c r="CS40" s="265">
        <f>IF(OR(BD40&lt;&gt;"Monthly",BD40&lt;&gt;"Quarterly",BD40&lt;&gt;"Semi-Annually"),0,1)</f>
        <v/>
      </c>
      <c r="CT40" s="265">
        <f>IF(BX40="Yes",1,0)</f>
        <v/>
      </c>
      <c r="CU40" s="265">
        <f>IF(BY40="Yes",1,0)</f>
        <v/>
      </c>
      <c r="CV40" s="265">
        <f>IF(BZ40="Yes",1,0)</f>
        <v/>
      </c>
      <c r="CW40" s="265">
        <f>IF(CA40="No",1,0)</f>
        <v/>
      </c>
      <c r="CX40" s="265">
        <f>IF(B40="",0,IF(AK40&gt;=5000000,0,1))</f>
        <v/>
      </c>
      <c r="CY40" s="265">
        <f>IF(B40="",0,IF(AL40&gt;=5000000,0,1))</f>
        <v/>
      </c>
      <c r="CZ40" s="265">
        <f>IF(OR(DA40=1,DB40=1,DC40=1),0,IF(B40="",0,IF(OR(AND(AN40="Tier 1",X40="No",OR(AI40&gt;$AJ$3,AJ40&gt;$AJ$4)),(AND(AN40="Tier 1",X40="Yes",AJ40&gt;$AJ$5)),(AND(AN40="Tier 2",X40="No",OR(AI40&gt;$AK$3,AJ40&gt;$AK$4))),(AND(AN40="Tier 2",X40="Yes",AJ40&gt;$AK$5)),(AND(AN40="Tier 3",X40="No",OR(AI40&gt;$AL$3,AJ40&gt;$AL$4))),(AND(AN40="Tier 3",X40="Yes",AJ40&gt;$AL$5))),1,0)))</f>
        <v/>
      </c>
      <c r="DA40" s="265">
        <f>IF(OR(DB40=1,DC40=1),0,IF(B40="",0,IF(OR(AND(AN40="Tier 1",X40="No",OR(AI40&gt;$AM$3,AJ40&gt;$AM$4)),(AND(AN40="Tier 1",X40="Yes",AJ40&gt;$AM$5)),(AND(AN40="Tier 2",X40="No",OR(AI40&gt;$AN$3,AJ40&gt;$AN$4))),(AND(AN40="Tier 2",X40="Yes",AJ40&gt;$AN$5)),(AND(AN40="Tier 3",X40="No",OR(AI40&gt;$AO$3,AJ40&gt;$AO$4))),(AND(AN40="Tier 3",X40="Yes",AJ40&gt;$AO$5))),1,0)))</f>
        <v/>
      </c>
      <c r="DB40" s="265">
        <f>IF(DC40=1,0,IF(B40="",0,IF(OR(AND(AN40="Tier 1",X40="No",OR(AI40&gt;$AP$3,AJ40&gt;$AP$4)),(AND(AN40="Tier 1",X40="Yes",AJ40&gt;$AP$5)),(AND(AN40="Tier 2",X40="No",OR(AI40&gt;$AQ$3,AJ40&gt;$AQ$4))),(AND(AN40="Tier 2",X40="Yes",AJ40&gt;$AQ$5)),(AND(AN40="Tier 3",X40="No",OR(AI40&gt;$AR$3,AJ40&gt;$AR$4))),(AND(AN40="Tier 3",X40="Yes",AJ40&gt;$AR$5))),1,0)))</f>
        <v/>
      </c>
      <c r="DC40" s="265">
        <f>IF(B40="",0,IF(OR(AND(AN40="Tier 1",X40="No",OR(AI40&gt;$AS$3,AJ40&gt;$AS$4)),(AND(AN40="Tier 1",X40="Yes",AJ40&gt;$AS$5)),(AND(AN40="Tier 2",X40="No",OR(AI40&gt;$AT$3,AJ40&gt;$AT$4))),(AND(AN40="Tier 2",X40="Yes",AJ40&gt;$AT$5)),(AND(AN40="Tier 3",X40="No",OR(AI40&gt;$AU$3,AJ40&gt;$AU$4))),(AND(AN40="Tier 3",X40="Yes",AJ40&gt;$AU$5))),1,0))</f>
        <v/>
      </c>
      <c r="DD40" s="265">
        <f>IF((SUM(CE40:CX40)=0),0,W40)</f>
        <v/>
      </c>
      <c r="DE40" s="265">
        <f>IF(OR(B40="",DD40&gt;0),0,W40)</f>
        <v/>
      </c>
      <c r="DF40" s="265">
        <f>IF(B40="",0,IF(COUNTIF(CE40:CX40,1)&gt;0,0,L40-M40))</f>
        <v/>
      </c>
      <c r="DG40" s="265">
        <f>DE40+IF(DD40&gt;0,0,DF40)</f>
        <v/>
      </c>
      <c r="DH40" s="265">
        <f>IF(B40="","",M40+DF40)</f>
        <v/>
      </c>
      <c r="DI40" s="265">
        <f>IF(B40="",0,J40-K40)</f>
        <v/>
      </c>
      <c r="DJ40" s="265">
        <f>IF(OR(BF40="EUR",BF40="CAD",BF40="GBP",BF40="AUD"),(GA40*(1-V40))+(HG40)+IF(HX40="",0,HX40*(1-U40)),0)</f>
        <v/>
      </c>
      <c r="DK40" s="265">
        <f>IF(BF40="EUR",33%,IF(BF40="CAD",38%,IF(BF40="GBP",51%,IF(BF40="AUD",61%,0))))</f>
        <v/>
      </c>
      <c r="DL40" s="265">
        <f>DJ40*DK40</f>
        <v/>
      </c>
      <c r="DN40" s="538">
        <f>IF(OR(Y40="Second Lien",Y40="Tier 1 Split Lien",Y40="Tier 2 Split Lien"),DG40,0)</f>
        <v/>
      </c>
      <c r="DO40" s="539">
        <f>DN40*DN$6</f>
        <v/>
      </c>
      <c r="DP40" s="538">
        <f>DG40-DO40</f>
        <v/>
      </c>
      <c r="DQ40" s="538">
        <f>IF(Y40="Second Lien",DP40,0)</f>
        <v/>
      </c>
      <c r="DR40" s="539">
        <f>DQ40*DQ$6</f>
        <v/>
      </c>
      <c r="DS40" s="538">
        <f>DP40-DR40</f>
        <v/>
      </c>
      <c r="DT40" s="538">
        <f>IF(BH40="Yes",DS40,0)</f>
        <v/>
      </c>
      <c r="DU40" s="539">
        <f>DT40*DT$6</f>
        <v/>
      </c>
      <c r="DV40" s="538">
        <f>DS40-DU40</f>
        <v/>
      </c>
      <c r="DW40" s="538">
        <f>IF(OR(BG40="Canada",BG40="United Kingdom",BG40="Australia",BG40="Netherlands Antilles",BG40="Bermuda",BG40="Cayman Islands",BG40="British Virgin Islands",BG40="Channel Islands",BG40="Isle of Man",BG40="Australia",BG40="Netherlands",BG40="Germany",BG40="Sweden",BG40="Switzerland",BG40="Austria",BG40="Belgium",BG40="Denmark",BG40="Finland",BG40="Iceland",BG40="Ireland",BG40="Lichtenstein",BG40="Luxemborg",BG40="Norway"),DV40,0)</f>
        <v/>
      </c>
      <c r="DX40" s="539">
        <f>DW40*DW$6</f>
        <v/>
      </c>
      <c r="DY40" s="538">
        <f>DV40-DX40</f>
        <v/>
      </c>
      <c r="DZ40" s="538">
        <f>IF(BI40="Yes",DY40,0)</f>
        <v/>
      </c>
      <c r="EA40" s="539">
        <f>DZ40*DZ$6</f>
        <v/>
      </c>
      <c r="EB40" s="538">
        <f>DY40-EA40</f>
        <v/>
      </c>
      <c r="EC40" s="538">
        <f>IF(OR(Z40="Delayed Draw",Z40="Revolver"),EB40,0)</f>
        <v/>
      </c>
      <c r="ED40" s="539">
        <f>EC40*EC$6</f>
        <v/>
      </c>
      <c r="EE40" s="538">
        <f>EB40-ED40</f>
        <v/>
      </c>
      <c r="EF40" s="538">
        <f>IF(S40="Yes",EE40,0)</f>
        <v/>
      </c>
      <c r="EG40" s="539">
        <f>EF40*EF$6</f>
        <v/>
      </c>
      <c r="EH40" s="538">
        <f>EE40-EG40</f>
        <v/>
      </c>
      <c r="EI40" s="538">
        <f>IF(Q40="Yes",EH40,0)</f>
        <v/>
      </c>
      <c r="EJ40" s="539">
        <f>EI40*EI$6</f>
        <v/>
      </c>
      <c r="EK40" s="538">
        <f>EH40-EJ40</f>
        <v/>
      </c>
      <c r="EL40" s="538">
        <f>IF(BD40="Semi-Annually",EK40,0)</f>
        <v/>
      </c>
      <c r="EM40" s="539">
        <f>EL40*EL$6</f>
        <v/>
      </c>
      <c r="EN40" s="538">
        <f>EK40-EM40</f>
        <v/>
      </c>
      <c r="EO40" s="538">
        <f>IF(BK40="Yes",EN40,0)</f>
        <v/>
      </c>
      <c r="EP40" s="539">
        <f>EO40*EO$6</f>
        <v/>
      </c>
      <c r="EQ40" s="538">
        <f>EN40-EP40</f>
        <v/>
      </c>
      <c r="ER40" s="538">
        <f>IF(BL40="Yes",EQ40,0)</f>
        <v/>
      </c>
      <c r="ES40" s="539">
        <f>ER40*ER$6</f>
        <v/>
      </c>
      <c r="ET40" s="538">
        <f>EQ40-ES40</f>
        <v/>
      </c>
      <c r="EU40" s="538">
        <f>IF(BM40="Yes",ET40,0)</f>
        <v/>
      </c>
      <c r="EV40" s="539">
        <f>EU40*EU$6</f>
        <v/>
      </c>
      <c r="EW40" s="538">
        <f>ET40-EV40</f>
        <v/>
      </c>
      <c r="EX40" s="538">
        <f>IF(BV40="Yes",EW40,0)</f>
        <v/>
      </c>
      <c r="EY40" s="539">
        <f>EX40*EX$6</f>
        <v/>
      </c>
      <c r="EZ40" s="538">
        <f>EW40-EY40</f>
        <v/>
      </c>
      <c r="FA40" s="538">
        <f>IF(AR40="Yes",EZ40,0)</f>
        <v/>
      </c>
      <c r="FB40" s="539">
        <f>FA40*FA$6</f>
        <v/>
      </c>
      <c r="FC40" s="538">
        <f>EZ40-FB40</f>
        <v/>
      </c>
      <c r="FD40" s="538">
        <f>IF(OR(BF40="EUR",BF40="AUD",BF40="CAD",BF40="GBP"),FC40,0)</f>
        <v/>
      </c>
      <c r="FE40" s="539">
        <f>FD40*FD$6</f>
        <v/>
      </c>
      <c r="FF40" s="538">
        <f>FC40-FE40</f>
        <v/>
      </c>
      <c r="FG40" s="538">
        <f>FF40</f>
        <v/>
      </c>
      <c r="FH40" s="538">
        <f>IF(FF40=0,0,VLOOKUP(C40,$GU$10:$GV$406,2,FALSE)*FF40)</f>
        <v/>
      </c>
      <c r="FI40" s="538">
        <f>FF40-FH40</f>
        <v/>
      </c>
      <c r="FJ40" s="538">
        <f>FI40</f>
        <v/>
      </c>
      <c r="FK40" s="538">
        <f>IF(OR(IB40="",FI40&lt;0.01),,VLOOKUP(IB40,$GL$10:$GM$406,2,FALSE)*FI40)</f>
        <v/>
      </c>
      <c r="FL40" s="538">
        <f>FI40-FK40</f>
        <v/>
      </c>
      <c r="FM40" s="538">
        <f>FL40</f>
        <v/>
      </c>
      <c r="FN40" s="538">
        <f>IF(FL40=0,0,VLOOKUP(C40,$HD$10:$HE$406,2,FALSE)*FL40)</f>
        <v/>
      </c>
      <c r="FO40" s="538">
        <f>FL40-FN40</f>
        <v/>
      </c>
      <c r="FP40" s="538">
        <f>IF(SUM(CY40:DC40)&gt;0,0,IF(AND(AL40&gt;=5000000,AL40&lt;7500000),FO40,0))</f>
        <v/>
      </c>
      <c r="FQ40" s="539">
        <f>IF(B40="",0,FP40*FP$6*(1-$U40))</f>
        <v/>
      </c>
      <c r="FR40" s="538">
        <f>FO40-FQ40</f>
        <v/>
      </c>
      <c r="FS40" s="538">
        <f>IF(SUM(CY40:DC40)&gt;0,0,IF(AL40&lt;15000000,FR40,0))</f>
        <v/>
      </c>
      <c r="FT40" s="539">
        <f>IF(B40="",0,FS40*FS$6*(1-$U40))</f>
        <v/>
      </c>
      <c r="FU40" s="538">
        <f>FR40-FT40</f>
        <v/>
      </c>
      <c r="FV40" s="538">
        <f>IF(SUM(CY40:DC40)&gt;0,0,IF(OR(AND(X40="No",AN40="Tier 1",AI40&gt;$AG$3),AND(X40="No",AN40="Tier 2",AI40&gt;$AH$3),AND(X40="No",AN40="Tier 3",AI40&gt;$AI$3)),FU40,0))</f>
        <v/>
      </c>
      <c r="FW40" s="538">
        <f>IF(SUM(CY40:DC40)&gt;0,0,IF(OR(AND(X40="No",AN40="Tier 1",AJ40&gt;$AG$4),AND(X40="No",AN40="Tier 2",AJ40&gt;$AH$4),AND(X40="No",AN40="Tier 3",AJ40&gt;$AI$4)),FU40,0))</f>
        <v/>
      </c>
      <c r="FX40" s="538">
        <f>IF(SUM(CY40:DC40)&gt;0,0,IF(OR(AND(X40="Yes",AN40="Tier 1",AJ40&gt;$AG$5),AND(X40="Yes",AN40="Tier 2",AJ40&gt;$AH$5),AND(X40="Yes",AN40="Tier 3",AJ40&gt;$AI$5)),FU40,0))</f>
        <v/>
      </c>
      <c r="FY40" s="538">
        <f>IF(SUM(FV40:FX40)&gt;0,FU40,0)</f>
        <v/>
      </c>
      <c r="FZ40" s="539">
        <f>IF(B40="",0,FY40*FV$6*(1-MIN(90%,T40)))</f>
        <v/>
      </c>
      <c r="GA40" s="538">
        <f>FU40-FZ40</f>
        <v/>
      </c>
      <c r="GB40" s="538">
        <f>IF(AND(N40="No",DI40=0),GA40,IF(AND(N40="No",DI40&lt;&gt;0,K40=0),0,IF(AND(N40="No",DI40&lt;&gt;0,K40&gt;0,J40&lt;&gt;K40),MAX(0,M40-(DH40-GA40)),DG40)))</f>
        <v/>
      </c>
      <c r="GC40" s="540">
        <f>+GB40*V40</f>
        <v/>
      </c>
      <c r="GD40" s="138">
        <f>IFERROR(GC40/K40,"")</f>
        <v/>
      </c>
      <c r="GE40" s="541">
        <f>IF(IB40="","",IB40)</f>
        <v/>
      </c>
      <c r="GF40" s="538">
        <f t="array" ref="GF40">IF(SUM(IF(IB$9:IB39=IB40,1,0))&gt;0,0,SUMIF($IB$10:$IB$406,IB40,$FI$10:$FI$406))</f>
        <v/>
      </c>
      <c r="GG40" s="270">
        <f>GF40</f>
        <v/>
      </c>
      <c r="GH40" s="137">
        <f>GH39+1</f>
        <v/>
      </c>
      <c r="GI40" s="542">
        <f>LARGE($GG$10:$GG$406,GH40)</f>
        <v/>
      </c>
      <c r="GJ40" s="542">
        <f>IF(GH40&gt;GH$6,0,IF(GH40=$GH$2,$GJ$2,IF(GH40&lt;4,$GJ$3,$GJ$4)))</f>
        <v/>
      </c>
      <c r="GK40" s="489">
        <f>MAX(0,GI40-GJ40)</f>
        <v/>
      </c>
      <c r="GL40" s="137">
        <f t="array" ref="GL40">IF(GI40=0,0,LARGE(IF($GF$10:$GF$406=GI40,$GE$10:$GE$406,0),COUNTIF($GI$10:$GI$406,GI40)-COUNTIF(GI$9:GI39,GI40)))</f>
        <v/>
      </c>
      <c r="GM40" s="272">
        <f>IF(GI40=0,0,GK40/GI40)</f>
        <v/>
      </c>
      <c r="GO40" s="137">
        <f>IF(C40="","",IF(ISERROR(MATCH(C40,C$10:C39,0)),MAX(GO$10:GO39)+1,INDEX(GO$10:GO39,MATCH(C40,C$10:C39,0))))</f>
        <v/>
      </c>
      <c r="GP40" s="538">
        <f>IF(COUNTIF($A$10:A40,A40)&lt;=1,SUMIF($A$10:$A$406,A40,$FG$10:$FG$406),0)</f>
        <v/>
      </c>
      <c r="GQ40" s="137">
        <f>GQ39+1</f>
        <v/>
      </c>
      <c r="GR40" s="542">
        <f>LARGE($GP$10:$GP$406,GQ40)</f>
        <v/>
      </c>
      <c r="GS40" s="542">
        <f>IF(GQ40&gt;GQ$6,0,IF(GQ40&lt;=GQ$2,GS$2,IF(AND(GQ40&lt;=$GQ$3,GQ40&gt;$GQ$2),GS$3,GS$4)))</f>
        <v/>
      </c>
      <c r="GT40" s="489">
        <f>MAX(0,GR40-GS40)</f>
        <v/>
      </c>
      <c r="GU40" s="137">
        <f t="array" ref="GU40">IF(GR40=0,0,LARGE(IF($GP$10:$GP$406=GR40,$GO$10:$GO$406,0),COUNTIF($GR$10:$GR$406,GR40)-COUNTIF(GR$9:GR39,GR40)))</f>
        <v/>
      </c>
      <c r="GV40" s="272">
        <f>IF(GR40=0,0,GT40/GR40)</f>
        <v/>
      </c>
      <c r="GW40" s="272" t="n"/>
      <c r="GX40" s="137">
        <f>IF(C40="","",IF(ISERROR(MATCH(C40,C$10:C39,0)),MAX(GO$10:GO39)+1,INDEX(GO$10:GO39,MATCH(C40,C$10:C39,0))))</f>
        <v/>
      </c>
      <c r="GY40" s="538">
        <f>IF(COUNTIF($A$10:A40,A40)&lt;=1,SUMIF($A$10:$A$406,A40,$FG$10:$FG$406),0)</f>
        <v/>
      </c>
      <c r="GZ40" s="137">
        <f>GZ39+1</f>
        <v/>
      </c>
      <c r="HA40" s="542">
        <f>LARGE($GY$10:$GY$406,GZ40)</f>
        <v/>
      </c>
      <c r="HB40" s="543" t="inlineStr">
        <is>
          <t>-</t>
        </is>
      </c>
      <c r="HC40" s="489">
        <f>IF(GZ40&lt;6,MAX(0,$HC$2/5),0)</f>
        <v/>
      </c>
      <c r="HD40" s="137">
        <f t="array" ref="HD40">IF(HA40=0,0,LARGE(IF($GY$10:$GY$406=HA40,$GX$10:$GX$406,0),COUNTIF($HA$10:$HA$406,HA40)-COUNTIF(HA$9:HA39,HA40)))</f>
        <v/>
      </c>
      <c r="HE40" s="272">
        <f>IF(HA40=0,0,HC40/HA40)</f>
        <v/>
      </c>
      <c r="HG40" s="270">
        <f>DG40-GA40</f>
        <v/>
      </c>
      <c r="HH40" s="544" t="n">
        <v>0</v>
      </c>
      <c r="HI40" s="538">
        <f>MIN(HH40,DE40)</f>
        <v/>
      </c>
      <c r="HK40" s="137">
        <f>IF(COUNTIF($C$10:$C$406,HK39+1),HK39+1,"")</f>
        <v/>
      </c>
      <c r="HL40" s="538">
        <f>SUMIF($C$10:$C$406,HK40,$DG$10:$DG$406)</f>
        <v/>
      </c>
      <c r="HN40" s="521">
        <f>MIN(HO40:HS40)</f>
        <v/>
      </c>
      <c r="HO40" s="521">
        <f>IF(B40="","",$M40)</f>
        <v/>
      </c>
      <c r="HP40" s="521">
        <f>IF($N40="Yes",IF(P40&gt;=6,0,MIN($T40*$M40,$U40*$M40)),"")</f>
        <v/>
      </c>
      <c r="HQ40" s="521">
        <f>IF(AND(N40="Yes",P40&gt;=6),"",IF($S40="Yes",$R40*$M40,""))</f>
        <v/>
      </c>
      <c r="HR40" s="521">
        <f>IF($Q40="Yes",MIN($M40,$T40*$M40),"")</f>
        <v/>
      </c>
      <c r="HS40" s="521">
        <f>IF(AND($N40="Yes",$P40&gt;=6),"",IF(OR(CY40=1,DC40=1,),MIN($T40*$M40,$U40*$M40),IF(OR(CZ40=1,DA40=1,DB40=1),IF(AK40&gt;=5000000,MIN($T40*$M40,$IE40*$M40),MIN($T40*$M40,$U40*$M40)),"")))</f>
        <v/>
      </c>
      <c r="HT40" s="521">
        <f>IF(DD40&gt;0,DD40,"")</f>
        <v/>
      </c>
      <c r="HU40" s="522">
        <f>IF(B40="",0,$L40-$M40)</f>
        <v/>
      </c>
      <c r="HV40" s="274">
        <f>IF(OR(SUM(HP40:HT40)&gt;0,P40&gt;=6),"",IF($B40="","",1))</f>
        <v/>
      </c>
      <c r="HW40" s="522">
        <f>IF(AND($HT40&lt;&gt;0,OR(HT40&lt;=MIN(HP40:HS40),SUM(HP40:HS40)=0)),$HT40,0)</f>
        <v/>
      </c>
      <c r="HX40" s="522">
        <f>IF(AND($HS40&lt;&gt;0,OR(AND($HS40&lt;&gt;$HT40,$HS40&lt;&gt;$HR40,$HS40&lt;&gt;$HQ40,$HS40&lt;&gt;$HP40,$HS40&lt;MIN($HP40:$HR40),$HS40&lt;HT40),SUM($HP40:$HR40)+SUM(HT40)=0),IA40&lt;=0),$HS40,0)</f>
        <v/>
      </c>
      <c r="HY40" s="522">
        <f>IF(AND($HR40&lt;&gt;0,OR(AND($HR40&lt;&gt;$HT40,$HR40&lt;&gt;$HS40,$HR40&lt;&gt;$HQ40,$HR40&lt;&gt;$HP40),$HR40&lt;MIN($HP40:$HQ40),$HR40&lt;MIN($HS40:$HT40),SUM($HP40:$HQ40)+SUM($HS40:$HT40)=0)),$HR40,0)</f>
        <v/>
      </c>
      <c r="HZ40" s="522">
        <f>IF(AND($HQ40&lt;&gt;0,OR(AND($HQ40&lt;&gt;$HT40,HQ40&lt;&gt;HS40,HQ40&lt;&gt;HR40,HQ40&lt;&gt;HP40,HQ40&lt;MIN(HR40:HT40)),SUM(HP40)+SUM(HR40:HT40)=0)),$HQ40,0)</f>
        <v/>
      </c>
      <c r="IA40" s="522">
        <f>IF(AND($HP40&lt;&gt;0,OR(HP40&lt;=MIN(HQ40:HT40),SUM(HQ40:HT40)=0)),$HP40,0)</f>
        <v/>
      </c>
      <c r="IB40" s="545" t="n">
        <v>33</v>
      </c>
      <c r="IC40">
        <f>HU40=DF40</f>
        <v/>
      </c>
      <c r="IE40" s="351">
        <f>IF(B40="","",IF(AND(Y40="Second Lien",OR(CZ40=1,DA40=1,DB40=1)),50%,IF(CZ40=1,90%,IF(DA40=1,80%,IF(DB40=1,65%,"No Initial Haircut")))))</f>
        <v/>
      </c>
    </row>
    <row r="41">
      <c r="A41">
        <f>D41</f>
        <v/>
      </c>
      <c r="B41" s="242">
        <f>IF(D41="","",B40+1)</f>
        <v/>
      </c>
      <c r="C41" s="242">
        <f>IF(COUNTIF($A$10:A40,A41)&gt;0,C40,C40+1)</f>
        <v/>
      </c>
      <c r="D41" s="243" t="inlineStr">
        <is>
          <t>Hartwell Holdings, LLC</t>
        </is>
      </c>
      <c r="E41" s="243" t="inlineStr">
        <is>
          <t>Hartwell (Term Loan)</t>
        </is>
      </c>
      <c r="F41" s="244" t="n"/>
      <c r="G41" s="528" t="n">
        <v>17428247.09</v>
      </c>
      <c r="H41" s="528" t="n">
        <v>17428247.09</v>
      </c>
      <c r="I41" s="246" t="n">
        <v>1</v>
      </c>
      <c r="J41" s="529">
        <f>IF(B41="","",G41*I41)</f>
        <v/>
      </c>
      <c r="K41" s="529">
        <f>IF(B41="","",H41*I41)</f>
        <v/>
      </c>
      <c r="L41" s="529">
        <f>IF(B41="","",IF(COUNTIF($CE41:$CX41,1)&gt;0,0,J41))</f>
        <v/>
      </c>
      <c r="M41" s="529">
        <f>IF(B41="","",IF(COUNTIF($CE41:$CX41,1)&gt;0,0,K41))</f>
        <v/>
      </c>
      <c r="N41" s="248" t="inlineStr">
        <is>
          <t>No</t>
        </is>
      </c>
      <c r="O41" s="248" t="inlineStr">
        <is>
          <t>N/A</t>
        </is>
      </c>
      <c r="P41" s="249">
        <f>IF(B41="","",IF(OR(O41="N/A",O41=""),0,YEARFRAC('Borrowing Base'!$J$4,'Loan List'!O41)*12))</f>
        <v/>
      </c>
      <c r="Q41" s="248" t="inlineStr">
        <is>
          <t>No</t>
        </is>
      </c>
      <c r="R41" s="250" t="n">
        <v>0.9901938</v>
      </c>
      <c r="S41" s="251">
        <f>IF(B41="","",IF(R41&lt;95%,"Yes","No"))</f>
        <v/>
      </c>
      <c r="T41" s="250" t="n">
        <v>1</v>
      </c>
      <c r="U41" s="252">
        <f>IF(B41="","",IF(OR(Y41="First Lien",Y41="Split First Lien",Y41="Tier 1 Split Lien",Y41="Tier 2 Split Lien"),50%,30%))</f>
        <v/>
      </c>
      <c r="V41" s="252">
        <f>IF(B41="",0,IF(AND(Y41="First Lien",AN41="Tier 1"),IF(AND(X41="Yes",MIN(AH41,$AJ$5)&gt;4.5),(((4.5/MIN(AH41,$AJ$5))*72.5%)+(((MIN(AH41,$AJ$5)-4.5)/MIN(AH41,$AJ$5))*35%)),72.5%),IF(AND(Y41="First Lien",AN41="Tier 2"),IF(AND(X41="Yes",MIN(AH41,$AK$5)&gt;4.5),(((4.5/MIN(AH41,$AK$5))*72.5%)+(((MIN(AH41,$AK$5)-4.5)/MIN(AH41,$AK$5))*35%)),72.5%),IF(AND(X41="Yes",MIN(AH41,$AL$5)&gt;4),(((4/MIN(AH41,$AL$5))*72.5%)+(((MIN(AH41,$AL$5)-4)/MIN(AH41,$AL$5))*35%)),IF(OR(Y41="First Lien",Y41="Split First Lien"),72.5%,IF(Y41="Split Lien", 53%,35%))))))</f>
        <v/>
      </c>
      <c r="W41" s="530">
        <f>IF($C41="","",MIN($HO41:$HS41))</f>
        <v/>
      </c>
      <c r="X41" s="248" t="inlineStr">
        <is>
          <t>No</t>
        </is>
      </c>
      <c r="Y41" s="254" t="inlineStr">
        <is>
          <t>First Lien</t>
        </is>
      </c>
      <c r="Z41" s="254" t="inlineStr">
        <is>
          <t>Term</t>
        </is>
      </c>
      <c r="AA41" s="531" t="inlineStr">
        <is>
          <t>NR</t>
        </is>
      </c>
      <c r="AB41" s="531" t="inlineStr">
        <is>
          <t xml:space="preserve"> NR</t>
        </is>
      </c>
      <c r="AC41" s="532" t="n">
        <v>1.89592629906933</v>
      </c>
      <c r="AD41" s="532" t="n">
        <v>1.88433895083373</v>
      </c>
      <c r="AE41" s="532" t="n">
        <v>3.923975087978766</v>
      </c>
      <c r="AF41" s="257" t="n">
        <v>0.13209702029486</v>
      </c>
      <c r="AG41" s="533" t="n">
        <v>1.88433895083373</v>
      </c>
      <c r="AH41" s="533" t="n">
        <v>1.88433895083373</v>
      </c>
      <c r="AI41" s="533" t="n">
        <v>3.298023415858467</v>
      </c>
      <c r="AJ41" s="533" t="n">
        <v>3.614198869598468</v>
      </c>
      <c r="AK41" s="534" t="n">
        <v>12968210.729385</v>
      </c>
      <c r="AL41" s="534" t="n">
        <v>22614026.2168474</v>
      </c>
      <c r="AM41" s="276" t="n">
        <v>45838</v>
      </c>
      <c r="AN41" s="529">
        <f>IF(C41="","",(IF(AK41&gt;=50000000,"Tier 1",(IF(OR(AK41&gt;=20000000,AND(AK41&gt;5000000,AC41&gt;=1.25,AF41&lt;=0.65)),"Tier 2","Tier 3")))))</f>
        <v/>
      </c>
      <c r="AO41" s="244" t="n">
        <v>47753</v>
      </c>
      <c r="AP41" s="535" t="n">
        <v>5.158333333333333</v>
      </c>
      <c r="AQ41" s="535">
        <f>IF(C41="","",AP41)</f>
        <v/>
      </c>
      <c r="AR41" s="248" t="inlineStr">
        <is>
          <t>No</t>
        </is>
      </c>
      <c r="AS41" s="250" t="n">
        <v>0</v>
      </c>
      <c r="AT41" s="248" t="inlineStr">
        <is>
          <t>Yes</t>
        </is>
      </c>
      <c r="AU41" s="250" t="n">
        <v>0.01</v>
      </c>
      <c r="AV41" s="250" t="n">
        <v>0.05</v>
      </c>
      <c r="AW41" s="250" t="n">
        <v>0.04301999999999999</v>
      </c>
      <c r="AX41" s="262">
        <f>IF(C41="","",MAX(AU41,AW41))</f>
        <v/>
      </c>
      <c r="AY41" s="250" t="n">
        <v>0</v>
      </c>
      <c r="AZ41" s="250" t="n">
        <v>0</v>
      </c>
      <c r="BA41" s="250" t="n">
        <v>0</v>
      </c>
      <c r="BB41" s="412">
        <f>IF(B41="","",IF(AR41="No",AV41-AZ41,""))</f>
        <v/>
      </c>
      <c r="BC41" s="412">
        <f>IF(B41="","",IF(AR41="Yes",AS41-BA41,""))</f>
        <v/>
      </c>
      <c r="BD41" s="254" t="inlineStr">
        <is>
          <t>Quarterly</t>
        </is>
      </c>
      <c r="BE41" s="536" t="inlineStr">
        <is>
          <t>Diversified Consumer Services</t>
        </is>
      </c>
      <c r="BF41" s="254" t="inlineStr">
        <is>
          <t>USD</t>
        </is>
      </c>
      <c r="BG41" s="254" t="inlineStr">
        <is>
          <t>United States</t>
        </is>
      </c>
      <c r="BH41" s="248" t="inlineStr">
        <is>
          <t>No</t>
        </is>
      </c>
      <c r="BI41" s="413">
        <f>IF(B41="","",IF(OR(AND(AZ41&gt;0,BB41&gt;=2.5%,BB41&lt;4%),AND(BA41&gt;0,BC41&gt;=6%,BC41&lt;8%)),"Yes","No"))</f>
        <v/>
      </c>
      <c r="BJ41" s="413">
        <f>IF(B41="","",IF(OR(AND(AZ41&gt;0,BB41&lt;2.5%),AND(BA41&gt;0,BC41&lt;6%)),"Yes","No"))</f>
        <v/>
      </c>
      <c r="BK41" s="248" t="inlineStr">
        <is>
          <t>No</t>
        </is>
      </c>
      <c r="BL41" s="248" t="inlineStr">
        <is>
          <t>No</t>
        </is>
      </c>
      <c r="BM41" s="248" t="inlineStr">
        <is>
          <t>No</t>
        </is>
      </c>
      <c r="BN41" s="248" t="inlineStr">
        <is>
          <t>No</t>
        </is>
      </c>
      <c r="BO41" s="248" t="inlineStr">
        <is>
          <t>No</t>
        </is>
      </c>
      <c r="BP41" s="248" t="inlineStr">
        <is>
          <t>No</t>
        </is>
      </c>
      <c r="BQ41" s="248" t="inlineStr">
        <is>
          <t>No</t>
        </is>
      </c>
      <c r="BR41" s="248" t="inlineStr">
        <is>
          <t>No</t>
        </is>
      </c>
      <c r="BS41" s="248" t="inlineStr">
        <is>
          <t>No</t>
        </is>
      </c>
      <c r="BT41" s="248" t="inlineStr">
        <is>
          <t>No</t>
        </is>
      </c>
      <c r="BU41" s="248" t="inlineStr">
        <is>
          <t>No</t>
        </is>
      </c>
      <c r="BV41" s="248" t="inlineStr">
        <is>
          <t>No</t>
        </is>
      </c>
      <c r="BW41" s="248" t="inlineStr">
        <is>
          <t>No</t>
        </is>
      </c>
      <c r="BX41" s="248" t="inlineStr">
        <is>
          <t>No</t>
        </is>
      </c>
      <c r="BY41" s="248" t="inlineStr">
        <is>
          <t>No</t>
        </is>
      </c>
      <c r="BZ41" s="248" t="inlineStr">
        <is>
          <t>No</t>
        </is>
      </c>
      <c r="CA41" s="248" t="inlineStr">
        <is>
          <t>Yes</t>
        </is>
      </c>
      <c r="CB41" s="537">
        <f>IF(B41="","",IF(AT41="No",((BB41+AW41)-$AZ$4),((BB41+AX41)-$AZ$4))*IF(DD41&gt;0,0,M41))</f>
        <v/>
      </c>
      <c r="CC41" s="537">
        <f>IF(B41="","",AY41*(L41-M41)*IF(DD41&gt;0,0,1))</f>
        <v/>
      </c>
      <c r="CD41" s="265" t="n"/>
      <c r="CE41" s="265">
        <f>IF(AND(B41&lt;&gt;"",R41&lt;=85%),1,0)</f>
        <v/>
      </c>
      <c r="CF41" s="265">
        <f>IF(B41="",0,(IF(OR(BF41="USD",BF41="CAD",BF41="GBP",BF41="AUD",BF41="EUR"),0,1)))</f>
        <v/>
      </c>
      <c r="CG41" s="265">
        <f>IF(B41="",0,(IF(OR(BG41="United States",BG41="Canada",BG41="United Kingdom",BG41="Australia",BG41="Netherlands Antilles",BG41="Bermuda",BG41="Cayman Islands",BG41="British Virgin Islands",BG41="Channel Islands",BG41="Isle of Man",BG41="Australia",BG41="Netherlands",BG41="Germany",BG41="Sweden",BG41="Switzerland",BG41="Austria",BG41="Belgium",BG41="Denmark",BG41="Finland",BG41="Iceland",BG41="Ireland",BG41="Lichtenstein",BG41="Luxemborg",BG41="Norway"),0,1)))</f>
        <v/>
      </c>
      <c r="CH41" s="265">
        <f>IF(BN41="Yes",1,0)</f>
        <v/>
      </c>
      <c r="CI41" s="265">
        <f>IF(BO41="Yes",1,0)</f>
        <v/>
      </c>
      <c r="CJ41" s="265">
        <f>IF(BP41="Yes",1,0)</f>
        <v/>
      </c>
      <c r="CK41" s="265">
        <f>IF(BQ41="Yes",1,0)</f>
        <v/>
      </c>
      <c r="CL41" s="265">
        <f>IF(BR41="Yes",1,0)</f>
        <v/>
      </c>
      <c r="CM41" s="265">
        <f>IF(BS41="Yes",1,0)</f>
        <v/>
      </c>
      <c r="CN41" s="265">
        <f>IF(OR(AND(BJ41="Yes",N41="No"),AND(BJ41="Yes",N41="Yes",P41&gt;=6)),1,0)</f>
        <v/>
      </c>
      <c r="CO41" s="265">
        <f>IF(BT41="Yes",1,0)</f>
        <v/>
      </c>
      <c r="CP41" s="265">
        <f>IF(AND(BU41="Yes",BV41="No"),1,0)</f>
        <v/>
      </c>
      <c r="CQ41" s="265">
        <f>IF(BW41="Yes",1,0)</f>
        <v/>
      </c>
      <c r="CR41" s="265">
        <f>IF(AP41="",0,IF(AP41&gt;7,1,0))</f>
        <v/>
      </c>
      <c r="CS41" s="265">
        <f>IF(OR(BD41&lt;&gt;"Monthly",BD41&lt;&gt;"Quarterly",BD41&lt;&gt;"Semi-Annually"),0,1)</f>
        <v/>
      </c>
      <c r="CT41" s="265">
        <f>IF(BX41="Yes",1,0)</f>
        <v/>
      </c>
      <c r="CU41" s="265">
        <f>IF(BY41="Yes",1,0)</f>
        <v/>
      </c>
      <c r="CV41" s="265">
        <f>IF(BZ41="Yes",1,0)</f>
        <v/>
      </c>
      <c r="CW41" s="265">
        <f>IF(CA41="No",1,0)</f>
        <v/>
      </c>
      <c r="CX41" s="265">
        <f>IF(B41="",0,IF(AK41&gt;=5000000,0,1))</f>
        <v/>
      </c>
      <c r="CY41" s="265">
        <f>IF(B41="",0,IF(AL41&gt;=5000000,0,1))</f>
        <v/>
      </c>
      <c r="CZ41" s="265">
        <f>IF(OR(DA41=1,DB41=1,DC41=1),0,IF(B41="",0,IF(OR(AND(AN41="Tier 1",X41="No",OR(AI41&gt;$AJ$3,AJ41&gt;$AJ$4)),(AND(AN41="Tier 1",X41="Yes",AJ41&gt;$AJ$5)),(AND(AN41="Tier 2",X41="No",OR(AI41&gt;$AK$3,AJ41&gt;$AK$4))),(AND(AN41="Tier 2",X41="Yes",AJ41&gt;$AK$5)),(AND(AN41="Tier 3",X41="No",OR(AI41&gt;$AL$3,AJ41&gt;$AL$4))),(AND(AN41="Tier 3",X41="Yes",AJ41&gt;$AL$5))),1,0)))</f>
        <v/>
      </c>
      <c r="DA41" s="265">
        <f>IF(OR(DB41=1,DC41=1),0,IF(B41="",0,IF(OR(AND(AN41="Tier 1",X41="No",OR(AI41&gt;$AM$3,AJ41&gt;$AM$4)),(AND(AN41="Tier 1",X41="Yes",AJ41&gt;$AM$5)),(AND(AN41="Tier 2",X41="No",OR(AI41&gt;$AN$3,AJ41&gt;$AN$4))),(AND(AN41="Tier 2",X41="Yes",AJ41&gt;$AN$5)),(AND(AN41="Tier 3",X41="No",OR(AI41&gt;$AO$3,AJ41&gt;$AO$4))),(AND(AN41="Tier 3",X41="Yes",AJ41&gt;$AO$5))),1,0)))</f>
        <v/>
      </c>
      <c r="DB41" s="265">
        <f>IF(DC41=1,0,IF(B41="",0,IF(OR(AND(AN41="Tier 1",X41="No",OR(AI41&gt;$AP$3,AJ41&gt;$AP$4)),(AND(AN41="Tier 1",X41="Yes",AJ41&gt;$AP$5)),(AND(AN41="Tier 2",X41="No",OR(AI41&gt;$AQ$3,AJ41&gt;$AQ$4))),(AND(AN41="Tier 2",X41="Yes",AJ41&gt;$AQ$5)),(AND(AN41="Tier 3",X41="No",OR(AI41&gt;$AR$3,AJ41&gt;$AR$4))),(AND(AN41="Tier 3",X41="Yes",AJ41&gt;$AR$5))),1,0)))</f>
        <v/>
      </c>
      <c r="DC41" s="265">
        <f>IF(B41="",0,IF(OR(AND(AN41="Tier 1",X41="No",OR(AI41&gt;$AS$3,AJ41&gt;$AS$4)),(AND(AN41="Tier 1",X41="Yes",AJ41&gt;$AS$5)),(AND(AN41="Tier 2",X41="No",OR(AI41&gt;$AT$3,AJ41&gt;$AT$4))),(AND(AN41="Tier 2",X41="Yes",AJ41&gt;$AT$5)),(AND(AN41="Tier 3",X41="No",OR(AI41&gt;$AU$3,AJ41&gt;$AU$4))),(AND(AN41="Tier 3",X41="Yes",AJ41&gt;$AU$5))),1,0))</f>
        <v/>
      </c>
      <c r="DD41" s="265">
        <f>IF((SUM(CE41:CX41)=0),0,W41)</f>
        <v/>
      </c>
      <c r="DE41" s="265">
        <f>IF(OR(B41="",DD41&gt;0),0,W41)</f>
        <v/>
      </c>
      <c r="DF41" s="265">
        <f>IF(B41="",0,IF(COUNTIF(CE41:CX41,1)&gt;0,0,L41-M41))</f>
        <v/>
      </c>
      <c r="DG41" s="265">
        <f>DE41+IF(DD41&gt;0,0,DF41)</f>
        <v/>
      </c>
      <c r="DH41" s="265">
        <f>IF(B41="","",M41+DF41)</f>
        <v/>
      </c>
      <c r="DI41" s="265">
        <f>IF(B41="",0,J41-K41)</f>
        <v/>
      </c>
      <c r="DJ41" s="265">
        <f>IF(OR(BF41="EUR",BF41="CAD",BF41="GBP",BF41="AUD"),(GA41*(1-V41))+(HG41)+IF(HX41="",0,HX41*(1-U41)),0)</f>
        <v/>
      </c>
      <c r="DK41" s="265">
        <f>IF(BF41="EUR",33%,IF(BF41="CAD",38%,IF(BF41="GBP",51%,IF(BF41="AUD",61%,0))))</f>
        <v/>
      </c>
      <c r="DL41" s="265">
        <f>DJ41*DK41</f>
        <v/>
      </c>
      <c r="DN41" s="538">
        <f>IF(OR(Y41="Second Lien",Y41="Tier 1 Split Lien",Y41="Tier 2 Split Lien"),DG41,0)</f>
        <v/>
      </c>
      <c r="DO41" s="539">
        <f>DN41*DN$6</f>
        <v/>
      </c>
      <c r="DP41" s="538">
        <f>DG41-DO41</f>
        <v/>
      </c>
      <c r="DQ41" s="538">
        <f>IF(Y41="Second Lien",DP41,0)</f>
        <v/>
      </c>
      <c r="DR41" s="539">
        <f>DQ41*DQ$6</f>
        <v/>
      </c>
      <c r="DS41" s="538">
        <f>DP41-DR41</f>
        <v/>
      </c>
      <c r="DT41" s="538">
        <f>IF(BH41="Yes",DS41,0)</f>
        <v/>
      </c>
      <c r="DU41" s="539">
        <f>DT41*DT$6</f>
        <v/>
      </c>
      <c r="DV41" s="538">
        <f>DS41-DU41</f>
        <v/>
      </c>
      <c r="DW41" s="538">
        <f>IF(OR(BG41="Canada",BG41="United Kingdom",BG41="Australia",BG41="Netherlands Antilles",BG41="Bermuda",BG41="Cayman Islands",BG41="British Virgin Islands",BG41="Channel Islands",BG41="Isle of Man",BG41="Australia",BG41="Netherlands",BG41="Germany",BG41="Sweden",BG41="Switzerland",BG41="Austria",BG41="Belgium",BG41="Denmark",BG41="Finland",BG41="Iceland",BG41="Ireland",BG41="Lichtenstein",BG41="Luxemborg",BG41="Norway"),DV41,0)</f>
        <v/>
      </c>
      <c r="DX41" s="539">
        <f>DW41*DW$6</f>
        <v/>
      </c>
      <c r="DY41" s="538">
        <f>DV41-DX41</f>
        <v/>
      </c>
      <c r="DZ41" s="538">
        <f>IF(BI41="Yes",DY41,0)</f>
        <v/>
      </c>
      <c r="EA41" s="539">
        <f>DZ41*DZ$6</f>
        <v/>
      </c>
      <c r="EB41" s="538">
        <f>DY41-EA41</f>
        <v/>
      </c>
      <c r="EC41" s="538">
        <f>IF(OR(Z41="Delayed Draw",Z41="Revolver"),EB41,0)</f>
        <v/>
      </c>
      <c r="ED41" s="539">
        <f>EC41*EC$6</f>
        <v/>
      </c>
      <c r="EE41" s="538">
        <f>EB41-ED41</f>
        <v/>
      </c>
      <c r="EF41" s="538">
        <f>IF(S41="Yes",EE41,0)</f>
        <v/>
      </c>
      <c r="EG41" s="539">
        <f>EF41*EF$6</f>
        <v/>
      </c>
      <c r="EH41" s="538">
        <f>EE41-EG41</f>
        <v/>
      </c>
      <c r="EI41" s="538">
        <f>IF(Q41="Yes",EH41,0)</f>
        <v/>
      </c>
      <c r="EJ41" s="539">
        <f>EI41*EI$6</f>
        <v/>
      </c>
      <c r="EK41" s="538">
        <f>EH41-EJ41</f>
        <v/>
      </c>
      <c r="EL41" s="538">
        <f>IF(BD41="Semi-Annually",EK41,0)</f>
        <v/>
      </c>
      <c r="EM41" s="539">
        <f>EL41*EL$6</f>
        <v/>
      </c>
      <c r="EN41" s="538">
        <f>EK41-EM41</f>
        <v/>
      </c>
      <c r="EO41" s="538">
        <f>IF(BK41="Yes",EN41,0)</f>
        <v/>
      </c>
      <c r="EP41" s="539">
        <f>EO41*EO$6</f>
        <v/>
      </c>
      <c r="EQ41" s="538">
        <f>EN41-EP41</f>
        <v/>
      </c>
      <c r="ER41" s="538">
        <f>IF(BL41="Yes",EQ41,0)</f>
        <v/>
      </c>
      <c r="ES41" s="539">
        <f>ER41*ER$6</f>
        <v/>
      </c>
      <c r="ET41" s="538">
        <f>EQ41-ES41</f>
        <v/>
      </c>
      <c r="EU41" s="538">
        <f>IF(BM41="Yes",ET41,0)</f>
        <v/>
      </c>
      <c r="EV41" s="539">
        <f>EU41*EU$6</f>
        <v/>
      </c>
      <c r="EW41" s="538">
        <f>ET41-EV41</f>
        <v/>
      </c>
      <c r="EX41" s="538">
        <f>IF(BV41="Yes",EW41,0)</f>
        <v/>
      </c>
      <c r="EY41" s="539">
        <f>EX41*EX$6</f>
        <v/>
      </c>
      <c r="EZ41" s="538">
        <f>EW41-EY41</f>
        <v/>
      </c>
      <c r="FA41" s="538">
        <f>IF(AR41="Yes",EZ41,0)</f>
        <v/>
      </c>
      <c r="FB41" s="539">
        <f>FA41*FA$6</f>
        <v/>
      </c>
      <c r="FC41" s="538">
        <f>EZ41-FB41</f>
        <v/>
      </c>
      <c r="FD41" s="538">
        <f>IF(OR(BF41="EUR",BF41="AUD",BF41="CAD",BF41="GBP"),FC41,0)</f>
        <v/>
      </c>
      <c r="FE41" s="539">
        <f>FD41*FD$6</f>
        <v/>
      </c>
      <c r="FF41" s="538">
        <f>FC41-FE41</f>
        <v/>
      </c>
      <c r="FG41" s="538">
        <f>FF41</f>
        <v/>
      </c>
      <c r="FH41" s="538">
        <f>IF(FF41=0,0,VLOOKUP(C41,$GU$10:$GV$406,2,FALSE)*FF41)</f>
        <v/>
      </c>
      <c r="FI41" s="538">
        <f>FF41-FH41</f>
        <v/>
      </c>
      <c r="FJ41" s="538">
        <f>FI41</f>
        <v/>
      </c>
      <c r="FK41" s="538">
        <f>IF(OR(IB41="",FI41&lt;0.01),,VLOOKUP(IB41,$GL$10:$GM$406,2,FALSE)*FI41)</f>
        <v/>
      </c>
      <c r="FL41" s="538">
        <f>FI41-FK41</f>
        <v/>
      </c>
      <c r="FM41" s="538">
        <f>FL41</f>
        <v/>
      </c>
      <c r="FN41" s="538">
        <f>IF(FL41=0,0,VLOOKUP(C41,$HD$10:$HE$406,2,FALSE)*FL41)</f>
        <v/>
      </c>
      <c r="FO41" s="538">
        <f>FL41-FN41</f>
        <v/>
      </c>
      <c r="FP41" s="538">
        <f>IF(SUM(CY41:DC41)&gt;0,0,IF(AND(AL41&gt;=5000000,AL41&lt;7500000),FO41,0))</f>
        <v/>
      </c>
      <c r="FQ41" s="539">
        <f>IF(B41="",0,FP41*FP$6*(1-$U41))</f>
        <v/>
      </c>
      <c r="FR41" s="538">
        <f>FO41-FQ41</f>
        <v/>
      </c>
      <c r="FS41" s="538">
        <f>IF(SUM(CY41:DC41)&gt;0,0,IF(AL41&lt;15000000,FR41,0))</f>
        <v/>
      </c>
      <c r="FT41" s="539">
        <f>IF(B41="",0,FS41*FS$6*(1-$U41))</f>
        <v/>
      </c>
      <c r="FU41" s="538">
        <f>FR41-FT41</f>
        <v/>
      </c>
      <c r="FV41" s="538">
        <f>IF(SUM(CY41:DC41)&gt;0,0,IF(OR(AND(X41="No",AN41="Tier 1",AI41&gt;$AG$3),AND(X41="No",AN41="Tier 2",AI41&gt;$AH$3),AND(X41="No",AN41="Tier 3",AI41&gt;$AI$3)),FU41,0))</f>
        <v/>
      </c>
      <c r="FW41" s="538">
        <f>IF(SUM(CY41:DC41)&gt;0,0,IF(OR(AND(X41="No",AN41="Tier 1",AJ41&gt;$AG$4),AND(X41="No",AN41="Tier 2",AJ41&gt;$AH$4),AND(X41="No",AN41="Tier 3",AJ41&gt;$AI$4)),FU41,0))</f>
        <v/>
      </c>
      <c r="FX41" s="538">
        <f>IF(SUM(CY41:DC41)&gt;0,0,IF(OR(AND(X41="Yes",AN41="Tier 1",AJ41&gt;$AG$5),AND(X41="Yes",AN41="Tier 2",AJ41&gt;$AH$5),AND(X41="Yes",AN41="Tier 3",AJ41&gt;$AI$5)),FU41,0))</f>
        <v/>
      </c>
      <c r="FY41" s="538">
        <f>IF(SUM(FV41:FX41)&gt;0,FU41,0)</f>
        <v/>
      </c>
      <c r="FZ41" s="539">
        <f>IF(B41="",0,FY41*FV$6*(1-MIN(90%,T41)))</f>
        <v/>
      </c>
      <c r="GA41" s="538">
        <f>FU41-FZ41</f>
        <v/>
      </c>
      <c r="GB41" s="538">
        <f>IF(AND(N41="No",DI41=0),GA41,IF(AND(N41="No",DI41&lt;&gt;0,K41=0),0,IF(AND(N41="No",DI41&lt;&gt;0,K41&gt;0,J41&lt;&gt;K41),MAX(0,M41-(DH41-GA41)),DG41)))</f>
        <v/>
      </c>
      <c r="GC41" s="540">
        <f>+GB41*V41</f>
        <v/>
      </c>
      <c r="GD41" s="138">
        <f>IFERROR(GC41/K41,"")</f>
        <v/>
      </c>
      <c r="GE41" s="541">
        <f>IF(IB41="","",IB41)</f>
        <v/>
      </c>
      <c r="GF41" s="538">
        <f t="array" ref="GF41">IF(SUM(IF(IB$9:IB40=IB41,1,0))&gt;0,0,SUMIF($IB$10:$IB$406,IB41,$FI$10:$FI$406))</f>
        <v/>
      </c>
      <c r="GG41" s="270">
        <f>GF41</f>
        <v/>
      </c>
      <c r="GH41" s="137">
        <f>GH40+1</f>
        <v/>
      </c>
      <c r="GI41" s="542">
        <f>LARGE($GG$10:$GG$406,GH41)</f>
        <v/>
      </c>
      <c r="GJ41" s="542">
        <f>IF(GH41&gt;GH$6,0,IF(GH41=$GH$2,$GJ$2,IF(GH41&lt;4,$GJ$3,$GJ$4)))</f>
        <v/>
      </c>
      <c r="GK41" s="489">
        <f>MAX(0,GI41-GJ41)</f>
        <v/>
      </c>
      <c r="GL41" s="137">
        <f t="array" ref="GL41">IF(GI41=0,0,LARGE(IF($GF$10:$GF$406=GI41,$GE$10:$GE$406,0),COUNTIF($GI$10:$GI$406,GI41)-COUNTIF(GI$9:GI40,GI41)))</f>
        <v/>
      </c>
      <c r="GM41" s="272">
        <f>IF(GI41=0,0,GK41/GI41)</f>
        <v/>
      </c>
      <c r="GO41" s="137">
        <f>IF(C41="","",IF(ISERROR(MATCH(C41,C$10:C40,0)),MAX(GO$10:GO40)+1,INDEX(GO$10:GO40,MATCH(C41,C$10:C40,0))))</f>
        <v/>
      </c>
      <c r="GP41" s="538">
        <f>IF(COUNTIF($A$10:A41,A41)&lt;=1,SUMIF($A$10:$A$406,A41,$FG$10:$FG$406),0)</f>
        <v/>
      </c>
      <c r="GQ41" s="137">
        <f>GQ40+1</f>
        <v/>
      </c>
      <c r="GR41" s="542">
        <f>LARGE($GP$10:$GP$406,GQ41)</f>
        <v/>
      </c>
      <c r="GS41" s="542">
        <f>IF(GQ41&gt;GQ$6,0,IF(GQ41&lt;=GQ$2,GS$2,IF(AND(GQ41&lt;=$GQ$3,GQ41&gt;$GQ$2),GS$3,GS$4)))</f>
        <v/>
      </c>
      <c r="GT41" s="489">
        <f>MAX(0,GR41-GS41)</f>
        <v/>
      </c>
      <c r="GU41" s="137">
        <f t="array" ref="GU41">IF(GR41=0,0,LARGE(IF($GP$10:$GP$406=GR41,$GO$10:$GO$406,0),COUNTIF($GR$10:$GR$406,GR41)-COUNTIF(GR$9:GR40,GR41)))</f>
        <v/>
      </c>
      <c r="GV41" s="272">
        <f>IF(GR41=0,0,GT41/GR41)</f>
        <v/>
      </c>
      <c r="GW41" s="272" t="n"/>
      <c r="GX41" s="137">
        <f>IF(C41="","",IF(ISERROR(MATCH(C41,C$10:C40,0)),MAX(GO$10:GO40)+1,INDEX(GO$10:GO40,MATCH(C41,C$10:C40,0))))</f>
        <v/>
      </c>
      <c r="GY41" s="538">
        <f>IF(COUNTIF($A$10:A41,A41)&lt;=1,SUMIF($A$10:$A$406,A41,$FG$10:$FG$406),0)</f>
        <v/>
      </c>
      <c r="GZ41" s="137">
        <f>GZ40+1</f>
        <v/>
      </c>
      <c r="HA41" s="542">
        <f>LARGE($GY$10:$GY$406,GZ41)</f>
        <v/>
      </c>
      <c r="HB41" s="543" t="inlineStr">
        <is>
          <t>-</t>
        </is>
      </c>
      <c r="HC41" s="489">
        <f>IF(GZ41&lt;6,MAX(0,$HC$2/5),0)</f>
        <v/>
      </c>
      <c r="HD41" s="137">
        <f t="array" ref="HD41">IF(HA41=0,0,LARGE(IF($GY$10:$GY$406=HA41,$GX$10:$GX$406,0),COUNTIF($HA$10:$HA$406,HA41)-COUNTIF(HA$9:HA40,HA41)))</f>
        <v/>
      </c>
      <c r="HE41" s="272">
        <f>IF(HA41=0,0,HC41/HA41)</f>
        <v/>
      </c>
      <c r="HG41" s="270">
        <f>DG41-GA41</f>
        <v/>
      </c>
      <c r="HH41" s="544" t="n">
        <v>0</v>
      </c>
      <c r="HI41" s="538">
        <f>MIN(HH41,DE41)</f>
        <v/>
      </c>
      <c r="HK41" s="137">
        <f>IF(COUNTIF($C$10:$C$406,HK40+1),HK40+1,"")</f>
        <v/>
      </c>
      <c r="HL41" s="538">
        <f>SUMIF($C$10:$C$406,HK41,$DG$10:$DG$406)</f>
        <v/>
      </c>
      <c r="HN41" s="521">
        <f>MIN(HO41:HS41)</f>
        <v/>
      </c>
      <c r="HO41" s="521">
        <f>IF(B41="","",$M41)</f>
        <v/>
      </c>
      <c r="HP41" s="521">
        <f>IF($N41="Yes",IF(P41&gt;=6,0,MIN($T41*$M41,$U41*$M41)),"")</f>
        <v/>
      </c>
      <c r="HQ41" s="521">
        <f>IF(AND(N41="Yes",P41&gt;=6),"",IF($S41="Yes",$R41*$M41,""))</f>
        <v/>
      </c>
      <c r="HR41" s="521">
        <f>IF($Q41="Yes",MIN($M41,$T41*$M41),"")</f>
        <v/>
      </c>
      <c r="HS41" s="521">
        <f>IF(AND($N41="Yes",$P41&gt;=6),"",IF(OR(CY41=1,DC41=1,),MIN($T41*$M41,$U41*$M41),IF(OR(CZ41=1,DA41=1,DB41=1),IF(AK41&gt;=5000000,MIN($T41*$M41,$IE41*$M41),MIN($T41*$M41,$U41*$M41)),"")))</f>
        <v/>
      </c>
      <c r="HT41" s="521">
        <f>IF(DD41&gt;0,DD41,"")</f>
        <v/>
      </c>
      <c r="HU41" s="522">
        <f>IF(B41="",0,$L41-$M41)</f>
        <v/>
      </c>
      <c r="HV41" s="274">
        <f>IF(OR(SUM(HP41:HT41)&gt;0,P41&gt;=6),"",IF($B41="","",1))</f>
        <v/>
      </c>
      <c r="HW41" s="522">
        <f>IF(AND($HT41&lt;&gt;0,OR(HT41&lt;=MIN(HP41:HS41),SUM(HP41:HS41)=0)),$HT41,0)</f>
        <v/>
      </c>
      <c r="HX41" s="522">
        <f>IF(AND($HS41&lt;&gt;0,OR(AND($HS41&lt;&gt;$HT41,$HS41&lt;&gt;$HR41,$HS41&lt;&gt;$HQ41,$HS41&lt;&gt;$HP41,$HS41&lt;MIN($HP41:$HR41),$HS41&lt;HT41),SUM($HP41:$HR41)+SUM(HT41)=0),IA41&lt;=0),$HS41,0)</f>
        <v/>
      </c>
      <c r="HY41" s="522">
        <f>IF(AND($HR41&lt;&gt;0,OR(AND($HR41&lt;&gt;$HT41,$HR41&lt;&gt;$HS41,$HR41&lt;&gt;$HQ41,$HR41&lt;&gt;$HP41),$HR41&lt;MIN($HP41:$HQ41),$HR41&lt;MIN($HS41:$HT41),SUM($HP41:$HQ41)+SUM($HS41:$HT41)=0)),$HR41,0)</f>
        <v/>
      </c>
      <c r="HZ41" s="522">
        <f>IF(AND($HQ41&lt;&gt;0,OR(AND($HQ41&lt;&gt;$HT41,HQ41&lt;&gt;HS41,HQ41&lt;&gt;HR41,HQ41&lt;&gt;HP41,HQ41&lt;MIN(HR41:HT41)),SUM(HP41)+SUM(HR41:HT41)=0)),$HQ41,0)</f>
        <v/>
      </c>
      <c r="IA41" s="522">
        <f>IF(AND($HP41&lt;&gt;0,OR(HP41&lt;=MIN(HQ41:HT41),SUM(HQ41:HT41)=0)),$HP41,0)</f>
        <v/>
      </c>
      <c r="IB41" s="545" t="n">
        <v>19</v>
      </c>
      <c r="IC41">
        <f>HU41=DF41</f>
        <v/>
      </c>
      <c r="IE41" s="351">
        <f>IF(B41="","",IF(AND(Y41="Second Lien",OR(CZ41=1,DA41=1,DB41=1)),50%,IF(CZ41=1,90%,IF(DA41=1,80%,IF(DB41=1,65%,"No Initial Haircut")))))</f>
        <v/>
      </c>
    </row>
    <row r="42">
      <c r="A42">
        <f>D42</f>
        <v/>
      </c>
      <c r="B42" s="242">
        <f>IF(D42="","",B41+1)</f>
        <v/>
      </c>
      <c r="C42" s="242">
        <f>IF(COUNTIF($A$10:A41,A42)&gt;0,C41,C41+1)</f>
        <v/>
      </c>
      <c r="D42" s="243" t="inlineStr">
        <is>
          <t>Kingsley Holdings, LLC</t>
        </is>
      </c>
      <c r="E42" s="243" t="inlineStr">
        <is>
          <t>Kingsley (Term Loan)</t>
        </is>
      </c>
      <c r="F42" s="244" t="n"/>
      <c r="G42" s="528" t="n">
        <v>29454620.51</v>
      </c>
      <c r="H42" s="528" t="n">
        <v>29454620.51</v>
      </c>
      <c r="I42" s="246" t="n">
        <v>1</v>
      </c>
      <c r="J42" s="529">
        <f>IF(B42="","",G42*I42)</f>
        <v/>
      </c>
      <c r="K42" s="529">
        <f>IF(B42="","",H42*I42)</f>
        <v/>
      </c>
      <c r="L42" s="529">
        <f>IF(B42="","",IF(COUNTIF($CE42:$CX42,1)&gt;0,0,J42))</f>
        <v/>
      </c>
      <c r="M42" s="529">
        <f>IF(B42="","",IF(COUNTIF($CE42:$CX42,1)&gt;0,0,K42))</f>
        <v/>
      </c>
      <c r="N42" s="248" t="inlineStr">
        <is>
          <t>No</t>
        </is>
      </c>
      <c r="O42" s="248" t="inlineStr">
        <is>
          <t>N/A</t>
        </is>
      </c>
      <c r="P42" s="249">
        <f>IF(B42="","",IF(OR(O42="N/A",O42=""),0,YEARFRAC('Borrowing Base'!$J$4,'Loan List'!O42)*12))</f>
        <v/>
      </c>
      <c r="Q42" s="248" t="inlineStr">
        <is>
          <t>No</t>
        </is>
      </c>
      <c r="R42" s="250" t="n">
        <v>0.9914043</v>
      </c>
      <c r="S42" s="251">
        <f>IF(B42="","",IF(R42&lt;95%,"Yes","No"))</f>
        <v/>
      </c>
      <c r="T42" s="250" t="n">
        <v>1</v>
      </c>
      <c r="U42" s="252">
        <f>IF(B42="","",IF(OR(Y42="First Lien",Y42="Split First Lien",Y42="Tier 1 Split Lien",Y42="Tier 2 Split Lien"),50%,30%))</f>
        <v/>
      </c>
      <c r="V42" s="252">
        <f>IF(B42="",0,IF(AND(Y42="First Lien",AN42="Tier 1"),IF(AND(X42="Yes",MIN(AH42,$AJ$5)&gt;4.5),(((4.5/MIN(AH42,$AJ$5))*72.5%)+(((MIN(AH42,$AJ$5)-4.5)/MIN(AH42,$AJ$5))*35%)),72.5%),IF(AND(Y42="First Lien",AN42="Tier 2"),IF(AND(X42="Yes",MIN(AH42,$AK$5)&gt;4.5),(((4.5/MIN(AH42,$AK$5))*72.5%)+(((MIN(AH42,$AK$5)-4.5)/MIN(AH42,$AK$5))*35%)),72.5%),IF(AND(X42="Yes",MIN(AH42,$AL$5)&gt;4),(((4/MIN(AH42,$AL$5))*72.5%)+(((MIN(AH42,$AL$5)-4)/MIN(AH42,$AL$5))*35%)),IF(OR(Y42="First Lien",Y42="Split First Lien"),72.5%,IF(Y42="Split Lien", 53%,35%))))))</f>
        <v/>
      </c>
      <c r="W42" s="530">
        <f>IF($C42="","",MIN($HO42:$HS42))</f>
        <v/>
      </c>
      <c r="X42" s="248" t="inlineStr">
        <is>
          <t>No</t>
        </is>
      </c>
      <c r="Y42" s="254" t="inlineStr">
        <is>
          <t>First Lien</t>
        </is>
      </c>
      <c r="Z42" s="254" t="inlineStr">
        <is>
          <t>Term</t>
        </is>
      </c>
      <c r="AA42" s="531" t="inlineStr">
        <is>
          <t>NR</t>
        </is>
      </c>
      <c r="AB42" s="531" t="inlineStr">
        <is>
          <t xml:space="preserve"> NR</t>
        </is>
      </c>
      <c r="AC42" s="532" t="n">
        <v>2.693719322146611</v>
      </c>
      <c r="AD42" s="532" t="n">
        <v>2.443685271064869</v>
      </c>
      <c r="AE42" s="532" t="n">
        <v>4.544558992436664</v>
      </c>
      <c r="AF42" s="257" t="n">
        <v>0.2302313118801008</v>
      </c>
      <c r="AG42" s="533" t="n">
        <v>2.443685271064869</v>
      </c>
      <c r="AH42" s="533" t="n">
        <v>2.443685271064869</v>
      </c>
      <c r="AI42" s="533" t="n">
        <v>4.544558992436664</v>
      </c>
      <c r="AJ42" s="533" t="n">
        <v>4.544558992436664</v>
      </c>
      <c r="AK42" s="534" t="n">
        <v>21448752.2679874</v>
      </c>
      <c r="AL42" s="534" t="n">
        <v>29707393</v>
      </c>
      <c r="AM42" s="276" t="n">
        <v>45838</v>
      </c>
      <c r="AN42" s="529">
        <f>IF(C42="","",(IF(AK42&gt;=50000000,"Tier 1",(IF(OR(AK42&gt;=20000000,AND(AK42&gt;5000000,AC42&gt;=1.25,AF42&lt;=0.65)),"Tier 2","Tier 3")))))</f>
        <v/>
      </c>
      <c r="AO42" s="244" t="n">
        <v>47704</v>
      </c>
      <c r="AP42" s="535" t="n">
        <v>5.025</v>
      </c>
      <c r="AQ42" s="535">
        <f>IF(C42="","",AP42)</f>
        <v/>
      </c>
      <c r="AR42" s="248" t="inlineStr">
        <is>
          <t>No</t>
        </is>
      </c>
      <c r="AS42" s="250" t="n">
        <v>0</v>
      </c>
      <c r="AT42" s="248" t="inlineStr">
        <is>
          <t>Yes</t>
        </is>
      </c>
      <c r="AU42" s="250" t="n">
        <v>0.01</v>
      </c>
      <c r="AV42" s="250" t="n">
        <v>0.05</v>
      </c>
      <c r="AW42" s="250" t="n">
        <v>0.04356199999999999</v>
      </c>
      <c r="AX42" s="262">
        <f>IF(C42="","",MAX(AU42,AW42))</f>
        <v/>
      </c>
      <c r="AY42" s="250" t="n">
        <v>0</v>
      </c>
      <c r="AZ42" s="250" t="n">
        <v>0</v>
      </c>
      <c r="BA42" s="250" t="n">
        <v>0</v>
      </c>
      <c r="BB42" s="412">
        <f>IF(B42="","",IF(AR42="No",AV42-AZ42,""))</f>
        <v/>
      </c>
      <c r="BC42" s="412">
        <f>IF(B42="","",IF(AR42="Yes",AS42-BA42,""))</f>
        <v/>
      </c>
      <c r="BD42" s="254" t="inlineStr">
        <is>
          <t>Quarterly</t>
        </is>
      </c>
      <c r="BE42" s="536" t="inlineStr">
        <is>
          <t>Diversified Financial Services</t>
        </is>
      </c>
      <c r="BF42" s="254" t="inlineStr">
        <is>
          <t>USD</t>
        </is>
      </c>
      <c r="BG42" s="254" t="inlineStr">
        <is>
          <t>United States</t>
        </is>
      </c>
      <c r="BH42" s="248" t="inlineStr">
        <is>
          <t>No</t>
        </is>
      </c>
      <c r="BI42" s="413">
        <f>IF(B42="","",IF(OR(AND(AZ42&gt;0,BB42&gt;=2.5%,BB42&lt;4%),AND(BA42&gt;0,BC42&gt;=6%,BC42&lt;8%)),"Yes","No"))</f>
        <v/>
      </c>
      <c r="BJ42" s="413">
        <f>IF(B42="","",IF(OR(AND(AZ42&gt;0,BB42&lt;2.5%),AND(BA42&gt;0,BC42&lt;6%)),"Yes","No"))</f>
        <v/>
      </c>
      <c r="BK42" s="248" t="inlineStr">
        <is>
          <t>No</t>
        </is>
      </c>
      <c r="BL42" s="248" t="inlineStr">
        <is>
          <t>No</t>
        </is>
      </c>
      <c r="BM42" s="248" t="inlineStr">
        <is>
          <t>No</t>
        </is>
      </c>
      <c r="BN42" s="248" t="inlineStr">
        <is>
          <t>No</t>
        </is>
      </c>
      <c r="BO42" s="248" t="inlineStr">
        <is>
          <t>No</t>
        </is>
      </c>
      <c r="BP42" s="248" t="inlineStr">
        <is>
          <t>No</t>
        </is>
      </c>
      <c r="BQ42" s="248" t="inlineStr">
        <is>
          <t>No</t>
        </is>
      </c>
      <c r="BR42" s="248" t="inlineStr">
        <is>
          <t>No</t>
        </is>
      </c>
      <c r="BS42" s="248" t="inlineStr">
        <is>
          <t>No</t>
        </is>
      </c>
      <c r="BT42" s="248" t="inlineStr">
        <is>
          <t>No</t>
        </is>
      </c>
      <c r="BU42" s="248" t="inlineStr">
        <is>
          <t>No</t>
        </is>
      </c>
      <c r="BV42" s="248" t="inlineStr">
        <is>
          <t>No</t>
        </is>
      </c>
      <c r="BW42" s="248" t="inlineStr">
        <is>
          <t>No</t>
        </is>
      </c>
      <c r="BX42" s="248" t="inlineStr">
        <is>
          <t>No</t>
        </is>
      </c>
      <c r="BY42" s="248" t="inlineStr">
        <is>
          <t>No</t>
        </is>
      </c>
      <c r="BZ42" s="248" t="inlineStr">
        <is>
          <t>No</t>
        </is>
      </c>
      <c r="CA42" s="248" t="inlineStr">
        <is>
          <t>Yes</t>
        </is>
      </c>
      <c r="CB42" s="537">
        <f>IF(B42="","",IF(AT42="No",((BB42+AW42)-$AZ$4),((BB42+AX42)-$AZ$4))*IF(DD42&gt;0,0,M42))</f>
        <v/>
      </c>
      <c r="CC42" s="537">
        <f>IF(B42="","",AY42*(L42-M42)*IF(DD42&gt;0,0,1))</f>
        <v/>
      </c>
      <c r="CD42" s="265" t="n"/>
      <c r="CE42" s="265">
        <f>IF(AND(B42&lt;&gt;"",R42&lt;=85%),1,0)</f>
        <v/>
      </c>
      <c r="CF42" s="265">
        <f>IF(B42="",0,(IF(OR(BF42="USD",BF42="CAD",BF42="GBP",BF42="AUD",BF42="EUR"),0,1)))</f>
        <v/>
      </c>
      <c r="CG42" s="265">
        <f>IF(B42="",0,(IF(OR(BG42="United States",BG42="Canada",BG42="United Kingdom",BG42="Australia",BG42="Netherlands Antilles",BG42="Bermuda",BG42="Cayman Islands",BG42="British Virgin Islands",BG42="Channel Islands",BG42="Isle of Man",BG42="Australia",BG42="Netherlands",BG42="Germany",BG42="Sweden",BG42="Switzerland",BG42="Austria",BG42="Belgium",BG42="Denmark",BG42="Finland",BG42="Iceland",BG42="Ireland",BG42="Lichtenstein",BG42="Luxemborg",BG42="Norway"),0,1)))</f>
        <v/>
      </c>
      <c r="CH42" s="265">
        <f>IF(BN42="Yes",1,0)</f>
        <v/>
      </c>
      <c r="CI42" s="265">
        <f>IF(BO42="Yes",1,0)</f>
        <v/>
      </c>
      <c r="CJ42" s="265">
        <f>IF(BP42="Yes",1,0)</f>
        <v/>
      </c>
      <c r="CK42" s="265">
        <f>IF(BQ42="Yes",1,0)</f>
        <v/>
      </c>
      <c r="CL42" s="265">
        <f>IF(BR42="Yes",1,0)</f>
        <v/>
      </c>
      <c r="CM42" s="265">
        <f>IF(BS42="Yes",1,0)</f>
        <v/>
      </c>
      <c r="CN42" s="265">
        <f>IF(OR(AND(BJ42="Yes",N42="No"),AND(BJ42="Yes",N42="Yes",P42&gt;=6)),1,0)</f>
        <v/>
      </c>
      <c r="CO42" s="265">
        <f>IF(BT42="Yes",1,0)</f>
        <v/>
      </c>
      <c r="CP42" s="265">
        <f>IF(AND(BU42="Yes",BV42="No"),1,0)</f>
        <v/>
      </c>
      <c r="CQ42" s="265">
        <f>IF(BW42="Yes",1,0)</f>
        <v/>
      </c>
      <c r="CR42" s="265">
        <f>IF(AP42="",0,IF(AP42&gt;7,1,0))</f>
        <v/>
      </c>
      <c r="CS42" s="265">
        <f>IF(OR(BD42&lt;&gt;"Monthly",BD42&lt;&gt;"Quarterly",BD42&lt;&gt;"Semi-Annually"),0,1)</f>
        <v/>
      </c>
      <c r="CT42" s="265">
        <f>IF(BX42="Yes",1,0)</f>
        <v/>
      </c>
      <c r="CU42" s="265">
        <f>IF(BY42="Yes",1,0)</f>
        <v/>
      </c>
      <c r="CV42" s="265">
        <f>IF(BZ42="Yes",1,0)</f>
        <v/>
      </c>
      <c r="CW42" s="265">
        <f>IF(CA42="No",1,0)</f>
        <v/>
      </c>
      <c r="CX42" s="265">
        <f>IF(B42="",0,IF(AK42&gt;=5000000,0,1))</f>
        <v/>
      </c>
      <c r="CY42" s="265">
        <f>IF(B42="",0,IF(AL42&gt;=5000000,0,1))</f>
        <v/>
      </c>
      <c r="CZ42" s="265">
        <f>IF(OR(DA42=1,DB42=1,DC42=1),0,IF(B42="",0,IF(OR(AND(AN42="Tier 1",X42="No",OR(AI42&gt;$AJ$3,AJ42&gt;$AJ$4)),(AND(AN42="Tier 1",X42="Yes",AJ42&gt;$AJ$5)),(AND(AN42="Tier 2",X42="No",OR(AI42&gt;$AK$3,AJ42&gt;$AK$4))),(AND(AN42="Tier 2",X42="Yes",AJ42&gt;$AK$5)),(AND(AN42="Tier 3",X42="No",OR(AI42&gt;$AL$3,AJ42&gt;$AL$4))),(AND(AN42="Tier 3",X42="Yes",AJ42&gt;$AL$5))),1,0)))</f>
        <v/>
      </c>
      <c r="DA42" s="265">
        <f>IF(OR(DB42=1,DC42=1),0,IF(B42="",0,IF(OR(AND(AN42="Tier 1",X42="No",OR(AI42&gt;$AM$3,AJ42&gt;$AM$4)),(AND(AN42="Tier 1",X42="Yes",AJ42&gt;$AM$5)),(AND(AN42="Tier 2",X42="No",OR(AI42&gt;$AN$3,AJ42&gt;$AN$4))),(AND(AN42="Tier 2",X42="Yes",AJ42&gt;$AN$5)),(AND(AN42="Tier 3",X42="No",OR(AI42&gt;$AO$3,AJ42&gt;$AO$4))),(AND(AN42="Tier 3",X42="Yes",AJ42&gt;$AO$5))),1,0)))</f>
        <v/>
      </c>
      <c r="DB42" s="265">
        <f>IF(DC42=1,0,IF(B42="",0,IF(OR(AND(AN42="Tier 1",X42="No",OR(AI42&gt;$AP$3,AJ42&gt;$AP$4)),(AND(AN42="Tier 1",X42="Yes",AJ42&gt;$AP$5)),(AND(AN42="Tier 2",X42="No",OR(AI42&gt;$AQ$3,AJ42&gt;$AQ$4))),(AND(AN42="Tier 2",X42="Yes",AJ42&gt;$AQ$5)),(AND(AN42="Tier 3",X42="No",OR(AI42&gt;$AR$3,AJ42&gt;$AR$4))),(AND(AN42="Tier 3",X42="Yes",AJ42&gt;$AR$5))),1,0)))</f>
        <v/>
      </c>
      <c r="DC42" s="265">
        <f>IF(B42="",0,IF(OR(AND(AN42="Tier 1",X42="No",OR(AI42&gt;$AS$3,AJ42&gt;$AS$4)),(AND(AN42="Tier 1",X42="Yes",AJ42&gt;$AS$5)),(AND(AN42="Tier 2",X42="No",OR(AI42&gt;$AT$3,AJ42&gt;$AT$4))),(AND(AN42="Tier 2",X42="Yes",AJ42&gt;$AT$5)),(AND(AN42="Tier 3",X42="No",OR(AI42&gt;$AU$3,AJ42&gt;$AU$4))),(AND(AN42="Tier 3",X42="Yes",AJ42&gt;$AU$5))),1,0))</f>
        <v/>
      </c>
      <c r="DD42" s="265">
        <f>IF((SUM(CE42:CX42)=0),0,W42)</f>
        <v/>
      </c>
      <c r="DE42" s="265">
        <f>IF(OR(B42="",DD42&gt;0),0,W42)</f>
        <v/>
      </c>
      <c r="DF42" s="265">
        <f>IF(B42="",0,IF(COUNTIF(CE42:CX42,1)&gt;0,0,L42-M42))</f>
        <v/>
      </c>
      <c r="DG42" s="265">
        <f>DE42+IF(DD42&gt;0,0,DF42)</f>
        <v/>
      </c>
      <c r="DH42" s="265">
        <f>IF(B42="","",M42+DF42)</f>
        <v/>
      </c>
      <c r="DI42" s="265">
        <f>IF(B42="",0,J42-K42)</f>
        <v/>
      </c>
      <c r="DJ42" s="265">
        <f>IF(OR(BF42="EUR",BF42="CAD",BF42="GBP",BF42="AUD"),(GA42*(1-V42))+(HG42)+IF(HX42="",0,HX42*(1-U42)),0)</f>
        <v/>
      </c>
      <c r="DK42" s="265">
        <f>IF(BF42="EUR",33%,IF(BF42="CAD",38%,IF(BF42="GBP",51%,IF(BF42="AUD",61%,0))))</f>
        <v/>
      </c>
      <c r="DL42" s="265">
        <f>DJ42*DK42</f>
        <v/>
      </c>
      <c r="DN42" s="538">
        <f>IF(OR(Y42="Second Lien",Y42="Tier 1 Split Lien",Y42="Tier 2 Split Lien"),DG42,0)</f>
        <v/>
      </c>
      <c r="DO42" s="539">
        <f>DN42*DN$6</f>
        <v/>
      </c>
      <c r="DP42" s="538">
        <f>DG42-DO42</f>
        <v/>
      </c>
      <c r="DQ42" s="538">
        <f>IF(Y42="Second Lien",DP42,0)</f>
        <v/>
      </c>
      <c r="DR42" s="539">
        <f>DQ42*DQ$6</f>
        <v/>
      </c>
      <c r="DS42" s="538">
        <f>DP42-DR42</f>
        <v/>
      </c>
      <c r="DT42" s="538">
        <f>IF(BH42="Yes",DS42,0)</f>
        <v/>
      </c>
      <c r="DU42" s="539">
        <f>DT42*DT$6</f>
        <v/>
      </c>
      <c r="DV42" s="538">
        <f>DS42-DU42</f>
        <v/>
      </c>
      <c r="DW42" s="538">
        <f>IF(OR(BG42="Canada",BG42="United Kingdom",BG42="Australia",BG42="Netherlands Antilles",BG42="Bermuda",BG42="Cayman Islands",BG42="British Virgin Islands",BG42="Channel Islands",BG42="Isle of Man",BG42="Australia",BG42="Netherlands",BG42="Germany",BG42="Sweden",BG42="Switzerland",BG42="Austria",BG42="Belgium",BG42="Denmark",BG42="Finland",BG42="Iceland",BG42="Ireland",BG42="Lichtenstein",BG42="Luxemborg",BG42="Norway"),DV42,0)</f>
        <v/>
      </c>
      <c r="DX42" s="539">
        <f>DW42*DW$6</f>
        <v/>
      </c>
      <c r="DY42" s="538">
        <f>DV42-DX42</f>
        <v/>
      </c>
      <c r="DZ42" s="538">
        <f>IF(BI42="Yes",DY42,0)</f>
        <v/>
      </c>
      <c r="EA42" s="539">
        <f>DZ42*DZ$6</f>
        <v/>
      </c>
      <c r="EB42" s="538">
        <f>DY42-EA42</f>
        <v/>
      </c>
      <c r="EC42" s="538">
        <f>IF(OR(Z42="Delayed Draw",Z42="Revolver"),EB42,0)</f>
        <v/>
      </c>
      <c r="ED42" s="539">
        <f>EC42*EC$6</f>
        <v/>
      </c>
      <c r="EE42" s="538">
        <f>EB42-ED42</f>
        <v/>
      </c>
      <c r="EF42" s="538">
        <f>IF(S42="Yes",EE42,0)</f>
        <v/>
      </c>
      <c r="EG42" s="539">
        <f>EF42*EF$6</f>
        <v/>
      </c>
      <c r="EH42" s="538">
        <f>EE42-EG42</f>
        <v/>
      </c>
      <c r="EI42" s="538">
        <f>IF(Q42="Yes",EH42,0)</f>
        <v/>
      </c>
      <c r="EJ42" s="539">
        <f>EI42*EI$6</f>
        <v/>
      </c>
      <c r="EK42" s="538">
        <f>EH42-EJ42</f>
        <v/>
      </c>
      <c r="EL42" s="538">
        <f>IF(BD42="Semi-Annually",EK42,0)</f>
        <v/>
      </c>
      <c r="EM42" s="539">
        <f>EL42*EL$6</f>
        <v/>
      </c>
      <c r="EN42" s="538">
        <f>EK42-EM42</f>
        <v/>
      </c>
      <c r="EO42" s="538">
        <f>IF(BK42="Yes",EN42,0)</f>
        <v/>
      </c>
      <c r="EP42" s="539">
        <f>EO42*EO$6</f>
        <v/>
      </c>
      <c r="EQ42" s="538">
        <f>EN42-EP42</f>
        <v/>
      </c>
      <c r="ER42" s="538">
        <f>IF(BL42="Yes",EQ42,0)</f>
        <v/>
      </c>
      <c r="ES42" s="539">
        <f>ER42*ER$6</f>
        <v/>
      </c>
      <c r="ET42" s="538">
        <f>EQ42-ES42</f>
        <v/>
      </c>
      <c r="EU42" s="538">
        <f>IF(BM42="Yes",ET42,0)</f>
        <v/>
      </c>
      <c r="EV42" s="539">
        <f>EU42*EU$6</f>
        <v/>
      </c>
      <c r="EW42" s="538">
        <f>ET42-EV42</f>
        <v/>
      </c>
      <c r="EX42" s="538">
        <f>IF(BV42="Yes",EW42,0)</f>
        <v/>
      </c>
      <c r="EY42" s="539">
        <f>EX42*EX$6</f>
        <v/>
      </c>
      <c r="EZ42" s="538">
        <f>EW42-EY42</f>
        <v/>
      </c>
      <c r="FA42" s="538">
        <f>IF(AR42="Yes",EZ42,0)</f>
        <v/>
      </c>
      <c r="FB42" s="539">
        <f>FA42*FA$6</f>
        <v/>
      </c>
      <c r="FC42" s="538">
        <f>EZ42-FB42</f>
        <v/>
      </c>
      <c r="FD42" s="538">
        <f>IF(OR(BF42="EUR",BF42="AUD",BF42="CAD",BF42="GBP"),FC42,0)</f>
        <v/>
      </c>
      <c r="FE42" s="539">
        <f>FD42*FD$6</f>
        <v/>
      </c>
      <c r="FF42" s="538">
        <f>FC42-FE42</f>
        <v/>
      </c>
      <c r="FG42" s="538">
        <f>FF42</f>
        <v/>
      </c>
      <c r="FH42" s="538">
        <f>IF(FF42=0,0,VLOOKUP(C42,$GU$10:$GV$406,2,FALSE)*FF42)</f>
        <v/>
      </c>
      <c r="FI42" s="538">
        <f>FF42-FH42</f>
        <v/>
      </c>
      <c r="FJ42" s="538">
        <f>FI42</f>
        <v/>
      </c>
      <c r="FK42" s="538">
        <f>IF(OR(IB42="",FI42&lt;0.01),,VLOOKUP(IB42,$GL$10:$GM$406,2,FALSE)*FI42)</f>
        <v/>
      </c>
      <c r="FL42" s="538">
        <f>FI42-FK42</f>
        <v/>
      </c>
      <c r="FM42" s="538">
        <f>FL42</f>
        <v/>
      </c>
      <c r="FN42" s="538">
        <f>IF(FL42=0,0,VLOOKUP(C42,$HD$10:$HE$406,2,FALSE)*FL42)</f>
        <v/>
      </c>
      <c r="FO42" s="538">
        <f>FL42-FN42</f>
        <v/>
      </c>
      <c r="FP42" s="538">
        <f>IF(SUM(CY42:DC42)&gt;0,0,IF(AND(AL42&gt;=5000000,AL42&lt;7500000),FO42,0))</f>
        <v/>
      </c>
      <c r="FQ42" s="539">
        <f>IF(B42="",0,FP42*FP$6*(1-$U42))</f>
        <v/>
      </c>
      <c r="FR42" s="538">
        <f>FO42-FQ42</f>
        <v/>
      </c>
      <c r="FS42" s="538">
        <f>IF(SUM(CY42:DC42)&gt;0,0,IF(AL42&lt;15000000,FR42,0))</f>
        <v/>
      </c>
      <c r="FT42" s="539">
        <f>IF(B42="",0,FS42*FS$6*(1-$U42))</f>
        <v/>
      </c>
      <c r="FU42" s="538">
        <f>FR42-FT42</f>
        <v/>
      </c>
      <c r="FV42" s="538">
        <f>IF(SUM(CY42:DC42)&gt;0,0,IF(OR(AND(X42="No",AN42="Tier 1",AI42&gt;$AG$3),AND(X42="No",AN42="Tier 2",AI42&gt;$AH$3),AND(X42="No",AN42="Tier 3",AI42&gt;$AI$3)),FU42,0))</f>
        <v/>
      </c>
      <c r="FW42" s="538">
        <f>IF(SUM(CY42:DC42)&gt;0,0,IF(OR(AND(X42="No",AN42="Tier 1",AJ42&gt;$AG$4),AND(X42="No",AN42="Tier 2",AJ42&gt;$AH$4),AND(X42="No",AN42="Tier 3",AJ42&gt;$AI$4)),FU42,0))</f>
        <v/>
      </c>
      <c r="FX42" s="538">
        <f>IF(SUM(CY42:DC42)&gt;0,0,IF(OR(AND(X42="Yes",AN42="Tier 1",AJ42&gt;$AG$5),AND(X42="Yes",AN42="Tier 2",AJ42&gt;$AH$5),AND(X42="Yes",AN42="Tier 3",AJ42&gt;$AI$5)),FU42,0))</f>
        <v/>
      </c>
      <c r="FY42" s="538">
        <f>IF(SUM(FV42:FX42)&gt;0,FU42,0)</f>
        <v/>
      </c>
      <c r="FZ42" s="539">
        <f>IF(B42="",0,FY42*FV$6*(1-MIN(90%,T42)))</f>
        <v/>
      </c>
      <c r="GA42" s="538">
        <f>FU42-FZ42</f>
        <v/>
      </c>
      <c r="GB42" s="538">
        <f>IF(AND(N42="No",DI42=0),GA42,IF(AND(N42="No",DI42&lt;&gt;0,K42=0),0,IF(AND(N42="No",DI42&lt;&gt;0,K42&gt;0,J42&lt;&gt;K42),MAX(0,M42-(DH42-GA42)),DG42)))</f>
        <v/>
      </c>
      <c r="GC42" s="540">
        <f>+GB42*V42</f>
        <v/>
      </c>
      <c r="GD42" s="138">
        <f>IFERROR(GC42/K42,"")</f>
        <v/>
      </c>
      <c r="GE42" s="541">
        <f>IF(IB42="","",IB42)</f>
        <v/>
      </c>
      <c r="GF42" s="538">
        <f t="array" ref="GF42">IF(SUM(IF(IB$9:IB41=IB42,1,0))&gt;0,0,SUMIF($IB$10:$IB$406,IB42,$FI$10:$FI$406))</f>
        <v/>
      </c>
      <c r="GG42" s="270">
        <f>GF42</f>
        <v/>
      </c>
      <c r="GH42" s="137">
        <f>GH41+1</f>
        <v/>
      </c>
      <c r="GI42" s="542">
        <f>LARGE($GG$10:$GG$406,GH42)</f>
        <v/>
      </c>
      <c r="GJ42" s="542">
        <f>IF(GH42&gt;GH$6,0,IF(GH42=$GH$2,$GJ$2,IF(GH42&lt;4,$GJ$3,$GJ$4)))</f>
        <v/>
      </c>
      <c r="GK42" s="489">
        <f>MAX(0,GI42-GJ42)</f>
        <v/>
      </c>
      <c r="GL42" s="137">
        <f t="array" ref="GL42">IF(GI42=0,0,LARGE(IF($GF$10:$GF$406=GI42,$GE$10:$GE$406,0),COUNTIF($GI$10:$GI$406,GI42)-COUNTIF(GI$9:GI41,GI42)))</f>
        <v/>
      </c>
      <c r="GM42" s="272">
        <f>IF(GI42=0,0,GK42/GI42)</f>
        <v/>
      </c>
      <c r="GO42" s="137">
        <f>IF(C42="","",IF(ISERROR(MATCH(C42,C$10:C41,0)),MAX(GO$10:GO41)+1,INDEX(GO$10:GO41,MATCH(C42,C$10:C41,0))))</f>
        <v/>
      </c>
      <c r="GP42" s="538">
        <f>IF(COUNTIF($A$10:A42,A42)&lt;=1,SUMIF($A$10:$A$406,A42,$FG$10:$FG$406),0)</f>
        <v/>
      </c>
      <c r="GQ42" s="137">
        <f>GQ41+1</f>
        <v/>
      </c>
      <c r="GR42" s="542">
        <f>LARGE($GP$10:$GP$406,GQ42)</f>
        <v/>
      </c>
      <c r="GS42" s="542">
        <f>IF(GQ42&gt;GQ$6,0,IF(GQ42&lt;=GQ$2,GS$2,IF(AND(GQ42&lt;=$GQ$3,GQ42&gt;$GQ$2),GS$3,GS$4)))</f>
        <v/>
      </c>
      <c r="GT42" s="489">
        <f>MAX(0,GR42-GS42)</f>
        <v/>
      </c>
      <c r="GU42" s="137">
        <f t="array" ref="GU42">IF(GR42=0,0,LARGE(IF($GP$10:$GP$406=GR42,$GO$10:$GO$406,0),COUNTIF($GR$10:$GR$406,GR42)-COUNTIF(GR$9:GR41,GR42)))</f>
        <v/>
      </c>
      <c r="GV42" s="272">
        <f>IF(GR42=0,0,GT42/GR42)</f>
        <v/>
      </c>
      <c r="GW42" s="272" t="n"/>
      <c r="GX42" s="137">
        <f>IF(C42="","",IF(ISERROR(MATCH(C42,C$10:C41,0)),MAX(GO$10:GO41)+1,INDEX(GO$10:GO41,MATCH(C42,C$10:C41,0))))</f>
        <v/>
      </c>
      <c r="GY42" s="538">
        <f>IF(COUNTIF($A$10:A42,A42)&lt;=1,SUMIF($A$10:$A$406,A42,$FG$10:$FG$406),0)</f>
        <v/>
      </c>
      <c r="GZ42" s="137">
        <f>GZ41+1</f>
        <v/>
      </c>
      <c r="HA42" s="542">
        <f>LARGE($GY$10:$GY$406,GZ42)</f>
        <v/>
      </c>
      <c r="HB42" s="543" t="inlineStr">
        <is>
          <t>-</t>
        </is>
      </c>
      <c r="HC42" s="489">
        <f>IF(GZ42&lt;6,MAX(0,$HC$2/5),0)</f>
        <v/>
      </c>
      <c r="HD42" s="137">
        <f t="array" ref="HD42">IF(HA42=0,0,LARGE(IF($GY$10:$GY$406=HA42,$GX$10:$GX$406,0),COUNTIF($HA$10:$HA$406,HA42)-COUNTIF(HA$9:HA41,HA42)))</f>
        <v/>
      </c>
      <c r="HE42" s="272">
        <f>IF(HA42=0,0,HC42/HA42)</f>
        <v/>
      </c>
      <c r="HG42" s="270">
        <f>DG42-GA42</f>
        <v/>
      </c>
      <c r="HH42" s="544" t="n">
        <v>0</v>
      </c>
      <c r="HI42" s="538">
        <f>MIN(HH42,DE42)</f>
        <v/>
      </c>
      <c r="HK42" s="137">
        <f>IF(COUNTIF($C$10:$C$406,HK41+1),HK41+1,"")</f>
        <v/>
      </c>
      <c r="HL42" s="538">
        <f>SUMIF($C$10:$C$406,HK42,$DG$10:$DG$406)</f>
        <v/>
      </c>
      <c r="HN42" s="521">
        <f>MIN(HO42:HS42)</f>
        <v/>
      </c>
      <c r="HO42" s="521">
        <f>IF(B42="","",$M42)</f>
        <v/>
      </c>
      <c r="HP42" s="521">
        <f>IF($N42="Yes",IF(P42&gt;=6,0,MIN($T42*$M42,$U42*$M42)),"")</f>
        <v/>
      </c>
      <c r="HQ42" s="521">
        <f>IF(AND(N42="Yes",P42&gt;=6),"",IF($S42="Yes",$R42*$M42,""))</f>
        <v/>
      </c>
      <c r="HR42" s="521">
        <f>IF($Q42="Yes",MIN($M42,$T42*$M42),"")</f>
        <v/>
      </c>
      <c r="HS42" s="521">
        <f>IF(AND($N42="Yes",$P42&gt;=6),"",IF(OR(CY42=1,DC42=1,),MIN($T42*$M42,$U42*$M42),IF(OR(CZ42=1,DA42=1,DB42=1),IF(AK42&gt;=5000000,MIN($T42*$M42,$IE42*$M42),MIN($T42*$M42,$U42*$M42)),"")))</f>
        <v/>
      </c>
      <c r="HT42" s="521">
        <f>IF(DD42&gt;0,DD42,"")</f>
        <v/>
      </c>
      <c r="HU42" s="522">
        <f>IF(B42="",0,$L42-$M42)</f>
        <v/>
      </c>
      <c r="HV42" s="274">
        <f>IF(OR(SUM(HP42:HT42)&gt;0,P42&gt;=6),"",IF($B42="","",1))</f>
        <v/>
      </c>
      <c r="HW42" s="522">
        <f>IF(AND($HT42&lt;&gt;0,OR(HT42&lt;=MIN(HP42:HS42),SUM(HP42:HS42)=0)),$HT42,0)</f>
        <v/>
      </c>
      <c r="HX42" s="522">
        <f>IF(AND($HS42&lt;&gt;0,OR(AND($HS42&lt;&gt;$HT42,$HS42&lt;&gt;$HR42,$HS42&lt;&gt;$HQ42,$HS42&lt;&gt;$HP42,$HS42&lt;MIN($HP42:$HR42),$HS42&lt;HT42),SUM($HP42:$HR42)+SUM(HT42)=0),IA42&lt;=0),$HS42,0)</f>
        <v/>
      </c>
      <c r="HY42" s="522">
        <f>IF(AND($HR42&lt;&gt;0,OR(AND($HR42&lt;&gt;$HT42,$HR42&lt;&gt;$HS42,$HR42&lt;&gt;$HQ42,$HR42&lt;&gt;$HP42),$HR42&lt;MIN($HP42:$HQ42),$HR42&lt;MIN($HS42:$HT42),SUM($HP42:$HQ42)+SUM($HS42:$HT42)=0)),$HR42,0)</f>
        <v/>
      </c>
      <c r="HZ42" s="522">
        <f>IF(AND($HQ42&lt;&gt;0,OR(AND($HQ42&lt;&gt;$HT42,HQ42&lt;&gt;HS42,HQ42&lt;&gt;HR42,HQ42&lt;&gt;HP42,HQ42&lt;MIN(HR42:HT42)),SUM(HP42)+SUM(HR42:HT42)=0)),$HQ42,0)</f>
        <v/>
      </c>
      <c r="IA42" s="522">
        <f>IF(AND($HP42&lt;&gt;0,OR(HP42&lt;=MIN(HQ42:HT42),SUM(HQ42:HT42)=0)),$HP42,0)</f>
        <v/>
      </c>
      <c r="IB42" s="545" t="n">
        <v>20</v>
      </c>
      <c r="IC42">
        <f>HU42=DF42</f>
        <v/>
      </c>
      <c r="IE42" s="351">
        <f>IF(B42="","",IF(AND(Y42="Second Lien",OR(CZ42=1,DA42=1,DB42=1)),50%,IF(CZ42=1,90%,IF(DA42=1,80%,IF(DB42=1,65%,"No Initial Haircut")))))</f>
        <v/>
      </c>
    </row>
    <row r="43">
      <c r="A43">
        <f>D43</f>
        <v/>
      </c>
      <c r="B43" s="242">
        <f>IF(D43="","",B42+1)</f>
        <v/>
      </c>
      <c r="C43" s="242">
        <f>IF(COUNTIF($A$10:A42,A43)&gt;0,C42,C42+1)</f>
        <v/>
      </c>
      <c r="D43" s="243" t="inlineStr">
        <is>
          <t>Larkspur Holdings, LLC</t>
        </is>
      </c>
      <c r="E43" s="243" t="inlineStr">
        <is>
          <t>Larkspur (Term Loan)</t>
        </is>
      </c>
      <c r="F43" s="244" t="n"/>
      <c r="G43" s="528" t="n">
        <v>9177000</v>
      </c>
      <c r="H43" s="528" t="n">
        <v>9177000</v>
      </c>
      <c r="I43" s="246" t="n">
        <v>1</v>
      </c>
      <c r="J43" s="529">
        <f>IF(B43="","",G43*I43)</f>
        <v/>
      </c>
      <c r="K43" s="529">
        <f>IF(B43="","",H43*I43)</f>
        <v/>
      </c>
      <c r="L43" s="529">
        <f>IF(B43="","",IF(COUNTIF($CE43:$CX43,1)&gt;0,0,J43))</f>
        <v/>
      </c>
      <c r="M43" s="529">
        <f>IF(B43="","",IF(COUNTIF($CE43:$CX43,1)&gt;0,0,K43))</f>
        <v/>
      </c>
      <c r="N43" s="248" t="inlineStr">
        <is>
          <t>No</t>
        </is>
      </c>
      <c r="O43" s="248" t="inlineStr">
        <is>
          <t>N/A</t>
        </is>
      </c>
      <c r="P43" s="249">
        <f>IF(B43="","",IF(OR(O43="N/A",O43=""),0,YEARFRAC('Borrowing Base'!$J$4,'Loan List'!O43)*12))</f>
        <v/>
      </c>
      <c r="Q43" s="248" t="inlineStr">
        <is>
          <t>No</t>
        </is>
      </c>
      <c r="R43" s="250" t="n">
        <v>0.99</v>
      </c>
      <c r="S43" s="251">
        <f>IF(B43="","",IF(R43&lt;95%,"Yes","No"))</f>
        <v/>
      </c>
      <c r="T43" s="250" t="n">
        <v>0.995</v>
      </c>
      <c r="U43" s="252">
        <f>IF(B43="","",IF(OR(Y43="First Lien",Y43="Split First Lien",Y43="Tier 1 Split Lien",Y43="Tier 2 Split Lien"),50%,30%))</f>
        <v/>
      </c>
      <c r="V43" s="252">
        <f>IF(B43="",0,IF(AND(Y43="First Lien",AN43="Tier 1"),IF(AND(X43="Yes",MIN(AH43,$AJ$5)&gt;4.5),(((4.5/MIN(AH43,$AJ$5))*72.5%)+(((MIN(AH43,$AJ$5)-4.5)/MIN(AH43,$AJ$5))*35%)),72.5%),IF(AND(Y43="First Lien",AN43="Tier 2"),IF(AND(X43="Yes",MIN(AH43,$AK$5)&gt;4.5),(((4.5/MIN(AH43,$AK$5))*72.5%)+(((MIN(AH43,$AK$5)-4.5)/MIN(AH43,$AK$5))*35%)),72.5%),IF(AND(X43="Yes",MIN(AH43,$AL$5)&gt;4),(((4/MIN(AH43,$AL$5))*72.5%)+(((MIN(AH43,$AL$5)-4)/MIN(AH43,$AL$5))*35%)),IF(OR(Y43="First Lien",Y43="Split First Lien"),72.5%,IF(Y43="Split Lien", 53%,35%))))))</f>
        <v/>
      </c>
      <c r="W43" s="530">
        <f>IF($C43="","",MIN($HO43:$HS43))</f>
        <v/>
      </c>
      <c r="X43" s="248" t="inlineStr">
        <is>
          <t>No</t>
        </is>
      </c>
      <c r="Y43" s="254" t="inlineStr">
        <is>
          <t>First Lien</t>
        </is>
      </c>
      <c r="Z43" s="254" t="inlineStr">
        <is>
          <t>Term</t>
        </is>
      </c>
      <c r="AA43" s="531" t="inlineStr">
        <is>
          <t>NR</t>
        </is>
      </c>
      <c r="AB43" s="531" t="inlineStr">
        <is>
          <t xml:space="preserve"> NR</t>
        </is>
      </c>
      <c r="AC43" s="532" t="n">
        <v>2.286620409346455</v>
      </c>
      <c r="AD43" s="532" t="n">
        <v>3.716492854677716</v>
      </c>
      <c r="AE43" s="532" t="n">
        <v>3.43909200850343</v>
      </c>
      <c r="AF43" s="257" t="n">
        <v>0.248810250152532</v>
      </c>
      <c r="AG43" s="533" t="n">
        <v>3.716492854677716</v>
      </c>
      <c r="AH43" s="533" t="n">
        <v>3.716492854677716</v>
      </c>
      <c r="AI43" s="533" t="n">
        <v>3.43909200850343</v>
      </c>
      <c r="AJ43" s="533" t="n">
        <v>3.43909200850343</v>
      </c>
      <c r="AK43" s="534" t="n">
        <v>54863552.2716972</v>
      </c>
      <c r="AL43" s="534" t="n">
        <v>57983552.38154167</v>
      </c>
      <c r="AM43" s="276" t="n">
        <v>45747</v>
      </c>
      <c r="AN43" s="529">
        <f>IF(C43="","",(IF(AK43&gt;=50000000,"Tier 1",(IF(OR(AK43&gt;=20000000,AND(AK43&gt;5000000,AC43&gt;=1.25,AF43&lt;=0.65)),"Tier 2","Tier 3")))))</f>
        <v/>
      </c>
      <c r="AO43" s="244" t="n">
        <v>48292</v>
      </c>
      <c r="AP43" s="535" t="n">
        <v>6.636111111111111</v>
      </c>
      <c r="AQ43" s="535">
        <f>IF(C43="","",AP43)</f>
        <v/>
      </c>
      <c r="AR43" s="248" t="inlineStr">
        <is>
          <t>No</t>
        </is>
      </c>
      <c r="AS43" s="250" t="n">
        <v>0</v>
      </c>
      <c r="AT43" s="248" t="inlineStr">
        <is>
          <t>No</t>
        </is>
      </c>
      <c r="AU43" s="250" t="inlineStr"/>
      <c r="AV43" s="250" t="n">
        <v>0.0475</v>
      </c>
      <c r="AW43" s="250" t="n">
        <v>0.04295600000000001</v>
      </c>
      <c r="AX43" s="262">
        <f>IF(C43="","",MAX(AU43,AW43))</f>
        <v/>
      </c>
      <c r="AY43" s="250" t="n">
        <v>0</v>
      </c>
      <c r="AZ43" s="250" t="n">
        <v>0</v>
      </c>
      <c r="BA43" s="250" t="n">
        <v>0</v>
      </c>
      <c r="BB43" s="412">
        <f>IF(B43="","",IF(AR43="No",AV43-AZ43,""))</f>
        <v/>
      </c>
      <c r="BC43" s="412">
        <f>IF(B43="","",IF(AR43="Yes",AS43-BA43,""))</f>
        <v/>
      </c>
      <c r="BD43" s="254" t="inlineStr">
        <is>
          <t>Quarterly</t>
        </is>
      </c>
      <c r="BE43" s="536" t="inlineStr">
        <is>
          <t>Health Care Technology</t>
        </is>
      </c>
      <c r="BF43" s="254" t="inlineStr">
        <is>
          <t>USD</t>
        </is>
      </c>
      <c r="BG43" s="254" t="inlineStr">
        <is>
          <t>United States</t>
        </is>
      </c>
      <c r="BH43" s="248" t="inlineStr">
        <is>
          <t>No</t>
        </is>
      </c>
      <c r="BI43" s="413">
        <f>IF(B43="","",IF(OR(AND(AZ43&gt;0,BB43&gt;=2.5%,BB43&lt;4%),AND(BA43&gt;0,BC43&gt;=6%,BC43&lt;8%)),"Yes","No"))</f>
        <v/>
      </c>
      <c r="BJ43" s="413">
        <f>IF(B43="","",IF(OR(AND(AZ43&gt;0,BB43&lt;2.5%),AND(BA43&gt;0,BC43&lt;6%)),"Yes","No"))</f>
        <v/>
      </c>
      <c r="BK43" s="248" t="inlineStr">
        <is>
          <t>No</t>
        </is>
      </c>
      <c r="BL43" s="248" t="inlineStr">
        <is>
          <t>No</t>
        </is>
      </c>
      <c r="BM43" s="248" t="inlineStr">
        <is>
          <t>No</t>
        </is>
      </c>
      <c r="BN43" s="248" t="inlineStr">
        <is>
          <t>No</t>
        </is>
      </c>
      <c r="BO43" s="248" t="inlineStr">
        <is>
          <t>No</t>
        </is>
      </c>
      <c r="BP43" s="248" t="inlineStr">
        <is>
          <t>No</t>
        </is>
      </c>
      <c r="BQ43" s="248" t="inlineStr">
        <is>
          <t>No</t>
        </is>
      </c>
      <c r="BR43" s="248" t="inlineStr">
        <is>
          <t>No</t>
        </is>
      </c>
      <c r="BS43" s="248" t="inlineStr">
        <is>
          <t>No</t>
        </is>
      </c>
      <c r="BT43" s="248" t="inlineStr">
        <is>
          <t>No</t>
        </is>
      </c>
      <c r="BU43" s="248" t="inlineStr">
        <is>
          <t>No</t>
        </is>
      </c>
      <c r="BV43" s="248" t="inlineStr">
        <is>
          <t>No</t>
        </is>
      </c>
      <c r="BW43" s="248" t="inlineStr">
        <is>
          <t>No</t>
        </is>
      </c>
      <c r="BX43" s="248" t="inlineStr">
        <is>
          <t>No</t>
        </is>
      </c>
      <c r="BY43" s="248" t="inlineStr">
        <is>
          <t>No</t>
        </is>
      </c>
      <c r="BZ43" s="248" t="inlineStr">
        <is>
          <t>No</t>
        </is>
      </c>
      <c r="CA43" s="248" t="inlineStr">
        <is>
          <t>Yes</t>
        </is>
      </c>
      <c r="CB43" s="537">
        <f>IF(B43="","",IF(AT43="No",((BB43+AW43)-$AZ$4),((BB43+AX43)-$AZ$4))*IF(DD43&gt;0,0,M43))</f>
        <v/>
      </c>
      <c r="CC43" s="537">
        <f>IF(B43="","",AY43*(L43-M43)*IF(DD43&gt;0,0,1))</f>
        <v/>
      </c>
      <c r="CD43" s="265" t="n"/>
      <c r="CE43" s="265">
        <f>IF(AND(B43&lt;&gt;"",R43&lt;=85%),1,0)</f>
        <v/>
      </c>
      <c r="CF43" s="265">
        <f>IF(B43="",0,(IF(OR(BF43="USD",BF43="CAD",BF43="GBP",BF43="AUD",BF43="EUR"),0,1)))</f>
        <v/>
      </c>
      <c r="CG43" s="265">
        <f>IF(B43="",0,(IF(OR(BG43="United States",BG43="Canada",BG43="United Kingdom",BG43="Australia",BG43="Netherlands Antilles",BG43="Bermuda",BG43="Cayman Islands",BG43="British Virgin Islands",BG43="Channel Islands",BG43="Isle of Man",BG43="Australia",BG43="Netherlands",BG43="Germany",BG43="Sweden",BG43="Switzerland",BG43="Austria",BG43="Belgium",BG43="Denmark",BG43="Finland",BG43="Iceland",BG43="Ireland",BG43="Lichtenstein",BG43="Luxemborg",BG43="Norway"),0,1)))</f>
        <v/>
      </c>
      <c r="CH43" s="265">
        <f>IF(BN43="Yes",1,0)</f>
        <v/>
      </c>
      <c r="CI43" s="265">
        <f>IF(BO43="Yes",1,0)</f>
        <v/>
      </c>
      <c r="CJ43" s="265">
        <f>IF(BP43="Yes",1,0)</f>
        <v/>
      </c>
      <c r="CK43" s="265">
        <f>IF(BQ43="Yes",1,0)</f>
        <v/>
      </c>
      <c r="CL43" s="265">
        <f>IF(BR43="Yes",1,0)</f>
        <v/>
      </c>
      <c r="CM43" s="265">
        <f>IF(BS43="Yes",1,0)</f>
        <v/>
      </c>
      <c r="CN43" s="265">
        <f>IF(OR(AND(BJ43="Yes",N43="No"),AND(BJ43="Yes",N43="Yes",P43&gt;=6)),1,0)</f>
        <v/>
      </c>
      <c r="CO43" s="265">
        <f>IF(BT43="Yes",1,0)</f>
        <v/>
      </c>
      <c r="CP43" s="265">
        <f>IF(AND(BU43="Yes",BV43="No"),1,0)</f>
        <v/>
      </c>
      <c r="CQ43" s="265">
        <f>IF(BW43="Yes",1,0)</f>
        <v/>
      </c>
      <c r="CR43" s="265">
        <f>IF(AP43="",0,IF(AP43&gt;7,1,0))</f>
        <v/>
      </c>
      <c r="CS43" s="265">
        <f>IF(OR(BD43&lt;&gt;"Monthly",BD43&lt;&gt;"Quarterly",BD43&lt;&gt;"Semi-Annually"),0,1)</f>
        <v/>
      </c>
      <c r="CT43" s="265">
        <f>IF(BX43="Yes",1,0)</f>
        <v/>
      </c>
      <c r="CU43" s="265">
        <f>IF(BY43="Yes",1,0)</f>
        <v/>
      </c>
      <c r="CV43" s="265">
        <f>IF(BZ43="Yes",1,0)</f>
        <v/>
      </c>
      <c r="CW43" s="265">
        <f>IF(CA43="No",1,0)</f>
        <v/>
      </c>
      <c r="CX43" s="265">
        <f>IF(B43="",0,IF(AK43&gt;=5000000,0,1))</f>
        <v/>
      </c>
      <c r="CY43" s="265">
        <f>IF(B43="",0,IF(AL43&gt;=5000000,0,1))</f>
        <v/>
      </c>
      <c r="CZ43" s="265">
        <f>IF(OR(DA43=1,DB43=1,DC43=1),0,IF(B43="",0,IF(OR(AND(AN43="Tier 1",X43="No",OR(AI43&gt;$AJ$3,AJ43&gt;$AJ$4)),(AND(AN43="Tier 1",X43="Yes",AJ43&gt;$AJ$5)),(AND(AN43="Tier 2",X43="No",OR(AI43&gt;$AK$3,AJ43&gt;$AK$4))),(AND(AN43="Tier 2",X43="Yes",AJ43&gt;$AK$5)),(AND(AN43="Tier 3",X43="No",OR(AI43&gt;$AL$3,AJ43&gt;$AL$4))),(AND(AN43="Tier 3",X43="Yes",AJ43&gt;$AL$5))),1,0)))</f>
        <v/>
      </c>
      <c r="DA43" s="265">
        <f>IF(OR(DB43=1,DC43=1),0,IF(B43="",0,IF(OR(AND(AN43="Tier 1",X43="No",OR(AI43&gt;$AM$3,AJ43&gt;$AM$4)),(AND(AN43="Tier 1",X43="Yes",AJ43&gt;$AM$5)),(AND(AN43="Tier 2",X43="No",OR(AI43&gt;$AN$3,AJ43&gt;$AN$4))),(AND(AN43="Tier 2",X43="Yes",AJ43&gt;$AN$5)),(AND(AN43="Tier 3",X43="No",OR(AI43&gt;$AO$3,AJ43&gt;$AO$4))),(AND(AN43="Tier 3",X43="Yes",AJ43&gt;$AO$5))),1,0)))</f>
        <v/>
      </c>
      <c r="DB43" s="265">
        <f>IF(DC43=1,0,IF(B43="",0,IF(OR(AND(AN43="Tier 1",X43="No",OR(AI43&gt;$AP$3,AJ43&gt;$AP$4)),(AND(AN43="Tier 1",X43="Yes",AJ43&gt;$AP$5)),(AND(AN43="Tier 2",X43="No",OR(AI43&gt;$AQ$3,AJ43&gt;$AQ$4))),(AND(AN43="Tier 2",X43="Yes",AJ43&gt;$AQ$5)),(AND(AN43="Tier 3",X43="No",OR(AI43&gt;$AR$3,AJ43&gt;$AR$4))),(AND(AN43="Tier 3",X43="Yes",AJ43&gt;$AR$5))),1,0)))</f>
        <v/>
      </c>
      <c r="DC43" s="265">
        <f>IF(B43="",0,IF(OR(AND(AN43="Tier 1",X43="No",OR(AI43&gt;$AS$3,AJ43&gt;$AS$4)),(AND(AN43="Tier 1",X43="Yes",AJ43&gt;$AS$5)),(AND(AN43="Tier 2",X43="No",OR(AI43&gt;$AT$3,AJ43&gt;$AT$4))),(AND(AN43="Tier 2",X43="Yes",AJ43&gt;$AT$5)),(AND(AN43="Tier 3",X43="No",OR(AI43&gt;$AU$3,AJ43&gt;$AU$4))),(AND(AN43="Tier 3",X43="Yes",AJ43&gt;$AU$5))),1,0))</f>
        <v/>
      </c>
      <c r="DD43" s="265">
        <f>IF((SUM(CE43:CX43)=0),0,W43)</f>
        <v/>
      </c>
      <c r="DE43" s="265">
        <f>IF(OR(B43="",DD43&gt;0),0,W43)</f>
        <v/>
      </c>
      <c r="DF43" s="265">
        <f>IF(B43="",0,IF(COUNTIF(CE43:CX43,1)&gt;0,0,L43-M43))</f>
        <v/>
      </c>
      <c r="DG43" s="265">
        <f>DE43+IF(DD43&gt;0,0,DF43)</f>
        <v/>
      </c>
      <c r="DH43" s="265">
        <f>IF(B43="","",M43+DF43)</f>
        <v/>
      </c>
      <c r="DI43" s="265">
        <f>IF(B43="",0,J43-K43)</f>
        <v/>
      </c>
      <c r="DJ43" s="265">
        <f>IF(OR(BF43="EUR",BF43="CAD",BF43="GBP",BF43="AUD"),(GA43*(1-V43))+(HG43)+IF(HX43="",0,HX43*(1-U43)),0)</f>
        <v/>
      </c>
      <c r="DK43" s="265">
        <f>IF(BF43="EUR",33%,IF(BF43="CAD",38%,IF(BF43="GBP",51%,IF(BF43="AUD",61%,0))))</f>
        <v/>
      </c>
      <c r="DL43" s="265">
        <f>DJ43*DK43</f>
        <v/>
      </c>
      <c r="DN43" s="538">
        <f>IF(OR(Y43="Second Lien",Y43="Tier 1 Split Lien",Y43="Tier 2 Split Lien"),DG43,0)</f>
        <v/>
      </c>
      <c r="DO43" s="539">
        <f>DN43*DN$6</f>
        <v/>
      </c>
      <c r="DP43" s="538">
        <f>DG43-DO43</f>
        <v/>
      </c>
      <c r="DQ43" s="538">
        <f>IF(Y43="Second Lien",DP43,0)</f>
        <v/>
      </c>
      <c r="DR43" s="539">
        <f>DQ43*DQ$6</f>
        <v/>
      </c>
      <c r="DS43" s="538">
        <f>DP43-DR43</f>
        <v/>
      </c>
      <c r="DT43" s="538">
        <f>IF(BH43="Yes",DS43,0)</f>
        <v/>
      </c>
      <c r="DU43" s="539">
        <f>DT43*DT$6</f>
        <v/>
      </c>
      <c r="DV43" s="538">
        <f>DS43-DU43</f>
        <v/>
      </c>
      <c r="DW43" s="538">
        <f>IF(OR(BG43="Canada",BG43="United Kingdom",BG43="Australia",BG43="Netherlands Antilles",BG43="Bermuda",BG43="Cayman Islands",BG43="British Virgin Islands",BG43="Channel Islands",BG43="Isle of Man",BG43="Australia",BG43="Netherlands",BG43="Germany",BG43="Sweden",BG43="Switzerland",BG43="Austria",BG43="Belgium",BG43="Denmark",BG43="Finland",BG43="Iceland",BG43="Ireland",BG43="Lichtenstein",BG43="Luxemborg",BG43="Norway"),DV43,0)</f>
        <v/>
      </c>
      <c r="DX43" s="539">
        <f>DW43*DW$6</f>
        <v/>
      </c>
      <c r="DY43" s="538">
        <f>DV43-DX43</f>
        <v/>
      </c>
      <c r="DZ43" s="538">
        <f>IF(BI43="Yes",DY43,0)</f>
        <v/>
      </c>
      <c r="EA43" s="539">
        <f>DZ43*DZ$6</f>
        <v/>
      </c>
      <c r="EB43" s="538">
        <f>DY43-EA43</f>
        <v/>
      </c>
      <c r="EC43" s="538">
        <f>IF(OR(Z43="Delayed Draw",Z43="Revolver"),EB43,0)</f>
        <v/>
      </c>
      <c r="ED43" s="539">
        <f>EC43*EC$6</f>
        <v/>
      </c>
      <c r="EE43" s="538">
        <f>EB43-ED43</f>
        <v/>
      </c>
      <c r="EF43" s="538">
        <f>IF(S43="Yes",EE43,0)</f>
        <v/>
      </c>
      <c r="EG43" s="539">
        <f>EF43*EF$6</f>
        <v/>
      </c>
      <c r="EH43" s="538">
        <f>EE43-EG43</f>
        <v/>
      </c>
      <c r="EI43" s="538">
        <f>IF(Q43="Yes",EH43,0)</f>
        <v/>
      </c>
      <c r="EJ43" s="539">
        <f>EI43*EI$6</f>
        <v/>
      </c>
      <c r="EK43" s="538">
        <f>EH43-EJ43</f>
        <v/>
      </c>
      <c r="EL43" s="538">
        <f>IF(BD43="Semi-Annually",EK43,0)</f>
        <v/>
      </c>
      <c r="EM43" s="539">
        <f>EL43*EL$6</f>
        <v/>
      </c>
      <c r="EN43" s="538">
        <f>EK43-EM43</f>
        <v/>
      </c>
      <c r="EO43" s="538">
        <f>IF(BK43="Yes",EN43,0)</f>
        <v/>
      </c>
      <c r="EP43" s="539">
        <f>EO43*EO$6</f>
        <v/>
      </c>
      <c r="EQ43" s="538">
        <f>EN43-EP43</f>
        <v/>
      </c>
      <c r="ER43" s="538">
        <f>IF(BL43="Yes",EQ43,0)</f>
        <v/>
      </c>
      <c r="ES43" s="539">
        <f>ER43*ER$6</f>
        <v/>
      </c>
      <c r="ET43" s="538">
        <f>EQ43-ES43</f>
        <v/>
      </c>
      <c r="EU43" s="538">
        <f>IF(BM43="Yes",ET43,0)</f>
        <v/>
      </c>
      <c r="EV43" s="539">
        <f>EU43*EU$6</f>
        <v/>
      </c>
      <c r="EW43" s="538">
        <f>ET43-EV43</f>
        <v/>
      </c>
      <c r="EX43" s="538">
        <f>IF(BV43="Yes",EW43,0)</f>
        <v/>
      </c>
      <c r="EY43" s="539">
        <f>EX43*EX$6</f>
        <v/>
      </c>
      <c r="EZ43" s="538">
        <f>EW43-EY43</f>
        <v/>
      </c>
      <c r="FA43" s="538">
        <f>IF(AR43="Yes",EZ43,0)</f>
        <v/>
      </c>
      <c r="FB43" s="539">
        <f>FA43*FA$6</f>
        <v/>
      </c>
      <c r="FC43" s="538">
        <f>EZ43-FB43</f>
        <v/>
      </c>
      <c r="FD43" s="538">
        <f>IF(OR(BF43="EUR",BF43="AUD",BF43="CAD",BF43="GBP"),FC43,0)</f>
        <v/>
      </c>
      <c r="FE43" s="539">
        <f>FD43*FD$6</f>
        <v/>
      </c>
      <c r="FF43" s="538">
        <f>FC43-FE43</f>
        <v/>
      </c>
      <c r="FG43" s="538">
        <f>FF43</f>
        <v/>
      </c>
      <c r="FH43" s="538">
        <f>IF(FF43=0,0,VLOOKUP(C43,$GU$10:$GV$406,2,FALSE)*FF43)</f>
        <v/>
      </c>
      <c r="FI43" s="538">
        <f>FF43-FH43</f>
        <v/>
      </c>
      <c r="FJ43" s="538">
        <f>FI43</f>
        <v/>
      </c>
      <c r="FK43" s="538">
        <f>IF(OR(IB43="",FI43&lt;0.01),,VLOOKUP(IB43,$GL$10:$GM$406,2,FALSE)*FI43)</f>
        <v/>
      </c>
      <c r="FL43" s="538">
        <f>FI43-FK43</f>
        <v/>
      </c>
      <c r="FM43" s="538">
        <f>FL43</f>
        <v/>
      </c>
      <c r="FN43" s="538">
        <f>IF(FL43=0,0,VLOOKUP(C43,$HD$10:$HE$406,2,FALSE)*FL43)</f>
        <v/>
      </c>
      <c r="FO43" s="538">
        <f>FL43-FN43</f>
        <v/>
      </c>
      <c r="FP43" s="538">
        <f>IF(SUM(CY43:DC43)&gt;0,0,IF(AND(AL43&gt;=5000000,AL43&lt;7500000),FO43,0))</f>
        <v/>
      </c>
      <c r="FQ43" s="539">
        <f>IF(B43="",0,FP43*FP$6*(1-$U43))</f>
        <v/>
      </c>
      <c r="FR43" s="538">
        <f>FO43-FQ43</f>
        <v/>
      </c>
      <c r="FS43" s="538">
        <f>IF(SUM(CY43:DC43)&gt;0,0,IF(AL43&lt;15000000,FR43,0))</f>
        <v/>
      </c>
      <c r="FT43" s="539">
        <f>IF(B43="",0,FS43*FS$6*(1-$U43))</f>
        <v/>
      </c>
      <c r="FU43" s="538">
        <f>FR43-FT43</f>
        <v/>
      </c>
      <c r="FV43" s="538">
        <f>IF(SUM(CY43:DC43)&gt;0,0,IF(OR(AND(X43="No",AN43="Tier 1",AI43&gt;$AG$3),AND(X43="No",AN43="Tier 2",AI43&gt;$AH$3),AND(X43="No",AN43="Tier 3",AI43&gt;$AI$3)),FU43,0))</f>
        <v/>
      </c>
      <c r="FW43" s="538">
        <f>IF(SUM(CY43:DC43)&gt;0,0,IF(OR(AND(X43="No",AN43="Tier 1",AJ43&gt;$AG$4),AND(X43="No",AN43="Tier 2",AJ43&gt;$AH$4),AND(X43="No",AN43="Tier 3",AJ43&gt;$AI$4)),FU43,0))</f>
        <v/>
      </c>
      <c r="FX43" s="538">
        <f>IF(SUM(CY43:DC43)&gt;0,0,IF(OR(AND(X43="Yes",AN43="Tier 1",AJ43&gt;$AG$5),AND(X43="Yes",AN43="Tier 2",AJ43&gt;$AH$5),AND(X43="Yes",AN43="Tier 3",AJ43&gt;$AI$5)),FU43,0))</f>
        <v/>
      </c>
      <c r="FY43" s="538">
        <f>IF(SUM(FV43:FX43)&gt;0,FU43,0)</f>
        <v/>
      </c>
      <c r="FZ43" s="539">
        <f>IF(B43="",0,FY43*FV$6*(1-MIN(90%,T43)))</f>
        <v/>
      </c>
      <c r="GA43" s="538">
        <f>FU43-FZ43</f>
        <v/>
      </c>
      <c r="GB43" s="538">
        <f>IF(AND(N43="No",DI43=0),GA43,IF(AND(N43="No",DI43&lt;&gt;0,K43=0),0,IF(AND(N43="No",DI43&lt;&gt;0,K43&gt;0,J43&lt;&gt;K43),MAX(0,M43-(DH43-GA43)),DG43)))</f>
        <v/>
      </c>
      <c r="GC43" s="540">
        <f>+GB43*V43</f>
        <v/>
      </c>
      <c r="GD43" s="138">
        <f>IFERROR(GC43/K43,"")</f>
        <v/>
      </c>
      <c r="GE43" s="541">
        <f>IF(IB43="","",IB43)</f>
        <v/>
      </c>
      <c r="GF43" s="538">
        <f t="array" ref="GF43">IF(SUM(IF(IB$9:IB42=IB43,1,0))&gt;0,0,SUMIF($IB$10:$IB$406,IB43,$FI$10:$FI$406))</f>
        <v/>
      </c>
      <c r="GG43" s="270">
        <f>GF43</f>
        <v/>
      </c>
      <c r="GH43" s="137">
        <f>GH42+1</f>
        <v/>
      </c>
      <c r="GI43" s="542">
        <f>LARGE($GG$10:$GG$406,GH43)</f>
        <v/>
      </c>
      <c r="GJ43" s="542">
        <f>IF(GH43&gt;GH$6,0,IF(GH43=$GH$2,$GJ$2,IF(GH43&lt;4,$GJ$3,$GJ$4)))</f>
        <v/>
      </c>
      <c r="GK43" s="489">
        <f>MAX(0,GI43-GJ43)</f>
        <v/>
      </c>
      <c r="GL43" s="137">
        <f t="array" ref="GL43">IF(GI43=0,0,LARGE(IF($GF$10:$GF$406=GI43,$GE$10:$GE$406,0),COUNTIF($GI$10:$GI$406,GI43)-COUNTIF(GI$9:GI42,GI43)))</f>
        <v/>
      </c>
      <c r="GM43" s="272">
        <f>IF(GI43=0,0,GK43/GI43)</f>
        <v/>
      </c>
      <c r="GO43" s="137">
        <f>IF(C43="","",IF(ISERROR(MATCH(C43,C$10:C42,0)),MAX(GO$10:GO42)+1,INDEX(GO$10:GO42,MATCH(C43,C$10:C42,0))))</f>
        <v/>
      </c>
      <c r="GP43" s="538">
        <f>IF(COUNTIF($A$10:A43,A43)&lt;=1,SUMIF($A$10:$A$406,A43,$FG$10:$FG$406),0)</f>
        <v/>
      </c>
      <c r="GQ43" s="137">
        <f>GQ42+1</f>
        <v/>
      </c>
      <c r="GR43" s="542">
        <f>LARGE($GP$10:$GP$406,GQ43)</f>
        <v/>
      </c>
      <c r="GS43" s="542">
        <f>IF(GQ43&gt;GQ$6,0,IF(GQ43&lt;=GQ$2,GS$2,IF(AND(GQ43&lt;=$GQ$3,GQ43&gt;$GQ$2),GS$3,GS$4)))</f>
        <v/>
      </c>
      <c r="GT43" s="489">
        <f>MAX(0,GR43-GS43)</f>
        <v/>
      </c>
      <c r="GU43" s="137">
        <f t="array" ref="GU43">IF(GR43=0,0,LARGE(IF($GP$10:$GP$406=GR43,$GO$10:$GO$406,0),COUNTIF($GR$10:$GR$406,GR43)-COUNTIF(GR$9:GR42,GR43)))</f>
        <v/>
      </c>
      <c r="GV43" s="272">
        <f>IF(GR43=0,0,GT43/GR43)</f>
        <v/>
      </c>
      <c r="GW43" s="272" t="n"/>
      <c r="GX43" s="137">
        <f>IF(C43="","",IF(ISERROR(MATCH(C43,C$10:C42,0)),MAX(GO$10:GO42)+1,INDEX(GO$10:GO42,MATCH(C43,C$10:C42,0))))</f>
        <v/>
      </c>
      <c r="GY43" s="538">
        <f>IF(COUNTIF($A$10:A43,A43)&lt;=1,SUMIF($A$10:$A$406,A43,$FG$10:$FG$406),0)</f>
        <v/>
      </c>
      <c r="GZ43" s="137">
        <f>GZ42+1</f>
        <v/>
      </c>
      <c r="HA43" s="542">
        <f>LARGE($GY$10:$GY$406,GZ43)</f>
        <v/>
      </c>
      <c r="HB43" s="543" t="inlineStr">
        <is>
          <t>-</t>
        </is>
      </c>
      <c r="HC43" s="489">
        <f>IF(GZ43&lt;6,MAX(0,$HC$2/5),0)</f>
        <v/>
      </c>
      <c r="HD43" s="137">
        <f t="array" ref="HD43">IF(HA43=0,0,LARGE(IF($GY$10:$GY$406=HA43,$GX$10:$GX$406,0),COUNTIF($HA$10:$HA$406,HA43)-COUNTIF(HA$9:HA42,HA43)))</f>
        <v/>
      </c>
      <c r="HE43" s="272">
        <f>IF(HA43=0,0,HC43/HA43)</f>
        <v/>
      </c>
      <c r="HG43" s="270">
        <f>DG43-GA43</f>
        <v/>
      </c>
      <c r="HH43" s="544" t="n">
        <v>0</v>
      </c>
      <c r="HI43" s="538">
        <f>MIN(HH43,DE43)</f>
        <v/>
      </c>
      <c r="HK43" s="137">
        <f>IF(COUNTIF($C$10:$C$406,HK42+1),HK42+1,"")</f>
        <v/>
      </c>
      <c r="HL43" s="538">
        <f>SUMIF($C$10:$C$406,HK43,$DG$10:$DG$406)</f>
        <v/>
      </c>
      <c r="HN43" s="521">
        <f>MIN(HO43:HS43)</f>
        <v/>
      </c>
      <c r="HO43" s="521">
        <f>IF(B43="","",$M43)</f>
        <v/>
      </c>
      <c r="HP43" s="521">
        <f>IF($N43="Yes",IF(P43&gt;=6,0,MIN($T43*$M43,$U43*$M43)),"")</f>
        <v/>
      </c>
      <c r="HQ43" s="521">
        <f>IF(AND(N43="Yes",P43&gt;=6),"",IF($S43="Yes",$R43*$M43,""))</f>
        <v/>
      </c>
      <c r="HR43" s="521">
        <f>IF($Q43="Yes",MIN($M43,$T43*$M43),"")</f>
        <v/>
      </c>
      <c r="HS43" s="521">
        <f>IF(AND($N43="Yes",$P43&gt;=6),"",IF(OR(CY43=1,DC43=1,),MIN($T43*$M43,$U43*$M43),IF(OR(CZ43=1,DA43=1,DB43=1),IF(AK43&gt;=5000000,MIN($T43*$M43,$IE43*$M43),MIN($T43*$M43,$U43*$M43)),"")))</f>
        <v/>
      </c>
      <c r="HT43" s="521">
        <f>IF(DD43&gt;0,DD43,"")</f>
        <v/>
      </c>
      <c r="HU43" s="522">
        <f>IF(B43="",0,$L43-$M43)</f>
        <v/>
      </c>
      <c r="HV43" s="274">
        <f>IF(OR(SUM(HP43:HT43)&gt;0,P43&gt;=6),"",IF($B43="","",1))</f>
        <v/>
      </c>
      <c r="HW43" s="522">
        <f>IF(AND($HT43&lt;&gt;0,OR(HT43&lt;=MIN(HP43:HS43),SUM(HP43:HS43)=0)),$HT43,0)</f>
        <v/>
      </c>
      <c r="HX43" s="522">
        <f>IF(AND($HS43&lt;&gt;0,OR(AND($HS43&lt;&gt;$HT43,$HS43&lt;&gt;$HR43,$HS43&lt;&gt;$HQ43,$HS43&lt;&gt;$HP43,$HS43&lt;MIN($HP43:$HR43),$HS43&lt;HT43),SUM($HP43:$HR43)+SUM(HT43)=0),IA43&lt;=0),$HS43,0)</f>
        <v/>
      </c>
      <c r="HY43" s="522">
        <f>IF(AND($HR43&lt;&gt;0,OR(AND($HR43&lt;&gt;$HT43,$HR43&lt;&gt;$HS43,$HR43&lt;&gt;$HQ43,$HR43&lt;&gt;$HP43),$HR43&lt;MIN($HP43:$HQ43),$HR43&lt;MIN($HS43:$HT43),SUM($HP43:$HQ43)+SUM($HS43:$HT43)=0)),$HR43,0)</f>
        <v/>
      </c>
      <c r="HZ43" s="522">
        <f>IF(AND($HQ43&lt;&gt;0,OR(AND($HQ43&lt;&gt;$HT43,HQ43&lt;&gt;HS43,HQ43&lt;&gt;HR43,HQ43&lt;&gt;HP43,HQ43&lt;MIN(HR43:HT43)),SUM(HP43)+SUM(HR43:HT43)=0)),$HQ43,0)</f>
        <v/>
      </c>
      <c r="IA43" s="522">
        <f>IF(AND($HP43&lt;&gt;0,OR(HP43&lt;=MIN(HQ43:HT43),SUM(HQ43:HT43)=0)),$HP43,0)</f>
        <v/>
      </c>
      <c r="IB43" s="545" t="n">
        <v>32</v>
      </c>
      <c r="IC43">
        <f>HU43=DF43</f>
        <v/>
      </c>
      <c r="IE43" s="351">
        <f>IF(B43="","",IF(AND(Y43="Second Lien",OR(CZ43=1,DA43=1,DB43=1)),50%,IF(CZ43=1,90%,IF(DA43=1,80%,IF(DB43=1,65%,"No Initial Haircut")))))</f>
        <v/>
      </c>
    </row>
    <row r="44">
      <c r="A44">
        <f>D44</f>
        <v/>
      </c>
      <c r="B44" s="242">
        <f>IF(D44="","",B43+1)</f>
        <v/>
      </c>
      <c r="C44" s="242">
        <f>IF(COUNTIF($A$10:A43,A44)&gt;0,C43,C43+1)</f>
        <v/>
      </c>
      <c r="D44" s="243" t="inlineStr">
        <is>
          <t>Millbrook Holdings, LLC</t>
        </is>
      </c>
      <c r="E44" s="243" t="inlineStr">
        <is>
          <t>Millbrook (Term Loan)</t>
        </is>
      </c>
      <c r="F44" s="244" t="n"/>
      <c r="G44" s="528" t="n">
        <v>2645556.47</v>
      </c>
      <c r="H44" s="528" t="n">
        <v>2645556.47</v>
      </c>
      <c r="I44" s="246" t="n">
        <v>1</v>
      </c>
      <c r="J44" s="529">
        <f>IF(B44="","",G44*I44)</f>
        <v/>
      </c>
      <c r="K44" s="529">
        <f>IF(B44="","",H44*I44)</f>
        <v/>
      </c>
      <c r="L44" s="529">
        <f>IF(B44="","",IF(COUNTIF($CE44:$CX44,1)&gt;0,0,J44))</f>
        <v/>
      </c>
      <c r="M44" s="529">
        <f>IF(B44="","",IF(COUNTIF($CE44:$CX44,1)&gt;0,0,K44))</f>
        <v/>
      </c>
      <c r="N44" s="248" t="inlineStr">
        <is>
          <t>No</t>
        </is>
      </c>
      <c r="O44" s="248" t="inlineStr">
        <is>
          <t>N/A</t>
        </is>
      </c>
      <c r="P44" s="249">
        <f>IF(B44="","",IF(OR(O44="N/A",O44=""),0,YEARFRAC('Borrowing Base'!$J$4,'Loan List'!O44)*12))</f>
        <v/>
      </c>
      <c r="Q44" s="248" t="inlineStr">
        <is>
          <t>No</t>
        </is>
      </c>
      <c r="R44" s="250" t="n">
        <v>0.9899999999999999</v>
      </c>
      <c r="S44" s="251">
        <f>IF(B44="","",IF(R44&lt;95%,"Yes","No"))</f>
        <v/>
      </c>
      <c r="T44" s="250" t="n">
        <v>0.9700000015497683</v>
      </c>
      <c r="U44" s="252">
        <f>IF(B44="","",IF(OR(Y44="First Lien",Y44="Split First Lien",Y44="Tier 1 Split Lien",Y44="Tier 2 Split Lien"),50%,30%))</f>
        <v/>
      </c>
      <c r="V44" s="252">
        <f>IF(B44="",0,IF(AND(Y44="First Lien",AN44="Tier 1"),IF(AND(X44="Yes",MIN(AH44,$AJ$5)&gt;4.5),(((4.5/MIN(AH44,$AJ$5))*72.5%)+(((MIN(AH44,$AJ$5)-4.5)/MIN(AH44,$AJ$5))*35%)),72.5%),IF(AND(Y44="First Lien",AN44="Tier 2"),IF(AND(X44="Yes",MIN(AH44,$AK$5)&gt;4.5),(((4.5/MIN(AH44,$AK$5))*72.5%)+(((MIN(AH44,$AK$5)-4.5)/MIN(AH44,$AK$5))*35%)),72.5%),IF(AND(X44="Yes",MIN(AH44,$AL$5)&gt;4),(((4/MIN(AH44,$AL$5))*72.5%)+(((MIN(AH44,$AL$5)-4)/MIN(AH44,$AL$5))*35%)),IF(OR(Y44="First Lien",Y44="Split First Lien"),72.5%,IF(Y44="Split Lien", 53%,35%))))))</f>
        <v/>
      </c>
      <c r="W44" s="530">
        <f>IF($C44="","",MIN($HO44:$HS44))</f>
        <v/>
      </c>
      <c r="X44" s="248" t="inlineStr">
        <is>
          <t>No</t>
        </is>
      </c>
      <c r="Y44" s="254" t="inlineStr">
        <is>
          <t>First Lien</t>
        </is>
      </c>
      <c r="Z44" s="254" t="inlineStr">
        <is>
          <t>Term</t>
        </is>
      </c>
      <c r="AA44" s="531" t="inlineStr">
        <is>
          <t>B3</t>
        </is>
      </c>
      <c r="AB44" s="531" t="inlineStr">
        <is>
          <t xml:space="preserve"> CCC+</t>
        </is>
      </c>
      <c r="AC44" s="532" t="n">
        <v>1.523272625188616</v>
      </c>
      <c r="AD44" s="532" t="n">
        <v>4.739655048336414</v>
      </c>
      <c r="AE44" s="532" t="n">
        <v>4.70578147079071</v>
      </c>
      <c r="AF44" s="257" t="n">
        <v>0.5711287758346582</v>
      </c>
      <c r="AG44" s="533" t="n">
        <v>4.739655048336414</v>
      </c>
      <c r="AH44" s="533" t="n">
        <v>4.739655048336414</v>
      </c>
      <c r="AI44" s="533" t="n">
        <v>4.70578147079071</v>
      </c>
      <c r="AJ44" s="533" t="n">
        <v>4.70578147079071</v>
      </c>
      <c r="AK44" s="534" t="n">
        <v>83373999.99999996</v>
      </c>
      <c r="AL44" s="534" t="n">
        <v>82799000</v>
      </c>
      <c r="AM44" s="276" t="n">
        <v>45747</v>
      </c>
      <c r="AN44" s="529">
        <f>IF(C44="","",(IF(AK44&gt;=50000000,"Tier 1",(IF(OR(AK44&gt;=20000000,AND(AK44&gt;5000000,AC44&gt;=1.25,AF44&lt;=0.65)),"Tier 2","Tier 3")))))</f>
        <v/>
      </c>
      <c r="AO44" s="244" t="n">
        <v>47337</v>
      </c>
      <c r="AP44" s="535" t="n">
        <v>4.019444444444445</v>
      </c>
      <c r="AQ44" s="535">
        <f>IF(C44="","",AP44)</f>
        <v/>
      </c>
      <c r="AR44" s="248" t="inlineStr">
        <is>
          <t>No</t>
        </is>
      </c>
      <c r="AS44" s="250" t="n">
        <v>0</v>
      </c>
      <c r="AT44" s="248" t="inlineStr">
        <is>
          <t>Yes</t>
        </is>
      </c>
      <c r="AU44" s="250" t="n">
        <v>0.01</v>
      </c>
      <c r="AV44" s="250" t="n">
        <v>0.06</v>
      </c>
      <c r="AW44" s="250" t="n">
        <v>0.04356199999999999</v>
      </c>
      <c r="AX44" s="262">
        <f>IF(C44="","",MAX(AU44,AW44))</f>
        <v/>
      </c>
      <c r="AY44" s="250" t="n">
        <v>0</v>
      </c>
      <c r="AZ44" s="250" t="n">
        <v>0</v>
      </c>
      <c r="BA44" s="250" t="n">
        <v>0</v>
      </c>
      <c r="BB44" s="412">
        <f>IF(B44="","",IF(AR44="No",AV44-AZ44,""))</f>
        <v/>
      </c>
      <c r="BC44" s="412">
        <f>IF(B44="","",IF(AR44="Yes",AS44-BA44,""))</f>
        <v/>
      </c>
      <c r="BD44" s="254" t="inlineStr">
        <is>
          <t>Quarterly</t>
        </is>
      </c>
      <c r="BE44" s="536" t="inlineStr">
        <is>
          <t>Distributors</t>
        </is>
      </c>
      <c r="BF44" s="254" t="inlineStr">
        <is>
          <t>USD</t>
        </is>
      </c>
      <c r="BG44" s="254" t="inlineStr">
        <is>
          <t>United States</t>
        </is>
      </c>
      <c r="BH44" s="248" t="inlineStr">
        <is>
          <t>No</t>
        </is>
      </c>
      <c r="BI44" s="413">
        <f>IF(B44="","",IF(OR(AND(AZ44&gt;0,BB44&gt;=2.5%,BB44&lt;4%),AND(BA44&gt;0,BC44&gt;=6%,BC44&lt;8%)),"Yes","No"))</f>
        <v/>
      </c>
      <c r="BJ44" s="413">
        <f>IF(B44="","",IF(OR(AND(AZ44&gt;0,BB44&lt;2.5%),AND(BA44&gt;0,BC44&lt;6%)),"Yes","No"))</f>
        <v/>
      </c>
      <c r="BK44" s="248" t="inlineStr">
        <is>
          <t>No</t>
        </is>
      </c>
      <c r="BL44" s="248" t="inlineStr">
        <is>
          <t>No</t>
        </is>
      </c>
      <c r="BM44" s="248" t="inlineStr">
        <is>
          <t>No</t>
        </is>
      </c>
      <c r="BN44" s="248" t="inlineStr">
        <is>
          <t>No</t>
        </is>
      </c>
      <c r="BO44" s="248" t="inlineStr">
        <is>
          <t>No</t>
        </is>
      </c>
      <c r="BP44" s="248" t="inlineStr">
        <is>
          <t>No</t>
        </is>
      </c>
      <c r="BQ44" s="248" t="inlineStr">
        <is>
          <t>No</t>
        </is>
      </c>
      <c r="BR44" s="248" t="inlineStr">
        <is>
          <t>No</t>
        </is>
      </c>
      <c r="BS44" s="248" t="inlineStr">
        <is>
          <t>No</t>
        </is>
      </c>
      <c r="BT44" s="248" t="inlineStr">
        <is>
          <t>No</t>
        </is>
      </c>
      <c r="BU44" s="248" t="inlineStr">
        <is>
          <t>No</t>
        </is>
      </c>
      <c r="BV44" s="248" t="inlineStr">
        <is>
          <t>No</t>
        </is>
      </c>
      <c r="BW44" s="248" t="inlineStr">
        <is>
          <t>No</t>
        </is>
      </c>
      <c r="BX44" s="248" t="inlineStr">
        <is>
          <t>No</t>
        </is>
      </c>
      <c r="BY44" s="248" t="inlineStr">
        <is>
          <t>No</t>
        </is>
      </c>
      <c r="BZ44" s="248" t="inlineStr">
        <is>
          <t>No</t>
        </is>
      </c>
      <c r="CA44" s="248" t="inlineStr">
        <is>
          <t>Yes</t>
        </is>
      </c>
      <c r="CB44" s="537">
        <f>IF(B44="","",IF(AT44="No",((BB44+AW44)-$AZ$4),((BB44+AX44)-$AZ$4))*IF(DD44&gt;0,0,M44))</f>
        <v/>
      </c>
      <c r="CC44" s="537">
        <f>IF(B44="","",AY44*(L44-M44)*IF(DD44&gt;0,0,1))</f>
        <v/>
      </c>
      <c r="CD44" s="265" t="n"/>
      <c r="CE44" s="265">
        <f>IF(AND(B44&lt;&gt;"",R44&lt;=85%),1,0)</f>
        <v/>
      </c>
      <c r="CF44" s="265">
        <f>IF(B44="",0,(IF(OR(BF44="USD",BF44="CAD",BF44="GBP",BF44="AUD",BF44="EUR"),0,1)))</f>
        <v/>
      </c>
      <c r="CG44" s="265">
        <f>IF(B44="",0,(IF(OR(BG44="United States",BG44="Canada",BG44="United Kingdom",BG44="Australia",BG44="Netherlands Antilles",BG44="Bermuda",BG44="Cayman Islands",BG44="British Virgin Islands",BG44="Channel Islands",BG44="Isle of Man",BG44="Australia",BG44="Netherlands",BG44="Germany",BG44="Sweden",BG44="Switzerland",BG44="Austria",BG44="Belgium",BG44="Denmark",BG44="Finland",BG44="Iceland",BG44="Ireland",BG44="Lichtenstein",BG44="Luxemborg",BG44="Norway"),0,1)))</f>
        <v/>
      </c>
      <c r="CH44" s="265">
        <f>IF(BN44="Yes",1,0)</f>
        <v/>
      </c>
      <c r="CI44" s="265">
        <f>IF(BO44="Yes",1,0)</f>
        <v/>
      </c>
      <c r="CJ44" s="265">
        <f>IF(BP44="Yes",1,0)</f>
        <v/>
      </c>
      <c r="CK44" s="265">
        <f>IF(BQ44="Yes",1,0)</f>
        <v/>
      </c>
      <c r="CL44" s="265">
        <f>IF(BR44="Yes",1,0)</f>
        <v/>
      </c>
      <c r="CM44" s="265">
        <f>IF(BS44="Yes",1,0)</f>
        <v/>
      </c>
      <c r="CN44" s="265">
        <f>IF(OR(AND(BJ44="Yes",N44="No"),AND(BJ44="Yes",N44="Yes",P44&gt;=6)),1,0)</f>
        <v/>
      </c>
      <c r="CO44" s="265">
        <f>IF(BT44="Yes",1,0)</f>
        <v/>
      </c>
      <c r="CP44" s="265">
        <f>IF(AND(BU44="Yes",BV44="No"),1,0)</f>
        <v/>
      </c>
      <c r="CQ44" s="265">
        <f>IF(BW44="Yes",1,0)</f>
        <v/>
      </c>
      <c r="CR44" s="265">
        <f>IF(AP44="",0,IF(AP44&gt;7,1,0))</f>
        <v/>
      </c>
      <c r="CS44" s="265">
        <f>IF(OR(BD44&lt;&gt;"Monthly",BD44&lt;&gt;"Quarterly",BD44&lt;&gt;"Semi-Annually"),0,1)</f>
        <v/>
      </c>
      <c r="CT44" s="265">
        <f>IF(BX44="Yes",1,0)</f>
        <v/>
      </c>
      <c r="CU44" s="265">
        <f>IF(BY44="Yes",1,0)</f>
        <v/>
      </c>
      <c r="CV44" s="265">
        <f>IF(BZ44="Yes",1,0)</f>
        <v/>
      </c>
      <c r="CW44" s="265">
        <f>IF(CA44="No",1,0)</f>
        <v/>
      </c>
      <c r="CX44" s="265">
        <f>IF(B44="",0,IF(AK44&gt;=5000000,0,1))</f>
        <v/>
      </c>
      <c r="CY44" s="265">
        <f>IF(B44="",0,IF(AL44&gt;=5000000,0,1))</f>
        <v/>
      </c>
      <c r="CZ44" s="265">
        <f>IF(OR(DA44=1,DB44=1,DC44=1),0,IF(B44="",0,IF(OR(AND(AN44="Tier 1",X44="No",OR(AI44&gt;$AJ$3,AJ44&gt;$AJ$4)),(AND(AN44="Tier 1",X44="Yes",AJ44&gt;$AJ$5)),(AND(AN44="Tier 2",X44="No",OR(AI44&gt;$AK$3,AJ44&gt;$AK$4))),(AND(AN44="Tier 2",X44="Yes",AJ44&gt;$AK$5)),(AND(AN44="Tier 3",X44="No",OR(AI44&gt;$AL$3,AJ44&gt;$AL$4))),(AND(AN44="Tier 3",X44="Yes",AJ44&gt;$AL$5))),1,0)))</f>
        <v/>
      </c>
      <c r="DA44" s="265">
        <f>IF(OR(DB44=1,DC44=1),0,IF(B44="",0,IF(OR(AND(AN44="Tier 1",X44="No",OR(AI44&gt;$AM$3,AJ44&gt;$AM$4)),(AND(AN44="Tier 1",X44="Yes",AJ44&gt;$AM$5)),(AND(AN44="Tier 2",X44="No",OR(AI44&gt;$AN$3,AJ44&gt;$AN$4))),(AND(AN44="Tier 2",X44="Yes",AJ44&gt;$AN$5)),(AND(AN44="Tier 3",X44="No",OR(AI44&gt;$AO$3,AJ44&gt;$AO$4))),(AND(AN44="Tier 3",X44="Yes",AJ44&gt;$AO$5))),1,0)))</f>
        <v/>
      </c>
      <c r="DB44" s="265">
        <f>IF(DC44=1,0,IF(B44="",0,IF(OR(AND(AN44="Tier 1",X44="No",OR(AI44&gt;$AP$3,AJ44&gt;$AP$4)),(AND(AN44="Tier 1",X44="Yes",AJ44&gt;$AP$5)),(AND(AN44="Tier 2",X44="No",OR(AI44&gt;$AQ$3,AJ44&gt;$AQ$4))),(AND(AN44="Tier 2",X44="Yes",AJ44&gt;$AQ$5)),(AND(AN44="Tier 3",X44="No",OR(AI44&gt;$AR$3,AJ44&gt;$AR$4))),(AND(AN44="Tier 3",X44="Yes",AJ44&gt;$AR$5))),1,0)))</f>
        <v/>
      </c>
      <c r="DC44" s="265">
        <f>IF(B44="",0,IF(OR(AND(AN44="Tier 1",X44="No",OR(AI44&gt;$AS$3,AJ44&gt;$AS$4)),(AND(AN44="Tier 1",X44="Yes",AJ44&gt;$AS$5)),(AND(AN44="Tier 2",X44="No",OR(AI44&gt;$AT$3,AJ44&gt;$AT$4))),(AND(AN44="Tier 2",X44="Yes",AJ44&gt;$AT$5)),(AND(AN44="Tier 3",X44="No",OR(AI44&gt;$AU$3,AJ44&gt;$AU$4))),(AND(AN44="Tier 3",X44="Yes",AJ44&gt;$AU$5))),1,0))</f>
        <v/>
      </c>
      <c r="DD44" s="265">
        <f>IF((SUM(CE44:CX44)=0),0,W44)</f>
        <v/>
      </c>
      <c r="DE44" s="265">
        <f>IF(OR(B44="",DD44&gt;0),0,W44)</f>
        <v/>
      </c>
      <c r="DF44" s="265">
        <f>IF(B44="",0,IF(COUNTIF(CE44:CX44,1)&gt;0,0,L44-M44))</f>
        <v/>
      </c>
      <c r="DG44" s="265">
        <f>DE44+IF(DD44&gt;0,0,DF44)</f>
        <v/>
      </c>
      <c r="DH44" s="265">
        <f>IF(B44="","",M44+DF44)</f>
        <v/>
      </c>
      <c r="DI44" s="265">
        <f>IF(B44="",0,J44-K44)</f>
        <v/>
      </c>
      <c r="DJ44" s="265">
        <f>IF(OR(BF44="EUR",BF44="CAD",BF44="GBP",BF44="AUD"),(GA44*(1-V44))+(HG44)+IF(HX44="",0,HX44*(1-U44)),0)</f>
        <v/>
      </c>
      <c r="DK44" s="265">
        <f>IF(BF44="EUR",33%,IF(BF44="CAD",38%,IF(BF44="GBP",51%,IF(BF44="AUD",61%,0))))</f>
        <v/>
      </c>
      <c r="DL44" s="265">
        <f>DJ44*DK44</f>
        <v/>
      </c>
      <c r="DN44" s="538">
        <f>IF(OR(Y44="Second Lien",Y44="Tier 1 Split Lien",Y44="Tier 2 Split Lien"),DG44,0)</f>
        <v/>
      </c>
      <c r="DO44" s="539">
        <f>DN44*DN$6</f>
        <v/>
      </c>
      <c r="DP44" s="538">
        <f>DG44-DO44</f>
        <v/>
      </c>
      <c r="DQ44" s="538">
        <f>IF(Y44="Second Lien",DP44,0)</f>
        <v/>
      </c>
      <c r="DR44" s="539">
        <f>DQ44*DQ$6</f>
        <v/>
      </c>
      <c r="DS44" s="538">
        <f>DP44-DR44</f>
        <v/>
      </c>
      <c r="DT44" s="538">
        <f>IF(BH44="Yes",DS44,0)</f>
        <v/>
      </c>
      <c r="DU44" s="539">
        <f>DT44*DT$6</f>
        <v/>
      </c>
      <c r="DV44" s="538">
        <f>DS44-DU44</f>
        <v/>
      </c>
      <c r="DW44" s="538">
        <f>IF(OR(BG44="Canada",BG44="United Kingdom",BG44="Australia",BG44="Netherlands Antilles",BG44="Bermuda",BG44="Cayman Islands",BG44="British Virgin Islands",BG44="Channel Islands",BG44="Isle of Man",BG44="Australia",BG44="Netherlands",BG44="Germany",BG44="Sweden",BG44="Switzerland",BG44="Austria",BG44="Belgium",BG44="Denmark",BG44="Finland",BG44="Iceland",BG44="Ireland",BG44="Lichtenstein",BG44="Luxemborg",BG44="Norway"),DV44,0)</f>
        <v/>
      </c>
      <c r="DX44" s="539">
        <f>DW44*DW$6</f>
        <v/>
      </c>
      <c r="DY44" s="538">
        <f>DV44-DX44</f>
        <v/>
      </c>
      <c r="DZ44" s="538">
        <f>IF(BI44="Yes",DY44,0)</f>
        <v/>
      </c>
      <c r="EA44" s="539">
        <f>DZ44*DZ$6</f>
        <v/>
      </c>
      <c r="EB44" s="538">
        <f>DY44-EA44</f>
        <v/>
      </c>
      <c r="EC44" s="538">
        <f>IF(OR(Z44="Delayed Draw",Z44="Revolver"),EB44,0)</f>
        <v/>
      </c>
      <c r="ED44" s="539">
        <f>EC44*EC$6</f>
        <v/>
      </c>
      <c r="EE44" s="538">
        <f>EB44-ED44</f>
        <v/>
      </c>
      <c r="EF44" s="538">
        <f>IF(S44="Yes",EE44,0)</f>
        <v/>
      </c>
      <c r="EG44" s="539">
        <f>EF44*EF$6</f>
        <v/>
      </c>
      <c r="EH44" s="538">
        <f>EE44-EG44</f>
        <v/>
      </c>
      <c r="EI44" s="538">
        <f>IF(Q44="Yes",EH44,0)</f>
        <v/>
      </c>
      <c r="EJ44" s="539">
        <f>EI44*EI$6</f>
        <v/>
      </c>
      <c r="EK44" s="538">
        <f>EH44-EJ44</f>
        <v/>
      </c>
      <c r="EL44" s="538">
        <f>IF(BD44="Semi-Annually",EK44,0)</f>
        <v/>
      </c>
      <c r="EM44" s="539">
        <f>EL44*EL$6</f>
        <v/>
      </c>
      <c r="EN44" s="538">
        <f>EK44-EM44</f>
        <v/>
      </c>
      <c r="EO44" s="538">
        <f>IF(BK44="Yes",EN44,0)</f>
        <v/>
      </c>
      <c r="EP44" s="539">
        <f>EO44*EO$6</f>
        <v/>
      </c>
      <c r="EQ44" s="538">
        <f>EN44-EP44</f>
        <v/>
      </c>
      <c r="ER44" s="538">
        <f>IF(BL44="Yes",EQ44,0)</f>
        <v/>
      </c>
      <c r="ES44" s="539">
        <f>ER44*ER$6</f>
        <v/>
      </c>
      <c r="ET44" s="538">
        <f>EQ44-ES44</f>
        <v/>
      </c>
      <c r="EU44" s="538">
        <f>IF(BM44="Yes",ET44,0)</f>
        <v/>
      </c>
      <c r="EV44" s="539">
        <f>EU44*EU$6</f>
        <v/>
      </c>
      <c r="EW44" s="538">
        <f>ET44-EV44</f>
        <v/>
      </c>
      <c r="EX44" s="538">
        <f>IF(BV44="Yes",EW44,0)</f>
        <v/>
      </c>
      <c r="EY44" s="539">
        <f>EX44*EX$6</f>
        <v/>
      </c>
      <c r="EZ44" s="538">
        <f>EW44-EY44</f>
        <v/>
      </c>
      <c r="FA44" s="538">
        <f>IF(AR44="Yes",EZ44,0)</f>
        <v/>
      </c>
      <c r="FB44" s="539">
        <f>FA44*FA$6</f>
        <v/>
      </c>
      <c r="FC44" s="538">
        <f>EZ44-FB44</f>
        <v/>
      </c>
      <c r="FD44" s="538">
        <f>IF(OR(BF44="EUR",BF44="AUD",BF44="CAD",BF44="GBP"),FC44,0)</f>
        <v/>
      </c>
      <c r="FE44" s="539">
        <f>FD44*FD$6</f>
        <v/>
      </c>
      <c r="FF44" s="538">
        <f>FC44-FE44</f>
        <v/>
      </c>
      <c r="FG44" s="538">
        <f>FF44</f>
        <v/>
      </c>
      <c r="FH44" s="538">
        <f>IF(FF44=0,0,VLOOKUP(C44,$GU$10:$GV$406,2,FALSE)*FF44)</f>
        <v/>
      </c>
      <c r="FI44" s="538">
        <f>FF44-FH44</f>
        <v/>
      </c>
      <c r="FJ44" s="538">
        <f>FI44</f>
        <v/>
      </c>
      <c r="FK44" s="538">
        <f>IF(OR(IB44="",FI44&lt;0.01),,VLOOKUP(IB44,$GL$10:$GM$406,2,FALSE)*FI44)</f>
        <v/>
      </c>
      <c r="FL44" s="538">
        <f>FI44-FK44</f>
        <v/>
      </c>
      <c r="FM44" s="538">
        <f>FL44</f>
        <v/>
      </c>
      <c r="FN44" s="538">
        <f>IF(FL44=0,0,VLOOKUP(C44,$HD$10:$HE$406,2,FALSE)*FL44)</f>
        <v/>
      </c>
      <c r="FO44" s="538">
        <f>FL44-FN44</f>
        <v/>
      </c>
      <c r="FP44" s="538">
        <f>IF(SUM(CY44:DC44)&gt;0,0,IF(AND(AL44&gt;=5000000,AL44&lt;7500000),FO44,0))</f>
        <v/>
      </c>
      <c r="FQ44" s="539">
        <f>IF(B44="",0,FP44*FP$6*(1-$U44))</f>
        <v/>
      </c>
      <c r="FR44" s="538">
        <f>FO44-FQ44</f>
        <v/>
      </c>
      <c r="FS44" s="538">
        <f>IF(SUM(CY44:DC44)&gt;0,0,IF(AL44&lt;15000000,FR44,0))</f>
        <v/>
      </c>
      <c r="FT44" s="539">
        <f>IF(B44="",0,FS44*FS$6*(1-$U44))</f>
        <v/>
      </c>
      <c r="FU44" s="538">
        <f>FR44-FT44</f>
        <v/>
      </c>
      <c r="FV44" s="538">
        <f>IF(SUM(CY44:DC44)&gt;0,0,IF(OR(AND(X44="No",AN44="Tier 1",AI44&gt;$AG$3),AND(X44="No",AN44="Tier 2",AI44&gt;$AH$3),AND(X44="No",AN44="Tier 3",AI44&gt;$AI$3)),FU44,0))</f>
        <v/>
      </c>
      <c r="FW44" s="538">
        <f>IF(SUM(CY44:DC44)&gt;0,0,IF(OR(AND(X44="No",AN44="Tier 1",AJ44&gt;$AG$4),AND(X44="No",AN44="Tier 2",AJ44&gt;$AH$4),AND(X44="No",AN44="Tier 3",AJ44&gt;$AI$4)),FU44,0))</f>
        <v/>
      </c>
      <c r="FX44" s="538">
        <f>IF(SUM(CY44:DC44)&gt;0,0,IF(OR(AND(X44="Yes",AN44="Tier 1",AJ44&gt;$AG$5),AND(X44="Yes",AN44="Tier 2",AJ44&gt;$AH$5),AND(X44="Yes",AN44="Tier 3",AJ44&gt;$AI$5)),FU44,0))</f>
        <v/>
      </c>
      <c r="FY44" s="538">
        <f>IF(SUM(FV44:FX44)&gt;0,FU44,0)</f>
        <v/>
      </c>
      <c r="FZ44" s="539">
        <f>IF(B44="",0,FY44*FV$6*(1-MIN(90%,T44)))</f>
        <v/>
      </c>
      <c r="GA44" s="538">
        <f>FU44-FZ44</f>
        <v/>
      </c>
      <c r="GB44" s="538">
        <f>IF(AND(N44="No",DI44=0),GA44,IF(AND(N44="No",DI44&lt;&gt;0,K44=0),0,IF(AND(N44="No",DI44&lt;&gt;0,K44&gt;0,J44&lt;&gt;K44),MAX(0,M44-(DH44-GA44)),DG44)))</f>
        <v/>
      </c>
      <c r="GC44" s="540">
        <f>+GB44*V44</f>
        <v/>
      </c>
      <c r="GD44" s="138">
        <f>IFERROR(GC44/K44,"")</f>
        <v/>
      </c>
      <c r="GE44" s="541">
        <f>IF(IB44="","",IB44)</f>
        <v/>
      </c>
      <c r="GF44" s="538">
        <f t="array" ref="GF44">IF(SUM(IF(IB$9:IB43=IB44,1,0))&gt;0,0,SUMIF($IB$10:$IB$406,IB44,$FI$10:$FI$406))</f>
        <v/>
      </c>
      <c r="GG44" s="270">
        <f>GF44</f>
        <v/>
      </c>
      <c r="GH44" s="137">
        <f>GH43+1</f>
        <v/>
      </c>
      <c r="GI44" s="542">
        <f>LARGE($GG$10:$GG$406,GH44)</f>
        <v/>
      </c>
      <c r="GJ44" s="542">
        <f>IF(GH44&gt;GH$6,0,IF(GH44=$GH$2,$GJ$2,IF(GH44&lt;4,$GJ$3,$GJ$4)))</f>
        <v/>
      </c>
      <c r="GK44" s="489">
        <f>MAX(0,GI44-GJ44)</f>
        <v/>
      </c>
      <c r="GL44" s="137">
        <f t="array" ref="GL44">IF(GI44=0,0,LARGE(IF($GF$10:$GF$406=GI44,$GE$10:$GE$406,0),COUNTIF($GI$10:$GI$406,GI44)-COUNTIF(GI$9:GI43,GI44)))</f>
        <v/>
      </c>
      <c r="GM44" s="272">
        <f>IF(GI44=0,0,GK44/GI44)</f>
        <v/>
      </c>
      <c r="GO44" s="137">
        <f>IF(C44="","",IF(ISERROR(MATCH(C44,C$10:C43,0)),MAX(GO$10:GO43)+1,INDEX(GO$10:GO43,MATCH(C44,C$10:C43,0))))</f>
        <v/>
      </c>
      <c r="GP44" s="538">
        <f>IF(COUNTIF($A$10:A44,A44)&lt;=1,SUMIF($A$10:$A$406,A44,$FG$10:$FG$406),0)</f>
        <v/>
      </c>
      <c r="GQ44" s="137">
        <f>GQ43+1</f>
        <v/>
      </c>
      <c r="GR44" s="542">
        <f>LARGE($GP$10:$GP$406,GQ44)</f>
        <v/>
      </c>
      <c r="GS44" s="542">
        <f>IF(GQ44&gt;GQ$6,0,IF(GQ44&lt;=GQ$2,GS$2,IF(AND(GQ44&lt;=$GQ$3,GQ44&gt;$GQ$2),GS$3,GS$4)))</f>
        <v/>
      </c>
      <c r="GT44" s="489">
        <f>MAX(0,GR44-GS44)</f>
        <v/>
      </c>
      <c r="GU44" s="137">
        <f t="array" ref="GU44">IF(GR44=0,0,LARGE(IF($GP$10:$GP$406=GR44,$GO$10:$GO$406,0),COUNTIF($GR$10:$GR$406,GR44)-COUNTIF(GR$9:GR43,GR44)))</f>
        <v/>
      </c>
      <c r="GV44" s="272">
        <f>IF(GR44=0,0,GT44/GR44)</f>
        <v/>
      </c>
      <c r="GW44" s="272" t="n"/>
      <c r="GX44" s="137">
        <f>IF(C44="","",IF(ISERROR(MATCH(C44,C$10:C43,0)),MAX(GO$10:GO43)+1,INDEX(GO$10:GO43,MATCH(C44,C$10:C43,0))))</f>
        <v/>
      </c>
      <c r="GY44" s="538">
        <f>IF(COUNTIF($A$10:A44,A44)&lt;=1,SUMIF($A$10:$A$406,A44,$FG$10:$FG$406),0)</f>
        <v/>
      </c>
      <c r="GZ44" s="137">
        <f>GZ43+1</f>
        <v/>
      </c>
      <c r="HA44" s="542">
        <f>LARGE($GY$10:$GY$406,GZ44)</f>
        <v/>
      </c>
      <c r="HB44" s="543" t="inlineStr">
        <is>
          <t>-</t>
        </is>
      </c>
      <c r="HC44" s="489">
        <f>IF(GZ44&lt;6,MAX(0,$HC$2/5),0)</f>
        <v/>
      </c>
      <c r="HD44" s="137">
        <f t="array" ref="HD44">IF(HA44=0,0,LARGE(IF($GY$10:$GY$406=HA44,$GX$10:$GX$406,0),COUNTIF($HA$10:$HA$406,HA44)-COUNTIF(HA$9:HA43,HA44)))</f>
        <v/>
      </c>
      <c r="HE44" s="272">
        <f>IF(HA44=0,0,HC44/HA44)</f>
        <v/>
      </c>
      <c r="HG44" s="270">
        <f>DG44-GA44</f>
        <v/>
      </c>
      <c r="HH44" s="544" t="n">
        <v>0</v>
      </c>
      <c r="HI44" s="538">
        <f>MIN(HH44,DE44)</f>
        <v/>
      </c>
      <c r="HK44" s="137">
        <f>IF(COUNTIF($C$10:$C$406,HK43+1),HK43+1,"")</f>
        <v/>
      </c>
      <c r="HL44" s="538">
        <f>SUMIF($C$10:$C$406,HK44,$DG$10:$DG$406)</f>
        <v/>
      </c>
      <c r="HN44" s="521">
        <f>MIN(HO44:HS44)</f>
        <v/>
      </c>
      <c r="HO44" s="521">
        <f>IF(B44="","",$M44)</f>
        <v/>
      </c>
      <c r="HP44" s="521">
        <f>IF($N44="Yes",IF(P44&gt;=6,0,MIN($T44*$M44,$U44*$M44)),"")</f>
        <v/>
      </c>
      <c r="HQ44" s="521">
        <f>IF(AND(N44="Yes",P44&gt;=6),"",IF($S44="Yes",$R44*$M44,""))</f>
        <v/>
      </c>
      <c r="HR44" s="521">
        <f>IF($Q44="Yes",MIN($M44,$T44*$M44),"")</f>
        <v/>
      </c>
      <c r="HS44" s="521">
        <f>IF(AND($N44="Yes",$P44&gt;=6),"",IF(OR(CY44=1,DC44=1,),MIN($T44*$M44,$U44*$M44),IF(OR(CZ44=1,DA44=1,DB44=1),IF(AK44&gt;=5000000,MIN($T44*$M44,$IE44*$M44),MIN($T44*$M44,$U44*$M44)),"")))</f>
        <v/>
      </c>
      <c r="HT44" s="521">
        <f>IF(DD44&gt;0,DD44,"")</f>
        <v/>
      </c>
      <c r="HU44" s="522">
        <f>IF(B44="",0,$L44-$M44)</f>
        <v/>
      </c>
      <c r="HV44" s="274">
        <f>IF(OR(SUM(HP44:HT44)&gt;0,P44&gt;=6),"",IF($B44="","",1))</f>
        <v/>
      </c>
      <c r="HW44" s="522">
        <f>IF(AND($HT44&lt;&gt;0,OR(HT44&lt;=MIN(HP44:HS44),SUM(HP44:HS44)=0)),$HT44,0)</f>
        <v/>
      </c>
      <c r="HX44" s="522">
        <f>IF(AND($HS44&lt;&gt;0,OR(AND($HS44&lt;&gt;$HT44,$HS44&lt;&gt;$HR44,$HS44&lt;&gt;$HQ44,$HS44&lt;&gt;$HP44,$HS44&lt;MIN($HP44:$HR44),$HS44&lt;HT44),SUM($HP44:$HR44)+SUM(HT44)=0),IA44&lt;=0),$HS44,0)</f>
        <v/>
      </c>
      <c r="HY44" s="522">
        <f>IF(AND($HR44&lt;&gt;0,OR(AND($HR44&lt;&gt;$HT44,$HR44&lt;&gt;$HS44,$HR44&lt;&gt;$HQ44,$HR44&lt;&gt;$HP44),$HR44&lt;MIN($HP44:$HQ44),$HR44&lt;MIN($HS44:$HT44),SUM($HP44:$HQ44)+SUM($HS44:$HT44)=0)),$HR44,0)</f>
        <v/>
      </c>
      <c r="HZ44" s="522">
        <f>IF(AND($HQ44&lt;&gt;0,OR(AND($HQ44&lt;&gt;$HT44,HQ44&lt;&gt;HS44,HQ44&lt;&gt;HR44,HQ44&lt;&gt;HP44,HQ44&lt;MIN(HR44:HT44)),SUM(HP44)+SUM(HR44:HT44)=0)),$HQ44,0)</f>
        <v/>
      </c>
      <c r="IA44" s="522">
        <f>IF(AND($HP44&lt;&gt;0,OR(HP44&lt;=MIN(HQ44:HT44),SUM(HQ44:HT44)=0)),$HP44,0)</f>
        <v/>
      </c>
      <c r="IB44" s="545" t="n">
        <v>18</v>
      </c>
      <c r="IC44">
        <f>HU44=DF44</f>
        <v/>
      </c>
      <c r="IE44" s="351">
        <f>IF(B44="","",IF(AND(Y44="Second Lien",OR(CZ44=1,DA44=1,DB44=1)),50%,IF(CZ44=1,90%,IF(DA44=1,80%,IF(DB44=1,65%,"No Initial Haircut")))))</f>
        <v/>
      </c>
    </row>
    <row r="45">
      <c r="A45">
        <f>D45</f>
        <v/>
      </c>
      <c r="B45" s="242">
        <f>IF(D45="","",B44+1)</f>
        <v/>
      </c>
      <c r="C45" s="242">
        <f>IF(COUNTIF($A$10:A44,A45)&gt;0,C44,C44+1)</f>
        <v/>
      </c>
      <c r="D45" s="243" t="inlineStr">
        <is>
          <t>Nightingale Holdings, LLC</t>
        </is>
      </c>
      <c r="E45" s="243" t="inlineStr">
        <is>
          <t>Nightingale (Term Loan)</t>
        </is>
      </c>
      <c r="F45" s="244" t="n"/>
      <c r="G45" s="528" t="n">
        <v>11777927.58</v>
      </c>
      <c r="H45" s="528" t="n">
        <v>11777927.58</v>
      </c>
      <c r="I45" s="246" t="n">
        <v>1</v>
      </c>
      <c r="J45" s="529">
        <f>IF(B45="","",G45*I45)</f>
        <v/>
      </c>
      <c r="K45" s="529">
        <f>IF(B45="","",H45*I45)</f>
        <v/>
      </c>
      <c r="L45" s="529">
        <f>IF(B45="","",IF(COUNTIF($CE45:$CX45,1)&gt;0,0,J45))</f>
        <v/>
      </c>
      <c r="M45" s="529">
        <f>IF(B45="","",IF(COUNTIF($CE45:$CX45,1)&gt;0,0,K45))</f>
        <v/>
      </c>
      <c r="N45" s="248" t="inlineStr">
        <is>
          <t>No</t>
        </is>
      </c>
      <c r="O45" s="248" t="inlineStr">
        <is>
          <t>N/A</t>
        </is>
      </c>
      <c r="P45" s="249">
        <f>IF(B45="","",IF(OR(O45="N/A",O45=""),0,YEARFRAC('Borrowing Base'!$J$4,'Loan List'!O45)*12))</f>
        <v/>
      </c>
      <c r="Q45" s="248" t="inlineStr">
        <is>
          <t>No</t>
        </is>
      </c>
      <c r="R45" s="250" t="n">
        <v>0.9849999999999999</v>
      </c>
      <c r="S45" s="251">
        <f>IF(B45="","",IF(R45&lt;95%,"Yes","No"))</f>
        <v/>
      </c>
      <c r="T45" s="250" t="n">
        <v>1</v>
      </c>
      <c r="U45" s="252">
        <f>IF(B45="","",IF(OR(Y45="First Lien",Y45="Split First Lien",Y45="Tier 1 Split Lien",Y45="Tier 2 Split Lien"),50%,30%))</f>
        <v/>
      </c>
      <c r="V45" s="252">
        <f>IF(B45="",0,IF(AND(Y45="First Lien",AN45="Tier 1"),IF(AND(X45="Yes",MIN(AH45,$AJ$5)&gt;4.5),(((4.5/MIN(AH45,$AJ$5))*72.5%)+(((MIN(AH45,$AJ$5)-4.5)/MIN(AH45,$AJ$5))*35%)),72.5%),IF(AND(Y45="First Lien",AN45="Tier 2"),IF(AND(X45="Yes",MIN(AH45,$AK$5)&gt;4.5),(((4.5/MIN(AH45,$AK$5))*72.5%)+(((MIN(AH45,$AK$5)-4.5)/MIN(AH45,$AK$5))*35%)),72.5%),IF(AND(X45="Yes",MIN(AH45,$AL$5)&gt;4),(((4/MIN(AH45,$AL$5))*72.5%)+(((MIN(AH45,$AL$5)-4)/MIN(AH45,$AL$5))*35%)),IF(OR(Y45="First Lien",Y45="Split First Lien"),72.5%,IF(Y45="Split Lien", 53%,35%))))))</f>
        <v/>
      </c>
      <c r="W45" s="530">
        <f>IF($C45="","",MIN($HO45:$HS45))</f>
        <v/>
      </c>
      <c r="X45" s="248" t="inlineStr">
        <is>
          <t>No</t>
        </is>
      </c>
      <c r="Y45" s="254" t="inlineStr">
        <is>
          <t>First Lien</t>
        </is>
      </c>
      <c r="Z45" s="254" t="inlineStr">
        <is>
          <t>Term</t>
        </is>
      </c>
      <c r="AA45" s="531" t="inlineStr">
        <is>
          <t>NR</t>
        </is>
      </c>
      <c r="AB45" s="531" t="inlineStr">
        <is>
          <t xml:space="preserve"> NR</t>
        </is>
      </c>
      <c r="AC45" s="532" t="n">
        <v>1.451226119726776</v>
      </c>
      <c r="AD45" s="532" t="n">
        <v>4.401320099385226</v>
      </c>
      <c r="AE45" s="532" t="n">
        <v>2.60144545602348</v>
      </c>
      <c r="AF45" s="257" t="n">
        <v>0.4863280657944997</v>
      </c>
      <c r="AG45" s="533" t="n">
        <v>4.401320099385226</v>
      </c>
      <c r="AH45" s="533" t="n">
        <v>4.401320099385226</v>
      </c>
      <c r="AI45" s="533" t="n">
        <v>2.60144545602348</v>
      </c>
      <c r="AJ45" s="533" t="n">
        <v>2.60144545602348</v>
      </c>
      <c r="AK45" s="534" t="n">
        <v>50913000</v>
      </c>
      <c r="AL45" s="534" t="n">
        <v>69673244.7495005</v>
      </c>
      <c r="AM45" s="276" t="n">
        <v>45777</v>
      </c>
      <c r="AN45" s="529">
        <f>IF(C45="","",(IF(AK45&gt;=50000000,"Tier 1",(IF(OR(AK45&gt;=20000000,AND(AK45&gt;5000000,AC45&gt;=1.25,AF45&lt;=0.65)),"Tier 2","Tier 3")))))</f>
        <v/>
      </c>
      <c r="AO45" s="244" t="n">
        <v>47499</v>
      </c>
      <c r="AP45" s="535" t="n">
        <v>4.461111111111111</v>
      </c>
      <c r="AQ45" s="535">
        <f>IF(C45="","",AP45)</f>
        <v/>
      </c>
      <c r="AR45" s="248" t="inlineStr">
        <is>
          <t>No</t>
        </is>
      </c>
      <c r="AS45" s="250" t="n">
        <v>0</v>
      </c>
      <c r="AT45" s="248" t="inlineStr">
        <is>
          <t>Yes</t>
        </is>
      </c>
      <c r="AU45" s="250" t="n">
        <v>0.01</v>
      </c>
      <c r="AV45" s="250" t="n">
        <v>0.0525</v>
      </c>
      <c r="AW45" s="250" t="n">
        <v>0.04317000000000001</v>
      </c>
      <c r="AX45" s="262">
        <f>IF(C45="","",MAX(AU45,AW45))</f>
        <v/>
      </c>
      <c r="AY45" s="250" t="n">
        <v>0</v>
      </c>
      <c r="AZ45" s="250" t="n">
        <v>0</v>
      </c>
      <c r="BA45" s="250" t="n">
        <v>0</v>
      </c>
      <c r="BB45" s="412">
        <f>IF(B45="","",IF(AR45="No",AV45-AZ45,""))</f>
        <v/>
      </c>
      <c r="BC45" s="412">
        <f>IF(B45="","",IF(AR45="Yes",AS45-BA45,""))</f>
        <v/>
      </c>
      <c r="BD45" s="254" t="inlineStr">
        <is>
          <t>Quarterly</t>
        </is>
      </c>
      <c r="BE45" s="536" t="inlineStr">
        <is>
          <t>Construction &amp; Engineering</t>
        </is>
      </c>
      <c r="BF45" s="254" t="inlineStr">
        <is>
          <t>USD</t>
        </is>
      </c>
      <c r="BG45" s="254" t="inlineStr">
        <is>
          <t>United States</t>
        </is>
      </c>
      <c r="BH45" s="248" t="inlineStr">
        <is>
          <t>No</t>
        </is>
      </c>
      <c r="BI45" s="413">
        <f>IF(B45="","",IF(OR(AND(AZ45&gt;0,BB45&gt;=2.5%,BB45&lt;4%),AND(BA45&gt;0,BC45&gt;=6%,BC45&lt;8%)),"Yes","No"))</f>
        <v/>
      </c>
      <c r="BJ45" s="413">
        <f>IF(B45="","",IF(OR(AND(AZ45&gt;0,BB45&lt;2.5%),AND(BA45&gt;0,BC45&lt;6%)),"Yes","No"))</f>
        <v/>
      </c>
      <c r="BK45" s="248" t="inlineStr">
        <is>
          <t>No</t>
        </is>
      </c>
      <c r="BL45" s="248" t="inlineStr">
        <is>
          <t>No</t>
        </is>
      </c>
      <c r="BM45" s="248" t="inlineStr">
        <is>
          <t>No</t>
        </is>
      </c>
      <c r="BN45" s="248" t="inlineStr">
        <is>
          <t>No</t>
        </is>
      </c>
      <c r="BO45" s="248" t="inlineStr">
        <is>
          <t>No</t>
        </is>
      </c>
      <c r="BP45" s="248" t="inlineStr">
        <is>
          <t>No</t>
        </is>
      </c>
      <c r="BQ45" s="248" t="inlineStr">
        <is>
          <t>No</t>
        </is>
      </c>
      <c r="BR45" s="248" t="inlineStr">
        <is>
          <t>No</t>
        </is>
      </c>
      <c r="BS45" s="248" t="inlineStr">
        <is>
          <t>No</t>
        </is>
      </c>
      <c r="BT45" s="248" t="inlineStr">
        <is>
          <t>No</t>
        </is>
      </c>
      <c r="BU45" s="248" t="inlineStr">
        <is>
          <t>No</t>
        </is>
      </c>
      <c r="BV45" s="248" t="inlineStr">
        <is>
          <t>No</t>
        </is>
      </c>
      <c r="BW45" s="248" t="inlineStr">
        <is>
          <t>No</t>
        </is>
      </c>
      <c r="BX45" s="248" t="inlineStr">
        <is>
          <t>No</t>
        </is>
      </c>
      <c r="BY45" s="248" t="inlineStr">
        <is>
          <t>No</t>
        </is>
      </c>
      <c r="BZ45" s="248" t="inlineStr">
        <is>
          <t>No</t>
        </is>
      </c>
      <c r="CA45" s="248" t="inlineStr">
        <is>
          <t>Yes</t>
        </is>
      </c>
      <c r="CB45" s="537">
        <f>IF(B45="","",IF(AT45="No",((BB45+AW45)-$AZ$4),((BB45+AX45)-$AZ$4))*IF(DD45&gt;0,0,M45))</f>
        <v/>
      </c>
      <c r="CC45" s="537">
        <f>IF(B45="","",AY45*(L45-M45)*IF(DD45&gt;0,0,1))</f>
        <v/>
      </c>
      <c r="CD45" s="265" t="n"/>
      <c r="CE45" s="265">
        <f>IF(AND(B45&lt;&gt;"",R45&lt;=85%),1,0)</f>
        <v/>
      </c>
      <c r="CF45" s="265">
        <f>IF(B45="",0,(IF(OR(BF45="USD",BF45="CAD",BF45="GBP",BF45="AUD",BF45="EUR"),0,1)))</f>
        <v/>
      </c>
      <c r="CG45" s="265">
        <f>IF(B45="",0,(IF(OR(BG45="United States",BG45="Canada",BG45="United Kingdom",BG45="Australia",BG45="Netherlands Antilles",BG45="Bermuda",BG45="Cayman Islands",BG45="British Virgin Islands",BG45="Channel Islands",BG45="Isle of Man",BG45="Australia",BG45="Netherlands",BG45="Germany",BG45="Sweden",BG45="Switzerland",BG45="Austria",BG45="Belgium",BG45="Denmark",BG45="Finland",BG45="Iceland",BG45="Ireland",BG45="Lichtenstein",BG45="Luxemborg",BG45="Norway"),0,1)))</f>
        <v/>
      </c>
      <c r="CH45" s="265">
        <f>IF(BN45="Yes",1,0)</f>
        <v/>
      </c>
      <c r="CI45" s="265">
        <f>IF(BO45="Yes",1,0)</f>
        <v/>
      </c>
      <c r="CJ45" s="265">
        <f>IF(BP45="Yes",1,0)</f>
        <v/>
      </c>
      <c r="CK45" s="265">
        <f>IF(BQ45="Yes",1,0)</f>
        <v/>
      </c>
      <c r="CL45" s="265">
        <f>IF(BR45="Yes",1,0)</f>
        <v/>
      </c>
      <c r="CM45" s="265">
        <f>IF(BS45="Yes",1,0)</f>
        <v/>
      </c>
      <c r="CN45" s="265">
        <f>IF(OR(AND(BJ45="Yes",N45="No"),AND(BJ45="Yes",N45="Yes",P45&gt;=6)),1,0)</f>
        <v/>
      </c>
      <c r="CO45" s="265">
        <f>IF(BT45="Yes",1,0)</f>
        <v/>
      </c>
      <c r="CP45" s="265">
        <f>IF(AND(BU45="Yes",BV45="No"),1,0)</f>
        <v/>
      </c>
      <c r="CQ45" s="265">
        <f>IF(BW45="Yes",1,0)</f>
        <v/>
      </c>
      <c r="CR45" s="265">
        <f>IF(AP45="",0,IF(AP45&gt;7,1,0))</f>
        <v/>
      </c>
      <c r="CS45" s="265">
        <f>IF(OR(BD45&lt;&gt;"Monthly",BD45&lt;&gt;"Quarterly",BD45&lt;&gt;"Semi-Annually"),0,1)</f>
        <v/>
      </c>
      <c r="CT45" s="265">
        <f>IF(BX45="Yes",1,0)</f>
        <v/>
      </c>
      <c r="CU45" s="265">
        <f>IF(BY45="Yes",1,0)</f>
        <v/>
      </c>
      <c r="CV45" s="265">
        <f>IF(BZ45="Yes",1,0)</f>
        <v/>
      </c>
      <c r="CW45" s="265">
        <f>IF(CA45="No",1,0)</f>
        <v/>
      </c>
      <c r="CX45" s="265">
        <f>IF(B45="",0,IF(AK45&gt;=5000000,0,1))</f>
        <v/>
      </c>
      <c r="CY45" s="265">
        <f>IF(B45="",0,IF(AL45&gt;=5000000,0,1))</f>
        <v/>
      </c>
      <c r="CZ45" s="265">
        <f>IF(OR(DA45=1,DB45=1,DC45=1),0,IF(B45="",0,IF(OR(AND(AN45="Tier 1",X45="No",OR(AI45&gt;$AJ$3,AJ45&gt;$AJ$4)),(AND(AN45="Tier 1",X45="Yes",AJ45&gt;$AJ$5)),(AND(AN45="Tier 2",X45="No",OR(AI45&gt;$AK$3,AJ45&gt;$AK$4))),(AND(AN45="Tier 2",X45="Yes",AJ45&gt;$AK$5)),(AND(AN45="Tier 3",X45="No",OR(AI45&gt;$AL$3,AJ45&gt;$AL$4))),(AND(AN45="Tier 3",X45="Yes",AJ45&gt;$AL$5))),1,0)))</f>
        <v/>
      </c>
      <c r="DA45" s="265">
        <f>IF(OR(DB45=1,DC45=1),0,IF(B45="",0,IF(OR(AND(AN45="Tier 1",X45="No",OR(AI45&gt;$AM$3,AJ45&gt;$AM$4)),(AND(AN45="Tier 1",X45="Yes",AJ45&gt;$AM$5)),(AND(AN45="Tier 2",X45="No",OR(AI45&gt;$AN$3,AJ45&gt;$AN$4))),(AND(AN45="Tier 2",X45="Yes",AJ45&gt;$AN$5)),(AND(AN45="Tier 3",X45="No",OR(AI45&gt;$AO$3,AJ45&gt;$AO$4))),(AND(AN45="Tier 3",X45="Yes",AJ45&gt;$AO$5))),1,0)))</f>
        <v/>
      </c>
      <c r="DB45" s="265">
        <f>IF(DC45=1,0,IF(B45="",0,IF(OR(AND(AN45="Tier 1",X45="No",OR(AI45&gt;$AP$3,AJ45&gt;$AP$4)),(AND(AN45="Tier 1",X45="Yes",AJ45&gt;$AP$5)),(AND(AN45="Tier 2",X45="No",OR(AI45&gt;$AQ$3,AJ45&gt;$AQ$4))),(AND(AN45="Tier 2",X45="Yes",AJ45&gt;$AQ$5)),(AND(AN45="Tier 3",X45="No",OR(AI45&gt;$AR$3,AJ45&gt;$AR$4))),(AND(AN45="Tier 3",X45="Yes",AJ45&gt;$AR$5))),1,0)))</f>
        <v/>
      </c>
      <c r="DC45" s="265">
        <f>IF(B45="",0,IF(OR(AND(AN45="Tier 1",X45="No",OR(AI45&gt;$AS$3,AJ45&gt;$AS$4)),(AND(AN45="Tier 1",X45="Yes",AJ45&gt;$AS$5)),(AND(AN45="Tier 2",X45="No",OR(AI45&gt;$AT$3,AJ45&gt;$AT$4))),(AND(AN45="Tier 2",X45="Yes",AJ45&gt;$AT$5)),(AND(AN45="Tier 3",X45="No",OR(AI45&gt;$AU$3,AJ45&gt;$AU$4))),(AND(AN45="Tier 3",X45="Yes",AJ45&gt;$AU$5))),1,0))</f>
        <v/>
      </c>
      <c r="DD45" s="265">
        <f>IF((SUM(CE45:CX45)=0),0,W45)</f>
        <v/>
      </c>
      <c r="DE45" s="265">
        <f>IF(OR(B45="",DD45&gt;0),0,W45)</f>
        <v/>
      </c>
      <c r="DF45" s="265">
        <f>IF(B45="",0,IF(COUNTIF(CE45:CX45,1)&gt;0,0,L45-M45))</f>
        <v/>
      </c>
      <c r="DG45" s="265">
        <f>DE45+IF(DD45&gt;0,0,DF45)</f>
        <v/>
      </c>
      <c r="DH45" s="265">
        <f>IF(B45="","",M45+DF45)</f>
        <v/>
      </c>
      <c r="DI45" s="265">
        <f>IF(B45="",0,J45-K45)</f>
        <v/>
      </c>
      <c r="DJ45" s="265">
        <f>IF(OR(BF45="EUR",BF45="CAD",BF45="GBP",BF45="AUD"),(GA45*(1-V45))+(HG45)+IF(HX45="",0,HX45*(1-U45)),0)</f>
        <v/>
      </c>
      <c r="DK45" s="265">
        <f>IF(BF45="EUR",33%,IF(BF45="CAD",38%,IF(BF45="GBP",51%,IF(BF45="AUD",61%,0))))</f>
        <v/>
      </c>
      <c r="DL45" s="265">
        <f>DJ45*DK45</f>
        <v/>
      </c>
      <c r="DN45" s="538">
        <f>IF(OR(Y45="Second Lien",Y45="Tier 1 Split Lien",Y45="Tier 2 Split Lien"),DG45,0)</f>
        <v/>
      </c>
      <c r="DO45" s="539">
        <f>DN45*DN$6</f>
        <v/>
      </c>
      <c r="DP45" s="538">
        <f>DG45-DO45</f>
        <v/>
      </c>
      <c r="DQ45" s="538">
        <f>IF(Y45="Second Lien",DP45,0)</f>
        <v/>
      </c>
      <c r="DR45" s="539">
        <f>DQ45*DQ$6</f>
        <v/>
      </c>
      <c r="DS45" s="538">
        <f>DP45-DR45</f>
        <v/>
      </c>
      <c r="DT45" s="538">
        <f>IF(BH45="Yes",DS45,0)</f>
        <v/>
      </c>
      <c r="DU45" s="539">
        <f>DT45*DT$6</f>
        <v/>
      </c>
      <c r="DV45" s="538">
        <f>DS45-DU45</f>
        <v/>
      </c>
      <c r="DW45" s="538">
        <f>IF(OR(BG45="Canada",BG45="United Kingdom",BG45="Australia",BG45="Netherlands Antilles",BG45="Bermuda",BG45="Cayman Islands",BG45="British Virgin Islands",BG45="Channel Islands",BG45="Isle of Man",BG45="Australia",BG45="Netherlands",BG45="Germany",BG45="Sweden",BG45="Switzerland",BG45="Austria",BG45="Belgium",BG45="Denmark",BG45="Finland",BG45="Iceland",BG45="Ireland",BG45="Lichtenstein",BG45="Luxemborg",BG45="Norway"),DV45,0)</f>
        <v/>
      </c>
      <c r="DX45" s="539">
        <f>DW45*DW$6</f>
        <v/>
      </c>
      <c r="DY45" s="538">
        <f>DV45-DX45</f>
        <v/>
      </c>
      <c r="DZ45" s="538">
        <f>IF(BI45="Yes",DY45,0)</f>
        <v/>
      </c>
      <c r="EA45" s="539">
        <f>DZ45*DZ$6</f>
        <v/>
      </c>
      <c r="EB45" s="538">
        <f>DY45-EA45</f>
        <v/>
      </c>
      <c r="EC45" s="538">
        <f>IF(OR(Z45="Delayed Draw",Z45="Revolver"),EB45,0)</f>
        <v/>
      </c>
      <c r="ED45" s="539">
        <f>EC45*EC$6</f>
        <v/>
      </c>
      <c r="EE45" s="538">
        <f>EB45-ED45</f>
        <v/>
      </c>
      <c r="EF45" s="538">
        <f>IF(S45="Yes",EE45,0)</f>
        <v/>
      </c>
      <c r="EG45" s="539">
        <f>EF45*EF$6</f>
        <v/>
      </c>
      <c r="EH45" s="538">
        <f>EE45-EG45</f>
        <v/>
      </c>
      <c r="EI45" s="538">
        <f>IF(Q45="Yes",EH45,0)</f>
        <v/>
      </c>
      <c r="EJ45" s="539">
        <f>EI45*EI$6</f>
        <v/>
      </c>
      <c r="EK45" s="538">
        <f>EH45-EJ45</f>
        <v/>
      </c>
      <c r="EL45" s="538">
        <f>IF(BD45="Semi-Annually",EK45,0)</f>
        <v/>
      </c>
      <c r="EM45" s="539">
        <f>EL45*EL$6</f>
        <v/>
      </c>
      <c r="EN45" s="538">
        <f>EK45-EM45</f>
        <v/>
      </c>
      <c r="EO45" s="538">
        <f>IF(BK45="Yes",EN45,0)</f>
        <v/>
      </c>
      <c r="EP45" s="539">
        <f>EO45*EO$6</f>
        <v/>
      </c>
      <c r="EQ45" s="538">
        <f>EN45-EP45</f>
        <v/>
      </c>
      <c r="ER45" s="538">
        <f>IF(BL45="Yes",EQ45,0)</f>
        <v/>
      </c>
      <c r="ES45" s="539">
        <f>ER45*ER$6</f>
        <v/>
      </c>
      <c r="ET45" s="538">
        <f>EQ45-ES45</f>
        <v/>
      </c>
      <c r="EU45" s="538">
        <f>IF(BM45="Yes",ET45,0)</f>
        <v/>
      </c>
      <c r="EV45" s="539">
        <f>EU45*EU$6</f>
        <v/>
      </c>
      <c r="EW45" s="538">
        <f>ET45-EV45</f>
        <v/>
      </c>
      <c r="EX45" s="538">
        <f>IF(BV45="Yes",EW45,0)</f>
        <v/>
      </c>
      <c r="EY45" s="539">
        <f>EX45*EX$6</f>
        <v/>
      </c>
      <c r="EZ45" s="538">
        <f>EW45-EY45</f>
        <v/>
      </c>
      <c r="FA45" s="538">
        <f>IF(AR45="Yes",EZ45,0)</f>
        <v/>
      </c>
      <c r="FB45" s="539">
        <f>FA45*FA$6</f>
        <v/>
      </c>
      <c r="FC45" s="538">
        <f>EZ45-FB45</f>
        <v/>
      </c>
      <c r="FD45" s="538">
        <f>IF(OR(BF45="EUR",BF45="AUD",BF45="CAD",BF45="GBP"),FC45,0)</f>
        <v/>
      </c>
      <c r="FE45" s="539">
        <f>FD45*FD$6</f>
        <v/>
      </c>
      <c r="FF45" s="538">
        <f>FC45-FE45</f>
        <v/>
      </c>
      <c r="FG45" s="538">
        <f>FF45</f>
        <v/>
      </c>
      <c r="FH45" s="538">
        <f>IF(FF45=0,0,VLOOKUP(C45,$GU$10:$GV$406,2,FALSE)*FF45)</f>
        <v/>
      </c>
      <c r="FI45" s="538">
        <f>FF45-FH45</f>
        <v/>
      </c>
      <c r="FJ45" s="538">
        <f>FI45</f>
        <v/>
      </c>
      <c r="FK45" s="538">
        <f>IF(OR(IB45="",FI45&lt;0.01),,VLOOKUP(IB45,$GL$10:$GM$406,2,FALSE)*FI45)</f>
        <v/>
      </c>
      <c r="FL45" s="538">
        <f>FI45-FK45</f>
        <v/>
      </c>
      <c r="FM45" s="538">
        <f>FL45</f>
        <v/>
      </c>
      <c r="FN45" s="538">
        <f>IF(FL45=0,0,VLOOKUP(C45,$HD$10:$HE$406,2,FALSE)*FL45)</f>
        <v/>
      </c>
      <c r="FO45" s="538">
        <f>FL45-FN45</f>
        <v/>
      </c>
      <c r="FP45" s="538">
        <f>IF(SUM(CY45:DC45)&gt;0,0,IF(AND(AL45&gt;=5000000,AL45&lt;7500000),FO45,0))</f>
        <v/>
      </c>
      <c r="FQ45" s="539">
        <f>IF(B45="",0,FP45*FP$6*(1-$U45))</f>
        <v/>
      </c>
      <c r="FR45" s="538">
        <f>FO45-FQ45</f>
        <v/>
      </c>
      <c r="FS45" s="538">
        <f>IF(SUM(CY45:DC45)&gt;0,0,IF(AL45&lt;15000000,FR45,0))</f>
        <v/>
      </c>
      <c r="FT45" s="539">
        <f>IF(B45="",0,FS45*FS$6*(1-$U45))</f>
        <v/>
      </c>
      <c r="FU45" s="538">
        <f>FR45-FT45</f>
        <v/>
      </c>
      <c r="FV45" s="538">
        <f>IF(SUM(CY45:DC45)&gt;0,0,IF(OR(AND(X45="No",AN45="Tier 1",AI45&gt;$AG$3),AND(X45="No",AN45="Tier 2",AI45&gt;$AH$3),AND(X45="No",AN45="Tier 3",AI45&gt;$AI$3)),FU45,0))</f>
        <v/>
      </c>
      <c r="FW45" s="538">
        <f>IF(SUM(CY45:DC45)&gt;0,0,IF(OR(AND(X45="No",AN45="Tier 1",AJ45&gt;$AG$4),AND(X45="No",AN45="Tier 2",AJ45&gt;$AH$4),AND(X45="No",AN45="Tier 3",AJ45&gt;$AI$4)),FU45,0))</f>
        <v/>
      </c>
      <c r="FX45" s="538">
        <f>IF(SUM(CY45:DC45)&gt;0,0,IF(OR(AND(X45="Yes",AN45="Tier 1",AJ45&gt;$AG$5),AND(X45="Yes",AN45="Tier 2",AJ45&gt;$AH$5),AND(X45="Yes",AN45="Tier 3",AJ45&gt;$AI$5)),FU45,0))</f>
        <v/>
      </c>
      <c r="FY45" s="538">
        <f>IF(SUM(FV45:FX45)&gt;0,FU45,0)</f>
        <v/>
      </c>
      <c r="FZ45" s="539">
        <f>IF(B45="",0,FY45*FV$6*(1-MIN(90%,T45)))</f>
        <v/>
      </c>
      <c r="GA45" s="538">
        <f>FU45-FZ45</f>
        <v/>
      </c>
      <c r="GB45" s="538">
        <f>IF(AND(N45="No",DI45=0),GA45,IF(AND(N45="No",DI45&lt;&gt;0,K45=0),0,IF(AND(N45="No",DI45&lt;&gt;0,K45&gt;0,J45&lt;&gt;K45),MAX(0,M45-(DH45-GA45)),DG45)))</f>
        <v/>
      </c>
      <c r="GC45" s="540">
        <f>+GB45*V45</f>
        <v/>
      </c>
      <c r="GD45" s="138">
        <f>IFERROR(GC45/K45,"")</f>
        <v/>
      </c>
      <c r="GE45" s="541">
        <f>IF(IB45="","",IB45)</f>
        <v/>
      </c>
      <c r="GF45" s="538">
        <f t="array" ref="GF45">IF(SUM(IF(IB$9:IB44=IB45,1,0))&gt;0,0,SUMIF($IB$10:$IB$406,IB45,$FI$10:$FI$406))</f>
        <v/>
      </c>
      <c r="GG45" s="270">
        <f>GF45</f>
        <v/>
      </c>
      <c r="GH45" s="137">
        <f>GH44+1</f>
        <v/>
      </c>
      <c r="GI45" s="542">
        <f>LARGE($GG$10:$GG$406,GH45)</f>
        <v/>
      </c>
      <c r="GJ45" s="542">
        <f>IF(GH45&gt;GH$6,0,IF(GH45=$GH$2,$GJ$2,IF(GH45&lt;4,$GJ$3,$GJ$4)))</f>
        <v/>
      </c>
      <c r="GK45" s="489">
        <f>MAX(0,GI45-GJ45)</f>
        <v/>
      </c>
      <c r="GL45" s="137">
        <f t="array" ref="GL45">IF(GI45=0,0,LARGE(IF($GF$10:$GF$406=GI45,$GE$10:$GE$406,0),COUNTIF($GI$10:$GI$406,GI45)-COUNTIF(GI$9:GI44,GI45)))</f>
        <v/>
      </c>
      <c r="GM45" s="272">
        <f>IF(GI45=0,0,GK45/GI45)</f>
        <v/>
      </c>
      <c r="GO45" s="137">
        <f>IF(C45="","",IF(ISERROR(MATCH(C45,C$10:C44,0)),MAX(GO$10:GO44)+1,INDEX(GO$10:GO44,MATCH(C45,C$10:C44,0))))</f>
        <v/>
      </c>
      <c r="GP45" s="538">
        <f>IF(COUNTIF($A$10:A45,A45)&lt;=1,SUMIF($A$10:$A$406,A45,$FG$10:$FG$406),0)</f>
        <v/>
      </c>
      <c r="GQ45" s="137">
        <f>GQ44+1</f>
        <v/>
      </c>
      <c r="GR45" s="542">
        <f>LARGE($GP$10:$GP$406,GQ45)</f>
        <v/>
      </c>
      <c r="GS45" s="542">
        <f>IF(GQ45&gt;GQ$6,0,IF(GQ45&lt;=GQ$2,GS$2,IF(AND(GQ45&lt;=$GQ$3,GQ45&gt;$GQ$2),GS$3,GS$4)))</f>
        <v/>
      </c>
      <c r="GT45" s="489">
        <f>MAX(0,GR45-GS45)</f>
        <v/>
      </c>
      <c r="GU45" s="137">
        <f t="array" ref="GU45">IF(GR45=0,0,LARGE(IF($GP$10:$GP$406=GR45,$GO$10:$GO$406,0),COUNTIF($GR$10:$GR$406,GR45)-COUNTIF(GR$9:GR44,GR45)))</f>
        <v/>
      </c>
      <c r="GV45" s="272">
        <f>IF(GR45=0,0,GT45/GR45)</f>
        <v/>
      </c>
      <c r="GW45" s="272" t="n"/>
      <c r="GX45" s="137">
        <f>IF(C45="","",IF(ISERROR(MATCH(C45,C$10:C44,0)),MAX(GO$10:GO44)+1,INDEX(GO$10:GO44,MATCH(C45,C$10:C44,0))))</f>
        <v/>
      </c>
      <c r="GY45" s="538">
        <f>IF(COUNTIF($A$10:A45,A45)&lt;=1,SUMIF($A$10:$A$406,A45,$FG$10:$FG$406),0)</f>
        <v/>
      </c>
      <c r="GZ45" s="137">
        <f>GZ44+1</f>
        <v/>
      </c>
      <c r="HA45" s="542">
        <f>LARGE($GY$10:$GY$406,GZ45)</f>
        <v/>
      </c>
      <c r="HB45" s="543" t="inlineStr">
        <is>
          <t>-</t>
        </is>
      </c>
      <c r="HC45" s="489">
        <f>IF(GZ45&lt;6,MAX(0,$HC$2/5),0)</f>
        <v/>
      </c>
      <c r="HD45" s="137">
        <f t="array" ref="HD45">IF(HA45=0,0,LARGE(IF($GY$10:$GY$406=HA45,$GX$10:$GX$406,0),COUNTIF($HA$10:$HA$406,HA45)-COUNTIF(HA$9:HA44,HA45)))</f>
        <v/>
      </c>
      <c r="HE45" s="272">
        <f>IF(HA45=0,0,HC45/HA45)</f>
        <v/>
      </c>
      <c r="HG45" s="270">
        <f>DG45-GA45</f>
        <v/>
      </c>
      <c r="HH45" s="544" t="n">
        <v>0</v>
      </c>
      <c r="HI45" s="538">
        <f>MIN(HH45,DE45)</f>
        <v/>
      </c>
      <c r="HK45" s="137">
        <f>IF(COUNTIF($C$10:$C$406,HK44+1),HK44+1,"")</f>
        <v/>
      </c>
      <c r="HL45" s="538">
        <f>SUMIF($C$10:$C$406,HK45,$DG$10:$DG$406)</f>
        <v/>
      </c>
      <c r="HN45" s="521">
        <f>MIN(HO45:HS45)</f>
        <v/>
      </c>
      <c r="HO45" s="521">
        <f>IF(B45="","",$M45)</f>
        <v/>
      </c>
      <c r="HP45" s="521">
        <f>IF($N45="Yes",IF(P45&gt;=6,0,MIN($T45*$M45,$U45*$M45)),"")</f>
        <v/>
      </c>
      <c r="HQ45" s="521">
        <f>IF(AND(N45="Yes",P45&gt;=6),"",IF($S45="Yes",$R45*$M45,""))</f>
        <v/>
      </c>
      <c r="HR45" s="521">
        <f>IF($Q45="Yes",MIN($M45,$T45*$M45),"")</f>
        <v/>
      </c>
      <c r="HS45" s="521">
        <f>IF(AND($N45="Yes",$P45&gt;=6),"",IF(OR(CY45=1,DC45=1,),MIN($T45*$M45,$U45*$M45),IF(OR(CZ45=1,DA45=1,DB45=1),IF(AK45&gt;=5000000,MIN($T45*$M45,$IE45*$M45),MIN($T45*$M45,$U45*$M45)),"")))</f>
        <v/>
      </c>
      <c r="HT45" s="521">
        <f>IF(DD45&gt;0,DD45,"")</f>
        <v/>
      </c>
      <c r="HU45" s="522">
        <f>IF(B45="",0,$L45-$M45)</f>
        <v/>
      </c>
      <c r="HV45" s="274">
        <f>IF(OR(SUM(HP45:HT45)&gt;0,P45&gt;=6),"",IF($B45="","",1))</f>
        <v/>
      </c>
      <c r="HW45" s="522">
        <f>IF(AND($HT45&lt;&gt;0,OR(HT45&lt;=MIN(HP45:HS45),SUM(HP45:HS45)=0)),$HT45,0)</f>
        <v/>
      </c>
      <c r="HX45" s="522">
        <f>IF(AND($HS45&lt;&gt;0,OR(AND($HS45&lt;&gt;$HT45,$HS45&lt;&gt;$HR45,$HS45&lt;&gt;$HQ45,$HS45&lt;&gt;$HP45,$HS45&lt;MIN($HP45:$HR45),$HS45&lt;HT45),SUM($HP45:$HR45)+SUM(HT45)=0),IA45&lt;=0),$HS45,0)</f>
        <v/>
      </c>
      <c r="HY45" s="522">
        <f>IF(AND($HR45&lt;&gt;0,OR(AND($HR45&lt;&gt;$HT45,$HR45&lt;&gt;$HS45,$HR45&lt;&gt;$HQ45,$HR45&lt;&gt;$HP45),$HR45&lt;MIN($HP45:$HQ45),$HR45&lt;MIN($HS45:$HT45),SUM($HP45:$HQ45)+SUM($HS45:$HT45)=0)),$HR45,0)</f>
        <v/>
      </c>
      <c r="HZ45" s="522">
        <f>IF(AND($HQ45&lt;&gt;0,OR(AND($HQ45&lt;&gt;$HT45,HQ45&lt;&gt;HS45,HQ45&lt;&gt;HR45,HQ45&lt;&gt;HP45,HQ45&lt;MIN(HR45:HT45)),SUM(HP45)+SUM(HR45:HT45)=0)),$HQ45,0)</f>
        <v/>
      </c>
      <c r="IA45" s="522">
        <f>IF(AND($HP45&lt;&gt;0,OR(HP45&lt;=MIN(HQ45:HT45),SUM(HQ45:HT45)=0)),$HP45,0)</f>
        <v/>
      </c>
      <c r="IB45" s="545" t="n">
        <v>14</v>
      </c>
      <c r="IC45">
        <f>HU45=DF45</f>
        <v/>
      </c>
      <c r="IE45" s="351">
        <f>IF(B45="","",IF(AND(Y45="Second Lien",OR(CZ45=1,DA45=1,DB45=1)),50%,IF(CZ45=1,90%,IF(DA45=1,80%,IF(DB45=1,65%,"No Initial Haircut")))))</f>
        <v/>
      </c>
    </row>
    <row r="46">
      <c r="A46" t="inlineStr">
        <is>
          <t>Infinity Home Services Holdco, Inc.</t>
        </is>
      </c>
      <c r="B46" s="242">
        <f>IF(D46="","",B45+1)</f>
        <v/>
      </c>
      <c r="C46" s="242">
        <f>IF(COUNTIF($A$10:A45,A46)&gt;0,C45,C45+1)</f>
        <v/>
      </c>
      <c r="D46" s="243" t="inlineStr">
        <is>
          <t>Overton Holdings, LLC</t>
        </is>
      </c>
      <c r="E46" s="243" t="inlineStr">
        <is>
          <t>Overton</t>
        </is>
      </c>
      <c r="F46" s="244" t="n"/>
      <c r="G46" s="528" t="n">
        <v>7210987.180000001</v>
      </c>
      <c r="H46" s="528" t="n">
        <v>5936907.180000001</v>
      </c>
      <c r="I46" s="246" t="n">
        <v>1</v>
      </c>
      <c r="J46" s="529">
        <f>IF(B46="","",G46*I46)</f>
        <v/>
      </c>
      <c r="K46" s="529">
        <f>IF(B46="","",H46*I46)</f>
        <v/>
      </c>
      <c r="L46" s="529">
        <f>IF(B46="","",IF(COUNTIF($CE46:$CX46,1)&gt;0,0,J46))</f>
        <v/>
      </c>
      <c r="M46" s="529">
        <f>IF(B46="","",IF(COUNTIF($CE46:$CX46,1)&gt;0,0,K46))</f>
        <v/>
      </c>
      <c r="N46" s="248" t="inlineStr">
        <is>
          <t>No</t>
        </is>
      </c>
      <c r="O46" s="248" t="inlineStr">
        <is>
          <t>N/A</t>
        </is>
      </c>
      <c r="P46" s="249">
        <f>IF(B46="","",IF(OR(O46="N/A",O46=""),0,YEARFRAC('Borrowing Base'!$J$4,'Loan List'!O46)*12))</f>
        <v/>
      </c>
      <c r="Q46" s="248" t="inlineStr">
        <is>
          <t>No</t>
        </is>
      </c>
      <c r="R46" s="250" t="n">
        <v>1</v>
      </c>
      <c r="S46" s="251">
        <f>IF(B46="","",IF(R46&lt;95%,"Yes","No"))</f>
        <v/>
      </c>
      <c r="T46" s="250" t="n">
        <v>1</v>
      </c>
      <c r="U46" s="252">
        <f>IF(B46="","",IF(OR(Y46="First Lien",Y46="Split First Lien",Y46="Tier 1 Split Lien",Y46="Tier 2 Split Lien"),50%,30%))</f>
        <v/>
      </c>
      <c r="V46" s="252">
        <f>IF(B46="",0,IF(AND(Y46="First Lien",AN46="Tier 1"),IF(AND(X46="Yes",MIN(AH46,$AJ$5)&gt;4.5),(((4.5/MIN(AH46,$AJ$5))*72.5%)+(((MIN(AH46,$AJ$5)-4.5)/MIN(AH46,$AJ$5))*35%)),72.5%),IF(AND(Y46="First Lien",AN46="Tier 2"),IF(AND(X46="Yes",MIN(AH46,$AK$5)&gt;4.5),(((4.5/MIN(AH46,$AK$5))*72.5%)+(((MIN(AH46,$AK$5)-4.5)/MIN(AH46,$AK$5))*35%)),72.5%),IF(AND(X46="Yes",MIN(AH46,$AL$5)&gt;4),(((4/MIN(AH46,$AL$5))*72.5%)+(((MIN(AH46,$AL$5)-4)/MIN(AH46,$AL$5))*35%)),IF(OR(Y46="First Lien",Y46="Split First Lien"),72.5%,IF(Y46="Split Lien", 53%,35%))))))</f>
        <v/>
      </c>
      <c r="W46" s="530">
        <f>IF($C46="","",MIN($HO46:$HS46))</f>
        <v/>
      </c>
      <c r="X46" s="248" t="inlineStr">
        <is>
          <t>Yes</t>
        </is>
      </c>
      <c r="Y46" s="254" t="inlineStr">
        <is>
          <t>First Lien</t>
        </is>
      </c>
      <c r="Z46" s="254" t="inlineStr">
        <is>
          <t>Delayed Draw</t>
        </is>
      </c>
      <c r="AA46" s="531" t="inlineStr">
        <is>
          <t>NR</t>
        </is>
      </c>
      <c r="AB46" s="531" t="inlineStr">
        <is>
          <t xml:space="preserve"> NR</t>
        </is>
      </c>
      <c r="AC46" s="532" t="n">
        <v>1.5519163814925</v>
      </c>
      <c r="AD46" s="532" t="n">
        <v>3.923790731205234</v>
      </c>
      <c r="AE46" s="532" t="n">
        <v>5.301941730105829</v>
      </c>
      <c r="AF46" s="257" t="n">
        <v>0.250777134171395</v>
      </c>
      <c r="AG46" s="533" t="n">
        <v>3.923790731205234</v>
      </c>
      <c r="AH46" s="533" t="n">
        <v>3.923790731205234</v>
      </c>
      <c r="AI46" s="533" t="n">
        <v>5.270718835114724</v>
      </c>
      <c r="AJ46" s="533" t="n">
        <v>5.270718835114724</v>
      </c>
      <c r="AK46" s="534" t="n">
        <v>35462000</v>
      </c>
      <c r="AL46" s="534" t="n">
        <v>62607778.99999999</v>
      </c>
      <c r="AM46" s="276" t="n">
        <v>45777</v>
      </c>
      <c r="AN46" s="529">
        <f>IF(C46="","",(IF(AK46&gt;=50000000,"Tier 1",(IF(OR(AK46&gt;=20000000,AND(AK46&gt;5000000,AC46&gt;=1.25,AF46&lt;=0.65)),"Tier 2","Tier 3")))))</f>
        <v/>
      </c>
      <c r="AO46" s="244" t="n">
        <v>47115</v>
      </c>
      <c r="AP46" s="535" t="n">
        <v>3.411111111111111</v>
      </c>
      <c r="AQ46" s="535">
        <f>IF(C46="","",AP46)</f>
        <v/>
      </c>
      <c r="AR46" s="248" t="inlineStr">
        <is>
          <t>No</t>
        </is>
      </c>
      <c r="AS46" s="250" t="n">
        <v>0</v>
      </c>
      <c r="AT46" s="248" t="inlineStr">
        <is>
          <t>No</t>
        </is>
      </c>
      <c r="AU46" s="250" t="inlineStr"/>
      <c r="AV46" s="250" t="n">
        <v>0.06</v>
      </c>
      <c r="AW46" s="250" t="n">
        <v>0.04295600000000001</v>
      </c>
      <c r="AX46" s="262">
        <f>IF(C46="","",MAX(AU46,AW46))</f>
        <v/>
      </c>
      <c r="AY46" s="250" t="n">
        <v>0</v>
      </c>
      <c r="AZ46" s="250" t="n">
        <v>0</v>
      </c>
      <c r="BA46" s="250" t="n">
        <v>0</v>
      </c>
      <c r="BB46" s="412">
        <f>IF(B46="","",IF(AR46="No",AV46-AZ46,""))</f>
        <v/>
      </c>
      <c r="BC46" s="412">
        <f>IF(B46="","",IF(AR46="Yes",AS46-BA46,""))</f>
        <v/>
      </c>
      <c r="BD46" s="254" t="inlineStr">
        <is>
          <t>Quarterly</t>
        </is>
      </c>
      <c r="BE46" s="536" t="inlineStr">
        <is>
          <t>Diversified Consumer Services</t>
        </is>
      </c>
      <c r="BF46" s="254" t="inlineStr">
        <is>
          <t>USD</t>
        </is>
      </c>
      <c r="BG46" s="254" t="inlineStr">
        <is>
          <t>United States</t>
        </is>
      </c>
      <c r="BH46" s="248" t="inlineStr">
        <is>
          <t>No</t>
        </is>
      </c>
      <c r="BI46" s="413">
        <f>IF(B46="","",IF(OR(AND(AZ46&gt;0,BB46&gt;=2.5%,BB46&lt;4%),AND(BA46&gt;0,BC46&gt;=6%,BC46&lt;8%)),"Yes","No"))</f>
        <v/>
      </c>
      <c r="BJ46" s="413">
        <f>IF(B46="","",IF(OR(AND(AZ46&gt;0,BB46&lt;2.5%),AND(BA46&gt;0,BC46&lt;6%)),"Yes","No"))</f>
        <v/>
      </c>
      <c r="BK46" s="248" t="inlineStr">
        <is>
          <t>No</t>
        </is>
      </c>
      <c r="BL46" s="248" t="inlineStr">
        <is>
          <t>No</t>
        </is>
      </c>
      <c r="BM46" s="248" t="inlineStr">
        <is>
          <t>No</t>
        </is>
      </c>
      <c r="BN46" s="248" t="inlineStr">
        <is>
          <t>No</t>
        </is>
      </c>
      <c r="BO46" s="248" t="inlineStr">
        <is>
          <t>No</t>
        </is>
      </c>
      <c r="BP46" s="248" t="inlineStr">
        <is>
          <t>No</t>
        </is>
      </c>
      <c r="BQ46" s="248" t="inlineStr">
        <is>
          <t>No</t>
        </is>
      </c>
      <c r="BR46" s="248" t="inlineStr">
        <is>
          <t>No</t>
        </is>
      </c>
      <c r="BS46" s="248" t="inlineStr">
        <is>
          <t>No</t>
        </is>
      </c>
      <c r="BT46" s="248" t="inlineStr">
        <is>
          <t>No</t>
        </is>
      </c>
      <c r="BU46" s="248" t="inlineStr">
        <is>
          <t>No</t>
        </is>
      </c>
      <c r="BV46" s="248" t="inlineStr">
        <is>
          <t>No</t>
        </is>
      </c>
      <c r="BW46" s="248" t="inlineStr">
        <is>
          <t>No</t>
        </is>
      </c>
      <c r="BX46" s="248" t="inlineStr">
        <is>
          <t>No</t>
        </is>
      </c>
      <c r="BY46" s="248" t="inlineStr">
        <is>
          <t>No</t>
        </is>
      </c>
      <c r="BZ46" s="248" t="inlineStr">
        <is>
          <t>No</t>
        </is>
      </c>
      <c r="CA46" s="248" t="inlineStr">
        <is>
          <t>Yes</t>
        </is>
      </c>
      <c r="CB46" s="537">
        <f>IF(B46="","",IF(AT46="No",((BB46+AW46)-$AZ$4),((BB46+AX46)-$AZ$4))*IF(DD46&gt;0,0,M46))</f>
        <v/>
      </c>
      <c r="CC46" s="537">
        <f>IF(B46="","",AY46*(L46-M46)*IF(DD46&gt;0,0,1))</f>
        <v/>
      </c>
      <c r="CD46" s="265" t="n"/>
      <c r="CE46" s="265">
        <f>IF(AND(B46&lt;&gt;"",R46&lt;=85%),1,0)</f>
        <v/>
      </c>
      <c r="CF46" s="265">
        <f>IF(B46="",0,(IF(OR(BF46="USD",BF46="CAD",BF46="GBP",BF46="AUD",BF46="EUR"),0,1)))</f>
        <v/>
      </c>
      <c r="CG46" s="265">
        <f>IF(B46="",0,(IF(OR(BG46="United States",BG46="Canada",BG46="United Kingdom",BG46="Australia",BG46="Netherlands Antilles",BG46="Bermuda",BG46="Cayman Islands",BG46="British Virgin Islands",BG46="Channel Islands",BG46="Isle of Man",BG46="Australia",BG46="Netherlands",BG46="Germany",BG46="Sweden",BG46="Switzerland",BG46="Austria",BG46="Belgium",BG46="Denmark",BG46="Finland",BG46="Iceland",BG46="Ireland",BG46="Lichtenstein",BG46="Luxemborg",BG46="Norway"),0,1)))</f>
        <v/>
      </c>
      <c r="CH46" s="265">
        <f>IF(BN46="Yes",1,0)</f>
        <v/>
      </c>
      <c r="CI46" s="265">
        <f>IF(BO46="Yes",1,0)</f>
        <v/>
      </c>
      <c r="CJ46" s="265">
        <f>IF(BP46="Yes",1,0)</f>
        <v/>
      </c>
      <c r="CK46" s="265">
        <f>IF(BQ46="Yes",1,0)</f>
        <v/>
      </c>
      <c r="CL46" s="265">
        <f>IF(BR46="Yes",1,0)</f>
        <v/>
      </c>
      <c r="CM46" s="265">
        <f>IF(BS46="Yes",1,0)</f>
        <v/>
      </c>
      <c r="CN46" s="265">
        <f>IF(OR(AND(BJ46="Yes",N46="No"),AND(BJ46="Yes",N46="Yes",P46&gt;=6)),1,0)</f>
        <v/>
      </c>
      <c r="CO46" s="265">
        <f>IF(BT46="Yes",1,0)</f>
        <v/>
      </c>
      <c r="CP46" s="265">
        <f>IF(AND(BU46="Yes",BV46="No"),1,0)</f>
        <v/>
      </c>
      <c r="CQ46" s="265">
        <f>IF(BW46="Yes",1,0)</f>
        <v/>
      </c>
      <c r="CR46" s="265">
        <f>IF(AP46="",0,IF(AP46&gt;7,1,0))</f>
        <v/>
      </c>
      <c r="CS46" s="265">
        <f>IF(OR(BD46&lt;&gt;"Monthly",BD46&lt;&gt;"Quarterly",BD46&lt;&gt;"Semi-Annually"),0,1)</f>
        <v/>
      </c>
      <c r="CT46" s="265">
        <f>IF(BX46="Yes",1,0)</f>
        <v/>
      </c>
      <c r="CU46" s="265">
        <f>IF(BY46="Yes",1,0)</f>
        <v/>
      </c>
      <c r="CV46" s="265">
        <f>IF(BZ46="Yes",1,0)</f>
        <v/>
      </c>
      <c r="CW46" s="265">
        <f>IF(CA46="No",1,0)</f>
        <v/>
      </c>
      <c r="CX46" s="265">
        <f>IF(B46="",0,IF(AK46&gt;=5000000,0,1))</f>
        <v/>
      </c>
      <c r="CY46" s="265">
        <f>IF(B46="",0,IF(AL46&gt;=5000000,0,1))</f>
        <v/>
      </c>
      <c r="CZ46" s="265">
        <f>IF(OR(DA46=1,DB46=1,DC46=1),0,IF(B46="",0,IF(OR(AND(AN46="Tier 1",X46="No",OR(AI46&gt;$AJ$3,AJ46&gt;$AJ$4)),(AND(AN46="Tier 1",X46="Yes",AJ46&gt;$AJ$5)),(AND(AN46="Tier 2",X46="No",OR(AI46&gt;$AK$3,AJ46&gt;$AK$4))),(AND(AN46="Tier 2",X46="Yes",AJ46&gt;$AK$5)),(AND(AN46="Tier 3",X46="No",OR(AI46&gt;$AL$3,AJ46&gt;$AL$4))),(AND(AN46="Tier 3",X46="Yes",AJ46&gt;$AL$5))),1,0)))</f>
        <v/>
      </c>
      <c r="DA46" s="265">
        <f>IF(OR(DB46=1,DC46=1),0,IF(B46="",0,IF(OR(AND(AN46="Tier 1",X46="No",OR(AI46&gt;$AM$3,AJ46&gt;$AM$4)),(AND(AN46="Tier 1",X46="Yes",AJ46&gt;$AM$5)),(AND(AN46="Tier 2",X46="No",OR(AI46&gt;$AN$3,AJ46&gt;$AN$4))),(AND(AN46="Tier 2",X46="Yes",AJ46&gt;$AN$5)),(AND(AN46="Tier 3",X46="No",OR(AI46&gt;$AO$3,AJ46&gt;$AO$4))),(AND(AN46="Tier 3",X46="Yes",AJ46&gt;$AO$5))),1,0)))</f>
        <v/>
      </c>
      <c r="DB46" s="265">
        <f>IF(DC46=1,0,IF(B46="",0,IF(OR(AND(AN46="Tier 1",X46="No",OR(AI46&gt;$AP$3,AJ46&gt;$AP$4)),(AND(AN46="Tier 1",X46="Yes",AJ46&gt;$AP$5)),(AND(AN46="Tier 2",X46="No",OR(AI46&gt;$AQ$3,AJ46&gt;$AQ$4))),(AND(AN46="Tier 2",X46="Yes",AJ46&gt;$AQ$5)),(AND(AN46="Tier 3",X46="No",OR(AI46&gt;$AR$3,AJ46&gt;$AR$4))),(AND(AN46="Tier 3",X46="Yes",AJ46&gt;$AR$5))),1,0)))</f>
        <v/>
      </c>
      <c r="DC46" s="265">
        <f>IF(B46="",0,IF(OR(AND(AN46="Tier 1",X46="No",OR(AI46&gt;$AS$3,AJ46&gt;$AS$4)),(AND(AN46="Tier 1",X46="Yes",AJ46&gt;$AS$5)),(AND(AN46="Tier 2",X46="No",OR(AI46&gt;$AT$3,AJ46&gt;$AT$4))),(AND(AN46="Tier 2",X46="Yes",AJ46&gt;$AT$5)),(AND(AN46="Tier 3",X46="No",OR(AI46&gt;$AU$3,AJ46&gt;$AU$4))),(AND(AN46="Tier 3",X46="Yes",AJ46&gt;$AU$5))),1,0))</f>
        <v/>
      </c>
      <c r="DD46" s="265">
        <f>IF((SUM(CE46:CX46)=0),0,W46)</f>
        <v/>
      </c>
      <c r="DE46" s="265">
        <f>IF(OR(B46="",DD46&gt;0),0,W46)</f>
        <v/>
      </c>
      <c r="DF46" s="265">
        <f>IF(B46="",0,IF(COUNTIF(CE46:CX46,1)&gt;0,0,L46-M46))</f>
        <v/>
      </c>
      <c r="DG46" s="265">
        <f>DE46+IF(DD46&gt;0,0,DF46)</f>
        <v/>
      </c>
      <c r="DH46" s="265">
        <f>IF(B46="","",M46+DF46)</f>
        <v/>
      </c>
      <c r="DI46" s="265">
        <f>IF(B46="",0,J46-K46)</f>
        <v/>
      </c>
      <c r="DJ46" s="265">
        <f>IF(OR(BF46="EUR",BF46="CAD",BF46="GBP",BF46="AUD"),(GA46*(1-V46))+(HG46)+IF(HX46="",0,HX46*(1-U46)),0)</f>
        <v/>
      </c>
      <c r="DK46" s="265">
        <f>IF(BF46="EUR",33%,IF(BF46="CAD",38%,IF(BF46="GBP",51%,IF(BF46="AUD",61%,0))))</f>
        <v/>
      </c>
      <c r="DL46" s="265">
        <f>DJ46*DK46</f>
        <v/>
      </c>
      <c r="DN46" s="538">
        <f>IF(OR(Y46="Second Lien",Y46="Tier 1 Split Lien",Y46="Tier 2 Split Lien"),DG46,0)</f>
        <v/>
      </c>
      <c r="DO46" s="539">
        <f>DN46*DN$6</f>
        <v/>
      </c>
      <c r="DP46" s="538">
        <f>DG46-DO46</f>
        <v/>
      </c>
      <c r="DQ46" s="538">
        <f>IF(Y46="Second Lien",DP46,0)</f>
        <v/>
      </c>
      <c r="DR46" s="539">
        <f>DQ46*DQ$6</f>
        <v/>
      </c>
      <c r="DS46" s="538">
        <f>DP46-DR46</f>
        <v/>
      </c>
      <c r="DT46" s="538">
        <f>IF(BH46="Yes",DS46,0)</f>
        <v/>
      </c>
      <c r="DU46" s="539">
        <f>DT46*DT$6</f>
        <v/>
      </c>
      <c r="DV46" s="538">
        <f>DS46-DU46</f>
        <v/>
      </c>
      <c r="DW46" s="538">
        <f>IF(OR(BG46="Canada",BG46="United Kingdom",BG46="Australia",BG46="Netherlands Antilles",BG46="Bermuda",BG46="Cayman Islands",BG46="British Virgin Islands",BG46="Channel Islands",BG46="Isle of Man",BG46="Australia",BG46="Netherlands",BG46="Germany",BG46="Sweden",BG46="Switzerland",BG46="Austria",BG46="Belgium",BG46="Denmark",BG46="Finland",BG46="Iceland",BG46="Ireland",BG46="Lichtenstein",BG46="Luxemborg",BG46="Norway"),DV46,0)</f>
        <v/>
      </c>
      <c r="DX46" s="539">
        <f>DW46*DW$6</f>
        <v/>
      </c>
      <c r="DY46" s="538">
        <f>DV46-DX46</f>
        <v/>
      </c>
      <c r="DZ46" s="538">
        <f>IF(BI46="Yes",DY46,0)</f>
        <v/>
      </c>
      <c r="EA46" s="539">
        <f>DZ46*DZ$6</f>
        <v/>
      </c>
      <c r="EB46" s="538">
        <f>DY46-EA46</f>
        <v/>
      </c>
      <c r="EC46" s="538">
        <f>IF(OR(Z46="Delayed Draw",Z46="Revolver"),EB46,0)</f>
        <v/>
      </c>
      <c r="ED46" s="539">
        <f>EC46*EC$6</f>
        <v/>
      </c>
      <c r="EE46" s="538">
        <f>EB46-ED46</f>
        <v/>
      </c>
      <c r="EF46" s="538">
        <f>IF(S46="Yes",EE46,0)</f>
        <v/>
      </c>
      <c r="EG46" s="539">
        <f>EF46*EF$6</f>
        <v/>
      </c>
      <c r="EH46" s="538">
        <f>EE46-EG46</f>
        <v/>
      </c>
      <c r="EI46" s="538">
        <f>IF(Q46="Yes",EH46,0)</f>
        <v/>
      </c>
      <c r="EJ46" s="539">
        <f>EI46*EI$6</f>
        <v/>
      </c>
      <c r="EK46" s="538">
        <f>EH46-EJ46</f>
        <v/>
      </c>
      <c r="EL46" s="538">
        <f>IF(BD46="Semi-Annually",EK46,0)</f>
        <v/>
      </c>
      <c r="EM46" s="539">
        <f>EL46*EL$6</f>
        <v/>
      </c>
      <c r="EN46" s="538">
        <f>EK46-EM46</f>
        <v/>
      </c>
      <c r="EO46" s="538">
        <f>IF(BK46="Yes",EN46,0)</f>
        <v/>
      </c>
      <c r="EP46" s="539">
        <f>EO46*EO$6</f>
        <v/>
      </c>
      <c r="EQ46" s="538">
        <f>EN46-EP46</f>
        <v/>
      </c>
      <c r="ER46" s="538">
        <f>IF(BL46="Yes",EQ46,0)</f>
        <v/>
      </c>
      <c r="ES46" s="539">
        <f>ER46*ER$6</f>
        <v/>
      </c>
      <c r="ET46" s="538">
        <f>EQ46-ES46</f>
        <v/>
      </c>
      <c r="EU46" s="538">
        <f>IF(BM46="Yes",ET46,0)</f>
        <v/>
      </c>
      <c r="EV46" s="539">
        <f>EU46*EU$6</f>
        <v/>
      </c>
      <c r="EW46" s="538">
        <f>ET46-EV46</f>
        <v/>
      </c>
      <c r="EX46" s="538">
        <f>IF(BV46="Yes",EW46,0)</f>
        <v/>
      </c>
      <c r="EY46" s="539">
        <f>EX46*EX$6</f>
        <v/>
      </c>
      <c r="EZ46" s="538">
        <f>EW46-EY46</f>
        <v/>
      </c>
      <c r="FA46" s="538">
        <f>IF(AR46="Yes",EZ46,0)</f>
        <v/>
      </c>
      <c r="FB46" s="539">
        <f>FA46*FA$6</f>
        <v/>
      </c>
      <c r="FC46" s="538">
        <f>EZ46-FB46</f>
        <v/>
      </c>
      <c r="FD46" s="538">
        <f>IF(OR(BF46="EUR",BF46="AUD",BF46="CAD",BF46="GBP"),FC46,0)</f>
        <v/>
      </c>
      <c r="FE46" s="539">
        <f>FD46*FD$6</f>
        <v/>
      </c>
      <c r="FF46" s="538">
        <f>FC46-FE46</f>
        <v/>
      </c>
      <c r="FG46" s="538">
        <f>FF46</f>
        <v/>
      </c>
      <c r="FH46" s="538">
        <f>IF(FF46=0,0,VLOOKUP(C46,$GU$10:$GV$406,2,FALSE)*FF46)</f>
        <v/>
      </c>
      <c r="FI46" s="538">
        <f>FF46-FH46</f>
        <v/>
      </c>
      <c r="FJ46" s="538">
        <f>FI46</f>
        <v/>
      </c>
      <c r="FK46" s="538">
        <f>IF(OR(IB46="",FI46&lt;0.01),,VLOOKUP(IB46,$GL$10:$GM$406,2,FALSE)*FI46)</f>
        <v/>
      </c>
      <c r="FL46" s="538">
        <f>FI46-FK46</f>
        <v/>
      </c>
      <c r="FM46" s="538">
        <f>FL46</f>
        <v/>
      </c>
      <c r="FN46" s="538">
        <f>IF(FL46=0,0,VLOOKUP(C46,$HD$10:$HE$406,2,FALSE)*FL46)</f>
        <v/>
      </c>
      <c r="FO46" s="538">
        <f>FL46-FN46</f>
        <v/>
      </c>
      <c r="FP46" s="538">
        <f>IF(SUM(CY46:DC46)&gt;0,0,IF(AND(AL46&gt;=5000000,AL46&lt;7500000),FO46,0))</f>
        <v/>
      </c>
      <c r="FQ46" s="539">
        <f>IF(B46="",0,FP46*FP$6*(1-$U46))</f>
        <v/>
      </c>
      <c r="FR46" s="538">
        <f>FO46-FQ46</f>
        <v/>
      </c>
      <c r="FS46" s="538">
        <f>IF(SUM(CY46:DC46)&gt;0,0,IF(AL46&lt;15000000,FR46,0))</f>
        <v/>
      </c>
      <c r="FT46" s="539">
        <f>IF(B46="",0,FS46*FS$6*(1-$U46))</f>
        <v/>
      </c>
      <c r="FU46" s="538">
        <f>FR46-FT46</f>
        <v/>
      </c>
      <c r="FV46" s="538">
        <f>IF(SUM(CY46:DC46)&gt;0,0,IF(OR(AND(X46="No",AN46="Tier 1",AI46&gt;$AG$3),AND(X46="No",AN46="Tier 2",AI46&gt;$AH$3),AND(X46="No",AN46="Tier 3",AI46&gt;$AI$3)),FU46,0))</f>
        <v/>
      </c>
      <c r="FW46" s="538">
        <f>IF(SUM(CY46:DC46)&gt;0,0,IF(OR(AND(X46="No",AN46="Tier 1",AJ46&gt;$AG$4),AND(X46="No",AN46="Tier 2",AJ46&gt;$AH$4),AND(X46="No",AN46="Tier 3",AJ46&gt;$AI$4)),FU46,0))</f>
        <v/>
      </c>
      <c r="FX46" s="538">
        <f>IF(SUM(CY46:DC46)&gt;0,0,IF(OR(AND(X46="Yes",AN46="Tier 1",AJ46&gt;$AG$5),AND(X46="Yes",AN46="Tier 2",AJ46&gt;$AH$5),AND(X46="Yes",AN46="Tier 3",AJ46&gt;$AI$5)),FU46,0))</f>
        <v/>
      </c>
      <c r="FY46" s="538">
        <f>IF(SUM(FV46:FX46)&gt;0,FU46,0)</f>
        <v/>
      </c>
      <c r="FZ46" s="539">
        <f>IF(B46="",0,FY46*FV$6*(1-MIN(90%,T46)))</f>
        <v/>
      </c>
      <c r="GA46" s="538">
        <f>FU46-FZ46</f>
        <v/>
      </c>
      <c r="GB46" s="538">
        <f>IF(AND(N46="No",DI46=0),GA46,IF(AND(N46="No",DI46&lt;&gt;0,K46=0),0,IF(AND(N46="No",DI46&lt;&gt;0,K46&gt;0,J46&lt;&gt;K46),MAX(0,M46-(DH46-GA46)),DG46)))</f>
        <v/>
      </c>
      <c r="GC46" s="540">
        <f>+GB46*V46</f>
        <v/>
      </c>
      <c r="GD46" s="138">
        <f>IFERROR(GC46/K46,"")</f>
        <v/>
      </c>
      <c r="GE46" s="541">
        <f>IF(IB46="","",IB46)</f>
        <v/>
      </c>
      <c r="GF46" s="538">
        <f t="array" ref="GF46">IF(SUM(IF(IB$9:IB45=IB46,1,0))&gt;0,0,SUMIF($IB$10:$IB$406,IB46,$FI$10:$FI$406))</f>
        <v/>
      </c>
      <c r="GG46" s="270">
        <f>GF46</f>
        <v/>
      </c>
      <c r="GH46" s="137">
        <f>GH45+1</f>
        <v/>
      </c>
      <c r="GI46" s="542">
        <f>LARGE($GG$10:$GG$406,GH46)</f>
        <v/>
      </c>
      <c r="GJ46" s="542">
        <f>IF(GH46&gt;GH$6,0,IF(GH46=$GH$2,$GJ$2,IF(GH46&lt;4,$GJ$3,$GJ$4)))</f>
        <v/>
      </c>
      <c r="GK46" s="489">
        <f>MAX(0,GI46-GJ46)</f>
        <v/>
      </c>
      <c r="GL46" s="137">
        <f t="array" ref="GL46">IF(GI46=0,0,LARGE(IF($GF$10:$GF$406=GI46,$GE$10:$GE$406,0),COUNTIF($GI$10:$GI$406,GI46)-COUNTIF(GI$9:GI45,GI46)))</f>
        <v/>
      </c>
      <c r="GM46" s="272">
        <f>IF(GI46=0,0,GK46/GI46)</f>
        <v/>
      </c>
      <c r="GO46" s="137">
        <f>IF(C46="","",IF(ISERROR(MATCH(C46,C$10:C45,0)),MAX(GO$10:GO45)+1,INDEX(GO$10:GO45,MATCH(C46,C$10:C45,0))))</f>
        <v/>
      </c>
      <c r="GP46" s="538">
        <f>IF(COUNTIF($A$10:A46,A46)&lt;=1,SUMIF($A$10:$A$406,A46,$FG$10:$FG$406),0)</f>
        <v/>
      </c>
      <c r="GQ46" s="137">
        <f>GQ45+1</f>
        <v/>
      </c>
      <c r="GR46" s="542">
        <f>LARGE($GP$10:$GP$406,GQ46)</f>
        <v/>
      </c>
      <c r="GS46" s="542">
        <f>IF(GQ46&gt;GQ$6,0,IF(GQ46&lt;=GQ$2,GS$2,IF(AND(GQ46&lt;=$GQ$3,GQ46&gt;$GQ$2),GS$3,GS$4)))</f>
        <v/>
      </c>
      <c r="GT46" s="489">
        <f>MAX(0,GR46-GS46)</f>
        <v/>
      </c>
      <c r="GU46" s="137">
        <f t="array" ref="GU46">IF(GR46=0,0,LARGE(IF($GP$10:$GP$406=GR46,$GO$10:$GO$406,0),COUNTIF($GR$10:$GR$406,GR46)-COUNTIF(GR$9:GR45,GR46)))</f>
        <v/>
      </c>
      <c r="GV46" s="272">
        <f>IF(GR46=0,0,GT46/GR46)</f>
        <v/>
      </c>
      <c r="GW46" s="272" t="n"/>
      <c r="GX46" s="137">
        <f>IF(C46="","",IF(ISERROR(MATCH(C46,C$10:C45,0)),MAX(GO$10:GO45)+1,INDEX(GO$10:GO45,MATCH(C46,C$10:C45,0))))</f>
        <v/>
      </c>
      <c r="GY46" s="538">
        <f>IF(COUNTIF($A$10:A46,A46)&lt;=1,SUMIF($A$10:$A$406,A46,$FG$10:$FG$406),0)</f>
        <v/>
      </c>
      <c r="GZ46" s="137">
        <f>GZ45+1</f>
        <v/>
      </c>
      <c r="HA46" s="542">
        <f>LARGE($GY$10:$GY$406,GZ46)</f>
        <v/>
      </c>
      <c r="HB46" s="543" t="inlineStr">
        <is>
          <t>-</t>
        </is>
      </c>
      <c r="HC46" s="489">
        <f>IF(GZ46&lt;6,MAX(0,$HC$2/5),0)</f>
        <v/>
      </c>
      <c r="HD46" s="137">
        <f t="array" ref="HD46">IF(HA46=0,0,LARGE(IF($GY$10:$GY$406=HA46,$GX$10:$GX$406,0),COUNTIF($HA$10:$HA$406,HA46)-COUNTIF(HA$9:HA45,HA46)))</f>
        <v/>
      </c>
      <c r="HE46" s="272">
        <f>IF(HA46=0,0,HC46/HA46)</f>
        <v/>
      </c>
      <c r="HG46" s="270">
        <f>DG46-GA46</f>
        <v/>
      </c>
      <c r="HH46" s="544" t="n">
        <v>0</v>
      </c>
      <c r="HI46" s="538">
        <f>MIN(HH46,DE46)</f>
        <v/>
      </c>
      <c r="HK46" s="137">
        <f>IF(COUNTIF($C$10:$C$406,HK45+1),HK45+1,"")</f>
        <v/>
      </c>
      <c r="HL46" s="538">
        <f>SUMIF($C$10:$C$406,HK46,$DG$10:$DG$406)</f>
        <v/>
      </c>
      <c r="HN46" s="521">
        <f>MIN(HO46:HS46)</f>
        <v/>
      </c>
      <c r="HO46" s="521">
        <f>IF(B46="","",$M46)</f>
        <v/>
      </c>
      <c r="HP46" s="521">
        <f>IF($N46="Yes",IF(P46&gt;=6,0,MIN($T46*$M46,$U46*$M46)),"")</f>
        <v/>
      </c>
      <c r="HQ46" s="521">
        <f>IF(AND(N46="Yes",P46&gt;=6),"",IF($S46="Yes",$R46*$M46,""))</f>
        <v/>
      </c>
      <c r="HR46" s="521">
        <f>IF($Q46="Yes",MIN($M46,$T46*$M46),"")</f>
        <v/>
      </c>
      <c r="HS46" s="521">
        <f>IF(AND($N46="Yes",$P46&gt;=6),"",IF(OR(CY46=1,DC46=1,),MIN($T46*$M46,$U46*$M46),IF(OR(CZ46=1,DA46=1,DB46=1),IF(AK46&gt;=5000000,MIN($T46*$M46,$IE46*$M46),MIN($T46*$M46,$U46*$M46)),"")))</f>
        <v/>
      </c>
      <c r="HT46" s="521">
        <f>IF(DD46&gt;0,DD46,"")</f>
        <v/>
      </c>
      <c r="HU46" s="522">
        <f>IF(B46="",0,$L46-$M46)</f>
        <v/>
      </c>
      <c r="HV46" s="274">
        <f>IF(OR(SUM(HP46:HT46)&gt;0,P46&gt;=6),"",IF($B46="","",1))</f>
        <v/>
      </c>
      <c r="HW46" s="522">
        <f>IF(AND($HT46&lt;&gt;0,OR(HT46&lt;=MIN(HP46:HS46),SUM(HP46:HS46)=0)),$HT46,0)</f>
        <v/>
      </c>
      <c r="HX46" s="522">
        <f>IF(AND($HS46&lt;&gt;0,OR(AND($HS46&lt;&gt;$HT46,$HS46&lt;&gt;$HR46,$HS46&lt;&gt;$HQ46,$HS46&lt;&gt;$HP46,$HS46&lt;MIN($HP46:$HR46),$HS46&lt;HT46),SUM($HP46:$HR46)+SUM(HT46)=0),IA46&lt;=0),$HS46,0)</f>
        <v/>
      </c>
      <c r="HY46" s="522">
        <f>IF(AND($HR46&lt;&gt;0,OR(AND($HR46&lt;&gt;$HT46,$HR46&lt;&gt;$HS46,$HR46&lt;&gt;$HQ46,$HR46&lt;&gt;$HP46),$HR46&lt;MIN($HP46:$HQ46),$HR46&lt;MIN($HS46:$HT46),SUM($HP46:$HQ46)+SUM($HS46:$HT46)=0)),$HR46,0)</f>
        <v/>
      </c>
      <c r="HZ46" s="522">
        <f>IF(AND($HQ46&lt;&gt;0,OR(AND($HQ46&lt;&gt;$HT46,HQ46&lt;&gt;HS46,HQ46&lt;&gt;HR46,HQ46&lt;&gt;HP46,HQ46&lt;MIN(HR46:HT46)),SUM(HP46)+SUM(HR46:HT46)=0)),$HQ46,0)</f>
        <v/>
      </c>
      <c r="IA46" s="522">
        <f>IF(AND($HP46&lt;&gt;0,OR(HP46&lt;=MIN(HQ46:HT46),SUM(HQ46:HT46)=0)),$HP46,0)</f>
        <v/>
      </c>
      <c r="IB46" s="545" t="n">
        <v>19</v>
      </c>
      <c r="IC46">
        <f>HU46=DF46</f>
        <v/>
      </c>
      <c r="IE46" s="351">
        <f>IF(B46="","",IF(AND(Y46="Second Lien",OR(CZ46=1,DA46=1,DB46=1)),50%,IF(CZ46=1,90%,IF(DA46=1,80%,IF(DB46=1,65%,"No Initial Haircut")))))</f>
        <v/>
      </c>
    </row>
    <row r="47">
      <c r="A47" t="inlineStr">
        <is>
          <t>Infinity Home Services Holdco, Inc.</t>
        </is>
      </c>
      <c r="B47" s="242">
        <f>IF(D47="","",B46+1)</f>
        <v/>
      </c>
      <c r="C47" s="242">
        <f>IF(COUNTIF($A$10:A46,A47)&gt;0,C46,C46+1)</f>
        <v/>
      </c>
      <c r="D47" s="243" t="inlineStr">
        <is>
          <t>Prescott Holdings, LLC</t>
        </is>
      </c>
      <c r="E47" s="243" t="inlineStr">
        <is>
          <t>Prescott</t>
        </is>
      </c>
      <c r="F47" s="244" t="n"/>
      <c r="G47" s="528" t="n">
        <v>1708488.77</v>
      </c>
      <c r="H47" s="528" t="n">
        <v>1708488.77</v>
      </c>
      <c r="I47" s="246" t="n">
        <v>0.72138</v>
      </c>
      <c r="J47" s="529">
        <f>IF(B47="","",G47*I47)</f>
        <v/>
      </c>
      <c r="K47" s="529">
        <f>IF(B47="","",H47*I47)</f>
        <v/>
      </c>
      <c r="L47" s="529">
        <f>IF(B47="","",IF(COUNTIF($CE47:$CX47,1)&gt;0,0,J47))</f>
        <v/>
      </c>
      <c r="M47" s="529">
        <f>IF(B47="","",IF(COUNTIF($CE47:$CX47,1)&gt;0,0,K47))</f>
        <v/>
      </c>
      <c r="N47" s="248" t="inlineStr">
        <is>
          <t>No</t>
        </is>
      </c>
      <c r="O47" s="248" t="inlineStr">
        <is>
          <t>N/A</t>
        </is>
      </c>
      <c r="P47" s="249">
        <f>IF(B47="","",IF(OR(O47="N/A",O47=""),0,YEARFRAC('Borrowing Base'!$J$4,'Loan List'!O47)*12))</f>
        <v/>
      </c>
      <c r="Q47" s="248" t="inlineStr">
        <is>
          <t>No</t>
        </is>
      </c>
      <c r="R47" s="250" t="n">
        <v>1</v>
      </c>
      <c r="S47" s="251">
        <f>IF(B47="","",IF(R47&lt;95%,"Yes","No"))</f>
        <v/>
      </c>
      <c r="T47" s="250" t="n">
        <v>1.000000003230657</v>
      </c>
      <c r="U47" s="252">
        <f>IF(B47="","",IF(OR(Y47="First Lien",Y47="Split First Lien",Y47="Tier 1 Split Lien",Y47="Tier 2 Split Lien"),50%,30%))</f>
        <v/>
      </c>
      <c r="V47" s="252">
        <f>IF(B47="",0,IF(AND(Y47="First Lien",AN47="Tier 1"),IF(AND(X47="Yes",MIN(AH47,$AJ$5)&gt;4.5),(((4.5/MIN(AH47,$AJ$5))*72.5%)+(((MIN(AH47,$AJ$5)-4.5)/MIN(AH47,$AJ$5))*35%)),72.5%),IF(AND(Y47="First Lien",AN47="Tier 2"),IF(AND(X47="Yes",MIN(AH47,$AK$5)&gt;4.5),(((4.5/MIN(AH47,$AK$5))*72.5%)+(((MIN(AH47,$AK$5)-4.5)/MIN(AH47,$AK$5))*35%)),72.5%),IF(AND(X47="Yes",MIN(AH47,$AL$5)&gt;4),(((4/MIN(AH47,$AL$5))*72.5%)+(((MIN(AH47,$AL$5)-4)/MIN(AH47,$AL$5))*35%)),IF(OR(Y47="First Lien",Y47="Split First Lien"),72.5%,IF(Y47="Split Lien", 53%,35%))))))</f>
        <v/>
      </c>
      <c r="W47" s="530">
        <f>IF($C47="","",MIN($HO47:$HS47))</f>
        <v/>
      </c>
      <c r="X47" s="248" t="inlineStr">
        <is>
          <t>Yes</t>
        </is>
      </c>
      <c r="Y47" s="254" t="inlineStr">
        <is>
          <t>First Lien</t>
        </is>
      </c>
      <c r="Z47" s="254" t="inlineStr">
        <is>
          <t>Revolver</t>
        </is>
      </c>
      <c r="AA47" s="531" t="inlineStr">
        <is>
          <t>NR</t>
        </is>
      </c>
      <c r="AB47" s="531" t="inlineStr">
        <is>
          <t xml:space="preserve"> NR</t>
        </is>
      </c>
      <c r="AC47" s="532" t="n">
        <v>1.5519163814925</v>
      </c>
      <c r="AD47" s="532" t="n">
        <v>3.923790731205234</v>
      </c>
      <c r="AE47" s="532" t="n">
        <v>5.301941730105829</v>
      </c>
      <c r="AF47" s="257" t="n">
        <v>0.250777134171395</v>
      </c>
      <c r="AG47" s="533" t="n">
        <v>3.923790731205234</v>
      </c>
      <c r="AH47" s="533" t="n">
        <v>3.923790731205234</v>
      </c>
      <c r="AI47" s="533" t="n">
        <v>5.301941730105829</v>
      </c>
      <c r="AJ47" s="533" t="n">
        <v>5.301941730105829</v>
      </c>
      <c r="AK47" s="534" t="n">
        <v>35462000</v>
      </c>
      <c r="AL47" s="534" t="n">
        <v>62197779</v>
      </c>
      <c r="AM47" s="276" t="n">
        <v>45808</v>
      </c>
      <c r="AN47" s="529">
        <f>IF(C47="","",(IF(AK47&gt;=50000000,"Tier 1",(IF(OR(AK47&gt;=20000000,AND(AK47&gt;5000000,AC47&gt;=1.25,AF47&lt;=0.65)),"Tier 2","Tier 3")))))</f>
        <v/>
      </c>
      <c r="AO47" s="244" t="n">
        <v>47115</v>
      </c>
      <c r="AP47" s="535" t="n">
        <v>3.411111111111111</v>
      </c>
      <c r="AQ47" s="535">
        <f>IF(C47="","",AP47)</f>
        <v/>
      </c>
      <c r="AR47" s="248" t="inlineStr">
        <is>
          <t>No</t>
        </is>
      </c>
      <c r="AS47" s="250" t="n">
        <v>0</v>
      </c>
      <c r="AT47" s="248" t="inlineStr">
        <is>
          <t>No</t>
        </is>
      </c>
      <c r="AU47" s="250" t="inlineStr"/>
      <c r="AV47" s="250" t="n">
        <v>0.06</v>
      </c>
      <c r="AW47" s="250" t="n">
        <v>0.04295600000000001</v>
      </c>
      <c r="AX47" s="262">
        <f>IF(C47="","",MAX(AU47,AW47))</f>
        <v/>
      </c>
      <c r="AY47" s="250" t="n">
        <v>0</v>
      </c>
      <c r="AZ47" s="250" t="n">
        <v>0</v>
      </c>
      <c r="BA47" s="250" t="n">
        <v>0</v>
      </c>
      <c r="BB47" s="412">
        <f>IF(B47="","",IF(AR47="No",AV47-AZ47,""))</f>
        <v/>
      </c>
      <c r="BC47" s="412">
        <f>IF(B47="","",IF(AR47="Yes",AS47-BA47,""))</f>
        <v/>
      </c>
      <c r="BD47" s="254" t="inlineStr">
        <is>
          <t>Quarterly</t>
        </is>
      </c>
      <c r="BE47" s="536" t="inlineStr">
        <is>
          <t>Diversified Consumer Services</t>
        </is>
      </c>
      <c r="BF47" s="254" t="inlineStr">
        <is>
          <t>CAD</t>
        </is>
      </c>
      <c r="BG47" s="254" t="inlineStr">
        <is>
          <t>United States</t>
        </is>
      </c>
      <c r="BH47" s="248" t="inlineStr">
        <is>
          <t>No</t>
        </is>
      </c>
      <c r="BI47" s="413">
        <f>IF(B47="","",IF(OR(AND(AZ47&gt;0,BB47&gt;=2.5%,BB47&lt;4%),AND(BA47&gt;0,BC47&gt;=6%,BC47&lt;8%)),"Yes","No"))</f>
        <v/>
      </c>
      <c r="BJ47" s="413">
        <f>IF(B47="","",IF(OR(AND(AZ47&gt;0,BB47&lt;2.5%),AND(BA47&gt;0,BC47&lt;6%)),"Yes","No"))</f>
        <v/>
      </c>
      <c r="BK47" s="248" t="inlineStr">
        <is>
          <t>No</t>
        </is>
      </c>
      <c r="BL47" s="248" t="inlineStr">
        <is>
          <t>No</t>
        </is>
      </c>
      <c r="BM47" s="248" t="inlineStr">
        <is>
          <t>No</t>
        </is>
      </c>
      <c r="BN47" s="248" t="inlineStr">
        <is>
          <t>No</t>
        </is>
      </c>
      <c r="BO47" s="248" t="inlineStr">
        <is>
          <t>No</t>
        </is>
      </c>
      <c r="BP47" s="248" t="inlineStr">
        <is>
          <t>No</t>
        </is>
      </c>
      <c r="BQ47" s="248" t="inlineStr">
        <is>
          <t>No</t>
        </is>
      </c>
      <c r="BR47" s="248" t="inlineStr">
        <is>
          <t>No</t>
        </is>
      </c>
      <c r="BS47" s="248" t="inlineStr">
        <is>
          <t>No</t>
        </is>
      </c>
      <c r="BT47" s="248" t="inlineStr">
        <is>
          <t>No</t>
        </is>
      </c>
      <c r="BU47" s="248" t="inlineStr">
        <is>
          <t>No</t>
        </is>
      </c>
      <c r="BV47" s="248" t="inlineStr">
        <is>
          <t>No</t>
        </is>
      </c>
      <c r="BW47" s="248" t="inlineStr">
        <is>
          <t>No</t>
        </is>
      </c>
      <c r="BX47" s="248" t="inlineStr">
        <is>
          <t>No</t>
        </is>
      </c>
      <c r="BY47" s="248" t="inlineStr">
        <is>
          <t>No</t>
        </is>
      </c>
      <c r="BZ47" s="248" t="inlineStr">
        <is>
          <t>No</t>
        </is>
      </c>
      <c r="CA47" s="248" t="inlineStr">
        <is>
          <t>Yes</t>
        </is>
      </c>
      <c r="CB47" s="537">
        <f>IF(B47="","",IF(AT47="No",((BB47+AW47)-$AZ$4),((BB47+AX47)-$AZ$4))*IF(DD47&gt;0,0,M47))</f>
        <v/>
      </c>
      <c r="CC47" s="537">
        <f>IF(B47="","",AY47*(L47-M47)*IF(DD47&gt;0,0,1))</f>
        <v/>
      </c>
      <c r="CD47" s="265" t="n"/>
      <c r="CE47" s="265">
        <f>IF(AND(B47&lt;&gt;"",R47&lt;=85%),1,0)</f>
        <v/>
      </c>
      <c r="CF47" s="265">
        <f>IF(B47="",0,(IF(OR(BF47="USD",BF47="CAD",BF47="GBP",BF47="AUD",BF47="EUR"),0,1)))</f>
        <v/>
      </c>
      <c r="CG47" s="265">
        <f>IF(B47="",0,(IF(OR(BG47="United States",BG47="Canada",BG47="United Kingdom",BG47="Australia",BG47="Netherlands Antilles",BG47="Bermuda",BG47="Cayman Islands",BG47="British Virgin Islands",BG47="Channel Islands",BG47="Isle of Man",BG47="Australia",BG47="Netherlands",BG47="Germany",BG47="Sweden",BG47="Switzerland",BG47="Austria",BG47="Belgium",BG47="Denmark",BG47="Finland",BG47="Iceland",BG47="Ireland",BG47="Lichtenstein",BG47="Luxemborg",BG47="Norway"),0,1)))</f>
        <v/>
      </c>
      <c r="CH47" s="265">
        <f>IF(BN47="Yes",1,0)</f>
        <v/>
      </c>
      <c r="CI47" s="265">
        <f>IF(BO47="Yes",1,0)</f>
        <v/>
      </c>
      <c r="CJ47" s="265">
        <f>IF(BP47="Yes",1,0)</f>
        <v/>
      </c>
      <c r="CK47" s="265">
        <f>IF(BQ47="Yes",1,0)</f>
        <v/>
      </c>
      <c r="CL47" s="265">
        <f>IF(BR47="Yes",1,0)</f>
        <v/>
      </c>
      <c r="CM47" s="265">
        <f>IF(BS47="Yes",1,0)</f>
        <v/>
      </c>
      <c r="CN47" s="265">
        <f>IF(OR(AND(BJ47="Yes",N47="No"),AND(BJ47="Yes",N47="Yes",P47&gt;=6)),1,0)</f>
        <v/>
      </c>
      <c r="CO47" s="265">
        <f>IF(BT47="Yes",1,0)</f>
        <v/>
      </c>
      <c r="CP47" s="265">
        <f>IF(AND(BU47="Yes",BV47="No"),1,0)</f>
        <v/>
      </c>
      <c r="CQ47" s="265">
        <f>IF(BW47="Yes",1,0)</f>
        <v/>
      </c>
      <c r="CR47" s="265">
        <f>IF(AP47="",0,IF(AP47&gt;7,1,0))</f>
        <v/>
      </c>
      <c r="CS47" s="265">
        <f>IF(OR(BD47&lt;&gt;"Monthly",BD47&lt;&gt;"Quarterly",BD47&lt;&gt;"Semi-Annually"),0,1)</f>
        <v/>
      </c>
      <c r="CT47" s="265">
        <f>IF(BX47="Yes",1,0)</f>
        <v/>
      </c>
      <c r="CU47" s="265">
        <f>IF(BY47="Yes",1,0)</f>
        <v/>
      </c>
      <c r="CV47" s="265">
        <f>IF(BZ47="Yes",1,0)</f>
        <v/>
      </c>
      <c r="CW47" s="265">
        <f>IF(CA47="No",1,0)</f>
        <v/>
      </c>
      <c r="CX47" s="265">
        <f>IF(B47="",0,IF(AK47&gt;=5000000,0,1))</f>
        <v/>
      </c>
      <c r="CY47" s="265">
        <f>IF(B47="",0,IF(AL47&gt;=5000000,0,1))</f>
        <v/>
      </c>
      <c r="CZ47" s="265">
        <f>IF(OR(DA47=1,DB47=1,DC47=1),0,IF(B47="",0,IF(OR(AND(AN47="Tier 1",X47="No",OR(AI47&gt;$AJ$3,AJ47&gt;$AJ$4)),(AND(AN47="Tier 1",X47="Yes",AJ47&gt;$AJ$5)),(AND(AN47="Tier 2",X47="No",OR(AI47&gt;$AK$3,AJ47&gt;$AK$4))),(AND(AN47="Tier 2",X47="Yes",AJ47&gt;$AK$5)),(AND(AN47="Tier 3",X47="No",OR(AI47&gt;$AL$3,AJ47&gt;$AL$4))),(AND(AN47="Tier 3",X47="Yes",AJ47&gt;$AL$5))),1,0)))</f>
        <v/>
      </c>
      <c r="DA47" s="265">
        <f>IF(OR(DB47=1,DC47=1),0,IF(B47="",0,IF(OR(AND(AN47="Tier 1",X47="No",OR(AI47&gt;$AM$3,AJ47&gt;$AM$4)),(AND(AN47="Tier 1",X47="Yes",AJ47&gt;$AM$5)),(AND(AN47="Tier 2",X47="No",OR(AI47&gt;$AN$3,AJ47&gt;$AN$4))),(AND(AN47="Tier 2",X47="Yes",AJ47&gt;$AN$5)),(AND(AN47="Tier 3",X47="No",OR(AI47&gt;$AO$3,AJ47&gt;$AO$4))),(AND(AN47="Tier 3",X47="Yes",AJ47&gt;$AO$5))),1,0)))</f>
        <v/>
      </c>
      <c r="DB47" s="265">
        <f>IF(DC47=1,0,IF(B47="",0,IF(OR(AND(AN47="Tier 1",X47="No",OR(AI47&gt;$AP$3,AJ47&gt;$AP$4)),(AND(AN47="Tier 1",X47="Yes",AJ47&gt;$AP$5)),(AND(AN47="Tier 2",X47="No",OR(AI47&gt;$AQ$3,AJ47&gt;$AQ$4))),(AND(AN47="Tier 2",X47="Yes",AJ47&gt;$AQ$5)),(AND(AN47="Tier 3",X47="No",OR(AI47&gt;$AR$3,AJ47&gt;$AR$4))),(AND(AN47="Tier 3",X47="Yes",AJ47&gt;$AR$5))),1,0)))</f>
        <v/>
      </c>
      <c r="DC47" s="265">
        <f>IF(B47="",0,IF(OR(AND(AN47="Tier 1",X47="No",OR(AI47&gt;$AS$3,AJ47&gt;$AS$4)),(AND(AN47="Tier 1",X47="Yes",AJ47&gt;$AS$5)),(AND(AN47="Tier 2",X47="No",OR(AI47&gt;$AT$3,AJ47&gt;$AT$4))),(AND(AN47="Tier 2",X47="Yes",AJ47&gt;$AT$5)),(AND(AN47="Tier 3",X47="No",OR(AI47&gt;$AU$3,AJ47&gt;$AU$4))),(AND(AN47="Tier 3",X47="Yes",AJ47&gt;$AU$5))),1,0))</f>
        <v/>
      </c>
      <c r="DD47" s="265">
        <f>IF((SUM(CE47:CX47)=0),0,W47)</f>
        <v/>
      </c>
      <c r="DE47" s="265">
        <f>IF(OR(B47="",DD47&gt;0),0,W47)</f>
        <v/>
      </c>
      <c r="DF47" s="265">
        <f>IF(B47="",0,IF(COUNTIF(CE47:CX47,1)&gt;0,0,L47-M47))</f>
        <v/>
      </c>
      <c r="DG47" s="265">
        <f>DE47+IF(DD47&gt;0,0,DF47)</f>
        <v/>
      </c>
      <c r="DH47" s="265">
        <f>IF(B47="","",M47+DF47)</f>
        <v/>
      </c>
      <c r="DI47" s="265">
        <f>IF(B47="",0,J47-K47)</f>
        <v/>
      </c>
      <c r="DJ47" s="265">
        <f>IF(OR(BF47="EUR",BF47="CAD",BF47="GBP",BF47="AUD"),(GA47*(1-V47))+(HG47)+IF(HX47="",0,HX47*(1-U47)),0)</f>
        <v/>
      </c>
      <c r="DK47" s="265">
        <f>IF(BF47="EUR",33%,IF(BF47="CAD",38%,IF(BF47="GBP",51%,IF(BF47="AUD",61%,0))))</f>
        <v/>
      </c>
      <c r="DL47" s="265">
        <f>DJ47*DK47</f>
        <v/>
      </c>
      <c r="DN47" s="538">
        <f>IF(OR(Y47="Second Lien",Y47="Tier 1 Split Lien",Y47="Tier 2 Split Lien"),DG47,0)</f>
        <v/>
      </c>
      <c r="DO47" s="539">
        <f>DN47*DN$6</f>
        <v/>
      </c>
      <c r="DP47" s="538">
        <f>DG47-DO47</f>
        <v/>
      </c>
      <c r="DQ47" s="538">
        <f>IF(Y47="Second Lien",DP47,0)</f>
        <v/>
      </c>
      <c r="DR47" s="539">
        <f>DQ47*DQ$6</f>
        <v/>
      </c>
      <c r="DS47" s="538">
        <f>DP47-DR47</f>
        <v/>
      </c>
      <c r="DT47" s="538">
        <f>IF(BH47="Yes",DS47,0)</f>
        <v/>
      </c>
      <c r="DU47" s="539">
        <f>DT47*DT$6</f>
        <v/>
      </c>
      <c r="DV47" s="538">
        <f>DS47-DU47</f>
        <v/>
      </c>
      <c r="DW47" s="538">
        <f>IF(OR(BG47="Canada",BG47="United Kingdom",BG47="Australia",BG47="Netherlands Antilles",BG47="Bermuda",BG47="Cayman Islands",BG47="British Virgin Islands",BG47="Channel Islands",BG47="Isle of Man",BG47="Australia",BG47="Netherlands",BG47="Germany",BG47="Sweden",BG47="Switzerland",BG47="Austria",BG47="Belgium",BG47="Denmark",BG47="Finland",BG47="Iceland",BG47="Ireland",BG47="Lichtenstein",BG47="Luxemborg",BG47="Norway"),DV47,0)</f>
        <v/>
      </c>
      <c r="DX47" s="539">
        <f>DW47*DW$6</f>
        <v/>
      </c>
      <c r="DY47" s="538">
        <f>DV47-DX47</f>
        <v/>
      </c>
      <c r="DZ47" s="538">
        <f>IF(BI47="Yes",DY47,0)</f>
        <v/>
      </c>
      <c r="EA47" s="539">
        <f>DZ47*DZ$6</f>
        <v/>
      </c>
      <c r="EB47" s="538">
        <f>DY47-EA47</f>
        <v/>
      </c>
      <c r="EC47" s="538">
        <f>IF(OR(Z47="Delayed Draw",Z47="Revolver"),EB47,0)</f>
        <v/>
      </c>
      <c r="ED47" s="539">
        <f>EC47*EC$6</f>
        <v/>
      </c>
      <c r="EE47" s="538">
        <f>EB47-ED47</f>
        <v/>
      </c>
      <c r="EF47" s="538">
        <f>IF(S47="Yes",EE47,0)</f>
        <v/>
      </c>
      <c r="EG47" s="539">
        <f>EF47*EF$6</f>
        <v/>
      </c>
      <c r="EH47" s="538">
        <f>EE47-EG47</f>
        <v/>
      </c>
      <c r="EI47" s="538">
        <f>IF(Q47="Yes",EH47,0)</f>
        <v/>
      </c>
      <c r="EJ47" s="539">
        <f>EI47*EI$6</f>
        <v/>
      </c>
      <c r="EK47" s="538">
        <f>EH47-EJ47</f>
        <v/>
      </c>
      <c r="EL47" s="538">
        <f>IF(BD47="Semi-Annually",EK47,0)</f>
        <v/>
      </c>
      <c r="EM47" s="539">
        <f>EL47*EL$6</f>
        <v/>
      </c>
      <c r="EN47" s="538">
        <f>EK47-EM47</f>
        <v/>
      </c>
      <c r="EO47" s="538">
        <f>IF(BK47="Yes",EN47,0)</f>
        <v/>
      </c>
      <c r="EP47" s="539">
        <f>EO47*EO$6</f>
        <v/>
      </c>
      <c r="EQ47" s="538">
        <f>EN47-EP47</f>
        <v/>
      </c>
      <c r="ER47" s="538">
        <f>IF(BL47="Yes",EQ47,0)</f>
        <v/>
      </c>
      <c r="ES47" s="539">
        <f>ER47*ER$6</f>
        <v/>
      </c>
      <c r="ET47" s="538">
        <f>EQ47-ES47</f>
        <v/>
      </c>
      <c r="EU47" s="538">
        <f>IF(BM47="Yes",ET47,0)</f>
        <v/>
      </c>
      <c r="EV47" s="539">
        <f>EU47*EU$6</f>
        <v/>
      </c>
      <c r="EW47" s="538">
        <f>ET47-EV47</f>
        <v/>
      </c>
      <c r="EX47" s="538">
        <f>IF(BV47="Yes",EW47,0)</f>
        <v/>
      </c>
      <c r="EY47" s="539">
        <f>EX47*EX$6</f>
        <v/>
      </c>
      <c r="EZ47" s="538">
        <f>EW47-EY47</f>
        <v/>
      </c>
      <c r="FA47" s="538">
        <f>IF(AR47="Yes",EZ47,0)</f>
        <v/>
      </c>
      <c r="FB47" s="539">
        <f>FA47*FA$6</f>
        <v/>
      </c>
      <c r="FC47" s="538">
        <f>EZ47-FB47</f>
        <v/>
      </c>
      <c r="FD47" s="538">
        <f>IF(OR(BF47="EUR",BF47="AUD",BF47="CAD",BF47="GBP"),FC47,0)</f>
        <v/>
      </c>
      <c r="FE47" s="539">
        <f>FD47*FD$6</f>
        <v/>
      </c>
      <c r="FF47" s="538">
        <f>FC47-FE47</f>
        <v/>
      </c>
      <c r="FG47" s="538">
        <f>FF47</f>
        <v/>
      </c>
      <c r="FH47" s="538">
        <f>IF(FF47=0,0,VLOOKUP(C47,$GU$10:$GV$406,2,FALSE)*FF47)</f>
        <v/>
      </c>
      <c r="FI47" s="538">
        <f>FF47-FH47</f>
        <v/>
      </c>
      <c r="FJ47" s="538">
        <f>FI47</f>
        <v/>
      </c>
      <c r="FK47" s="538">
        <f>IF(OR(IB47="",FI47&lt;0.01),,VLOOKUP(IB47,$GL$10:$GM$406,2,FALSE)*FI47)</f>
        <v/>
      </c>
      <c r="FL47" s="538">
        <f>FI47-FK47</f>
        <v/>
      </c>
      <c r="FM47" s="538">
        <f>FL47</f>
        <v/>
      </c>
      <c r="FN47" s="538">
        <f>IF(FL47=0,0,VLOOKUP(C47,$HD$10:$HE$406,2,FALSE)*FL47)</f>
        <v/>
      </c>
      <c r="FO47" s="538">
        <f>FL47-FN47</f>
        <v/>
      </c>
      <c r="FP47" s="538">
        <f>IF(SUM(CY47:DC47)&gt;0,0,IF(AND(AL47&gt;=5000000,AL47&lt;7500000),FO47,0))</f>
        <v/>
      </c>
      <c r="FQ47" s="539">
        <f>IF(B47="",0,FP47*FP$6*(1-$U47))</f>
        <v/>
      </c>
      <c r="FR47" s="538">
        <f>FO47-FQ47</f>
        <v/>
      </c>
      <c r="FS47" s="538">
        <f>IF(SUM(CY47:DC47)&gt;0,0,IF(AL47&lt;15000000,FR47,0))</f>
        <v/>
      </c>
      <c r="FT47" s="539">
        <f>IF(B47="",0,FS47*FS$6*(1-$U47))</f>
        <v/>
      </c>
      <c r="FU47" s="538">
        <f>FR47-FT47</f>
        <v/>
      </c>
      <c r="FV47" s="538">
        <f>IF(SUM(CY47:DC47)&gt;0,0,IF(OR(AND(X47="No",AN47="Tier 1",AI47&gt;$AG$3),AND(X47="No",AN47="Tier 2",AI47&gt;$AH$3),AND(X47="No",AN47="Tier 3",AI47&gt;$AI$3)),FU47,0))</f>
        <v/>
      </c>
      <c r="FW47" s="538">
        <f>IF(SUM(CY47:DC47)&gt;0,0,IF(OR(AND(X47="No",AN47="Tier 1",AJ47&gt;$AG$4),AND(X47="No",AN47="Tier 2",AJ47&gt;$AH$4),AND(X47="No",AN47="Tier 3",AJ47&gt;$AI$4)),FU47,0))</f>
        <v/>
      </c>
      <c r="FX47" s="538">
        <f>IF(SUM(CY47:DC47)&gt;0,0,IF(OR(AND(X47="Yes",AN47="Tier 1",AJ47&gt;$AG$5),AND(X47="Yes",AN47="Tier 2",AJ47&gt;$AH$5),AND(X47="Yes",AN47="Tier 3",AJ47&gt;$AI$5)),FU47,0))</f>
        <v/>
      </c>
      <c r="FY47" s="538">
        <f>IF(SUM(FV47:FX47)&gt;0,FU47,0)</f>
        <v/>
      </c>
      <c r="FZ47" s="539">
        <f>IF(B47="",0,FY47*FV$6*(1-MIN(90%,T47)))</f>
        <v/>
      </c>
      <c r="GA47" s="538">
        <f>FU47-FZ47</f>
        <v/>
      </c>
      <c r="GB47" s="538">
        <f>IF(AND(N47="No",DI47=0),GA47,IF(AND(N47="No",DI47&lt;&gt;0,K47=0),0,IF(AND(N47="No",DI47&lt;&gt;0,K47&gt;0,J47&lt;&gt;K47),MAX(0,M47-(DH47-GA47)),DG47)))</f>
        <v/>
      </c>
      <c r="GC47" s="540">
        <f>+GB47*V47</f>
        <v/>
      </c>
      <c r="GD47" s="138">
        <f>IFERROR(GC47/K47,"")</f>
        <v/>
      </c>
      <c r="GE47" s="541">
        <f>IF(IB47="","",IB47)</f>
        <v/>
      </c>
      <c r="GF47" s="538">
        <f t="array" ref="GF47">IF(SUM(IF(IB$9:IB46=IB47,1,0))&gt;0,0,SUMIF($IB$10:$IB$406,IB47,$FI$10:$FI$406))</f>
        <v/>
      </c>
      <c r="GG47" s="270">
        <f>GF47</f>
        <v/>
      </c>
      <c r="GH47" s="137">
        <f>GH46+1</f>
        <v/>
      </c>
      <c r="GI47" s="542">
        <f>LARGE($GG$10:$GG$406,GH47)</f>
        <v/>
      </c>
      <c r="GJ47" s="542">
        <f>IF(GH47&gt;GH$6,0,IF(GH47=$GH$2,$GJ$2,IF(GH47&lt;4,$GJ$3,$GJ$4)))</f>
        <v/>
      </c>
      <c r="GK47" s="489">
        <f>MAX(0,GI47-GJ47)</f>
        <v/>
      </c>
      <c r="GL47" s="137">
        <f t="array" ref="GL47">IF(GI47=0,0,LARGE(IF($GF$10:$GF$406=GI47,$GE$10:$GE$406,0),COUNTIF($GI$10:$GI$406,GI47)-COUNTIF(GI$9:GI46,GI47)))</f>
        <v/>
      </c>
      <c r="GM47" s="272">
        <f>IF(GI47=0,0,GK47/GI47)</f>
        <v/>
      </c>
      <c r="GO47" s="137">
        <f>IF(C47="","",IF(ISERROR(MATCH(C47,C$10:C46,0)),MAX(GO$10:GO46)+1,INDEX(GO$10:GO46,MATCH(C47,C$10:C46,0))))</f>
        <v/>
      </c>
      <c r="GP47" s="538">
        <f>IF(COUNTIF($A$10:A47,A47)&lt;=1,SUMIF($A$10:$A$406,A47,$FG$10:$FG$406),0)</f>
        <v/>
      </c>
      <c r="GQ47" s="137">
        <f>GQ46+1</f>
        <v/>
      </c>
      <c r="GR47" s="542">
        <f>LARGE($GP$10:$GP$406,GQ47)</f>
        <v/>
      </c>
      <c r="GS47" s="542">
        <f>IF(GQ47&gt;GQ$6,0,IF(GQ47&lt;=GQ$2,GS$2,IF(AND(GQ47&lt;=$GQ$3,GQ47&gt;$GQ$2),GS$3,GS$4)))</f>
        <v/>
      </c>
      <c r="GT47" s="489">
        <f>MAX(0,GR47-GS47)</f>
        <v/>
      </c>
      <c r="GU47" s="137">
        <f t="array" ref="GU47">IF(GR47=0,0,LARGE(IF($GP$10:$GP$406=GR47,$GO$10:$GO$406,0),COUNTIF($GR$10:$GR$406,GR47)-COUNTIF(GR$9:GR46,GR47)))</f>
        <v/>
      </c>
      <c r="GV47" s="272">
        <f>IF(GR47=0,0,GT47/GR47)</f>
        <v/>
      </c>
      <c r="GW47" s="272" t="n"/>
      <c r="GX47" s="137">
        <f>IF(C47="","",IF(ISERROR(MATCH(C47,C$10:C46,0)),MAX(GO$10:GO46)+1,INDEX(GO$10:GO46,MATCH(C47,C$10:C46,0))))</f>
        <v/>
      </c>
      <c r="GY47" s="538">
        <f>IF(COUNTIF($A$10:A47,A47)&lt;=1,SUMIF($A$10:$A$406,A47,$FG$10:$FG$406),0)</f>
        <v/>
      </c>
      <c r="GZ47" s="137">
        <f>GZ46+1</f>
        <v/>
      </c>
      <c r="HA47" s="542">
        <f>LARGE($GY$10:$GY$406,GZ47)</f>
        <v/>
      </c>
      <c r="HB47" s="543" t="inlineStr">
        <is>
          <t>-</t>
        </is>
      </c>
      <c r="HC47" s="489">
        <f>IF(GZ47&lt;6,MAX(0,$HC$2/5),0)</f>
        <v/>
      </c>
      <c r="HD47" s="137">
        <f t="array" ref="HD47">IF(HA47=0,0,LARGE(IF($GY$10:$GY$406=HA47,$GX$10:$GX$406,0),COUNTIF($HA$10:$HA$406,HA47)-COUNTIF(HA$9:HA46,HA47)))</f>
        <v/>
      </c>
      <c r="HE47" s="272">
        <f>IF(HA47=0,0,HC47/HA47)</f>
        <v/>
      </c>
      <c r="HG47" s="270">
        <f>DG47-GA47</f>
        <v/>
      </c>
      <c r="HH47" s="544" t="n">
        <v>0</v>
      </c>
      <c r="HI47" s="538">
        <f>MIN(HH47,DE47)</f>
        <v/>
      </c>
      <c r="HK47" s="137">
        <f>IF(COUNTIF($C$10:$C$406,HK46+1),HK46+1,"")</f>
        <v/>
      </c>
      <c r="HL47" s="538">
        <f>SUMIF($C$10:$C$406,HK47,$DG$10:$DG$406)</f>
        <v/>
      </c>
      <c r="HN47" s="521">
        <f>MIN(HO47:HS47)</f>
        <v/>
      </c>
      <c r="HO47" s="521">
        <f>IF(B47="","",$M47)</f>
        <v/>
      </c>
      <c r="HP47" s="521">
        <f>IF($N47="Yes",IF(P47&gt;=6,0,MIN($T47*$M47,$U47*$M47)),"")</f>
        <v/>
      </c>
      <c r="HQ47" s="521">
        <f>IF(AND(N47="Yes",P47&gt;=6),"",IF($S47="Yes",$R47*$M47,""))</f>
        <v/>
      </c>
      <c r="HR47" s="521">
        <f>IF($Q47="Yes",MIN($M47,$T47*$M47),"")</f>
        <v/>
      </c>
      <c r="HS47" s="521">
        <f>IF(AND($N47="Yes",$P47&gt;=6),"",IF(OR(CY47=1,DC47=1,),MIN($T47*$M47,$U47*$M47),IF(OR(CZ47=1,DA47=1,DB47=1),IF(AK47&gt;=5000000,MIN($T47*$M47,$IE47*$M47),MIN($T47*$M47,$U47*$M47)),"")))</f>
        <v/>
      </c>
      <c r="HT47" s="521">
        <f>IF(DD47&gt;0,DD47,"")</f>
        <v/>
      </c>
      <c r="HU47" s="522">
        <f>IF(B47="",0,$L47-$M47)</f>
        <v/>
      </c>
      <c r="HV47" s="274">
        <f>IF(OR(SUM(HP47:HT47)&gt;0,P47&gt;=6),"",IF($B47="","",1))</f>
        <v/>
      </c>
      <c r="HW47" s="522">
        <f>IF(AND($HT47&lt;&gt;0,OR(HT47&lt;=MIN(HP47:HS47),SUM(HP47:HS47)=0)),$HT47,0)</f>
        <v/>
      </c>
      <c r="HX47" s="522">
        <f>IF(AND($HS47&lt;&gt;0,OR(AND($HS47&lt;&gt;$HT47,$HS47&lt;&gt;$HR47,$HS47&lt;&gt;$HQ47,$HS47&lt;&gt;$HP47,$HS47&lt;MIN($HP47:$HR47),$HS47&lt;HT47),SUM($HP47:$HR47)+SUM(HT47)=0),IA47&lt;=0),$HS47,0)</f>
        <v/>
      </c>
      <c r="HY47" s="522">
        <f>IF(AND($HR47&lt;&gt;0,OR(AND($HR47&lt;&gt;$HT47,$HR47&lt;&gt;$HS47,$HR47&lt;&gt;$HQ47,$HR47&lt;&gt;$HP47),$HR47&lt;MIN($HP47:$HQ47),$HR47&lt;MIN($HS47:$HT47),SUM($HP47:$HQ47)+SUM($HS47:$HT47)=0)),$HR47,0)</f>
        <v/>
      </c>
      <c r="HZ47" s="522">
        <f>IF(AND($HQ47&lt;&gt;0,OR(AND($HQ47&lt;&gt;$HT47,HQ47&lt;&gt;HS47,HQ47&lt;&gt;HR47,HQ47&lt;&gt;HP47,HQ47&lt;MIN(HR47:HT47)),SUM(HP47)+SUM(HR47:HT47)=0)),$HQ47,0)</f>
        <v/>
      </c>
      <c r="IA47" s="522">
        <f>IF(AND($HP47&lt;&gt;0,OR(HP47&lt;=MIN(HQ47:HT47),SUM(HQ47:HT47)=0)),$HP47,0)</f>
        <v/>
      </c>
      <c r="IB47" s="545" t="n">
        <v>19</v>
      </c>
      <c r="IC47">
        <f>HU47=DF47</f>
        <v/>
      </c>
      <c r="IE47" s="351">
        <f>IF(B47="","",IF(AND(Y47="Second Lien",OR(CZ47=1,DA47=1,DB47=1)),50%,IF(CZ47=1,90%,IF(DA47=1,80%,IF(DB47=1,65%,"No Initial Haircut")))))</f>
        <v/>
      </c>
    </row>
    <row r="48">
      <c r="A48" t="inlineStr">
        <is>
          <t>Infinity Home Services Holdco, Inc.</t>
        </is>
      </c>
      <c r="B48" s="242">
        <f>IF(D48="","",B47+1)</f>
        <v/>
      </c>
      <c r="C48" s="242">
        <f>IF(COUNTIF($A$10:A47,A48)&gt;0,C47,C47+1)</f>
        <v/>
      </c>
      <c r="D48" s="243" t="inlineStr">
        <is>
          <t>Quarrystone Holdings, LLC</t>
        </is>
      </c>
      <c r="E48" s="243" t="inlineStr">
        <is>
          <t>Quarrystone (DDTL)</t>
        </is>
      </c>
      <c r="F48" s="244" t="n"/>
      <c r="G48" s="528" t="n">
        <v>5445800.49</v>
      </c>
      <c r="H48" s="528" t="n">
        <v>0</v>
      </c>
      <c r="I48" s="246" t="n">
        <v>1</v>
      </c>
      <c r="J48" s="529">
        <f>IF(B48="","",G48*I48)</f>
        <v/>
      </c>
      <c r="K48" s="529">
        <f>IF(B48="","",H48*I48)</f>
        <v/>
      </c>
      <c r="L48" s="529">
        <f>IF(B48="","",IF(COUNTIF($CE48:$CX48,1)&gt;0,0,J48))</f>
        <v/>
      </c>
      <c r="M48" s="529">
        <f>IF(B48="","",IF(COUNTIF($CE48:$CX48,1)&gt;0,0,K48))</f>
        <v/>
      </c>
      <c r="N48" s="248" t="inlineStr">
        <is>
          <t>No</t>
        </is>
      </c>
      <c r="O48" s="248" t="inlineStr">
        <is>
          <t>N/A</t>
        </is>
      </c>
      <c r="P48" s="249">
        <f>IF(B48="","",IF(OR(O48="N/A",O48=""),0,YEARFRAC('Borrowing Base'!$J$4,'Loan List'!O48)*12))</f>
        <v/>
      </c>
      <c r="Q48" s="248" t="inlineStr">
        <is>
          <t>No</t>
        </is>
      </c>
      <c r="R48" s="250" t="n">
        <v>1</v>
      </c>
      <c r="S48" s="251">
        <f>IF(B48="","",IF(R48&lt;95%,"Yes","No"))</f>
        <v/>
      </c>
      <c r="T48" s="250" t="n">
        <v>1</v>
      </c>
      <c r="U48" s="252">
        <f>IF(B48="","",IF(OR(Y48="First Lien",Y48="Split First Lien",Y48="Tier 1 Split Lien",Y48="Tier 2 Split Lien"),50%,30%))</f>
        <v/>
      </c>
      <c r="V48" s="252">
        <f>IF(B48="",0,IF(AND(Y48="First Lien",AN48="Tier 1"),IF(AND(X48="Yes",MIN(AH48,$AJ$5)&gt;4.5),(((4.5/MIN(AH48,$AJ$5))*72.5%)+(((MIN(AH48,$AJ$5)-4.5)/MIN(AH48,$AJ$5))*35%)),72.5%),IF(AND(Y48="First Lien",AN48="Tier 2"),IF(AND(X48="Yes",MIN(AH48,$AK$5)&gt;4.5),(((4.5/MIN(AH48,$AK$5))*72.5%)+(((MIN(AH48,$AK$5)-4.5)/MIN(AH48,$AK$5))*35%)),72.5%),IF(AND(X48="Yes",MIN(AH48,$AL$5)&gt;4),(((4/MIN(AH48,$AL$5))*72.5%)+(((MIN(AH48,$AL$5)-4)/MIN(AH48,$AL$5))*35%)),IF(OR(Y48="First Lien",Y48="Split First Lien"),72.5%,IF(Y48="Split Lien", 53%,35%))))))</f>
        <v/>
      </c>
      <c r="W48" s="530">
        <f>IF($C48="","",MIN($HO48:$HS48))</f>
        <v/>
      </c>
      <c r="X48" s="248" t="inlineStr">
        <is>
          <t>Yes</t>
        </is>
      </c>
      <c r="Y48" s="254" t="inlineStr">
        <is>
          <t>First Lien</t>
        </is>
      </c>
      <c r="Z48" s="254" t="inlineStr">
        <is>
          <t>Delayed Draw</t>
        </is>
      </c>
      <c r="AA48" s="531" t="inlineStr">
        <is>
          <t>NR</t>
        </is>
      </c>
      <c r="AB48" s="531" t="inlineStr">
        <is>
          <t xml:space="preserve"> NR</t>
        </is>
      </c>
      <c r="AC48" s="532" t="n">
        <v>1.5519163814925</v>
      </c>
      <c r="AD48" s="532" t="n">
        <v>3.923790731205234</v>
      </c>
      <c r="AE48" s="532" t="n">
        <v>5.301941730105829</v>
      </c>
      <c r="AF48" s="257" t="n">
        <v>0.250777134171395</v>
      </c>
      <c r="AG48" s="533" t="n">
        <v>3.923790731205234</v>
      </c>
      <c r="AH48" s="533" t="n">
        <v>3.923790731205234</v>
      </c>
      <c r="AI48" s="533" t="n">
        <v>5.301941730105829</v>
      </c>
      <c r="AJ48" s="533" t="n">
        <v>5.301941730105829</v>
      </c>
      <c r="AK48" s="534" t="n">
        <v>35462000</v>
      </c>
      <c r="AL48" s="534" t="n">
        <v>62197779</v>
      </c>
      <c r="AM48" s="276" t="n">
        <v>45808</v>
      </c>
      <c r="AN48" s="529">
        <f>IF(C48="","",(IF(AK48&gt;=50000000,"Tier 1",(IF(OR(AK48&gt;=20000000,AND(AK48&gt;5000000,AC48&gt;=1.25,AF48&lt;=0.65)),"Tier 2","Tier 3")))))</f>
        <v/>
      </c>
      <c r="AO48" s="244" t="n">
        <v>47115</v>
      </c>
      <c r="AP48" s="535" t="n">
        <v>3.411111111111111</v>
      </c>
      <c r="AQ48" s="535">
        <f>IF(C48="","",AP48)</f>
        <v/>
      </c>
      <c r="AR48" s="248" t="inlineStr">
        <is>
          <t>No</t>
        </is>
      </c>
      <c r="AS48" s="250" t="n">
        <v>0</v>
      </c>
      <c r="AT48" s="248" t="inlineStr">
        <is>
          <t>No</t>
        </is>
      </c>
      <c r="AU48" s="250" t="inlineStr"/>
      <c r="AV48" s="250" t="n">
        <v>0.06</v>
      </c>
      <c r="AW48" s="250" t="n">
        <v>0.04295600000000001</v>
      </c>
      <c r="AX48" s="262">
        <f>IF(C48="","",MAX(AU48,AW48))</f>
        <v/>
      </c>
      <c r="AY48" s="250" t="n">
        <v>0</v>
      </c>
      <c r="AZ48" s="250" t="n">
        <v>0</v>
      </c>
      <c r="BA48" s="250" t="n">
        <v>0</v>
      </c>
      <c r="BB48" s="412">
        <f>IF(B48="","",IF(AR48="No",AV48-AZ48,""))</f>
        <v/>
      </c>
      <c r="BC48" s="412">
        <f>IF(B48="","",IF(AR48="Yes",AS48-BA48,""))</f>
        <v/>
      </c>
      <c r="BD48" s="254" t="inlineStr">
        <is>
          <t>Quarterly</t>
        </is>
      </c>
      <c r="BE48" s="536" t="inlineStr">
        <is>
          <t>Diversified Consumer Services</t>
        </is>
      </c>
      <c r="BF48" s="254" t="inlineStr">
        <is>
          <t>USD</t>
        </is>
      </c>
      <c r="BG48" s="254" t="inlineStr">
        <is>
          <t>United States</t>
        </is>
      </c>
      <c r="BH48" s="248" t="inlineStr">
        <is>
          <t>No</t>
        </is>
      </c>
      <c r="BI48" s="413">
        <f>IF(B48="","",IF(OR(AND(AZ48&gt;0,BB48&gt;=2.5%,BB48&lt;4%),AND(BA48&gt;0,BC48&gt;=6%,BC48&lt;8%)),"Yes","No"))</f>
        <v/>
      </c>
      <c r="BJ48" s="413">
        <f>IF(B48="","",IF(OR(AND(AZ48&gt;0,BB48&lt;2.5%),AND(BA48&gt;0,BC48&lt;6%)),"Yes","No"))</f>
        <v/>
      </c>
      <c r="BK48" s="248" t="inlineStr">
        <is>
          <t>No</t>
        </is>
      </c>
      <c r="BL48" s="248" t="inlineStr">
        <is>
          <t>No</t>
        </is>
      </c>
      <c r="BM48" s="248" t="inlineStr">
        <is>
          <t>No</t>
        </is>
      </c>
      <c r="BN48" s="248" t="inlineStr">
        <is>
          <t>No</t>
        </is>
      </c>
      <c r="BO48" s="248" t="inlineStr">
        <is>
          <t>No</t>
        </is>
      </c>
      <c r="BP48" s="248" t="inlineStr">
        <is>
          <t>No</t>
        </is>
      </c>
      <c r="BQ48" s="248" t="inlineStr">
        <is>
          <t>No</t>
        </is>
      </c>
      <c r="BR48" s="248" t="inlineStr">
        <is>
          <t>No</t>
        </is>
      </c>
      <c r="BS48" s="248" t="inlineStr">
        <is>
          <t>No</t>
        </is>
      </c>
      <c r="BT48" s="248" t="inlineStr">
        <is>
          <t>No</t>
        </is>
      </c>
      <c r="BU48" s="248" t="inlineStr">
        <is>
          <t>No</t>
        </is>
      </c>
      <c r="BV48" s="248" t="inlineStr">
        <is>
          <t>No</t>
        </is>
      </c>
      <c r="BW48" s="248" t="inlineStr">
        <is>
          <t>No</t>
        </is>
      </c>
      <c r="BX48" s="248" t="inlineStr">
        <is>
          <t>No</t>
        </is>
      </c>
      <c r="BY48" s="248" t="inlineStr">
        <is>
          <t>No</t>
        </is>
      </c>
      <c r="BZ48" s="248" t="inlineStr">
        <is>
          <t>No</t>
        </is>
      </c>
      <c r="CA48" s="248" t="inlineStr">
        <is>
          <t>Yes</t>
        </is>
      </c>
      <c r="CB48" s="537">
        <f>IF(B48="","",IF(AT48="No",((BB48+AW48)-$AZ$4),((BB48+AX48)-$AZ$4))*IF(DD48&gt;0,0,M48))</f>
        <v/>
      </c>
      <c r="CC48" s="537">
        <f>IF(B48="","",AY48*(L48-M48)*IF(DD48&gt;0,0,1))</f>
        <v/>
      </c>
      <c r="CD48" s="265" t="n"/>
      <c r="CE48" s="265">
        <f>IF(AND(B48&lt;&gt;"",R48&lt;=85%),1,0)</f>
        <v/>
      </c>
      <c r="CF48" s="265">
        <f>IF(B48="",0,(IF(OR(BF48="USD",BF48="CAD",BF48="GBP",BF48="AUD",BF48="EUR"),0,1)))</f>
        <v/>
      </c>
      <c r="CG48" s="265">
        <f>IF(B48="",0,(IF(OR(BG48="United States",BG48="Canada",BG48="United Kingdom",BG48="Australia",BG48="Netherlands Antilles",BG48="Bermuda",BG48="Cayman Islands",BG48="British Virgin Islands",BG48="Channel Islands",BG48="Isle of Man",BG48="Australia",BG48="Netherlands",BG48="Germany",BG48="Sweden",BG48="Switzerland",BG48="Austria",BG48="Belgium",BG48="Denmark",BG48="Finland",BG48="Iceland",BG48="Ireland",BG48="Lichtenstein",BG48="Luxemborg",BG48="Norway"),0,1)))</f>
        <v/>
      </c>
      <c r="CH48" s="265">
        <f>IF(BN48="Yes",1,0)</f>
        <v/>
      </c>
      <c r="CI48" s="265">
        <f>IF(BO48="Yes",1,0)</f>
        <v/>
      </c>
      <c r="CJ48" s="265">
        <f>IF(BP48="Yes",1,0)</f>
        <v/>
      </c>
      <c r="CK48" s="265">
        <f>IF(BQ48="Yes",1,0)</f>
        <v/>
      </c>
      <c r="CL48" s="265">
        <f>IF(BR48="Yes",1,0)</f>
        <v/>
      </c>
      <c r="CM48" s="265">
        <f>IF(BS48="Yes",1,0)</f>
        <v/>
      </c>
      <c r="CN48" s="265">
        <f>IF(OR(AND(BJ48="Yes",N48="No"),AND(BJ48="Yes",N48="Yes",P48&gt;=6)),1,0)</f>
        <v/>
      </c>
      <c r="CO48" s="265">
        <f>IF(BT48="Yes",1,0)</f>
        <v/>
      </c>
      <c r="CP48" s="265">
        <f>IF(AND(BU48="Yes",BV48="No"),1,0)</f>
        <v/>
      </c>
      <c r="CQ48" s="265">
        <f>IF(BW48="Yes",1,0)</f>
        <v/>
      </c>
      <c r="CR48" s="265">
        <f>IF(AP48="",0,IF(AP48&gt;7,1,0))</f>
        <v/>
      </c>
      <c r="CS48" s="265">
        <f>IF(OR(BD48&lt;&gt;"Monthly",BD48&lt;&gt;"Quarterly",BD48&lt;&gt;"Semi-Annually"),0,1)</f>
        <v/>
      </c>
      <c r="CT48" s="265">
        <f>IF(BX48="Yes",1,0)</f>
        <v/>
      </c>
      <c r="CU48" s="265">
        <f>IF(BY48="Yes",1,0)</f>
        <v/>
      </c>
      <c r="CV48" s="265">
        <f>IF(BZ48="Yes",1,0)</f>
        <v/>
      </c>
      <c r="CW48" s="265">
        <f>IF(CA48="No",1,0)</f>
        <v/>
      </c>
      <c r="CX48" s="265">
        <f>IF(B48="",0,IF(AK48&gt;=5000000,0,1))</f>
        <v/>
      </c>
      <c r="CY48" s="265">
        <f>IF(B48="",0,IF(AL48&gt;=5000000,0,1))</f>
        <v/>
      </c>
      <c r="CZ48" s="265">
        <f>IF(OR(DA48=1,DB48=1,DC48=1),0,IF(B48="",0,IF(OR(AND(AN48="Tier 1",X48="No",OR(AI48&gt;$AJ$3,AJ48&gt;$AJ$4)),(AND(AN48="Tier 1",X48="Yes",AJ48&gt;$AJ$5)),(AND(AN48="Tier 2",X48="No",OR(AI48&gt;$AK$3,AJ48&gt;$AK$4))),(AND(AN48="Tier 2",X48="Yes",AJ48&gt;$AK$5)),(AND(AN48="Tier 3",X48="No",OR(AI48&gt;$AL$3,AJ48&gt;$AL$4))),(AND(AN48="Tier 3",X48="Yes",AJ48&gt;$AL$5))),1,0)))</f>
        <v/>
      </c>
      <c r="DA48" s="265">
        <f>IF(OR(DB48=1,DC48=1),0,IF(B48="",0,IF(OR(AND(AN48="Tier 1",X48="No",OR(AI48&gt;$AM$3,AJ48&gt;$AM$4)),(AND(AN48="Tier 1",X48="Yes",AJ48&gt;$AM$5)),(AND(AN48="Tier 2",X48="No",OR(AI48&gt;$AN$3,AJ48&gt;$AN$4))),(AND(AN48="Tier 2",X48="Yes",AJ48&gt;$AN$5)),(AND(AN48="Tier 3",X48="No",OR(AI48&gt;$AO$3,AJ48&gt;$AO$4))),(AND(AN48="Tier 3",X48="Yes",AJ48&gt;$AO$5))),1,0)))</f>
        <v/>
      </c>
      <c r="DB48" s="265">
        <f>IF(DC48=1,0,IF(B48="",0,IF(OR(AND(AN48="Tier 1",X48="No",OR(AI48&gt;$AP$3,AJ48&gt;$AP$4)),(AND(AN48="Tier 1",X48="Yes",AJ48&gt;$AP$5)),(AND(AN48="Tier 2",X48="No",OR(AI48&gt;$AQ$3,AJ48&gt;$AQ$4))),(AND(AN48="Tier 2",X48="Yes",AJ48&gt;$AQ$5)),(AND(AN48="Tier 3",X48="No",OR(AI48&gt;$AR$3,AJ48&gt;$AR$4))),(AND(AN48="Tier 3",X48="Yes",AJ48&gt;$AR$5))),1,0)))</f>
        <v/>
      </c>
      <c r="DC48" s="265">
        <f>IF(B48="",0,IF(OR(AND(AN48="Tier 1",X48="No",OR(AI48&gt;$AS$3,AJ48&gt;$AS$4)),(AND(AN48="Tier 1",X48="Yes",AJ48&gt;$AS$5)),(AND(AN48="Tier 2",X48="No",OR(AI48&gt;$AT$3,AJ48&gt;$AT$4))),(AND(AN48="Tier 2",X48="Yes",AJ48&gt;$AT$5)),(AND(AN48="Tier 3",X48="No",OR(AI48&gt;$AU$3,AJ48&gt;$AU$4))),(AND(AN48="Tier 3",X48="Yes",AJ48&gt;$AU$5))),1,0))</f>
        <v/>
      </c>
      <c r="DD48" s="265">
        <f>IF((SUM(CE48:CX48)=0),0,W48)</f>
        <v/>
      </c>
      <c r="DE48" s="265">
        <f>IF(OR(B48="",DD48&gt;0),0,W48)</f>
        <v/>
      </c>
      <c r="DF48" s="265">
        <f>IF(B48="",0,IF(COUNTIF(CE48:CX48,1)&gt;0,0,L48-M48))</f>
        <v/>
      </c>
      <c r="DG48" s="265">
        <f>DE48+IF(DD48&gt;0,0,DF48)</f>
        <v/>
      </c>
      <c r="DH48" s="265">
        <f>IF(B48="","",M48+DF48)</f>
        <v/>
      </c>
      <c r="DI48" s="265">
        <f>IF(B48="",0,J48-K48)</f>
        <v/>
      </c>
      <c r="DJ48" s="265">
        <f>IF(OR(BF48="EUR",BF48="CAD",BF48="GBP",BF48="AUD"),(GA48*(1-V48))+(HG48)+IF(HX48="",0,HX48*(1-U48)),0)</f>
        <v/>
      </c>
      <c r="DK48" s="265">
        <f>IF(BF48="EUR",33%,IF(BF48="CAD",38%,IF(BF48="GBP",51%,IF(BF48="AUD",61%,0))))</f>
        <v/>
      </c>
      <c r="DL48" s="265">
        <f>DJ48*DK48</f>
        <v/>
      </c>
      <c r="DN48" s="538">
        <f>IF(OR(Y48="Second Lien",Y48="Tier 1 Split Lien",Y48="Tier 2 Split Lien"),DG48,0)</f>
        <v/>
      </c>
      <c r="DO48" s="539">
        <f>DN48*DN$6</f>
        <v/>
      </c>
      <c r="DP48" s="538">
        <f>DG48-DO48</f>
        <v/>
      </c>
      <c r="DQ48" s="538">
        <f>IF(Y48="Second Lien",DP48,0)</f>
        <v/>
      </c>
      <c r="DR48" s="539">
        <f>DQ48*DQ$6</f>
        <v/>
      </c>
      <c r="DS48" s="538">
        <f>DP48-DR48</f>
        <v/>
      </c>
      <c r="DT48" s="538">
        <f>IF(BH48="Yes",DS48,0)</f>
        <v/>
      </c>
      <c r="DU48" s="539">
        <f>DT48*DT$6</f>
        <v/>
      </c>
      <c r="DV48" s="538">
        <f>DS48-DU48</f>
        <v/>
      </c>
      <c r="DW48" s="538">
        <f>IF(OR(BG48="Canada",BG48="United Kingdom",BG48="Australia",BG48="Netherlands Antilles",BG48="Bermuda",BG48="Cayman Islands",BG48="British Virgin Islands",BG48="Channel Islands",BG48="Isle of Man",BG48="Australia",BG48="Netherlands",BG48="Germany",BG48="Sweden",BG48="Switzerland",BG48="Austria",BG48="Belgium",BG48="Denmark",BG48="Finland",BG48="Iceland",BG48="Ireland",BG48="Lichtenstein",BG48="Luxemborg",BG48="Norway"),DV48,0)</f>
        <v/>
      </c>
      <c r="DX48" s="539">
        <f>DW48*DW$6</f>
        <v/>
      </c>
      <c r="DY48" s="538">
        <f>DV48-DX48</f>
        <v/>
      </c>
      <c r="DZ48" s="538">
        <f>IF(BI48="Yes",DY48,0)</f>
        <v/>
      </c>
      <c r="EA48" s="539">
        <f>DZ48*DZ$6</f>
        <v/>
      </c>
      <c r="EB48" s="538">
        <f>DY48-EA48</f>
        <v/>
      </c>
      <c r="EC48" s="538">
        <f>IF(OR(Z48="Delayed Draw",Z48="Revolver"),EB48,0)</f>
        <v/>
      </c>
      <c r="ED48" s="539">
        <f>EC48*EC$6</f>
        <v/>
      </c>
      <c r="EE48" s="538">
        <f>EB48-ED48</f>
        <v/>
      </c>
      <c r="EF48" s="538">
        <f>IF(S48="Yes",EE48,0)</f>
        <v/>
      </c>
      <c r="EG48" s="539">
        <f>EF48*EF$6</f>
        <v/>
      </c>
      <c r="EH48" s="538">
        <f>EE48-EG48</f>
        <v/>
      </c>
      <c r="EI48" s="538">
        <f>IF(Q48="Yes",EH48,0)</f>
        <v/>
      </c>
      <c r="EJ48" s="539">
        <f>EI48*EI$6</f>
        <v/>
      </c>
      <c r="EK48" s="538">
        <f>EH48-EJ48</f>
        <v/>
      </c>
      <c r="EL48" s="538">
        <f>IF(BD48="Semi-Annually",EK48,0)</f>
        <v/>
      </c>
      <c r="EM48" s="539">
        <f>EL48*EL$6</f>
        <v/>
      </c>
      <c r="EN48" s="538">
        <f>EK48-EM48</f>
        <v/>
      </c>
      <c r="EO48" s="538">
        <f>IF(BK48="Yes",EN48,0)</f>
        <v/>
      </c>
      <c r="EP48" s="539">
        <f>EO48*EO$6</f>
        <v/>
      </c>
      <c r="EQ48" s="538">
        <f>EN48-EP48</f>
        <v/>
      </c>
      <c r="ER48" s="538">
        <f>IF(BL48="Yes",EQ48,0)</f>
        <v/>
      </c>
      <c r="ES48" s="539">
        <f>ER48*ER$6</f>
        <v/>
      </c>
      <c r="ET48" s="538">
        <f>EQ48-ES48</f>
        <v/>
      </c>
      <c r="EU48" s="538">
        <f>IF(BM48="Yes",ET48,0)</f>
        <v/>
      </c>
      <c r="EV48" s="539">
        <f>EU48*EU$6</f>
        <v/>
      </c>
      <c r="EW48" s="538">
        <f>ET48-EV48</f>
        <v/>
      </c>
      <c r="EX48" s="538">
        <f>IF(BV48="Yes",EW48,0)</f>
        <v/>
      </c>
      <c r="EY48" s="539">
        <f>EX48*EX$6</f>
        <v/>
      </c>
      <c r="EZ48" s="538">
        <f>EW48-EY48</f>
        <v/>
      </c>
      <c r="FA48" s="538">
        <f>IF(AR48="Yes",EZ48,0)</f>
        <v/>
      </c>
      <c r="FB48" s="539">
        <f>FA48*FA$6</f>
        <v/>
      </c>
      <c r="FC48" s="538">
        <f>EZ48-FB48</f>
        <v/>
      </c>
      <c r="FD48" s="538">
        <f>IF(OR(BF48="EUR",BF48="AUD",BF48="CAD",BF48="GBP"),FC48,0)</f>
        <v/>
      </c>
      <c r="FE48" s="539">
        <f>FD48*FD$6</f>
        <v/>
      </c>
      <c r="FF48" s="538">
        <f>FC48-FE48</f>
        <v/>
      </c>
      <c r="FG48" s="538">
        <f>FF48</f>
        <v/>
      </c>
      <c r="FH48" s="538">
        <f>IF(FF48=0,0,VLOOKUP(C48,$GU$10:$GV$406,2,FALSE)*FF48)</f>
        <v/>
      </c>
      <c r="FI48" s="538">
        <f>FF48-FH48</f>
        <v/>
      </c>
      <c r="FJ48" s="538">
        <f>FI48</f>
        <v/>
      </c>
      <c r="FK48" s="538">
        <f>IF(OR(IB48="",FI48&lt;0.01),,VLOOKUP(IB48,$GL$10:$GM$406,2,FALSE)*FI48)</f>
        <v/>
      </c>
      <c r="FL48" s="538">
        <f>FI48-FK48</f>
        <v/>
      </c>
      <c r="FM48" s="538">
        <f>FL48</f>
        <v/>
      </c>
      <c r="FN48" s="538">
        <f>IF(FL48=0,0,VLOOKUP(C48,$HD$10:$HE$406,2,FALSE)*FL48)</f>
        <v/>
      </c>
      <c r="FO48" s="538">
        <f>FL48-FN48</f>
        <v/>
      </c>
      <c r="FP48" s="538">
        <f>IF(SUM(CY48:DC48)&gt;0,0,IF(AND(AL48&gt;=5000000,AL48&lt;7500000),FO48,0))</f>
        <v/>
      </c>
      <c r="FQ48" s="539">
        <f>IF(B48="",0,FP48*FP$6*(1-$U48))</f>
        <v/>
      </c>
      <c r="FR48" s="538">
        <f>FO48-FQ48</f>
        <v/>
      </c>
      <c r="FS48" s="538">
        <f>IF(SUM(CY48:DC48)&gt;0,0,IF(AL48&lt;15000000,FR48,0))</f>
        <v/>
      </c>
      <c r="FT48" s="539">
        <f>IF(B48="",0,FS48*FS$6*(1-$U48))</f>
        <v/>
      </c>
      <c r="FU48" s="538">
        <f>FR48-FT48</f>
        <v/>
      </c>
      <c r="FV48" s="538">
        <f>IF(SUM(CY48:DC48)&gt;0,0,IF(OR(AND(X48="No",AN48="Tier 1",AI48&gt;$AG$3),AND(X48="No",AN48="Tier 2",AI48&gt;$AH$3),AND(X48="No",AN48="Tier 3",AI48&gt;$AI$3)),FU48,0))</f>
        <v/>
      </c>
      <c r="FW48" s="538">
        <f>IF(SUM(CY48:DC48)&gt;0,0,IF(OR(AND(X48="No",AN48="Tier 1",AJ48&gt;$AG$4),AND(X48="No",AN48="Tier 2",AJ48&gt;$AH$4),AND(X48="No",AN48="Tier 3",AJ48&gt;$AI$4)),FU48,0))</f>
        <v/>
      </c>
      <c r="FX48" s="538">
        <f>IF(SUM(CY48:DC48)&gt;0,0,IF(OR(AND(X48="Yes",AN48="Tier 1",AJ48&gt;$AG$5),AND(X48="Yes",AN48="Tier 2",AJ48&gt;$AH$5),AND(X48="Yes",AN48="Tier 3",AJ48&gt;$AI$5)),FU48,0))</f>
        <v/>
      </c>
      <c r="FY48" s="538">
        <f>IF(SUM(FV48:FX48)&gt;0,FU48,0)</f>
        <v/>
      </c>
      <c r="FZ48" s="539">
        <f>IF(B48="",0,FY48*FV$6*(1-MIN(90%,T48)))</f>
        <v/>
      </c>
      <c r="GA48" s="538">
        <f>FU48-FZ48</f>
        <v/>
      </c>
      <c r="GB48" s="538">
        <f>IF(AND(N48="No",DI48=0),GA48,IF(AND(N48="No",DI48&lt;&gt;0,K48=0),0,IF(AND(N48="No",DI48&lt;&gt;0,K48&gt;0,J48&lt;&gt;K48),MAX(0,M48-(DH48-GA48)),DG48)))</f>
        <v/>
      </c>
      <c r="GC48" s="540">
        <f>+GB48*V48</f>
        <v/>
      </c>
      <c r="GD48" s="138">
        <f>IFERROR(GC48/K48,"")</f>
        <v/>
      </c>
      <c r="GE48" s="541">
        <f>IF(IB48="","",IB48)</f>
        <v/>
      </c>
      <c r="GF48" s="538">
        <f t="array" ref="GF48">IF(SUM(IF(IB$9:IB47=IB48,1,0))&gt;0,0,SUMIF($IB$10:$IB$406,IB48,$FI$10:$FI$406))</f>
        <v/>
      </c>
      <c r="GG48" s="270">
        <f>GF48</f>
        <v/>
      </c>
      <c r="GH48" s="137">
        <f>GH47+1</f>
        <v/>
      </c>
      <c r="GI48" s="542">
        <f>LARGE($GG$10:$GG$406,GH48)</f>
        <v/>
      </c>
      <c r="GJ48" s="542">
        <f>IF(GH48&gt;GH$6,0,IF(GH48=$GH$2,$GJ$2,IF(GH48&lt;4,$GJ$3,$GJ$4)))</f>
        <v/>
      </c>
      <c r="GK48" s="489">
        <f>MAX(0,GI48-GJ48)</f>
        <v/>
      </c>
      <c r="GL48" s="137">
        <f t="array" ref="GL48">IF(GI48=0,0,LARGE(IF($GF$10:$GF$406=GI48,$GE$10:$GE$406,0),COUNTIF($GI$10:$GI$406,GI48)-COUNTIF(GI$9:GI47,GI48)))</f>
        <v/>
      </c>
      <c r="GM48" s="272">
        <f>IF(GI48=0,0,GK48/GI48)</f>
        <v/>
      </c>
      <c r="GO48" s="137">
        <f>IF(C48="","",IF(ISERROR(MATCH(C48,C$10:C47,0)),MAX(GO$10:GO47)+1,INDEX(GO$10:GO47,MATCH(C48,C$10:C47,0))))</f>
        <v/>
      </c>
      <c r="GP48" s="538">
        <f>IF(COUNTIF($A$10:A48,A48)&lt;=1,SUMIF($A$10:$A$406,A48,$FG$10:$FG$406),0)</f>
        <v/>
      </c>
      <c r="GQ48" s="137">
        <f>GQ47+1</f>
        <v/>
      </c>
      <c r="GR48" s="542">
        <f>LARGE($GP$10:$GP$406,GQ48)</f>
        <v/>
      </c>
      <c r="GS48" s="542">
        <f>IF(GQ48&gt;GQ$6,0,IF(GQ48&lt;=GQ$2,GS$2,IF(AND(GQ48&lt;=$GQ$3,GQ48&gt;$GQ$2),GS$3,GS$4)))</f>
        <v/>
      </c>
      <c r="GT48" s="489">
        <f>MAX(0,GR48-GS48)</f>
        <v/>
      </c>
      <c r="GU48" s="137">
        <f t="array" ref="GU48">IF(GR48=0,0,LARGE(IF($GP$10:$GP$406=GR48,$GO$10:$GO$406,0),COUNTIF($GR$10:$GR$406,GR48)-COUNTIF(GR$9:GR47,GR48)))</f>
        <v/>
      </c>
      <c r="GV48" s="272">
        <f>IF(GR48=0,0,GT48/GR48)</f>
        <v/>
      </c>
      <c r="GW48" s="272" t="n"/>
      <c r="GX48" s="137">
        <f>IF(C48="","",IF(ISERROR(MATCH(C48,C$10:C47,0)),MAX(GO$10:GO47)+1,INDEX(GO$10:GO47,MATCH(C48,C$10:C47,0))))</f>
        <v/>
      </c>
      <c r="GY48" s="538">
        <f>IF(COUNTIF($A$10:A48,A48)&lt;=1,SUMIF($A$10:$A$406,A48,$FG$10:$FG$406),0)</f>
        <v/>
      </c>
      <c r="GZ48" s="137">
        <f>GZ47+1</f>
        <v/>
      </c>
      <c r="HA48" s="542">
        <f>LARGE($GY$10:$GY$406,GZ48)</f>
        <v/>
      </c>
      <c r="HB48" s="543" t="inlineStr">
        <is>
          <t>-</t>
        </is>
      </c>
      <c r="HC48" s="489">
        <f>IF(GZ48&lt;6,MAX(0,$HC$2/5),0)</f>
        <v/>
      </c>
      <c r="HD48" s="137">
        <f t="array" ref="HD48">IF(HA48=0,0,LARGE(IF($GY$10:$GY$406=HA48,$GX$10:$GX$406,0),COUNTIF($HA$10:$HA$406,HA48)-COUNTIF(HA$9:HA47,HA48)))</f>
        <v/>
      </c>
      <c r="HE48" s="272">
        <f>IF(HA48=0,0,HC48/HA48)</f>
        <v/>
      </c>
      <c r="HG48" s="270">
        <f>DG48-GA48</f>
        <v/>
      </c>
      <c r="HH48" s="544" t="n">
        <v>0</v>
      </c>
      <c r="HI48" s="538">
        <f>MIN(HH48,DE48)</f>
        <v/>
      </c>
      <c r="HK48" s="137">
        <f>IF(COUNTIF($C$10:$C$406,HK47+1),HK47+1,"")</f>
        <v/>
      </c>
      <c r="HL48" s="538">
        <f>SUMIF($C$10:$C$406,HK48,$DG$10:$DG$406)</f>
        <v/>
      </c>
      <c r="HN48" s="521">
        <f>MIN(HO48:HS48)</f>
        <v/>
      </c>
      <c r="HO48" s="521">
        <f>IF(B48="","",$M48)</f>
        <v/>
      </c>
      <c r="HP48" s="521">
        <f>IF($N48="Yes",IF(P48&gt;=6,0,MIN($T48*$M48,$U48*$M48)),"")</f>
        <v/>
      </c>
      <c r="HQ48" s="521">
        <f>IF(AND(N48="Yes",P48&gt;=6),"",IF($S48="Yes",$R48*$M48,""))</f>
        <v/>
      </c>
      <c r="HR48" s="521">
        <f>IF($Q48="Yes",MIN($M48,$T48*$M48),"")</f>
        <v/>
      </c>
      <c r="HS48" s="521">
        <f>IF(AND($N48="Yes",$P48&gt;=6),"",IF(OR(CY48=1,DC48=1,),MIN($T48*$M48,$U48*$M48),IF(OR(CZ48=1,DA48=1,DB48=1),IF(AK48&gt;=5000000,MIN($T48*$M48,$IE48*$M48),MIN($T48*$M48,$U48*$M48)),"")))</f>
        <v/>
      </c>
      <c r="HT48" s="521">
        <f>IF(DD48&gt;0,DD48,"")</f>
        <v/>
      </c>
      <c r="HU48" s="522">
        <f>IF(B48="",0,$L48-$M48)</f>
        <v/>
      </c>
      <c r="HV48" s="274">
        <f>IF(OR(SUM(HP48:HT48)&gt;0,P48&gt;=6),"",IF($B48="","",1))</f>
        <v/>
      </c>
      <c r="HW48" s="522">
        <f>IF(AND($HT48&lt;&gt;0,OR(HT48&lt;=MIN(HP48:HS48),SUM(HP48:HS48)=0)),$HT48,0)</f>
        <v/>
      </c>
      <c r="HX48" s="522">
        <f>IF(AND($HS48&lt;&gt;0,OR(AND($HS48&lt;&gt;$HT48,$HS48&lt;&gt;$HR48,$HS48&lt;&gt;$HQ48,$HS48&lt;&gt;$HP48,$HS48&lt;MIN($HP48:$HR48),$HS48&lt;HT48),SUM($HP48:$HR48)+SUM(HT48)=0),IA48&lt;=0),$HS48,0)</f>
        <v/>
      </c>
      <c r="HY48" s="522">
        <f>IF(AND($HR48&lt;&gt;0,OR(AND($HR48&lt;&gt;$HT48,$HR48&lt;&gt;$HS48,$HR48&lt;&gt;$HQ48,$HR48&lt;&gt;$HP48),$HR48&lt;MIN($HP48:$HQ48),$HR48&lt;MIN($HS48:$HT48),SUM($HP48:$HQ48)+SUM($HS48:$HT48)=0)),$HR48,0)</f>
        <v/>
      </c>
      <c r="HZ48" s="522">
        <f>IF(AND($HQ48&lt;&gt;0,OR(AND($HQ48&lt;&gt;$HT48,HQ48&lt;&gt;HS48,HQ48&lt;&gt;HR48,HQ48&lt;&gt;HP48,HQ48&lt;MIN(HR48:HT48)),SUM(HP48)+SUM(HR48:HT48)=0)),$HQ48,0)</f>
        <v/>
      </c>
      <c r="IA48" s="522">
        <f>IF(AND($HP48&lt;&gt;0,OR(HP48&lt;=MIN(HQ48:HT48),SUM(HQ48:HT48)=0)),$HP48,0)</f>
        <v/>
      </c>
      <c r="IB48" s="545" t="n">
        <v>19</v>
      </c>
      <c r="IC48">
        <f>HU48=DF48</f>
        <v/>
      </c>
      <c r="IE48" s="351">
        <f>IF(B48="","",IF(AND(Y48="Second Lien",OR(CZ48=1,DA48=1,DB48=1)),50%,IF(CZ48=1,90%,IF(DA48=1,80%,IF(DB48=1,65%,"No Initial Haircut")))))</f>
        <v/>
      </c>
    </row>
    <row r="49">
      <c r="A49" t="inlineStr">
        <is>
          <t>Keel Platform, LLC</t>
        </is>
      </c>
      <c r="B49" s="242">
        <f>IF(D49="","",B48+1)</f>
        <v/>
      </c>
      <c r="C49" s="242">
        <f>IF(COUNTIF($A$10:A48,A49)&gt;0,C48,C48+1)</f>
        <v/>
      </c>
      <c r="D49" s="243" t="inlineStr">
        <is>
          <t>Rosewood Holdings, LLC</t>
        </is>
      </c>
      <c r="E49" s="243" t="inlineStr">
        <is>
          <t>Rosewood (DDTL)</t>
        </is>
      </c>
      <c r="F49" s="244" t="n"/>
      <c r="G49" s="528" t="n">
        <v>1201052.63</v>
      </c>
      <c r="H49" s="528" t="n">
        <v>1201052.63</v>
      </c>
      <c r="I49" s="246" t="n">
        <v>1</v>
      </c>
      <c r="J49" s="529">
        <f>IF(B49="","",G49*I49)</f>
        <v/>
      </c>
      <c r="K49" s="529">
        <f>IF(B49="","",H49*I49)</f>
        <v/>
      </c>
      <c r="L49" s="529">
        <f>IF(B49="","",IF(COUNTIF($CE49:$CX49,1)&gt;0,0,J49))</f>
        <v/>
      </c>
      <c r="M49" s="529">
        <f>IF(B49="","",IF(COUNTIF($CE49:$CX49,1)&gt;0,0,K49))</f>
        <v/>
      </c>
      <c r="N49" s="248" t="inlineStr">
        <is>
          <t>No</t>
        </is>
      </c>
      <c r="O49" s="248" t="inlineStr">
        <is>
          <t>N/A</t>
        </is>
      </c>
      <c r="P49" s="249">
        <f>IF(B49="","",IF(OR(O49="N/A",O49=""),0,YEARFRAC('Borrowing Base'!$J$4,'Loan List'!O49)*12))</f>
        <v/>
      </c>
      <c r="Q49" s="248" t="inlineStr">
        <is>
          <t>No</t>
        </is>
      </c>
      <c r="R49" s="250" t="n">
        <v>0.985</v>
      </c>
      <c r="S49" s="251">
        <f>IF(B49="","",IF(R49&lt;95%,"Yes","No"))</f>
        <v/>
      </c>
      <c r="T49" s="250" t="n">
        <v>0.99749999298532</v>
      </c>
      <c r="U49" s="252">
        <f>IF(B49="","",IF(OR(Y49="First Lien",Y49="Split First Lien",Y49="Tier 1 Split Lien",Y49="Tier 2 Split Lien"),50%,30%))</f>
        <v/>
      </c>
      <c r="V49" s="252">
        <f>IF(B49="",0,IF(AND(Y49="First Lien",AN49="Tier 1"),IF(AND(X49="Yes",MIN(AH49,$AJ$5)&gt;4.5),(((4.5/MIN(AH49,$AJ$5))*72.5%)+(((MIN(AH49,$AJ$5)-4.5)/MIN(AH49,$AJ$5))*35%)),72.5%),IF(AND(Y49="First Lien",AN49="Tier 2"),IF(AND(X49="Yes",MIN(AH49,$AK$5)&gt;4.5),(((4.5/MIN(AH49,$AK$5))*72.5%)+(((MIN(AH49,$AK$5)-4.5)/MIN(AH49,$AK$5))*35%)),72.5%),IF(AND(X49="Yes",MIN(AH49,$AL$5)&gt;4),(((4/MIN(AH49,$AL$5))*72.5%)+(((MIN(AH49,$AL$5)-4)/MIN(AH49,$AL$5))*35%)),IF(OR(Y49="First Lien",Y49="Split First Lien"),72.5%,IF(Y49="Split Lien", 53%,35%))))))</f>
        <v/>
      </c>
      <c r="W49" s="530">
        <f>IF($C49="","",MIN($HO49:$HS49))</f>
        <v/>
      </c>
      <c r="X49" s="248" t="inlineStr">
        <is>
          <t>No</t>
        </is>
      </c>
      <c r="Y49" s="254" t="inlineStr">
        <is>
          <t>First Lien</t>
        </is>
      </c>
      <c r="Z49" s="254" t="inlineStr">
        <is>
          <t>Delayed Draw</t>
        </is>
      </c>
      <c r="AA49" s="531" t="inlineStr">
        <is>
          <t>NR</t>
        </is>
      </c>
      <c r="AB49" s="531" t="inlineStr">
        <is>
          <t xml:space="preserve"> NR</t>
        </is>
      </c>
      <c r="AC49" s="532" t="n">
        <v>1.417616592727357</v>
      </c>
      <c r="AD49" s="532" t="n">
        <v>4.603640708095346</v>
      </c>
      <c r="AE49" s="532" t="n">
        <v>3.7813280581875</v>
      </c>
      <c r="AF49" s="257" t="n">
        <v>0.4745062836624776</v>
      </c>
      <c r="AG49" s="533" t="n">
        <v>4.603640708095346</v>
      </c>
      <c r="AH49" s="533" t="n">
        <v>4.603640708095346</v>
      </c>
      <c r="AI49" s="533" t="n">
        <v>3.620213265669233</v>
      </c>
      <c r="AJ49" s="533" t="n">
        <v>3.620213265669233</v>
      </c>
      <c r="AK49" s="534" t="n">
        <v>57411083.26182741</v>
      </c>
      <c r="AL49" s="534" t="n">
        <v>66455327.99999999</v>
      </c>
      <c r="AM49" s="276" t="n">
        <v>45838</v>
      </c>
      <c r="AN49" s="529">
        <f>IF(C49="","",(IF(AK49&gt;=50000000,"Tier 1",(IF(OR(AK49&gt;=20000000,AND(AK49&gt;5000000,AC49&gt;=1.25,AF49&lt;=0.65)),"Tier 2","Tier 3")))))</f>
        <v/>
      </c>
      <c r="AO49" s="244" t="n">
        <v>47868</v>
      </c>
      <c r="AP49" s="535" t="n">
        <v>5.472222222222222</v>
      </c>
      <c r="AQ49" s="535">
        <f>IF(C49="","",AP49)</f>
        <v/>
      </c>
      <c r="AR49" s="248" t="inlineStr">
        <is>
          <t>No</t>
        </is>
      </c>
      <c r="AS49" s="250" t="n">
        <v>0</v>
      </c>
      <c r="AT49" s="248" t="inlineStr">
        <is>
          <t>No</t>
        </is>
      </c>
      <c r="AU49" s="250" t="inlineStr"/>
      <c r="AV49" s="250" t="n">
        <v>0</v>
      </c>
      <c r="AW49" s="250" t="n">
        <v>0</v>
      </c>
      <c r="AX49" s="262">
        <f>IF(C49="","",MAX(AU49,AW49))</f>
        <v/>
      </c>
      <c r="AY49" s="250" t="n">
        <v>0</v>
      </c>
      <c r="AZ49" s="250" t="n">
        <v>0</v>
      </c>
      <c r="BA49" s="250" t="n">
        <v>0</v>
      </c>
      <c r="BB49" s="412">
        <f>IF(B49="","",IF(AR49="No",AV49-AZ49,""))</f>
        <v/>
      </c>
      <c r="BC49" s="412">
        <f>IF(B49="","",IF(AR49="Yes",AS49-BA49,""))</f>
        <v/>
      </c>
      <c r="BD49" s="254" t="inlineStr">
        <is>
          <t>Quarterly</t>
        </is>
      </c>
      <c r="BE49" s="536" t="inlineStr">
        <is>
          <t>Metals &amp; Mining</t>
        </is>
      </c>
      <c r="BF49" s="254" t="inlineStr">
        <is>
          <t>USD</t>
        </is>
      </c>
      <c r="BG49" s="254" t="inlineStr">
        <is>
          <t>United States</t>
        </is>
      </c>
      <c r="BH49" s="248" t="inlineStr">
        <is>
          <t>No</t>
        </is>
      </c>
      <c r="BI49" s="413">
        <f>IF(B49="","",IF(OR(AND(AZ49&gt;0,BB49&gt;=2.5%,BB49&lt;4%),AND(BA49&gt;0,BC49&gt;=6%,BC49&lt;8%)),"Yes","No"))</f>
        <v/>
      </c>
      <c r="BJ49" s="413">
        <f>IF(B49="","",IF(OR(AND(AZ49&gt;0,BB49&lt;2.5%),AND(BA49&gt;0,BC49&lt;6%)),"Yes","No"))</f>
        <v/>
      </c>
      <c r="BK49" s="248" t="inlineStr">
        <is>
          <t>No</t>
        </is>
      </c>
      <c r="BL49" s="248" t="inlineStr">
        <is>
          <t>No</t>
        </is>
      </c>
      <c r="BM49" s="248" t="inlineStr">
        <is>
          <t>No</t>
        </is>
      </c>
      <c r="BN49" s="248" t="inlineStr">
        <is>
          <t>No</t>
        </is>
      </c>
      <c r="BO49" s="248" t="inlineStr">
        <is>
          <t>No</t>
        </is>
      </c>
      <c r="BP49" s="248" t="inlineStr">
        <is>
          <t>No</t>
        </is>
      </c>
      <c r="BQ49" s="248" t="inlineStr">
        <is>
          <t>No</t>
        </is>
      </c>
      <c r="BR49" s="248" t="inlineStr">
        <is>
          <t>No</t>
        </is>
      </c>
      <c r="BS49" s="248" t="inlineStr">
        <is>
          <t>No</t>
        </is>
      </c>
      <c r="BT49" s="248" t="inlineStr">
        <is>
          <t>No</t>
        </is>
      </c>
      <c r="BU49" s="248" t="inlineStr">
        <is>
          <t>No</t>
        </is>
      </c>
      <c r="BV49" s="248" t="inlineStr">
        <is>
          <t>No</t>
        </is>
      </c>
      <c r="BW49" s="248" t="inlineStr">
        <is>
          <t>No</t>
        </is>
      </c>
      <c r="BX49" s="248" t="inlineStr">
        <is>
          <t>No</t>
        </is>
      </c>
      <c r="BY49" s="248" t="inlineStr">
        <is>
          <t>No</t>
        </is>
      </c>
      <c r="BZ49" s="248" t="inlineStr">
        <is>
          <t>No</t>
        </is>
      </c>
      <c r="CA49" s="248" t="inlineStr">
        <is>
          <t>Yes</t>
        </is>
      </c>
      <c r="CB49" s="537">
        <f>IF(B49="","",IF(AT49="No",((BB49+AW49)-$AZ$4),((BB49+AX49)-$AZ$4))*IF(DD49&gt;0,0,M49))</f>
        <v/>
      </c>
      <c r="CC49" s="537">
        <f>IF(B49="","",AY49*(L49-M49)*IF(DD49&gt;0,0,1))</f>
        <v/>
      </c>
      <c r="CD49" s="265" t="n"/>
      <c r="CE49" s="265">
        <f>IF(AND(B49&lt;&gt;"",R49&lt;=85%),1,0)</f>
        <v/>
      </c>
      <c r="CF49" s="265">
        <f>IF(B49="",0,(IF(OR(BF49="USD",BF49="CAD",BF49="GBP",BF49="AUD",BF49="EUR"),0,1)))</f>
        <v/>
      </c>
      <c r="CG49" s="265">
        <f>IF(B49="",0,(IF(OR(BG49="United States",BG49="Canada",BG49="United Kingdom",BG49="Australia",BG49="Netherlands Antilles",BG49="Bermuda",BG49="Cayman Islands",BG49="British Virgin Islands",BG49="Channel Islands",BG49="Isle of Man",BG49="Australia",BG49="Netherlands",BG49="Germany",BG49="Sweden",BG49="Switzerland",BG49="Austria",BG49="Belgium",BG49="Denmark",BG49="Finland",BG49="Iceland",BG49="Ireland",BG49="Lichtenstein",BG49="Luxemborg",BG49="Norway"),0,1)))</f>
        <v/>
      </c>
      <c r="CH49" s="265">
        <f>IF(BN49="Yes",1,0)</f>
        <v/>
      </c>
      <c r="CI49" s="265">
        <f>IF(BO49="Yes",1,0)</f>
        <v/>
      </c>
      <c r="CJ49" s="265">
        <f>IF(BP49="Yes",1,0)</f>
        <v/>
      </c>
      <c r="CK49" s="265">
        <f>IF(BQ49="Yes",1,0)</f>
        <v/>
      </c>
      <c r="CL49" s="265">
        <f>IF(BR49="Yes",1,0)</f>
        <v/>
      </c>
      <c r="CM49" s="265">
        <f>IF(BS49="Yes",1,0)</f>
        <v/>
      </c>
      <c r="CN49" s="265">
        <f>IF(OR(AND(BJ49="Yes",N49="No"),AND(BJ49="Yes",N49="Yes",P49&gt;=6)),1,0)</f>
        <v/>
      </c>
      <c r="CO49" s="265">
        <f>IF(BT49="Yes",1,0)</f>
        <v/>
      </c>
      <c r="CP49" s="265">
        <f>IF(AND(BU49="Yes",BV49="No"),1,0)</f>
        <v/>
      </c>
      <c r="CQ49" s="265">
        <f>IF(BW49="Yes",1,0)</f>
        <v/>
      </c>
      <c r="CR49" s="265">
        <f>IF(AP49="",0,IF(AP49&gt;7,1,0))</f>
        <v/>
      </c>
      <c r="CS49" s="265">
        <f>IF(OR(BD49&lt;&gt;"Monthly",BD49&lt;&gt;"Quarterly",BD49&lt;&gt;"Semi-Annually"),0,1)</f>
        <v/>
      </c>
      <c r="CT49" s="265">
        <f>IF(BX49="Yes",1,0)</f>
        <v/>
      </c>
      <c r="CU49" s="265">
        <f>IF(BY49="Yes",1,0)</f>
        <v/>
      </c>
      <c r="CV49" s="265">
        <f>IF(BZ49="Yes",1,0)</f>
        <v/>
      </c>
      <c r="CW49" s="265">
        <f>IF(CA49="No",1,0)</f>
        <v/>
      </c>
      <c r="CX49" s="265">
        <f>IF(B49="",0,IF(AK49&gt;=5000000,0,1))</f>
        <v/>
      </c>
      <c r="CY49" s="265">
        <f>IF(B49="",0,IF(AL49&gt;=5000000,0,1))</f>
        <v/>
      </c>
      <c r="CZ49" s="265">
        <f>IF(OR(DA49=1,DB49=1,DC49=1),0,IF(B49="",0,IF(OR(AND(AN49="Tier 1",X49="No",OR(AI49&gt;$AJ$3,AJ49&gt;$AJ$4)),(AND(AN49="Tier 1",X49="Yes",AJ49&gt;$AJ$5)),(AND(AN49="Tier 2",X49="No",OR(AI49&gt;$AK$3,AJ49&gt;$AK$4))),(AND(AN49="Tier 2",X49="Yes",AJ49&gt;$AK$5)),(AND(AN49="Tier 3",X49="No",OR(AI49&gt;$AL$3,AJ49&gt;$AL$4))),(AND(AN49="Tier 3",X49="Yes",AJ49&gt;$AL$5))),1,0)))</f>
        <v/>
      </c>
      <c r="DA49" s="265">
        <f>IF(OR(DB49=1,DC49=1),0,IF(B49="",0,IF(OR(AND(AN49="Tier 1",X49="No",OR(AI49&gt;$AM$3,AJ49&gt;$AM$4)),(AND(AN49="Tier 1",X49="Yes",AJ49&gt;$AM$5)),(AND(AN49="Tier 2",X49="No",OR(AI49&gt;$AN$3,AJ49&gt;$AN$4))),(AND(AN49="Tier 2",X49="Yes",AJ49&gt;$AN$5)),(AND(AN49="Tier 3",X49="No",OR(AI49&gt;$AO$3,AJ49&gt;$AO$4))),(AND(AN49="Tier 3",X49="Yes",AJ49&gt;$AO$5))),1,0)))</f>
        <v/>
      </c>
      <c r="DB49" s="265">
        <f>IF(DC49=1,0,IF(B49="",0,IF(OR(AND(AN49="Tier 1",X49="No",OR(AI49&gt;$AP$3,AJ49&gt;$AP$4)),(AND(AN49="Tier 1",X49="Yes",AJ49&gt;$AP$5)),(AND(AN49="Tier 2",X49="No",OR(AI49&gt;$AQ$3,AJ49&gt;$AQ$4))),(AND(AN49="Tier 2",X49="Yes",AJ49&gt;$AQ$5)),(AND(AN49="Tier 3",X49="No",OR(AI49&gt;$AR$3,AJ49&gt;$AR$4))),(AND(AN49="Tier 3",X49="Yes",AJ49&gt;$AR$5))),1,0)))</f>
        <v/>
      </c>
      <c r="DC49" s="265">
        <f>IF(B49="",0,IF(OR(AND(AN49="Tier 1",X49="No",OR(AI49&gt;$AS$3,AJ49&gt;$AS$4)),(AND(AN49="Tier 1",X49="Yes",AJ49&gt;$AS$5)),(AND(AN49="Tier 2",X49="No",OR(AI49&gt;$AT$3,AJ49&gt;$AT$4))),(AND(AN49="Tier 2",X49="Yes",AJ49&gt;$AT$5)),(AND(AN49="Tier 3",X49="No",OR(AI49&gt;$AU$3,AJ49&gt;$AU$4))),(AND(AN49="Tier 3",X49="Yes",AJ49&gt;$AU$5))),1,0))</f>
        <v/>
      </c>
      <c r="DD49" s="265">
        <f>IF((SUM(CE49:CX49)=0),0,W49)</f>
        <v/>
      </c>
      <c r="DE49" s="265">
        <f>IF(OR(B49="",DD49&gt;0),0,W49)</f>
        <v/>
      </c>
      <c r="DF49" s="265">
        <f>IF(B49="",0,IF(COUNTIF(CE49:CX49,1)&gt;0,0,L49-M49))</f>
        <v/>
      </c>
      <c r="DG49" s="265">
        <f>DE49+IF(DD49&gt;0,0,DF49)</f>
        <v/>
      </c>
      <c r="DH49" s="265">
        <f>IF(B49="","",M49+DF49)</f>
        <v/>
      </c>
      <c r="DI49" s="265">
        <f>IF(B49="",0,J49-K49)</f>
        <v/>
      </c>
      <c r="DJ49" s="265">
        <f>IF(OR(BF49="EUR",BF49="CAD",BF49="GBP",BF49="AUD"),(GA49*(1-V49))+(HG49)+IF(HX49="",0,HX49*(1-U49)),0)</f>
        <v/>
      </c>
      <c r="DK49" s="265">
        <f>IF(BF49="EUR",33%,IF(BF49="CAD",38%,IF(BF49="GBP",51%,IF(BF49="AUD",61%,0))))</f>
        <v/>
      </c>
      <c r="DL49" s="265">
        <f>DJ49*DK49</f>
        <v/>
      </c>
      <c r="DN49" s="538">
        <f>IF(OR(Y49="Second Lien",Y49="Tier 1 Split Lien",Y49="Tier 2 Split Lien"),DG49,0)</f>
        <v/>
      </c>
      <c r="DO49" s="539">
        <f>DN49*DN$6</f>
        <v/>
      </c>
      <c r="DP49" s="538">
        <f>DG49-DO49</f>
        <v/>
      </c>
      <c r="DQ49" s="538">
        <f>IF(Y49="Second Lien",DP49,0)</f>
        <v/>
      </c>
      <c r="DR49" s="539">
        <f>DQ49*DQ$6</f>
        <v/>
      </c>
      <c r="DS49" s="538">
        <f>DP49-DR49</f>
        <v/>
      </c>
      <c r="DT49" s="538">
        <f>IF(BH49="Yes",DS49,0)</f>
        <v/>
      </c>
      <c r="DU49" s="539">
        <f>DT49*DT$6</f>
        <v/>
      </c>
      <c r="DV49" s="538">
        <f>DS49-DU49</f>
        <v/>
      </c>
      <c r="DW49" s="538">
        <f>IF(OR(BG49="Canada",BG49="United Kingdom",BG49="Australia",BG49="Netherlands Antilles",BG49="Bermuda",BG49="Cayman Islands",BG49="British Virgin Islands",BG49="Channel Islands",BG49="Isle of Man",BG49="Australia",BG49="Netherlands",BG49="Germany",BG49="Sweden",BG49="Switzerland",BG49="Austria",BG49="Belgium",BG49="Denmark",BG49="Finland",BG49="Iceland",BG49="Ireland",BG49="Lichtenstein",BG49="Luxemborg",BG49="Norway"),DV49,0)</f>
        <v/>
      </c>
      <c r="DX49" s="539">
        <f>DW49*DW$6</f>
        <v/>
      </c>
      <c r="DY49" s="538">
        <f>DV49-DX49</f>
        <v/>
      </c>
      <c r="DZ49" s="538">
        <f>IF(BI49="Yes",DY49,0)</f>
        <v/>
      </c>
      <c r="EA49" s="539">
        <f>DZ49*DZ$6</f>
        <v/>
      </c>
      <c r="EB49" s="538">
        <f>DY49-EA49</f>
        <v/>
      </c>
      <c r="EC49" s="538">
        <f>IF(OR(Z49="Delayed Draw",Z49="Revolver"),EB49,0)</f>
        <v/>
      </c>
      <c r="ED49" s="539">
        <f>EC49*EC$6</f>
        <v/>
      </c>
      <c r="EE49" s="538">
        <f>EB49-ED49</f>
        <v/>
      </c>
      <c r="EF49" s="538">
        <f>IF(S49="Yes",EE49,0)</f>
        <v/>
      </c>
      <c r="EG49" s="539">
        <f>EF49*EF$6</f>
        <v/>
      </c>
      <c r="EH49" s="538">
        <f>EE49-EG49</f>
        <v/>
      </c>
      <c r="EI49" s="538">
        <f>IF(Q49="Yes",EH49,0)</f>
        <v/>
      </c>
      <c r="EJ49" s="539">
        <f>EI49*EI$6</f>
        <v/>
      </c>
      <c r="EK49" s="538">
        <f>EH49-EJ49</f>
        <v/>
      </c>
      <c r="EL49" s="538">
        <f>IF(BD49="Semi-Annually",EK49,0)</f>
        <v/>
      </c>
      <c r="EM49" s="539">
        <f>EL49*EL$6</f>
        <v/>
      </c>
      <c r="EN49" s="538">
        <f>EK49-EM49</f>
        <v/>
      </c>
      <c r="EO49" s="538">
        <f>IF(BK49="Yes",EN49,0)</f>
        <v/>
      </c>
      <c r="EP49" s="539">
        <f>EO49*EO$6</f>
        <v/>
      </c>
      <c r="EQ49" s="538">
        <f>EN49-EP49</f>
        <v/>
      </c>
      <c r="ER49" s="538">
        <f>IF(BL49="Yes",EQ49,0)</f>
        <v/>
      </c>
      <c r="ES49" s="539">
        <f>ER49*ER$6</f>
        <v/>
      </c>
      <c r="ET49" s="538">
        <f>EQ49-ES49</f>
        <v/>
      </c>
      <c r="EU49" s="538">
        <f>IF(BM49="Yes",ET49,0)</f>
        <v/>
      </c>
      <c r="EV49" s="539">
        <f>EU49*EU$6</f>
        <v/>
      </c>
      <c r="EW49" s="538">
        <f>ET49-EV49</f>
        <v/>
      </c>
      <c r="EX49" s="538">
        <f>IF(BV49="Yes",EW49,0)</f>
        <v/>
      </c>
      <c r="EY49" s="539">
        <f>EX49*EX$6</f>
        <v/>
      </c>
      <c r="EZ49" s="538">
        <f>EW49-EY49</f>
        <v/>
      </c>
      <c r="FA49" s="538">
        <f>IF(AR49="Yes",EZ49,0)</f>
        <v/>
      </c>
      <c r="FB49" s="539">
        <f>FA49*FA$6</f>
        <v/>
      </c>
      <c r="FC49" s="538">
        <f>EZ49-FB49</f>
        <v/>
      </c>
      <c r="FD49" s="538">
        <f>IF(OR(BF49="EUR",BF49="AUD",BF49="CAD",BF49="GBP"),FC49,0)</f>
        <v/>
      </c>
      <c r="FE49" s="539">
        <f>FD49*FD$6</f>
        <v/>
      </c>
      <c r="FF49" s="538">
        <f>FC49-FE49</f>
        <v/>
      </c>
      <c r="FG49" s="538">
        <f>FF49</f>
        <v/>
      </c>
      <c r="FH49" s="538">
        <f>IF(FF49=0,0,VLOOKUP(C49,$GU$10:$GV$406,2,FALSE)*FF49)</f>
        <v/>
      </c>
      <c r="FI49" s="538">
        <f>FF49-FH49</f>
        <v/>
      </c>
      <c r="FJ49" s="538">
        <f>FI49</f>
        <v/>
      </c>
      <c r="FK49" s="538">
        <f>IF(OR(IB49="",FI49&lt;0.01),,VLOOKUP(IB49,$GL$10:$GM$406,2,FALSE)*FI49)</f>
        <v/>
      </c>
      <c r="FL49" s="538">
        <f>FI49-FK49</f>
        <v/>
      </c>
      <c r="FM49" s="538">
        <f>FL49</f>
        <v/>
      </c>
      <c r="FN49" s="538">
        <f>IF(FL49=0,0,VLOOKUP(C49,$HD$10:$HE$406,2,FALSE)*FL49)</f>
        <v/>
      </c>
      <c r="FO49" s="538">
        <f>FL49-FN49</f>
        <v/>
      </c>
      <c r="FP49" s="538">
        <f>IF(SUM(CY49:DC49)&gt;0,0,IF(AND(AL49&gt;=5000000,AL49&lt;7500000),FO49,0))</f>
        <v/>
      </c>
      <c r="FQ49" s="539">
        <f>IF(B49="",0,FP49*FP$6*(1-$U49))</f>
        <v/>
      </c>
      <c r="FR49" s="538">
        <f>FO49-FQ49</f>
        <v/>
      </c>
      <c r="FS49" s="538">
        <f>IF(SUM(CY49:DC49)&gt;0,0,IF(AL49&lt;15000000,FR49,0))</f>
        <v/>
      </c>
      <c r="FT49" s="539">
        <f>IF(B49="",0,FS49*FS$6*(1-$U49))</f>
        <v/>
      </c>
      <c r="FU49" s="538">
        <f>FR49-FT49</f>
        <v/>
      </c>
      <c r="FV49" s="538">
        <f>IF(SUM(CY49:DC49)&gt;0,0,IF(OR(AND(X49="No",AN49="Tier 1",AI49&gt;$AG$3),AND(X49="No",AN49="Tier 2",AI49&gt;$AH$3),AND(X49="No",AN49="Tier 3",AI49&gt;$AI$3)),FU49,0))</f>
        <v/>
      </c>
      <c r="FW49" s="538">
        <f>IF(SUM(CY49:DC49)&gt;0,0,IF(OR(AND(X49="No",AN49="Tier 1",AJ49&gt;$AG$4),AND(X49="No",AN49="Tier 2",AJ49&gt;$AH$4),AND(X49="No",AN49="Tier 3",AJ49&gt;$AI$4)),FU49,0))</f>
        <v/>
      </c>
      <c r="FX49" s="538">
        <f>IF(SUM(CY49:DC49)&gt;0,0,IF(OR(AND(X49="Yes",AN49="Tier 1",AJ49&gt;$AG$5),AND(X49="Yes",AN49="Tier 2",AJ49&gt;$AH$5),AND(X49="Yes",AN49="Tier 3",AJ49&gt;$AI$5)),FU49,0))</f>
        <v/>
      </c>
      <c r="FY49" s="538">
        <f>IF(SUM(FV49:FX49)&gt;0,FU49,0)</f>
        <v/>
      </c>
      <c r="FZ49" s="539">
        <f>IF(B49="",0,FY49*FV$6*(1-MIN(90%,T49)))</f>
        <v/>
      </c>
      <c r="GA49" s="538">
        <f>FU49-FZ49</f>
        <v/>
      </c>
      <c r="GB49" s="538">
        <f>IF(AND(N49="No",DI49=0),GA49,IF(AND(N49="No",DI49&lt;&gt;0,K49=0),0,IF(AND(N49="No",DI49&lt;&gt;0,K49&gt;0,J49&lt;&gt;K49),MAX(0,M49-(DH49-GA49)),DG49)))</f>
        <v/>
      </c>
      <c r="GC49" s="540">
        <f>+GB49*V49</f>
        <v/>
      </c>
      <c r="GD49" s="138">
        <f>IFERROR(GC49/K49,"")</f>
        <v/>
      </c>
      <c r="GE49" s="541">
        <f>IF(IB49="","",IB49)</f>
        <v/>
      </c>
      <c r="GF49" s="538">
        <f t="array" ref="GF49">IF(SUM(IF(IB$9:IB48=IB49,1,0))&gt;0,0,SUMIF($IB$10:$IB$406,IB49,$FI$10:$FI$406))</f>
        <v/>
      </c>
      <c r="GG49" s="270">
        <f>GF49</f>
        <v/>
      </c>
      <c r="GH49" s="137">
        <f>GH48+1</f>
        <v/>
      </c>
      <c r="GI49" s="542">
        <f>LARGE($GG$10:$GG$406,GH49)</f>
        <v/>
      </c>
      <c r="GJ49" s="542">
        <f>IF(GH49&gt;GH$6,0,IF(GH49=$GH$2,$GJ$2,IF(GH49&lt;4,$GJ$3,$GJ$4)))</f>
        <v/>
      </c>
      <c r="GK49" s="489">
        <f>MAX(0,GI49-GJ49)</f>
        <v/>
      </c>
      <c r="GL49" s="137">
        <f t="array" ref="GL49">IF(GI49=0,0,LARGE(IF($GF$10:$GF$406=GI49,$GE$10:$GE$406,0),COUNTIF($GI$10:$GI$406,GI49)-COUNTIF(GI$9:GI48,GI49)))</f>
        <v/>
      </c>
      <c r="GM49" s="272">
        <f>IF(GI49=0,0,GK49/GI49)</f>
        <v/>
      </c>
      <c r="GO49" s="137">
        <f>IF(C49="","",IF(ISERROR(MATCH(C49,C$10:C48,0)),MAX(GO$10:GO48)+1,INDEX(GO$10:GO48,MATCH(C49,C$10:C48,0))))</f>
        <v/>
      </c>
      <c r="GP49" s="538">
        <f>IF(COUNTIF($A$10:A49,A49)&lt;=1,SUMIF($A$10:$A$406,A49,$FG$10:$FG$406),0)</f>
        <v/>
      </c>
      <c r="GQ49" s="137">
        <f>GQ48+1</f>
        <v/>
      </c>
      <c r="GR49" s="542">
        <f>LARGE($GP$10:$GP$406,GQ49)</f>
        <v/>
      </c>
      <c r="GS49" s="542">
        <f>IF(GQ49&gt;GQ$6,0,IF(GQ49&lt;=GQ$2,GS$2,IF(AND(GQ49&lt;=$GQ$3,GQ49&gt;$GQ$2),GS$3,GS$4)))</f>
        <v/>
      </c>
      <c r="GT49" s="489">
        <f>MAX(0,GR49-GS49)</f>
        <v/>
      </c>
      <c r="GU49" s="137">
        <f t="array" ref="GU49">IF(GR49=0,0,LARGE(IF($GP$10:$GP$406=GR49,$GO$10:$GO$406,0),COUNTIF($GR$10:$GR$406,GR49)-COUNTIF(GR$9:GR48,GR49)))</f>
        <v/>
      </c>
      <c r="GV49" s="272">
        <f>IF(GR49=0,0,GT49/GR49)</f>
        <v/>
      </c>
      <c r="GW49" s="272" t="n"/>
      <c r="GX49" s="137">
        <f>IF(C49="","",IF(ISERROR(MATCH(C49,C$10:C48,0)),MAX(GO$10:GO48)+1,INDEX(GO$10:GO48,MATCH(C49,C$10:C48,0))))</f>
        <v/>
      </c>
      <c r="GY49" s="538">
        <f>IF(COUNTIF($A$10:A49,A49)&lt;=1,SUMIF($A$10:$A$406,A49,$FG$10:$FG$406),0)</f>
        <v/>
      </c>
      <c r="GZ49" s="137">
        <f>GZ48+1</f>
        <v/>
      </c>
      <c r="HA49" s="542">
        <f>LARGE($GY$10:$GY$406,GZ49)</f>
        <v/>
      </c>
      <c r="HB49" s="543" t="inlineStr">
        <is>
          <t>-</t>
        </is>
      </c>
      <c r="HC49" s="489">
        <f>IF(GZ49&lt;6,MAX(0,$HC$2/5),0)</f>
        <v/>
      </c>
      <c r="HD49" s="137">
        <f t="array" ref="HD49">IF(HA49=0,0,LARGE(IF($GY$10:$GY$406=HA49,$GX$10:$GX$406,0),COUNTIF($HA$10:$HA$406,HA49)-COUNTIF(HA$9:HA48,HA49)))</f>
        <v/>
      </c>
      <c r="HE49" s="272">
        <f>IF(HA49=0,0,HC49/HA49)</f>
        <v/>
      </c>
      <c r="HF49" s="272" t="n"/>
      <c r="HG49" s="270">
        <f>DG49-GA49</f>
        <v/>
      </c>
      <c r="HH49" s="544" t="n">
        <v>0</v>
      </c>
      <c r="HI49" s="538">
        <f>MIN(HH49,DE49)</f>
        <v/>
      </c>
      <c r="HK49" s="137">
        <f>IF(COUNTIF($C$10:$C$406,HK48+1),HK48+1,"")</f>
        <v/>
      </c>
      <c r="HL49" s="538">
        <f>SUMIF($C$10:$C$406,HK49,$DG$10:$DG$406)</f>
        <v/>
      </c>
      <c r="HN49" s="521">
        <f>MIN(HO49:HS49)</f>
        <v/>
      </c>
      <c r="HO49" s="521">
        <f>IF(B49="","",$M49)</f>
        <v/>
      </c>
      <c r="HP49" s="521">
        <f>IF($N49="Yes",IF(P49&gt;=6,0,MIN($T49*$M49,$U49*$M49)),"")</f>
        <v/>
      </c>
      <c r="HQ49" s="521">
        <f>IF(AND(N49="Yes",P49&gt;=6),"",IF($S49="Yes",$R49*$M49,""))</f>
        <v/>
      </c>
      <c r="HR49" s="521">
        <f>IF($Q49="Yes",MIN($M49,$T49*$M49),"")</f>
        <v/>
      </c>
      <c r="HS49" s="521">
        <f>IF(AND($N49="Yes",$P49&gt;=6),"",IF(OR(CY49=1,DC49=1,),MIN($T49*$M49,$U49*$M49),IF(OR(CZ49=1,DA49=1,DB49=1),IF(AK49&gt;=5000000,MIN($T49*$M49,$IE49*$M49),MIN($T49*$M49,$U49*$M49)),"")))</f>
        <v/>
      </c>
      <c r="HT49" s="521">
        <f>IF(DD49&gt;0,DD49,"")</f>
        <v/>
      </c>
      <c r="HU49" s="522">
        <f>IF(B49="",0,$L49-$M49)</f>
        <v/>
      </c>
      <c r="HV49" s="274">
        <f>IF(OR(SUM(HP49:HT49)&gt;0,P49&gt;=6),"",IF($B49="","",1))</f>
        <v/>
      </c>
      <c r="HW49" s="522">
        <f>IF(AND($HT49&lt;&gt;0,OR(HT49&lt;=MIN(HP49:HS49),SUM(HP49:HS49)=0)),$HT49,0)</f>
        <v/>
      </c>
      <c r="HX49" s="522">
        <f>IF(AND($HS49&lt;&gt;0,OR(AND($HS49&lt;&gt;$HT49,$HS49&lt;&gt;$HR49,$HS49&lt;&gt;$HQ49,$HS49&lt;&gt;$HP49,$HS49&lt;MIN($HP49:$HR49),$HS49&lt;HT49),SUM($HP49:$HR49)+SUM(HT49)=0),IA49&lt;=0),$HS49,0)</f>
        <v/>
      </c>
      <c r="HY49" s="522">
        <f>IF(AND($HR49&lt;&gt;0,OR(AND($HR49&lt;&gt;$HT49,$HR49&lt;&gt;$HS49,$HR49&lt;&gt;$HQ49,$HR49&lt;&gt;$HP49),$HR49&lt;MIN($HP49:$HQ49),$HR49&lt;MIN($HS49:$HT49),SUM($HP49:$HQ49)+SUM($HS49:$HT49)=0)),$HR49,0)</f>
        <v/>
      </c>
      <c r="HZ49" s="522">
        <f>IF(AND($HQ49&lt;&gt;0,OR(AND($HQ49&lt;&gt;$HT49,HQ49&lt;&gt;HS49,HQ49&lt;&gt;HR49,HQ49&lt;&gt;HP49,HQ49&lt;MIN(HR49:HT49)),SUM(HP49)+SUM(HR49:HT49)=0)),$HQ49,0)</f>
        <v/>
      </c>
      <c r="IA49" s="522">
        <f>IF(AND($HP49&lt;&gt;0,OR(HP49&lt;=MIN(HQ49:HT49),SUM(HQ49:HT49)=0)),$HP49,0)</f>
        <v/>
      </c>
      <c r="IB49" s="545" t="n">
        <v>47</v>
      </c>
      <c r="IC49">
        <f>HU49=DF49</f>
        <v/>
      </c>
      <c r="IE49" s="351">
        <f>IF(B49="","",IF(AND(Y49="Second Lien",OR(CZ49=1,DA49=1,DB49=1)),50%,IF(CZ49=1,90%,IF(DA49=1,80%,IF(DB49=1,65%,"No Initial Haircut")))))</f>
        <v/>
      </c>
    </row>
    <row r="50">
      <c r="A50">
        <f>D50</f>
        <v/>
      </c>
      <c r="B50" s="242">
        <f>IF(D50="","",B49+1)</f>
        <v/>
      </c>
      <c r="C50" s="242">
        <f>IF(COUNTIF($A$10:A49,A50)&gt;0,C49,C49+1)</f>
        <v/>
      </c>
      <c r="D50" s="243" t="inlineStr">
        <is>
          <t>Ashwood Holdings, LLC</t>
        </is>
      </c>
      <c r="E50" s="243" t="inlineStr">
        <is>
          <t>Ashwood (Term Loan)</t>
        </is>
      </c>
      <c r="F50" s="244" t="n"/>
      <c r="G50" s="528" t="n">
        <v>4310149.25</v>
      </c>
      <c r="H50" s="528" t="n">
        <v>4310149.25</v>
      </c>
      <c r="I50" s="246" t="n">
        <v>1</v>
      </c>
      <c r="J50" s="529">
        <f>IF(B50="","",G50*I50)</f>
        <v/>
      </c>
      <c r="K50" s="529">
        <f>IF(B50="","",H50*I50)</f>
        <v/>
      </c>
      <c r="L50" s="529">
        <f>IF(B50="","",IF(COUNTIF($CE50:$CX50,1)&gt;0,0,J50))</f>
        <v/>
      </c>
      <c r="M50" s="529">
        <f>IF(B50="","",IF(COUNTIF($CE50:$CX50,1)&gt;0,0,K50))</f>
        <v/>
      </c>
      <c r="N50" s="248" t="inlineStr">
        <is>
          <t>No</t>
        </is>
      </c>
      <c r="O50" s="248" t="inlineStr">
        <is>
          <t>N/A</t>
        </is>
      </c>
      <c r="P50" s="249">
        <f>IF(B50="","",IF(OR(O50="N/A",O50=""),0,YEARFRAC('Borrowing Base'!$J$4,'Loan List'!O50)*12))</f>
        <v/>
      </c>
      <c r="Q50" s="248" t="inlineStr">
        <is>
          <t>No</t>
        </is>
      </c>
      <c r="R50" s="250" t="n">
        <v>0.9799999999999999</v>
      </c>
      <c r="S50" s="251">
        <f>IF(B50="","",IF(R50&lt;95%,"Yes","No"))</f>
        <v/>
      </c>
      <c r="T50" s="250" t="n">
        <v>0.9500000005800263</v>
      </c>
      <c r="U50" s="252">
        <f>IF(B50="","",IF(OR(Y50="First Lien",Y50="Split First Lien",Y50="Tier 1 Split Lien",Y50="Tier 2 Split Lien"),50%,30%))</f>
        <v/>
      </c>
      <c r="V50" s="252">
        <f>IF(B50="",0,IF(AND(Y50="First Lien",AN50="Tier 1"),IF(AND(X50="Yes",MIN(AH50,$AJ$5)&gt;4.5),(((4.5/MIN(AH50,$AJ$5))*72.5%)+(((MIN(AH50,$AJ$5)-4.5)/MIN(AH50,$AJ$5))*35%)),72.5%),IF(AND(Y50="First Lien",AN50="Tier 2"),IF(AND(X50="Yes",MIN(AH50,$AK$5)&gt;4.5),(((4.5/MIN(AH50,$AK$5))*72.5%)+(((MIN(AH50,$AK$5)-4.5)/MIN(AH50,$AK$5))*35%)),72.5%),IF(AND(X50="Yes",MIN(AH50,$AL$5)&gt;4),(((4/MIN(AH50,$AL$5))*72.5%)+(((MIN(AH50,$AL$5)-4)/MIN(AH50,$AL$5))*35%)),IF(OR(Y50="First Lien",Y50="Split First Lien"),72.5%,IF(Y50="Split Lien", 53%,35%))))))</f>
        <v/>
      </c>
      <c r="W50" s="530">
        <f>IF($C50="","",MIN($HO50:$HS50))</f>
        <v/>
      </c>
      <c r="X50" s="248" t="inlineStr">
        <is>
          <t>No</t>
        </is>
      </c>
      <c r="Y50" s="254" t="inlineStr">
        <is>
          <t>First Lien</t>
        </is>
      </c>
      <c r="Z50" s="254" t="inlineStr">
        <is>
          <t>Term</t>
        </is>
      </c>
      <c r="AA50" s="531" t="inlineStr">
        <is>
          <t>NR</t>
        </is>
      </c>
      <c r="AB50" s="531" t="inlineStr">
        <is>
          <t xml:space="preserve"> NR</t>
        </is>
      </c>
      <c r="AC50" s="532" t="n">
        <v>1.8</v>
      </c>
      <c r="AD50" s="532" t="n">
        <v>5.341069701703489</v>
      </c>
      <c r="AE50" s="532" t="n">
        <v>8.305299539170507</v>
      </c>
      <c r="AF50" s="257" t="n">
        <v>0.4876</v>
      </c>
      <c r="AG50" s="533" t="n">
        <v>5.341069701703489</v>
      </c>
      <c r="AH50" s="533" t="n">
        <v>5.341069701703489</v>
      </c>
      <c r="AI50" s="533" t="n">
        <v>8.82072412861389</v>
      </c>
      <c r="AJ50" s="533" t="n">
        <v>8.82072412861389</v>
      </c>
      <c r="AK50" s="534" t="n">
        <v>13443000</v>
      </c>
      <c r="AL50" s="534" t="n">
        <v>7402000</v>
      </c>
      <c r="AM50" s="276" t="n">
        <v>45838</v>
      </c>
      <c r="AN50" s="529">
        <f>IF(C50="","",(IF(AK50&gt;=50000000,"Tier 1",(IF(OR(AK50&gt;=20000000,AND(AK50&gt;5000000,AC50&gt;=1.25,AF50&lt;=0.65)),"Tier 2","Tier 3")))))</f>
        <v/>
      </c>
      <c r="AO50" s="244" t="n">
        <v>46701</v>
      </c>
      <c r="AP50" s="535" t="n">
        <v>2.277777777777778</v>
      </c>
      <c r="AQ50" s="535">
        <f>IF(C50="","",AP50)</f>
        <v/>
      </c>
      <c r="AR50" s="248" t="inlineStr">
        <is>
          <t>No</t>
        </is>
      </c>
      <c r="AS50" s="250" t="n">
        <v>0</v>
      </c>
      <c r="AT50" s="248" t="inlineStr">
        <is>
          <t>Yes</t>
        </is>
      </c>
      <c r="AU50" s="250" t="n">
        <v>0.01</v>
      </c>
      <c r="AV50" s="250" t="n">
        <v>0.0615</v>
      </c>
      <c r="AW50" s="250" t="n">
        <v>0.04295600000000001</v>
      </c>
      <c r="AX50" s="262">
        <f>IF(C50="","",MAX(AU50,AW50))</f>
        <v/>
      </c>
      <c r="AY50" s="250" t="n">
        <v>0</v>
      </c>
      <c r="AZ50" s="250" t="n">
        <v>0</v>
      </c>
      <c r="BA50" s="250" t="n">
        <v>0</v>
      </c>
      <c r="BB50" s="412">
        <f>IF(B50="","",IF(AR50="No",AV50-AZ50,""))</f>
        <v/>
      </c>
      <c r="BC50" s="412">
        <f>IF(B50="","",IF(AR50="Yes",AS50-BA50,""))</f>
        <v/>
      </c>
      <c r="BD50" s="254" t="inlineStr">
        <is>
          <t>Quarterly</t>
        </is>
      </c>
      <c r="BE50" s="536" t="inlineStr">
        <is>
          <t>Personal Products</t>
        </is>
      </c>
      <c r="BF50" s="254" t="inlineStr">
        <is>
          <t>USD</t>
        </is>
      </c>
      <c r="BG50" s="254" t="inlineStr">
        <is>
          <t>United States</t>
        </is>
      </c>
      <c r="BH50" s="248" t="inlineStr">
        <is>
          <t>No</t>
        </is>
      </c>
      <c r="BI50" s="413">
        <f>IF(B50="","",IF(OR(AND(AZ50&gt;0,BB50&gt;=2.5%,BB50&lt;4%),AND(BA50&gt;0,BC50&gt;=6%,BC50&lt;8%)),"Yes","No"))</f>
        <v/>
      </c>
      <c r="BJ50" s="413">
        <f>IF(B50="","",IF(OR(AND(AZ50&gt;0,BB50&lt;2.5%),AND(BA50&gt;0,BC50&lt;6%)),"Yes","No"))</f>
        <v/>
      </c>
      <c r="BK50" s="248" t="inlineStr">
        <is>
          <t>No</t>
        </is>
      </c>
      <c r="BL50" s="248" t="inlineStr">
        <is>
          <t>No</t>
        </is>
      </c>
      <c r="BM50" s="248" t="inlineStr">
        <is>
          <t>No</t>
        </is>
      </c>
      <c r="BN50" s="248" t="inlineStr">
        <is>
          <t>No</t>
        </is>
      </c>
      <c r="BO50" s="248" t="inlineStr">
        <is>
          <t>No</t>
        </is>
      </c>
      <c r="BP50" s="248" t="inlineStr">
        <is>
          <t>No</t>
        </is>
      </c>
      <c r="BQ50" s="248" t="inlineStr">
        <is>
          <t>No</t>
        </is>
      </c>
      <c r="BR50" s="248" t="inlineStr">
        <is>
          <t>No</t>
        </is>
      </c>
      <c r="BS50" s="248" t="inlineStr">
        <is>
          <t>No</t>
        </is>
      </c>
      <c r="BT50" s="248" t="inlineStr">
        <is>
          <t>No</t>
        </is>
      </c>
      <c r="BU50" s="248" t="inlineStr">
        <is>
          <t>No</t>
        </is>
      </c>
      <c r="BV50" s="248" t="inlineStr">
        <is>
          <t>No</t>
        </is>
      </c>
      <c r="BW50" s="248" t="inlineStr">
        <is>
          <t>No</t>
        </is>
      </c>
      <c r="BX50" s="248" t="inlineStr">
        <is>
          <t>No</t>
        </is>
      </c>
      <c r="BY50" s="248" t="inlineStr">
        <is>
          <t>No</t>
        </is>
      </c>
      <c r="BZ50" s="248" t="inlineStr">
        <is>
          <t>No</t>
        </is>
      </c>
      <c r="CA50" s="248" t="inlineStr">
        <is>
          <t>Yes</t>
        </is>
      </c>
      <c r="CB50" s="537">
        <f>IF(B50="","",IF(AT50="No",((BB50+AW50)-$AZ$4),((BB50+AX50)-$AZ$4))*IF(DD50&gt;0,0,M50))</f>
        <v/>
      </c>
      <c r="CC50" s="537">
        <f>IF(B50="","",AY50*(L50-M50)*IF(DD50&gt;0,0,1))</f>
        <v/>
      </c>
      <c r="CD50" s="265" t="n"/>
      <c r="CE50" s="265">
        <f>IF(AND(B50&lt;&gt;"",R50&lt;=85%),1,0)</f>
        <v/>
      </c>
      <c r="CF50" s="265">
        <f>IF(B50="",0,(IF(OR(BF50="USD",BF50="CAD",BF50="GBP",BF50="AUD",BF50="EUR"),0,1)))</f>
        <v/>
      </c>
      <c r="CG50" s="265">
        <f>IF(B50="",0,(IF(OR(BG50="United States",BG50="Canada",BG50="United Kingdom",BG50="Australia",BG50="Netherlands Antilles",BG50="Bermuda",BG50="Cayman Islands",BG50="British Virgin Islands",BG50="Channel Islands",BG50="Isle of Man",BG50="Australia",BG50="Netherlands",BG50="Germany",BG50="Sweden",BG50="Switzerland",BG50="Austria",BG50="Belgium",BG50="Denmark",BG50="Finland",BG50="Iceland",BG50="Ireland",BG50="Lichtenstein",BG50="Luxemborg",BG50="Norway"),0,1)))</f>
        <v/>
      </c>
      <c r="CH50" s="265">
        <f>IF(BN50="Yes",1,0)</f>
        <v/>
      </c>
      <c r="CI50" s="265">
        <f>IF(BO50="Yes",1,0)</f>
        <v/>
      </c>
      <c r="CJ50" s="265">
        <f>IF(BP50="Yes",1,0)</f>
        <v/>
      </c>
      <c r="CK50" s="265">
        <f>IF(BQ50="Yes",1,0)</f>
        <v/>
      </c>
      <c r="CL50" s="265">
        <f>IF(BR50="Yes",1,0)</f>
        <v/>
      </c>
      <c r="CM50" s="265">
        <f>IF(BS50="Yes",1,0)</f>
        <v/>
      </c>
      <c r="CN50" s="265">
        <f>IF(OR(AND(BJ50="Yes",N50="No"),AND(BJ50="Yes",N50="Yes",P50&gt;=6)),1,0)</f>
        <v/>
      </c>
      <c r="CO50" s="265">
        <f>IF(BT50="Yes",1,0)</f>
        <v/>
      </c>
      <c r="CP50" s="265">
        <f>IF(AND(BU50="Yes",BV50="No"),1,0)</f>
        <v/>
      </c>
      <c r="CQ50" s="265">
        <f>IF(BW50="Yes",1,0)</f>
        <v/>
      </c>
      <c r="CR50" s="265">
        <f>IF(AP50="",0,IF(AP50&gt;7,1,0))</f>
        <v/>
      </c>
      <c r="CS50" s="265">
        <f>IF(OR(BD50&lt;&gt;"Monthly",BD50&lt;&gt;"Quarterly",BD50&lt;&gt;"Semi-Annually"),0,1)</f>
        <v/>
      </c>
      <c r="CT50" s="265">
        <f>IF(BX50="Yes",1,0)</f>
        <v/>
      </c>
      <c r="CU50" s="265">
        <f>IF(BY50="Yes",1,0)</f>
        <v/>
      </c>
      <c r="CV50" s="265">
        <f>IF(BZ50="Yes",1,0)</f>
        <v/>
      </c>
      <c r="CW50" s="265">
        <f>IF(CA50="No",1,0)</f>
        <v/>
      </c>
      <c r="CX50" s="265">
        <f>IF(B50="",0,IF(AK50&gt;=5000000,0,1))</f>
        <v/>
      </c>
      <c r="CY50" s="265">
        <f>IF(B50="",0,IF(AL50&gt;=5000000,0,1))</f>
        <v/>
      </c>
      <c r="CZ50" s="265">
        <f>IF(OR(DA50=1,DB50=1,DC50=1),0,IF(B50="",0,IF(OR(AND(AN50="Tier 1",X50="No",OR(AI50&gt;$AJ$3,AJ50&gt;$AJ$4)),(AND(AN50="Tier 1",X50="Yes",AJ50&gt;$AJ$5)),(AND(AN50="Tier 2",X50="No",OR(AI50&gt;$AK$3,AJ50&gt;$AK$4))),(AND(AN50="Tier 2",X50="Yes",AJ50&gt;$AK$5)),(AND(AN50="Tier 3",X50="No",OR(AI50&gt;$AL$3,AJ50&gt;$AL$4))),(AND(AN50="Tier 3",X50="Yes",AJ50&gt;$AL$5))),1,0)))</f>
        <v/>
      </c>
      <c r="DA50" s="265">
        <f>IF(OR(DB50=1,DC50=1),0,IF(B50="",0,IF(OR(AND(AN50="Tier 1",X50="No",OR(AI50&gt;$AM$3,AJ50&gt;$AM$4)),(AND(AN50="Tier 1",X50="Yes",AJ50&gt;$AM$5)),(AND(AN50="Tier 2",X50="No",OR(AI50&gt;$AN$3,AJ50&gt;$AN$4))),(AND(AN50="Tier 2",X50="Yes",AJ50&gt;$AN$5)),(AND(AN50="Tier 3",X50="No",OR(AI50&gt;$AO$3,AJ50&gt;$AO$4))),(AND(AN50="Tier 3",X50="Yes",AJ50&gt;$AO$5))),1,0)))</f>
        <v/>
      </c>
      <c r="DB50" s="265">
        <f>IF(DC50=1,0,IF(B50="",0,IF(OR(AND(AN50="Tier 1",X50="No",OR(AI50&gt;$AP$3,AJ50&gt;$AP$4)),(AND(AN50="Tier 1",X50="Yes",AJ50&gt;$AP$5)),(AND(AN50="Tier 2",X50="No",OR(AI50&gt;$AQ$3,AJ50&gt;$AQ$4))),(AND(AN50="Tier 2",X50="Yes",AJ50&gt;$AQ$5)),(AND(AN50="Tier 3",X50="No",OR(AI50&gt;$AR$3,AJ50&gt;$AR$4))),(AND(AN50="Tier 3",X50="Yes",AJ50&gt;$AR$5))),1,0)))</f>
        <v/>
      </c>
      <c r="DC50" s="265">
        <f>IF(B50="",0,IF(OR(AND(AN50="Tier 1",X50="No",OR(AI50&gt;$AS$3,AJ50&gt;$AS$4)),(AND(AN50="Tier 1",X50="Yes",AJ50&gt;$AS$5)),(AND(AN50="Tier 2",X50="No",OR(AI50&gt;$AT$3,AJ50&gt;$AT$4))),(AND(AN50="Tier 2",X50="Yes",AJ50&gt;$AT$5)),(AND(AN50="Tier 3",X50="No",OR(AI50&gt;$AU$3,AJ50&gt;$AU$4))),(AND(AN50="Tier 3",X50="Yes",AJ50&gt;$AU$5))),1,0))</f>
        <v/>
      </c>
      <c r="DD50" s="265">
        <f>IF((SUM(CE50:CX50)=0),0,W50)</f>
        <v/>
      </c>
      <c r="DE50" s="265">
        <f>IF(OR(B50="",DD50&gt;0),0,W50)</f>
        <v/>
      </c>
      <c r="DF50" s="265">
        <f>IF(B50="",0,IF(COUNTIF(CE50:CX50,1)&gt;0,0,L50-M50))</f>
        <v/>
      </c>
      <c r="DG50" s="265">
        <f>DE50+IF(DD50&gt;0,0,DF50)</f>
        <v/>
      </c>
      <c r="DH50" s="265">
        <f>IF(B50="","",M50+DF50)</f>
        <v/>
      </c>
      <c r="DI50" s="265">
        <f>IF(B50="",0,J50-K50)</f>
        <v/>
      </c>
      <c r="DJ50" s="265">
        <f>IF(OR(BF50="EUR",BF50="CAD",BF50="GBP",BF50="AUD"),(GA50*(1-V50))+(HG50)+IF(HX50="",0,HX50*(1-U50)),0)</f>
        <v/>
      </c>
      <c r="DK50" s="265">
        <f>IF(BF50="EUR",33%,IF(BF50="CAD",38%,IF(BF50="GBP",51%,IF(BF50="AUD",61%,0))))</f>
        <v/>
      </c>
      <c r="DL50" s="265">
        <f>DJ50*DK50</f>
        <v/>
      </c>
      <c r="DN50" s="538">
        <f>IF(OR(Y50="Second Lien",Y50="Tier 1 Split Lien",Y50="Tier 2 Split Lien"),DG50,0)</f>
        <v/>
      </c>
      <c r="DO50" s="539">
        <f>DN50*DN$6</f>
        <v/>
      </c>
      <c r="DP50" s="538">
        <f>DG50-DO50</f>
        <v/>
      </c>
      <c r="DQ50" s="538">
        <f>IF(Y50="Second Lien",DP50,0)</f>
        <v/>
      </c>
      <c r="DR50" s="539">
        <f>DQ50*DQ$6</f>
        <v/>
      </c>
      <c r="DS50" s="538">
        <f>DP50-DR50</f>
        <v/>
      </c>
      <c r="DT50" s="538">
        <f>IF(BH50="Yes",DS50,0)</f>
        <v/>
      </c>
      <c r="DU50" s="539">
        <f>DT50*DT$6</f>
        <v/>
      </c>
      <c r="DV50" s="538">
        <f>DS50-DU50</f>
        <v/>
      </c>
      <c r="DW50" s="538">
        <f>IF(OR(BG50="Canada",BG50="United Kingdom",BG50="Australia",BG50="Netherlands Antilles",BG50="Bermuda",BG50="Cayman Islands",BG50="British Virgin Islands",BG50="Channel Islands",BG50="Isle of Man",BG50="Australia",BG50="Netherlands",BG50="Germany",BG50="Sweden",BG50="Switzerland",BG50="Austria",BG50="Belgium",BG50="Denmark",BG50="Finland",BG50="Iceland",BG50="Ireland",BG50="Lichtenstein",BG50="Luxemborg",BG50="Norway"),DV50,0)</f>
        <v/>
      </c>
      <c r="DX50" s="539">
        <f>DW50*DW$6</f>
        <v/>
      </c>
      <c r="DY50" s="538">
        <f>DV50-DX50</f>
        <v/>
      </c>
      <c r="DZ50" s="538">
        <f>IF(BI50="Yes",DY50,0)</f>
        <v/>
      </c>
      <c r="EA50" s="539">
        <f>DZ50*DZ$6</f>
        <v/>
      </c>
      <c r="EB50" s="538">
        <f>DY50-EA50</f>
        <v/>
      </c>
      <c r="EC50" s="538">
        <f>IF(OR(Z50="Delayed Draw",Z50="Revolver"),EB50,0)</f>
        <v/>
      </c>
      <c r="ED50" s="539">
        <f>EC50*EC$6</f>
        <v/>
      </c>
      <c r="EE50" s="538">
        <f>EB50-ED50</f>
        <v/>
      </c>
      <c r="EF50" s="538">
        <f>IF(S50="Yes",EE50,0)</f>
        <v/>
      </c>
      <c r="EG50" s="539">
        <f>EF50*EF$6</f>
        <v/>
      </c>
      <c r="EH50" s="538">
        <f>EE50-EG50</f>
        <v/>
      </c>
      <c r="EI50" s="538">
        <f>IF(Q50="Yes",EH50,0)</f>
        <v/>
      </c>
      <c r="EJ50" s="539">
        <f>EI50*EI$6</f>
        <v/>
      </c>
      <c r="EK50" s="538">
        <f>EH50-EJ50</f>
        <v/>
      </c>
      <c r="EL50" s="538">
        <f>IF(BD50="Semi-Annually",EK50,0)</f>
        <v/>
      </c>
      <c r="EM50" s="539">
        <f>EL50*EL$6</f>
        <v/>
      </c>
      <c r="EN50" s="538">
        <f>EK50-EM50</f>
        <v/>
      </c>
      <c r="EO50" s="538">
        <f>IF(BK50="Yes",EN50,0)</f>
        <v/>
      </c>
      <c r="EP50" s="539">
        <f>EO50*EO$6</f>
        <v/>
      </c>
      <c r="EQ50" s="538">
        <f>EN50-EP50</f>
        <v/>
      </c>
      <c r="ER50" s="538">
        <f>IF(BL50="Yes",EQ50,0)</f>
        <v/>
      </c>
      <c r="ES50" s="539">
        <f>ER50*ER$6</f>
        <v/>
      </c>
      <c r="ET50" s="538">
        <f>EQ50-ES50</f>
        <v/>
      </c>
      <c r="EU50" s="538">
        <f>IF(BM50="Yes",ET50,0)</f>
        <v/>
      </c>
      <c r="EV50" s="539">
        <f>EU50*EU$6</f>
        <v/>
      </c>
      <c r="EW50" s="538">
        <f>ET50-EV50</f>
        <v/>
      </c>
      <c r="EX50" s="538">
        <f>IF(BV50="Yes",EW50,0)</f>
        <v/>
      </c>
      <c r="EY50" s="539">
        <f>EX50*EX$6</f>
        <v/>
      </c>
      <c r="EZ50" s="538">
        <f>EW50-EY50</f>
        <v/>
      </c>
      <c r="FA50" s="538">
        <f>IF(AR50="Yes",EZ50,0)</f>
        <v/>
      </c>
      <c r="FB50" s="539">
        <f>FA50*FA$6</f>
        <v/>
      </c>
      <c r="FC50" s="538">
        <f>EZ50-FB50</f>
        <v/>
      </c>
      <c r="FD50" s="538">
        <f>IF(OR(BF50="EUR",BF50="AUD",BF50="CAD",BF50="GBP"),FC50,0)</f>
        <v/>
      </c>
      <c r="FE50" s="539">
        <f>FD50*FD$6</f>
        <v/>
      </c>
      <c r="FF50" s="538">
        <f>FC50-FE50</f>
        <v/>
      </c>
      <c r="FG50" s="538">
        <f>FF50</f>
        <v/>
      </c>
      <c r="FH50" s="538">
        <f>IF(FF50=0,0,VLOOKUP(C50,$GU$10:$GV$406,2,FALSE)*FF50)</f>
        <v/>
      </c>
      <c r="FI50" s="538">
        <f>FF50-FH50</f>
        <v/>
      </c>
      <c r="FJ50" s="538">
        <f>FI50</f>
        <v/>
      </c>
      <c r="FK50" s="538">
        <f>IF(OR(IB50="",FI50&lt;0.01),,VLOOKUP(IB50,$GL$10:$GM$406,2,FALSE)*FI50)</f>
        <v/>
      </c>
      <c r="FL50" s="538">
        <f>FI50-FK50</f>
        <v/>
      </c>
      <c r="FM50" s="538">
        <f>FL50</f>
        <v/>
      </c>
      <c r="FN50" s="538">
        <f>IF(FL50=0,0,VLOOKUP(C50,$HD$10:$HE$406,2,FALSE)*FL50)</f>
        <v/>
      </c>
      <c r="FO50" s="538">
        <f>FL50-FN50</f>
        <v/>
      </c>
      <c r="FP50" s="538">
        <f>IF(SUM(CY50:DC50)&gt;0,0,IF(AND(AL50&gt;=5000000,AL50&lt;7500000),FO50,0))</f>
        <v/>
      </c>
      <c r="FQ50" s="539">
        <f>IF(B50="",0,FP50*FP$6*(1-$U50))</f>
        <v/>
      </c>
      <c r="FR50" s="538">
        <f>FO50-FQ50</f>
        <v/>
      </c>
      <c r="FS50" s="538">
        <f>IF(SUM(CY50:DC50)&gt;0,0,IF(AL50&lt;15000000,FR50,0))</f>
        <v/>
      </c>
      <c r="FT50" s="539">
        <f>IF(B50="",0,FS50*FS$6*(1-$U50))</f>
        <v/>
      </c>
      <c r="FU50" s="538">
        <f>FR50-FT50</f>
        <v/>
      </c>
      <c r="FV50" s="538">
        <f>IF(SUM(CY50:DC50)&gt;0,0,IF(OR(AND(X50="No",AN50="Tier 1",AI50&gt;$AG$3),AND(X50="No",AN50="Tier 2",AI50&gt;$AH$3),AND(X50="No",AN50="Tier 3",AI50&gt;$AI$3)),FU50,0))</f>
        <v/>
      </c>
      <c r="FW50" s="538">
        <f>IF(SUM(CY50:DC50)&gt;0,0,IF(OR(AND(X50="No",AN50="Tier 1",AJ50&gt;$AG$4),AND(X50="No",AN50="Tier 2",AJ50&gt;$AH$4),AND(X50="No",AN50="Tier 3",AJ50&gt;$AI$4)),FU50,0))</f>
        <v/>
      </c>
      <c r="FX50" s="538">
        <f>IF(SUM(CY50:DC50)&gt;0,0,IF(OR(AND(X50="Yes",AN50="Tier 1",AJ50&gt;$AG$5),AND(X50="Yes",AN50="Tier 2",AJ50&gt;$AH$5),AND(X50="Yes",AN50="Tier 3",AJ50&gt;$AI$5)),FU50,0))</f>
        <v/>
      </c>
      <c r="FY50" s="538">
        <f>IF(SUM(FV50:FX50)&gt;0,FU50,0)</f>
        <v/>
      </c>
      <c r="FZ50" s="539">
        <f>IF(B50="",0,FY50*FV$6*(1-MIN(90%,T50)))</f>
        <v/>
      </c>
      <c r="GA50" s="538">
        <f>FU50-FZ50</f>
        <v/>
      </c>
      <c r="GB50" s="538">
        <f>IF(AND(N50="No",DI50=0),GA50,IF(AND(N50="No",DI50&lt;&gt;0,K50=0),0,IF(AND(N50="No",DI50&lt;&gt;0,K50&gt;0,J50&lt;&gt;K50),MAX(0,M50-(DH50-GA50)),DG50)))</f>
        <v/>
      </c>
      <c r="GC50" s="540">
        <f>+GB50*V50</f>
        <v/>
      </c>
      <c r="GD50" s="138">
        <f>IFERROR(GC50/K50,"")</f>
        <v/>
      </c>
      <c r="GE50" s="541">
        <f>IF(IB50="","",IB50)</f>
        <v/>
      </c>
      <c r="GF50" s="538">
        <f t="array" ref="GF50">IF(SUM(IF(IB$9:IB49=IB50,1,0))&gt;0,0,SUMIF($IB$10:$IB$406,IB50,$FI$10:$FI$406))</f>
        <v/>
      </c>
      <c r="GG50" s="270">
        <f>GF50</f>
        <v/>
      </c>
      <c r="GH50" s="137">
        <f>GH49+1</f>
        <v/>
      </c>
      <c r="GI50" s="542">
        <f>LARGE($GG$10:$GG$406,GH50)</f>
        <v/>
      </c>
      <c r="GJ50" s="542">
        <f>IF(GH50&gt;GH$6,0,IF(GH50=$GH$2,$GJ$2,IF(GH50&lt;4,$GJ$3,$GJ$4)))</f>
        <v/>
      </c>
      <c r="GK50" s="489">
        <f>MAX(0,GI50-GJ50)</f>
        <v/>
      </c>
      <c r="GL50" s="137">
        <f t="array" ref="GL50">IF(GI50=0,0,LARGE(IF($GF$10:$GF$406=GI50,$GE$10:$GE$406,0),COUNTIF($GI$10:$GI$406,GI50)-COUNTIF(GI$9:GI49,GI50)))</f>
        <v/>
      </c>
      <c r="GM50" s="272">
        <f>IF(GI50=0,0,GK50/GI50)</f>
        <v/>
      </c>
      <c r="GO50" s="137">
        <f>IF(C50="","",IF(ISERROR(MATCH(C50,C$10:C49,0)),MAX(GO$10:GO49)+1,INDEX(GO$10:GO49,MATCH(C50,C$10:C49,0))))</f>
        <v/>
      </c>
      <c r="GP50" s="538">
        <f>IF(COUNTIF($A$10:A50,A50)&lt;=1,SUMIF($A$10:$A$406,A50,$FG$10:$FG$406),0)</f>
        <v/>
      </c>
      <c r="GQ50" s="137">
        <f>GQ49+1</f>
        <v/>
      </c>
      <c r="GR50" s="542">
        <f>LARGE($GP$10:$GP$406,GQ50)</f>
        <v/>
      </c>
      <c r="GS50" s="542">
        <f>IF(GQ50&gt;GQ$6,0,IF(GQ50&lt;=GQ$2,GS$2,IF(AND(GQ50&lt;=$GQ$3,GQ50&gt;$GQ$2),GS$3,GS$4)))</f>
        <v/>
      </c>
      <c r="GT50" s="489">
        <f>MAX(0,GR50-GS50)</f>
        <v/>
      </c>
      <c r="GU50" s="137">
        <f t="array" ref="GU50">IF(GR50=0,0,LARGE(IF($GP$10:$GP$406=GR50,$GO$10:$GO$406,0),COUNTIF($GR$10:$GR$406,GR50)-COUNTIF(GR$9:GR49,GR50)))</f>
        <v/>
      </c>
      <c r="GV50" s="272">
        <f>IF(GR50=0,0,GT50/GR50)</f>
        <v/>
      </c>
      <c r="GW50" s="272" t="n"/>
      <c r="GX50" s="137">
        <f>IF(C50="","",IF(ISERROR(MATCH(C50,C$10:C49,0)),MAX(GO$10:GO49)+1,INDEX(GO$10:GO49,MATCH(C50,C$10:C49,0))))</f>
        <v/>
      </c>
      <c r="GY50" s="538">
        <f>IF(COUNTIF($A$10:A50,A50)&lt;=1,SUMIF($A$10:$A$406,A50,$FG$10:$FG$406),0)</f>
        <v/>
      </c>
      <c r="GZ50" s="137">
        <f>GZ49+1</f>
        <v/>
      </c>
      <c r="HA50" s="542">
        <f>LARGE($GY$10:$GY$406,GZ50)</f>
        <v/>
      </c>
      <c r="HB50" s="543" t="inlineStr">
        <is>
          <t>-</t>
        </is>
      </c>
      <c r="HC50" s="489">
        <f>IF(GZ50&lt;6,MAX(0,$HC$2/5),0)</f>
        <v/>
      </c>
      <c r="HD50" s="137">
        <f t="array" ref="HD50">IF(HA50=0,0,LARGE(IF($GY$10:$GY$406=HA50,$GX$10:$GX$406,0),COUNTIF($HA$10:$HA$406,HA50)-COUNTIF(HA$9:HA49,HA50)))</f>
        <v/>
      </c>
      <c r="HE50" s="272">
        <f>IF(HA50=0,0,HC50/HA50)</f>
        <v/>
      </c>
      <c r="HF50" s="272" t="n"/>
      <c r="HG50" s="270">
        <f>DG50-GA50</f>
        <v/>
      </c>
      <c r="HH50" s="544" t="n">
        <v>0</v>
      </c>
      <c r="HI50" s="538">
        <f>MIN(HH50,DE50)</f>
        <v/>
      </c>
      <c r="HK50" s="137">
        <f>IF(COUNTIF($C$10:$C$406,HK49+1),HK49+1,"")</f>
        <v/>
      </c>
      <c r="HL50" s="538">
        <f>SUMIF($C$10:$C$406,HK50,$DG$10:$DG$406)</f>
        <v/>
      </c>
      <c r="HN50" s="521">
        <f>MIN(HO50:HS50)</f>
        <v/>
      </c>
      <c r="HO50" s="521">
        <f>IF(B50="","",$M50)</f>
        <v/>
      </c>
      <c r="HP50" s="521">
        <f>IF($N50="Yes",IF(P50&gt;=6,0,MIN($T50*$M50,$U50*$M50)),"")</f>
        <v/>
      </c>
      <c r="HQ50" s="521">
        <f>IF(AND(N50="Yes",P50&gt;=6),"",IF($S50="Yes",$R50*$M50,""))</f>
        <v/>
      </c>
      <c r="HR50" s="521">
        <f>IF($Q50="Yes",MIN($M50,$T50*$M50),"")</f>
        <v/>
      </c>
      <c r="HS50" s="521">
        <f>IF(AND($N50="Yes",$P50&gt;=6),"",IF(OR(CY50=1,DC50=1,),MIN($T50*$M50,$U50*$M50),IF(OR(CZ50=1,DA50=1,DB50=1),IF(AK50&gt;=5000000,MIN($T50*$M50,$IE50*$M50),MIN($T50*$M50,$U50*$M50)),"")))</f>
        <v/>
      </c>
      <c r="HT50" s="521">
        <f>IF(DD50&gt;0,DD50,"")</f>
        <v/>
      </c>
      <c r="HU50" s="522">
        <f>IF(B50="",0,$L50-$M50)</f>
        <v/>
      </c>
      <c r="HV50" s="274">
        <f>IF(OR(SUM(HP50:HT50)&gt;0,P50&gt;=6),"",IF($B50="","",1))</f>
        <v/>
      </c>
      <c r="HW50" s="522">
        <f>IF(AND($HT50&lt;&gt;0,OR(HT50&lt;=MIN(HP50:HS50),SUM(HP50:HS50)=0)),$HT50,0)</f>
        <v/>
      </c>
      <c r="HX50" s="522">
        <f>IF(AND($HS50&lt;&gt;0,OR(AND($HS50&lt;&gt;$HT50,$HS50&lt;&gt;$HR50,$HS50&lt;&gt;$HQ50,$HS50&lt;&gt;$HP50,$HS50&lt;MIN($HP50:$HR50),$HS50&lt;HT50),SUM($HP50:$HR50)+SUM(HT50)=0),IA50&lt;=0),$HS50,0)</f>
        <v/>
      </c>
      <c r="HY50" s="522">
        <f>IF(AND($HR50&lt;&gt;0,OR(AND($HR50&lt;&gt;$HT50,$HR50&lt;&gt;$HS50,$HR50&lt;&gt;$HQ50,$HR50&lt;&gt;$HP50),$HR50&lt;MIN($HP50:$HQ50),$HR50&lt;MIN($HS50:$HT50),SUM($HP50:$HQ50)+SUM($HS50:$HT50)=0)),$HR50,0)</f>
        <v/>
      </c>
      <c r="HZ50" s="522">
        <f>IF(AND($HQ50&lt;&gt;0,OR(AND($HQ50&lt;&gt;$HT50,HQ50&lt;&gt;HS50,HQ50&lt;&gt;HR50,HQ50&lt;&gt;HP50,HQ50&lt;MIN(HR50:HT50)),SUM(HP50)+SUM(HR50:HT50)=0)),$HQ50,0)</f>
        <v/>
      </c>
      <c r="IA50" s="522">
        <f>IF(AND($HP50&lt;&gt;0,OR(HP50&lt;=MIN(HQ50:HT50),SUM(HQ50:HT50)=0)),$HP50,0)</f>
        <v/>
      </c>
      <c r="IB50" s="545" t="n">
        <v>53</v>
      </c>
      <c r="IC50">
        <f>HU50=DF50</f>
        <v/>
      </c>
      <c r="IE50" s="351">
        <f>IF(B50="","",IF(AND(Y50="Second Lien",OR(CZ50=1,DA50=1,DB50=1)),50%,IF(CZ50=1,90%,IF(DA50=1,80%,IF(DB50=1,65%,"No Initial Haircut")))))</f>
        <v/>
      </c>
    </row>
    <row r="51">
      <c r="A51">
        <f>D51</f>
        <v/>
      </c>
      <c r="B51" s="242">
        <f>IF(D51="","",B50+1)</f>
        <v/>
      </c>
      <c r="C51" s="242">
        <f>IF(COUNTIF($A$10:A50,A51)&gt;0,C50,C50+1)</f>
        <v/>
      </c>
      <c r="D51" s="243" t="inlineStr">
        <is>
          <t>Belmont Holdings, LLC</t>
        </is>
      </c>
      <c r="E51" s="243" t="inlineStr">
        <is>
          <t>Belmont (TL)</t>
        </is>
      </c>
      <c r="F51" s="244" t="n"/>
      <c r="G51" s="528" t="n">
        <v>10376592.1201</v>
      </c>
      <c r="H51" s="528" t="n">
        <v>10376592.1201</v>
      </c>
      <c r="I51" s="246" t="n">
        <v>1</v>
      </c>
      <c r="J51" s="529">
        <f>IF(B51="","",G51*I51)</f>
        <v/>
      </c>
      <c r="K51" s="529">
        <f>IF(B51="","",H51*I51)</f>
        <v/>
      </c>
      <c r="L51" s="529">
        <f>IF(B51="","",IF(COUNTIF($CE51:$CX51,1)&gt;0,0,J51))</f>
        <v/>
      </c>
      <c r="M51" s="529">
        <f>IF(B51="","",IF(COUNTIF($CE51:$CX51,1)&gt;0,0,K51))</f>
        <v/>
      </c>
      <c r="N51" s="248" t="inlineStr">
        <is>
          <t>No</t>
        </is>
      </c>
      <c r="O51" s="248" t="inlineStr">
        <is>
          <t>N/A</t>
        </is>
      </c>
      <c r="P51" s="249">
        <f>IF(B51="","",IF(OR(O51="N/A",O51=""),0,YEARFRAC('Borrowing Base'!$J$4,'Loan List'!O51)*12))</f>
        <v/>
      </c>
      <c r="Q51" s="248" t="inlineStr">
        <is>
          <t>No</t>
        </is>
      </c>
      <c r="R51" s="250" t="n">
        <v>0.9835405598148343</v>
      </c>
      <c r="S51" s="251">
        <f>IF(B51="","",IF(R51&lt;95%,"Yes","No"))</f>
        <v/>
      </c>
      <c r="T51" s="250" t="n">
        <v>0.9800000006869347</v>
      </c>
      <c r="U51" s="252">
        <f>IF(B51="","",IF(OR(Y51="First Lien",Y51="Split First Lien",Y51="Tier 1 Split Lien",Y51="Tier 2 Split Lien"),50%,30%))</f>
        <v/>
      </c>
      <c r="V51" s="252">
        <f>IF(B51="",0,IF(AND(Y51="First Lien",AN51="Tier 1"),IF(AND(X51="Yes",MIN(AH51,$AJ$5)&gt;4.5),(((4.5/MIN(AH51,$AJ$5))*72.5%)+(((MIN(AH51,$AJ$5)-4.5)/MIN(AH51,$AJ$5))*35%)),72.5%),IF(AND(Y51="First Lien",AN51="Tier 2"),IF(AND(X51="Yes",MIN(AH51,$AK$5)&gt;4.5),(((4.5/MIN(AH51,$AK$5))*72.5%)+(((MIN(AH51,$AK$5)-4.5)/MIN(AH51,$AK$5))*35%)),72.5%),IF(AND(X51="Yes",MIN(AH51,$AL$5)&gt;4),(((4/MIN(AH51,$AL$5))*72.5%)+(((MIN(AH51,$AL$5)-4)/MIN(AH51,$AL$5))*35%)),IF(OR(Y51="First Lien",Y51="Split First Lien"),72.5%,IF(Y51="Split Lien", 53%,35%))))))</f>
        <v/>
      </c>
      <c r="W51" s="530">
        <f>IF($C51="","",MIN($HO51:$HS51))</f>
        <v/>
      </c>
      <c r="X51" s="248" t="inlineStr">
        <is>
          <t>No</t>
        </is>
      </c>
      <c r="Y51" s="254" t="inlineStr">
        <is>
          <t>First Lien</t>
        </is>
      </c>
      <c r="Z51" s="254" t="inlineStr">
        <is>
          <t>Term Loan</t>
        </is>
      </c>
      <c r="AA51" s="531" t="inlineStr">
        <is>
          <t>NR</t>
        </is>
      </c>
      <c r="AB51" s="531" t="inlineStr">
        <is>
          <t xml:space="preserve"> NR</t>
        </is>
      </c>
      <c r="AC51" s="532" t="n">
        <v>1.557794432377063</v>
      </c>
      <c r="AD51" s="532" t="n">
        <v>5.523591102716397</v>
      </c>
      <c r="AE51" s="532" t="n">
        <v>7.785554759949616</v>
      </c>
      <c r="AF51" s="257" t="n">
        <v>0.4268848459297889</v>
      </c>
      <c r="AG51" s="533" t="n">
        <v>5.523591102716397</v>
      </c>
      <c r="AH51" s="533" t="n">
        <v>5.523591102716397</v>
      </c>
      <c r="AI51" s="533" t="n">
        <v>8.303742875943216</v>
      </c>
      <c r="AJ51" s="533" t="n">
        <v>8.303742875943216</v>
      </c>
      <c r="AK51" s="534" t="n">
        <v>57462617</v>
      </c>
      <c r="AL51" s="534" t="n">
        <v>59954779</v>
      </c>
      <c r="AM51" s="276" t="n">
        <v>45838</v>
      </c>
      <c r="AN51" s="529">
        <f>IF(C51="","",(IF(AK51&gt;=50000000,"Tier 1",(IF(OR(AK51&gt;=20000000,AND(AK51&gt;5000000,AC51&gt;=1.25,AF51&lt;=0.65)),"Tier 2","Tier 3")))))</f>
        <v/>
      </c>
      <c r="AO51" s="244" t="n">
        <v>46436</v>
      </c>
      <c r="AP51" s="535" t="n">
        <v>1.55</v>
      </c>
      <c r="AQ51" s="535">
        <f>IF(C51="","",AP51)</f>
        <v/>
      </c>
      <c r="AR51" s="248" t="inlineStr">
        <is>
          <t>No</t>
        </is>
      </c>
      <c r="AS51" s="250" t="n">
        <v>0</v>
      </c>
      <c r="AT51" s="248" t="inlineStr">
        <is>
          <t>Yes</t>
        </is>
      </c>
      <c r="AU51" s="250" t="n">
        <v>0.01</v>
      </c>
      <c r="AV51" s="250" t="n">
        <v>0.0775</v>
      </c>
      <c r="AW51" s="250" t="n">
        <v>0.042797</v>
      </c>
      <c r="AX51" s="262">
        <f>IF(C51="","",MAX(AU51,AW51))</f>
        <v/>
      </c>
      <c r="AY51" s="250" t="n">
        <v>0</v>
      </c>
      <c r="AZ51" s="250" t="n">
        <v>0.051</v>
      </c>
      <c r="BA51" s="250" t="n">
        <v>0</v>
      </c>
      <c r="BB51" s="412">
        <f>IF(B51="","",IF(AR51="No",AV51-AZ51,""))</f>
        <v/>
      </c>
      <c r="BC51" s="412">
        <f>IF(B51="","",IF(AR51="Yes",AS51-BA51,""))</f>
        <v/>
      </c>
      <c r="BD51" s="254" t="inlineStr">
        <is>
          <t>Quarterly</t>
        </is>
      </c>
      <c r="BE51" s="536" t="inlineStr">
        <is>
          <t>Personal Products</t>
        </is>
      </c>
      <c r="BF51" s="254" t="inlineStr">
        <is>
          <t>USD</t>
        </is>
      </c>
      <c r="BG51" s="254" t="inlineStr">
        <is>
          <t>United States</t>
        </is>
      </c>
      <c r="BH51" s="248" t="inlineStr">
        <is>
          <t>No</t>
        </is>
      </c>
      <c r="BI51" s="413">
        <f>IF(B51="","",IF(OR(AND(AZ51&gt;0,BB51&gt;=2.5%,BB51&lt;4%),AND(BA51&gt;0,BC51&gt;=6%,BC51&lt;8%)),"Yes","No"))</f>
        <v/>
      </c>
      <c r="BJ51" s="413">
        <f>IF(B51="","",IF(OR(AND(AZ51&gt;0,BB51&lt;2.5%),AND(BA51&gt;0,BC51&lt;6%)),"Yes","No"))</f>
        <v/>
      </c>
      <c r="BK51" s="248" t="inlineStr">
        <is>
          <t>No</t>
        </is>
      </c>
      <c r="BL51" s="248" t="inlineStr">
        <is>
          <t>No</t>
        </is>
      </c>
      <c r="BM51" s="248" t="inlineStr">
        <is>
          <t>No</t>
        </is>
      </c>
      <c r="BN51" s="248" t="inlineStr">
        <is>
          <t>No</t>
        </is>
      </c>
      <c r="BO51" s="248" t="inlineStr">
        <is>
          <t>No</t>
        </is>
      </c>
      <c r="BP51" s="248" t="inlineStr">
        <is>
          <t>No</t>
        </is>
      </c>
      <c r="BQ51" s="248" t="inlineStr">
        <is>
          <t>No</t>
        </is>
      </c>
      <c r="BR51" s="248" t="inlineStr">
        <is>
          <t>No</t>
        </is>
      </c>
      <c r="BS51" s="248" t="inlineStr">
        <is>
          <t>No</t>
        </is>
      </c>
      <c r="BT51" s="248" t="inlineStr">
        <is>
          <t>No</t>
        </is>
      </c>
      <c r="BU51" s="248" t="inlineStr">
        <is>
          <t>No</t>
        </is>
      </c>
      <c r="BV51" s="248" t="inlineStr">
        <is>
          <t>No</t>
        </is>
      </c>
      <c r="BW51" s="248" t="inlineStr">
        <is>
          <t>No</t>
        </is>
      </c>
      <c r="BX51" s="248" t="inlineStr">
        <is>
          <t>No</t>
        </is>
      </c>
      <c r="BY51" s="248" t="inlineStr">
        <is>
          <t>No</t>
        </is>
      </c>
      <c r="BZ51" s="248" t="inlineStr">
        <is>
          <t>No</t>
        </is>
      </c>
      <c r="CA51" s="248" t="inlineStr">
        <is>
          <t>Yes</t>
        </is>
      </c>
      <c r="CB51" s="537">
        <f>IF(B51="","",IF(AT51="No",((BB51+AW51)-$AZ$4),((BB51+AX51)-$AZ$4))*IF(DD51&gt;0,0,M51))</f>
        <v/>
      </c>
      <c r="CC51" s="537">
        <f>IF(B51="","",AY51*(L51-M51)*IF(DD51&gt;0,0,1))</f>
        <v/>
      </c>
      <c r="CD51" s="265" t="n"/>
      <c r="CE51" s="265">
        <f>IF(AND(B51&lt;&gt;"",R51&lt;=85%),1,0)</f>
        <v/>
      </c>
      <c r="CF51" s="265">
        <f>IF(B51="",0,(IF(OR(BF51="USD",BF51="CAD",BF51="GBP",BF51="AUD",BF51="EUR"),0,1)))</f>
        <v/>
      </c>
      <c r="CG51" s="265">
        <f>IF(B51="",0,(IF(OR(BG51="United States",BG51="Canada",BG51="United Kingdom",BG51="Australia",BG51="Netherlands Antilles",BG51="Bermuda",BG51="Cayman Islands",BG51="British Virgin Islands",BG51="Channel Islands",BG51="Isle of Man",BG51="Australia",BG51="Netherlands",BG51="Germany",BG51="Sweden",BG51="Switzerland",BG51="Austria",BG51="Belgium",BG51="Denmark",BG51="Finland",BG51="Iceland",BG51="Ireland",BG51="Lichtenstein",BG51="Luxemborg",BG51="Norway"),0,1)))</f>
        <v/>
      </c>
      <c r="CH51" s="265">
        <f>IF(BN51="Yes",1,0)</f>
        <v/>
      </c>
      <c r="CI51" s="265">
        <f>IF(BO51="Yes",1,0)</f>
        <v/>
      </c>
      <c r="CJ51" s="265">
        <f>IF(BP51="Yes",1,0)</f>
        <v/>
      </c>
      <c r="CK51" s="265">
        <f>IF(BQ51="Yes",1,0)</f>
        <v/>
      </c>
      <c r="CL51" s="265">
        <f>IF(BR51="Yes",1,0)</f>
        <v/>
      </c>
      <c r="CM51" s="265">
        <f>IF(BS51="Yes",1,0)</f>
        <v/>
      </c>
      <c r="CN51" s="265">
        <f>IF(OR(AND(BJ51="Yes",N51="No"),AND(BJ51="Yes",N51="Yes",P51&gt;=6)),1,0)</f>
        <v/>
      </c>
      <c r="CO51" s="265">
        <f>IF(BT51="Yes",1,0)</f>
        <v/>
      </c>
      <c r="CP51" s="265">
        <f>IF(AND(BU51="Yes",BV51="No"),1,0)</f>
        <v/>
      </c>
      <c r="CQ51" s="265">
        <f>IF(BW51="Yes",1,0)</f>
        <v/>
      </c>
      <c r="CR51" s="265">
        <f>IF(AP51="",0,IF(AP51&gt;7,1,0))</f>
        <v/>
      </c>
      <c r="CS51" s="265">
        <f>IF(OR(BD51&lt;&gt;"Monthly",BD51&lt;&gt;"Quarterly",BD51&lt;&gt;"Semi-Annually"),0,1)</f>
        <v/>
      </c>
      <c r="CT51" s="265">
        <f>IF(BX51="Yes",1,0)</f>
        <v/>
      </c>
      <c r="CU51" s="265">
        <f>IF(BY51="Yes",1,0)</f>
        <v/>
      </c>
      <c r="CV51" s="265">
        <f>IF(BZ51="Yes",1,0)</f>
        <v/>
      </c>
      <c r="CW51" s="265">
        <f>IF(CA51="No",1,0)</f>
        <v/>
      </c>
      <c r="CX51" s="265">
        <f>IF(B51="",0,IF(AK51&gt;=5000000,0,1))</f>
        <v/>
      </c>
      <c r="CY51" s="265">
        <f>IF(B51="",0,IF(AL51&gt;=5000000,0,1))</f>
        <v/>
      </c>
      <c r="CZ51" s="265">
        <f>IF(OR(DA51=1,DB51=1,DC51=1),0,IF(B51="",0,IF(OR(AND(AN51="Tier 1",X51="No",OR(AI51&gt;$AJ$3,AJ51&gt;$AJ$4)),(AND(AN51="Tier 1",X51="Yes",AJ51&gt;$AJ$5)),(AND(AN51="Tier 2",X51="No",OR(AI51&gt;$AK$3,AJ51&gt;$AK$4))),(AND(AN51="Tier 2",X51="Yes",AJ51&gt;$AK$5)),(AND(AN51="Tier 3",X51="No",OR(AI51&gt;$AL$3,AJ51&gt;$AL$4))),(AND(AN51="Tier 3",X51="Yes",AJ51&gt;$AL$5))),1,0)))</f>
        <v/>
      </c>
      <c r="DA51" s="265">
        <f>IF(OR(DB51=1,DC51=1),0,IF(B51="",0,IF(OR(AND(AN51="Tier 1",X51="No",OR(AI51&gt;$AM$3,AJ51&gt;$AM$4)),(AND(AN51="Tier 1",X51="Yes",AJ51&gt;$AM$5)),(AND(AN51="Tier 2",X51="No",OR(AI51&gt;$AN$3,AJ51&gt;$AN$4))),(AND(AN51="Tier 2",X51="Yes",AJ51&gt;$AN$5)),(AND(AN51="Tier 3",X51="No",OR(AI51&gt;$AO$3,AJ51&gt;$AO$4))),(AND(AN51="Tier 3",X51="Yes",AJ51&gt;$AO$5))),1,0)))</f>
        <v/>
      </c>
      <c r="DB51" s="265">
        <f>IF(DC51=1,0,IF(B51="",0,IF(OR(AND(AN51="Tier 1",X51="No",OR(AI51&gt;$AP$3,AJ51&gt;$AP$4)),(AND(AN51="Tier 1",X51="Yes",AJ51&gt;$AP$5)),(AND(AN51="Tier 2",X51="No",OR(AI51&gt;$AQ$3,AJ51&gt;$AQ$4))),(AND(AN51="Tier 2",X51="Yes",AJ51&gt;$AQ$5)),(AND(AN51="Tier 3",X51="No",OR(AI51&gt;$AR$3,AJ51&gt;$AR$4))),(AND(AN51="Tier 3",X51="Yes",AJ51&gt;$AR$5))),1,0)))</f>
        <v/>
      </c>
      <c r="DC51" s="265">
        <f>IF(B51="",0,IF(OR(AND(AN51="Tier 1",X51="No",OR(AI51&gt;$AS$3,AJ51&gt;$AS$4)),(AND(AN51="Tier 1",X51="Yes",AJ51&gt;$AS$5)),(AND(AN51="Tier 2",X51="No",OR(AI51&gt;$AT$3,AJ51&gt;$AT$4))),(AND(AN51="Tier 2",X51="Yes",AJ51&gt;$AT$5)),(AND(AN51="Tier 3",X51="No",OR(AI51&gt;$AU$3,AJ51&gt;$AU$4))),(AND(AN51="Tier 3",X51="Yes",AJ51&gt;$AU$5))),1,0))</f>
        <v/>
      </c>
      <c r="DD51" s="265">
        <f>IF((SUM(CE51:CX51)=0),0,W51)</f>
        <v/>
      </c>
      <c r="DE51" s="265">
        <f>IF(OR(B51="",DD51&gt;0),0,W51)</f>
        <v/>
      </c>
      <c r="DF51" s="265">
        <f>IF(B51="",0,IF(COUNTIF(CE51:CX51,1)&gt;0,0,L51-M51))</f>
        <v/>
      </c>
      <c r="DG51" s="265">
        <f>DE51+IF(DD51&gt;0,0,DF51)</f>
        <v/>
      </c>
      <c r="DH51" s="265">
        <f>IF(B51="","",M51+DF51)</f>
        <v/>
      </c>
      <c r="DI51" s="265">
        <f>IF(B51="",0,J51-K51)</f>
        <v/>
      </c>
      <c r="DJ51" s="265">
        <f>IF(OR(BF51="EUR",BF51="CAD",BF51="GBP",BF51="AUD"),(GA51*(1-V51))+(HG51)+IF(HX51="",0,HX51*(1-U51)),0)</f>
        <v/>
      </c>
      <c r="DK51" s="265">
        <f>IF(BF51="EUR",33%,IF(BF51="CAD",38%,IF(BF51="GBP",51%,IF(BF51="AUD",61%,0))))</f>
        <v/>
      </c>
      <c r="DL51" s="265">
        <f>DJ51*DK51</f>
        <v/>
      </c>
      <c r="DN51" s="538">
        <f>IF(OR(Y51="Second Lien",Y51="Tier 1 Split Lien",Y51="Tier 2 Split Lien"),DG51,0)</f>
        <v/>
      </c>
      <c r="DO51" s="539">
        <f>DN51*DN$6</f>
        <v/>
      </c>
      <c r="DP51" s="538">
        <f>DG51-DO51</f>
        <v/>
      </c>
      <c r="DQ51" s="538">
        <f>IF(Y51="Second Lien",DP51,0)</f>
        <v/>
      </c>
      <c r="DR51" s="539">
        <f>DQ51*DQ$6</f>
        <v/>
      </c>
      <c r="DS51" s="538">
        <f>DP51-DR51</f>
        <v/>
      </c>
      <c r="DT51" s="538">
        <f>IF(BH51="Yes",DS51,0)</f>
        <v/>
      </c>
      <c r="DU51" s="539">
        <f>DT51*DT$6</f>
        <v/>
      </c>
      <c r="DV51" s="538">
        <f>DS51-DU51</f>
        <v/>
      </c>
      <c r="DW51" s="538">
        <f>IF(OR(BG51="Canada",BG51="United Kingdom",BG51="Australia",BG51="Netherlands Antilles",BG51="Bermuda",BG51="Cayman Islands",BG51="British Virgin Islands",BG51="Channel Islands",BG51="Isle of Man",BG51="Australia",BG51="Netherlands",BG51="Germany",BG51="Sweden",BG51="Switzerland",BG51="Austria",BG51="Belgium",BG51="Denmark",BG51="Finland",BG51="Iceland",BG51="Ireland",BG51="Lichtenstein",BG51="Luxemborg",BG51="Norway"),DV51,0)</f>
        <v/>
      </c>
      <c r="DX51" s="539">
        <f>DW51*DW$6</f>
        <v/>
      </c>
      <c r="DY51" s="538">
        <f>DV51-DX51</f>
        <v/>
      </c>
      <c r="DZ51" s="538">
        <f>IF(BI51="Yes",DY51,0)</f>
        <v/>
      </c>
      <c r="EA51" s="539">
        <f>DZ51*DZ$6</f>
        <v/>
      </c>
      <c r="EB51" s="538">
        <f>DY51-EA51</f>
        <v/>
      </c>
      <c r="EC51" s="538">
        <f>IF(OR(Z51="Delayed Draw",Z51="Revolver"),EB51,0)</f>
        <v/>
      </c>
      <c r="ED51" s="539">
        <f>EC51*EC$6</f>
        <v/>
      </c>
      <c r="EE51" s="538">
        <f>EB51-ED51</f>
        <v/>
      </c>
      <c r="EF51" s="538">
        <f>IF(S51="Yes",EE51,0)</f>
        <v/>
      </c>
      <c r="EG51" s="539">
        <f>EF51*EF$6</f>
        <v/>
      </c>
      <c r="EH51" s="538">
        <f>EE51-EG51</f>
        <v/>
      </c>
      <c r="EI51" s="538">
        <f>IF(Q51="Yes",EH51,0)</f>
        <v/>
      </c>
      <c r="EJ51" s="539">
        <f>EI51*EI$6</f>
        <v/>
      </c>
      <c r="EK51" s="538">
        <f>EH51-EJ51</f>
        <v/>
      </c>
      <c r="EL51" s="538">
        <f>IF(BD51="Semi-Annually",EK51,0)</f>
        <v/>
      </c>
      <c r="EM51" s="539">
        <f>EL51*EL$6</f>
        <v/>
      </c>
      <c r="EN51" s="538">
        <f>EK51-EM51</f>
        <v/>
      </c>
      <c r="EO51" s="538">
        <f>IF(BK51="Yes",EN51,0)</f>
        <v/>
      </c>
      <c r="EP51" s="539">
        <f>EO51*EO$6</f>
        <v/>
      </c>
      <c r="EQ51" s="538">
        <f>EN51-EP51</f>
        <v/>
      </c>
      <c r="ER51" s="538">
        <f>IF(BL51="Yes",EQ51,0)</f>
        <v/>
      </c>
      <c r="ES51" s="539">
        <f>ER51*ER$6</f>
        <v/>
      </c>
      <c r="ET51" s="538">
        <f>EQ51-ES51</f>
        <v/>
      </c>
      <c r="EU51" s="538">
        <f>IF(BM51="Yes",ET51,0)</f>
        <v/>
      </c>
      <c r="EV51" s="539">
        <f>EU51*EU$6</f>
        <v/>
      </c>
      <c r="EW51" s="538">
        <f>ET51-EV51</f>
        <v/>
      </c>
      <c r="EX51" s="538">
        <f>IF(BV51="Yes",EW51,0)</f>
        <v/>
      </c>
      <c r="EY51" s="539">
        <f>EX51*EX$6</f>
        <v/>
      </c>
      <c r="EZ51" s="538">
        <f>EW51-EY51</f>
        <v/>
      </c>
      <c r="FA51" s="538">
        <f>IF(AR51="Yes",EZ51,0)</f>
        <v/>
      </c>
      <c r="FB51" s="539">
        <f>FA51*FA$6</f>
        <v/>
      </c>
      <c r="FC51" s="538">
        <f>EZ51-FB51</f>
        <v/>
      </c>
      <c r="FD51" s="538">
        <f>IF(OR(BF51="EUR",BF51="AUD",BF51="CAD",BF51="GBP"),FC51,0)</f>
        <v/>
      </c>
      <c r="FE51" s="539">
        <f>FD51*FD$6</f>
        <v/>
      </c>
      <c r="FF51" s="538">
        <f>FC51-FE51</f>
        <v/>
      </c>
      <c r="FG51" s="538">
        <f>FF51</f>
        <v/>
      </c>
      <c r="FH51" s="538">
        <f>IF(FF51=0,0,VLOOKUP(C51,$GU$10:$GV$406,2,FALSE)*FF51)</f>
        <v/>
      </c>
      <c r="FI51" s="538">
        <f>FF51-FH51</f>
        <v/>
      </c>
      <c r="FJ51" s="538">
        <f>FI51</f>
        <v/>
      </c>
      <c r="FK51" s="538">
        <f>IF(OR(IB51="",FI51&lt;0.01),,VLOOKUP(IB51,$GL$10:$GM$406,2,FALSE)*FI51)</f>
        <v/>
      </c>
      <c r="FL51" s="538">
        <f>FI51-FK51</f>
        <v/>
      </c>
      <c r="FM51" s="538">
        <f>FL51</f>
        <v/>
      </c>
      <c r="FN51" s="538">
        <f>IF(FL51=0,0,VLOOKUP(C51,$HD$10:$HE$406,2,FALSE)*FL51)</f>
        <v/>
      </c>
      <c r="FO51" s="538">
        <f>FL51-FN51</f>
        <v/>
      </c>
      <c r="FP51" s="538">
        <f>IF(SUM(CY51:DC51)&gt;0,0,IF(AND(AL51&gt;=5000000,AL51&lt;7500000),FO51,0))</f>
        <v/>
      </c>
      <c r="FQ51" s="539">
        <f>IF(B51="",0,FP51*FP$6*(1-$U51))</f>
        <v/>
      </c>
      <c r="FR51" s="538">
        <f>FO51-FQ51</f>
        <v/>
      </c>
      <c r="FS51" s="538">
        <f>IF(SUM(CY51:DC51)&gt;0,0,IF(AL51&lt;15000000,FR51,0))</f>
        <v/>
      </c>
      <c r="FT51" s="539">
        <f>IF(B51="",0,FS51*FS$6*(1-$U51))</f>
        <v/>
      </c>
      <c r="FU51" s="538">
        <f>FR51-FT51</f>
        <v/>
      </c>
      <c r="FV51" s="538">
        <f>IF(SUM(CY51:DC51)&gt;0,0,IF(OR(AND(X51="No",AN51="Tier 1",AI51&gt;$AG$3),AND(X51="No",AN51="Tier 2",AI51&gt;$AH$3),AND(X51="No",AN51="Tier 3",AI51&gt;$AI$3)),FU51,0))</f>
        <v/>
      </c>
      <c r="FW51" s="538">
        <f>IF(SUM(CY51:DC51)&gt;0,0,IF(OR(AND(X51="No",AN51="Tier 1",AJ51&gt;$AG$4),AND(X51="No",AN51="Tier 2",AJ51&gt;$AH$4),AND(X51="No",AN51="Tier 3",AJ51&gt;$AI$4)),FU51,0))</f>
        <v/>
      </c>
      <c r="FX51" s="538">
        <f>IF(SUM(CY51:DC51)&gt;0,0,IF(OR(AND(X51="Yes",AN51="Tier 1",AJ51&gt;$AG$5),AND(X51="Yes",AN51="Tier 2",AJ51&gt;$AH$5),AND(X51="Yes",AN51="Tier 3",AJ51&gt;$AI$5)),FU51,0))</f>
        <v/>
      </c>
      <c r="FY51" s="538">
        <f>IF(SUM(FV51:FX51)&gt;0,FU51,0)</f>
        <v/>
      </c>
      <c r="FZ51" s="539">
        <f>IF(B51="",0,FY51*FV$6*(1-MIN(90%,T51)))</f>
        <v/>
      </c>
      <c r="GA51" s="538">
        <f>FU51-FZ51</f>
        <v/>
      </c>
      <c r="GB51" s="538">
        <f>IF(AND(N51="No",DI51=0),GA51,IF(AND(N51="No",DI51&lt;&gt;0,K51=0),0,IF(AND(N51="No",DI51&lt;&gt;0,K51&gt;0,J51&lt;&gt;K51),MAX(0,M51-(DH51-GA51)),DG51)))</f>
        <v/>
      </c>
      <c r="GC51" s="540">
        <f>+GB51*V51</f>
        <v/>
      </c>
      <c r="GD51" s="138">
        <f>IFERROR(GC51/K51,"")</f>
        <v/>
      </c>
      <c r="GE51" s="541">
        <f>IF(IB51="","",IB51)</f>
        <v/>
      </c>
      <c r="GF51" s="538">
        <f t="array" ref="GF51">IF(SUM(IF(IB$9:IB50=IB51,1,0))&gt;0,0,SUMIF($IB$10:$IB$406,IB51,$FI$10:$FI$406))</f>
        <v/>
      </c>
      <c r="GG51" s="270">
        <f>GF51</f>
        <v/>
      </c>
      <c r="GH51" s="137">
        <f>GH50+1</f>
        <v/>
      </c>
      <c r="GI51" s="542">
        <f>LARGE($GG$10:$GG$406,GH51)</f>
        <v/>
      </c>
      <c r="GJ51" s="542">
        <f>IF(GH51&gt;GH$6,0,IF(GH51=$GH$2,$GJ$2,IF(GH51&lt;4,$GJ$3,$GJ$4)))</f>
        <v/>
      </c>
      <c r="GK51" s="489">
        <f>MAX(0,GI51-GJ51)</f>
        <v/>
      </c>
      <c r="GL51" s="137">
        <f t="array" ref="GL51">IF(GI51=0,0,LARGE(IF($GF$10:$GF$406=GI51,$GE$10:$GE$406,0),COUNTIF($GI$10:$GI$406,GI51)-COUNTIF(GI$9:GI50,GI51)))</f>
        <v/>
      </c>
      <c r="GM51" s="272">
        <f>IF(GI51=0,0,GK51/GI51)</f>
        <v/>
      </c>
      <c r="GO51" s="137">
        <f>IF(C51="","",IF(ISERROR(MATCH(C51,C$10:C50,0)),MAX(GO$10:GO50)+1,INDEX(GO$10:GO50,MATCH(C51,C$10:C50,0))))</f>
        <v/>
      </c>
      <c r="GP51" s="538">
        <f>IF(COUNTIF($A$10:A51,A51)&lt;=1,SUMIF($A$10:$A$406,A51,$FG$10:$FG$406),0)</f>
        <v/>
      </c>
      <c r="GQ51" s="137">
        <f>GQ50+1</f>
        <v/>
      </c>
      <c r="GR51" s="542">
        <f>LARGE($GP$10:$GP$406,GQ51)</f>
        <v/>
      </c>
      <c r="GS51" s="542">
        <f>IF(GQ51&gt;GQ$6,0,IF(GQ51&lt;=GQ$2,GS$2,IF(AND(GQ51&lt;=$GQ$3,GQ51&gt;$GQ$2),GS$3,GS$4)))</f>
        <v/>
      </c>
      <c r="GT51" s="489">
        <f>MAX(0,GR51-GS51)</f>
        <v/>
      </c>
      <c r="GU51" s="137">
        <f t="array" ref="GU51">IF(GR51=0,0,LARGE(IF($GP$10:$GP$406=GR51,$GO$10:$GO$406,0),COUNTIF($GR$10:$GR$406,GR51)-COUNTIF(GR$9:GR50,GR51)))</f>
        <v/>
      </c>
      <c r="GV51" s="272">
        <f>IF(GR51=0,0,GT51/GR51)</f>
        <v/>
      </c>
      <c r="GW51" s="272" t="n"/>
      <c r="GX51" s="137">
        <f>IF(C51="","",IF(ISERROR(MATCH(C51,C$10:C50,0)),MAX(GO$10:GO50)+1,INDEX(GO$10:GO50,MATCH(C51,C$10:C50,0))))</f>
        <v/>
      </c>
      <c r="GY51" s="538">
        <f>IF(COUNTIF($A$10:A51,A51)&lt;=1,SUMIF($A$10:$A$406,A51,$FG$10:$FG$406),0)</f>
        <v/>
      </c>
      <c r="GZ51" s="137">
        <f>GZ50+1</f>
        <v/>
      </c>
      <c r="HA51" s="542">
        <f>LARGE($GY$10:$GY$406,GZ51)</f>
        <v/>
      </c>
      <c r="HB51" s="543" t="inlineStr">
        <is>
          <t>-</t>
        </is>
      </c>
      <c r="HC51" s="489">
        <f>IF(GZ51&lt;6,MAX(0,$HC$2/5),0)</f>
        <v/>
      </c>
      <c r="HD51" s="137">
        <f t="array" ref="HD51">IF(HA51=0,0,LARGE(IF($GY$10:$GY$406=HA51,$GX$10:$GX$406,0),COUNTIF($HA$10:$HA$406,HA51)-COUNTIF(HA$9:HA50,HA51)))</f>
        <v/>
      </c>
      <c r="HE51" s="272">
        <f>IF(HA51=0,0,HC51/HA51)</f>
        <v/>
      </c>
      <c r="HF51" s="272" t="n"/>
      <c r="HG51" s="270">
        <f>DG51-GA51</f>
        <v/>
      </c>
      <c r="HH51" s="544" t="n">
        <v>0</v>
      </c>
      <c r="HI51" s="538">
        <f>MIN(HH51,DE51)</f>
        <v/>
      </c>
      <c r="HK51" s="137">
        <f>IF(COUNTIF($C$10:$C$406,HK50+1),HK50+1,"")</f>
        <v/>
      </c>
      <c r="HL51" s="538">
        <f>SUMIF($C$10:$C$406,HK51,$DG$10:$DG$406)</f>
        <v/>
      </c>
      <c r="HN51" s="521">
        <f>MIN(HO51:HS51)</f>
        <v/>
      </c>
      <c r="HO51" s="521">
        <f>IF(B51="","",$M51)</f>
        <v/>
      </c>
      <c r="HP51" s="521">
        <f>IF($N51="Yes",IF(P51&gt;=6,0,MIN($T51*$M51,$U51*$M51)),"")</f>
        <v/>
      </c>
      <c r="HQ51" s="521">
        <f>IF(AND(N51="Yes",P51&gt;=6),"",IF($S51="Yes",$R51*$M51,""))</f>
        <v/>
      </c>
      <c r="HR51" s="521">
        <f>IF($Q51="Yes",MIN($M51,$T51*$M51),"")</f>
        <v/>
      </c>
      <c r="HS51" s="521">
        <f>IF(AND($N51="Yes",$P51&gt;=6),"",IF(OR(CY51=1,DC51=1,),MIN($T51*$M51,$U51*$M51),IF(OR(CZ51=1,DA51=1,DB51=1),IF(AK51&gt;=5000000,MIN($T51*$M51,$IE51*$M51),MIN($T51*$M51,$U51*$M51)),"")))</f>
        <v/>
      </c>
      <c r="HT51" s="521">
        <f>IF(DD51&gt;0,DD51,"")</f>
        <v/>
      </c>
      <c r="HU51" s="522">
        <f>IF(B51="",0,$L51-$M51)</f>
        <v/>
      </c>
      <c r="HV51" s="274">
        <f>IF(OR(SUM(HP51:HT51)&gt;0,P51&gt;=6),"",IF($B51="","",1))</f>
        <v/>
      </c>
      <c r="HW51" s="522">
        <f>IF(AND($HT51&lt;&gt;0,OR(HT51&lt;=MIN(HP51:HS51),SUM(HP51:HS51)=0)),$HT51,0)</f>
        <v/>
      </c>
      <c r="HX51" s="522">
        <f>IF(AND($HS51&lt;&gt;0,OR(AND($HS51&lt;&gt;$HT51,$HS51&lt;&gt;$HR51,$HS51&lt;&gt;$HQ51,$HS51&lt;&gt;$HP51,$HS51&lt;MIN($HP51:$HR51),$HS51&lt;HT51),SUM($HP51:$HR51)+SUM(HT51)=0),IA51&lt;=0),$HS51,0)</f>
        <v/>
      </c>
      <c r="HY51" s="522">
        <f>IF(AND($HR51&lt;&gt;0,OR(AND($HR51&lt;&gt;$HT51,$HR51&lt;&gt;$HS51,$HR51&lt;&gt;$HQ51,$HR51&lt;&gt;$HP51),$HR51&lt;MIN($HP51:$HQ51),$HR51&lt;MIN($HS51:$HT51),SUM($HP51:$HQ51)+SUM($HS51:$HT51)=0)),$HR51,0)</f>
        <v/>
      </c>
      <c r="HZ51" s="522">
        <f>IF(AND($HQ51&lt;&gt;0,OR(AND($HQ51&lt;&gt;$HT51,HQ51&lt;&gt;HS51,HQ51&lt;&gt;HR51,HQ51&lt;&gt;HP51,HQ51&lt;MIN(HR51:HT51)),SUM(HP51)+SUM(HR51:HT51)=0)),$HQ51,0)</f>
        <v/>
      </c>
      <c r="IA51" s="522">
        <f>IF(AND($HP51&lt;&gt;0,OR(HP51&lt;=MIN(HQ51:HT51),SUM(HQ51:HT51)=0)),$HP51,0)</f>
        <v/>
      </c>
      <c r="IB51" s="545" t="n">
        <v>53</v>
      </c>
      <c r="IC51">
        <f>HU51=DF51</f>
        <v/>
      </c>
      <c r="IE51" s="351">
        <f>IF(B51="","",IF(AND(Y51="Second Lien",OR(CZ51=1,DA51=1,DB51=1)),50%,IF(CZ51=1,90%,IF(DA51=1,80%,IF(DB51=1,65%,"No Initial Haircut")))))</f>
        <v/>
      </c>
    </row>
    <row r="52">
      <c r="A52">
        <f>D52</f>
        <v/>
      </c>
      <c r="B52" s="242">
        <f>IF(D52="","",B51+1)</f>
        <v/>
      </c>
      <c r="C52" s="242">
        <f>IF(COUNTIF($A$10:A51,A52)&gt;0,C51,C51+1)</f>
        <v/>
      </c>
      <c r="D52" s="243" t="inlineStr">
        <is>
          <t>Carrington Holdings, LLC</t>
        </is>
      </c>
      <c r="E52" s="243" t="inlineStr">
        <is>
          <t>Carrington (TL)</t>
        </is>
      </c>
      <c r="F52" s="244" t="n"/>
      <c r="G52" s="528" t="n">
        <v>5760638.88</v>
      </c>
      <c r="H52" s="528" t="n">
        <v>5760638.88</v>
      </c>
      <c r="I52" s="246" t="n">
        <v>1</v>
      </c>
      <c r="J52" s="529">
        <f>IF(B52="","",G52*I52)</f>
        <v/>
      </c>
      <c r="K52" s="529">
        <f>IF(B52="","",H52*I52)</f>
        <v/>
      </c>
      <c r="L52" s="529">
        <f>IF(B52="","",IF(COUNTIF($CE52:$CX52,1)&gt;0,0,J52))</f>
        <v/>
      </c>
      <c r="M52" s="529">
        <f>IF(B52="","",IF(COUNTIF($CE52:$CX52,1)&gt;0,0,K52))</f>
        <v/>
      </c>
      <c r="N52" s="248" t="inlineStr">
        <is>
          <t>No</t>
        </is>
      </c>
      <c r="O52" s="248" t="inlineStr">
        <is>
          <t>N/A</t>
        </is>
      </c>
      <c r="P52" s="249">
        <f>IF(B52="","",IF(OR(O52="N/A",O52=""),0,YEARFRAC('Borrowing Base'!$J$4,'Loan List'!O52)*12))</f>
        <v/>
      </c>
      <c r="Q52" s="248" t="inlineStr">
        <is>
          <t>No</t>
        </is>
      </c>
      <c r="R52" s="250" t="n">
        <v>0.9938619511251006</v>
      </c>
      <c r="S52" s="251">
        <f>IF(B52="","",IF(R52&lt;95%,"Yes","No"))</f>
        <v/>
      </c>
      <c r="T52" s="250" t="n">
        <v>1</v>
      </c>
      <c r="U52" s="252">
        <f>IF(B52="","",IF(OR(Y52="First Lien",Y52="Split First Lien",Y52="Tier 1 Split Lien",Y52="Tier 2 Split Lien"),50%,30%))</f>
        <v/>
      </c>
      <c r="V52" s="252">
        <f>IF(B52="",0,IF(AND(Y52="First Lien",AN52="Tier 1"),IF(AND(X52="Yes",MIN(AH52,$AJ$5)&gt;4.5),(((4.5/MIN(AH52,$AJ$5))*72.5%)+(((MIN(AH52,$AJ$5)-4.5)/MIN(AH52,$AJ$5))*35%)),72.5%),IF(AND(Y52="First Lien",AN52="Tier 2"),IF(AND(X52="Yes",MIN(AH52,$AK$5)&gt;4.5),(((4.5/MIN(AH52,$AK$5))*72.5%)+(((MIN(AH52,$AK$5)-4.5)/MIN(AH52,$AK$5))*35%)),72.5%),IF(AND(X52="Yes",MIN(AH52,$AL$5)&gt;4),(((4/MIN(AH52,$AL$5))*72.5%)+(((MIN(AH52,$AL$5)-4)/MIN(AH52,$AL$5))*35%)),IF(OR(Y52="First Lien",Y52="Split First Lien"),72.5%,IF(Y52="Split Lien", 53%,35%))))))</f>
        <v/>
      </c>
      <c r="W52" s="530">
        <f>IF($C52="","",MIN($HO52:$HS52))</f>
        <v/>
      </c>
      <c r="X52" s="248" t="inlineStr">
        <is>
          <t>Yes</t>
        </is>
      </c>
      <c r="Y52" s="254" t="inlineStr">
        <is>
          <t>First Lien</t>
        </is>
      </c>
      <c r="Z52" s="254" t="inlineStr">
        <is>
          <t>Term</t>
        </is>
      </c>
      <c r="AA52" s="531" t="inlineStr">
        <is>
          <t>NR</t>
        </is>
      </c>
      <c r="AB52" s="531" t="inlineStr">
        <is>
          <t xml:space="preserve"> NR</t>
        </is>
      </c>
      <c r="AC52" s="532" t="n">
        <v>1.91</v>
      </c>
      <c r="AD52" s="532" t="n">
        <v>4.807995955733332</v>
      </c>
      <c r="AE52" s="532" t="n">
        <v>3.744777690081558</v>
      </c>
      <c r="AF52" s="257" t="n">
        <v>0.403</v>
      </c>
      <c r="AG52" s="533" t="n">
        <v>4.807995955733332</v>
      </c>
      <c r="AH52" s="533" t="n">
        <v>4.807995955733332</v>
      </c>
      <c r="AI52" s="533" t="n">
        <v>3.892002104709287</v>
      </c>
      <c r="AJ52" s="533" t="n">
        <v>3.892002104709287</v>
      </c>
      <c r="AK52" s="534" t="n">
        <v>28067827.2699206</v>
      </c>
      <c r="AL52" s="534" t="n">
        <v>76020000</v>
      </c>
      <c r="AM52" s="276" t="n">
        <v>45808</v>
      </c>
      <c r="AN52" s="529">
        <f>IF(C52="","",(IF(AK52&gt;=50000000,"Tier 1",(IF(OR(AK52&gt;=20000000,AND(AK52&gt;5000000,AC52&gt;=1.25,AF52&lt;=0.65)),"Tier 2","Tier 3")))))</f>
        <v/>
      </c>
      <c r="AO52" s="244" t="n">
        <v>46421</v>
      </c>
      <c r="AP52" s="535" t="n">
        <v>1.508333333333333</v>
      </c>
      <c r="AQ52" s="535">
        <f>IF(C52="","",AP52)</f>
        <v/>
      </c>
      <c r="AR52" s="248" t="inlineStr">
        <is>
          <t>No</t>
        </is>
      </c>
      <c r="AS52" s="250" t="n">
        <v>0</v>
      </c>
      <c r="AT52" s="248" t="inlineStr">
        <is>
          <t>Yes</t>
        </is>
      </c>
      <c r="AU52" s="250" t="n">
        <v>0.01</v>
      </c>
      <c r="AV52" s="250" t="n">
        <v>0.0485</v>
      </c>
      <c r="AW52" s="250" t="n">
        <v>0.04195600000000001</v>
      </c>
      <c r="AX52" s="262">
        <f>IF(C52="","",MAX(AU52,AW52))</f>
        <v/>
      </c>
      <c r="AY52" s="250" t="n">
        <v>0</v>
      </c>
      <c r="AZ52" s="250" t="n">
        <v>0</v>
      </c>
      <c r="BA52" s="250" t="n">
        <v>0</v>
      </c>
      <c r="BB52" s="412">
        <f>IF(B52="","",IF(AR52="No",AV52-AZ52,""))</f>
        <v/>
      </c>
      <c r="BC52" s="412">
        <f>IF(B52="","",IF(AR52="Yes",AS52-BA52,""))</f>
        <v/>
      </c>
      <c r="BD52" s="254" t="inlineStr">
        <is>
          <t>Quarterly</t>
        </is>
      </c>
      <c r="BE52" s="536" t="inlineStr">
        <is>
          <t>Health Care Providers &amp; Services</t>
        </is>
      </c>
      <c r="BF52" s="254" t="inlineStr">
        <is>
          <t>USD</t>
        </is>
      </c>
      <c r="BG52" s="254" t="inlineStr">
        <is>
          <t>United States</t>
        </is>
      </c>
      <c r="BH52" s="248" t="inlineStr">
        <is>
          <t>No</t>
        </is>
      </c>
      <c r="BI52" s="413">
        <f>IF(B52="","",IF(OR(AND(AZ52&gt;0,BB52&gt;=2.5%,BB52&lt;4%),AND(BA52&gt;0,BC52&gt;=6%,BC52&lt;8%)),"Yes","No"))</f>
        <v/>
      </c>
      <c r="BJ52" s="413">
        <f>IF(B52="","",IF(OR(AND(AZ52&gt;0,BB52&lt;2.5%),AND(BA52&gt;0,BC52&lt;6%)),"Yes","No"))</f>
        <v/>
      </c>
      <c r="BK52" s="248" t="inlineStr">
        <is>
          <t>No</t>
        </is>
      </c>
      <c r="BL52" s="248" t="inlineStr">
        <is>
          <t>No</t>
        </is>
      </c>
      <c r="BM52" s="248" t="inlineStr">
        <is>
          <t>No</t>
        </is>
      </c>
      <c r="BN52" s="248" t="inlineStr">
        <is>
          <t>No</t>
        </is>
      </c>
      <c r="BO52" s="248" t="inlineStr">
        <is>
          <t>No</t>
        </is>
      </c>
      <c r="BP52" s="248" t="inlineStr">
        <is>
          <t>No</t>
        </is>
      </c>
      <c r="BQ52" s="248" t="inlineStr">
        <is>
          <t>No</t>
        </is>
      </c>
      <c r="BR52" s="248" t="inlineStr">
        <is>
          <t>No</t>
        </is>
      </c>
      <c r="BS52" s="248" t="inlineStr">
        <is>
          <t>No</t>
        </is>
      </c>
      <c r="BT52" s="248" t="inlineStr">
        <is>
          <t>No</t>
        </is>
      </c>
      <c r="BU52" s="248" t="inlineStr">
        <is>
          <t>No</t>
        </is>
      </c>
      <c r="BV52" s="248" t="inlineStr">
        <is>
          <t>No</t>
        </is>
      </c>
      <c r="BW52" s="248" t="inlineStr">
        <is>
          <t>No</t>
        </is>
      </c>
      <c r="BX52" s="248" t="inlineStr">
        <is>
          <t>No</t>
        </is>
      </c>
      <c r="BY52" s="248" t="inlineStr">
        <is>
          <t>No</t>
        </is>
      </c>
      <c r="BZ52" s="248" t="inlineStr">
        <is>
          <t>No</t>
        </is>
      </c>
      <c r="CA52" s="248" t="inlineStr">
        <is>
          <t>Yes</t>
        </is>
      </c>
      <c r="CB52" s="537">
        <f>IF(B52="","",IF(AT52="No",((BB52+AW52)-$AZ$4),((BB52+AX52)-$AZ$4))*IF(DD52&gt;0,0,M52))</f>
        <v/>
      </c>
      <c r="CC52" s="537">
        <f>IF(B52="","",AY52*(L52-M52)*IF(DD52&gt;0,0,1))</f>
        <v/>
      </c>
      <c r="CD52" s="265" t="n"/>
      <c r="CE52" s="265">
        <f>IF(AND(B52&lt;&gt;"",R52&lt;=85%),1,0)</f>
        <v/>
      </c>
      <c r="CF52" s="265">
        <f>IF(B52="",0,(IF(OR(BF52="USD",BF52="CAD",BF52="GBP",BF52="AUD",BF52="EUR"),0,1)))</f>
        <v/>
      </c>
      <c r="CG52" s="265">
        <f>IF(B52="",0,(IF(OR(BG52="United States",BG52="Canada",BG52="United Kingdom",BG52="Australia",BG52="Netherlands Antilles",BG52="Bermuda",BG52="Cayman Islands",BG52="British Virgin Islands",BG52="Channel Islands",BG52="Isle of Man",BG52="Australia",BG52="Netherlands",BG52="Germany",BG52="Sweden",BG52="Switzerland",BG52="Austria",BG52="Belgium",BG52="Denmark",BG52="Finland",BG52="Iceland",BG52="Ireland",BG52="Lichtenstein",BG52="Luxemborg",BG52="Norway"),0,1)))</f>
        <v/>
      </c>
      <c r="CH52" s="265">
        <f>IF(BN52="Yes",1,0)</f>
        <v/>
      </c>
      <c r="CI52" s="265">
        <f>IF(BO52="Yes",1,0)</f>
        <v/>
      </c>
      <c r="CJ52" s="265">
        <f>IF(BP52="Yes",1,0)</f>
        <v/>
      </c>
      <c r="CK52" s="265">
        <f>IF(BQ52="Yes",1,0)</f>
        <v/>
      </c>
      <c r="CL52" s="265">
        <f>IF(BR52="Yes",1,0)</f>
        <v/>
      </c>
      <c r="CM52" s="265">
        <f>IF(BS52="Yes",1,0)</f>
        <v/>
      </c>
      <c r="CN52" s="265">
        <f>IF(OR(AND(BJ52="Yes",N52="No"),AND(BJ52="Yes",N52="Yes",P52&gt;=6)),1,0)</f>
        <v/>
      </c>
      <c r="CO52" s="265">
        <f>IF(BT52="Yes",1,0)</f>
        <v/>
      </c>
      <c r="CP52" s="265">
        <f>IF(AND(BU52="Yes",BV52="No"),1,0)</f>
        <v/>
      </c>
      <c r="CQ52" s="265">
        <f>IF(BW52="Yes",1,0)</f>
        <v/>
      </c>
      <c r="CR52" s="265">
        <f>IF(AP52="",0,IF(AP52&gt;7,1,0))</f>
        <v/>
      </c>
      <c r="CS52" s="265">
        <f>IF(OR(BD52&lt;&gt;"Monthly",BD52&lt;&gt;"Quarterly",BD52&lt;&gt;"Semi-Annually"),0,1)</f>
        <v/>
      </c>
      <c r="CT52" s="265">
        <f>IF(BX52="Yes",1,0)</f>
        <v/>
      </c>
      <c r="CU52" s="265">
        <f>IF(BY52="Yes",1,0)</f>
        <v/>
      </c>
      <c r="CV52" s="265">
        <f>IF(BZ52="Yes",1,0)</f>
        <v/>
      </c>
      <c r="CW52" s="265">
        <f>IF(CA52="No",1,0)</f>
        <v/>
      </c>
      <c r="CX52" s="265">
        <f>IF(B52="",0,IF(AK52&gt;=5000000,0,1))</f>
        <v/>
      </c>
      <c r="CY52" s="265">
        <f>IF(B52="",0,IF(AL52&gt;=5000000,0,1))</f>
        <v/>
      </c>
      <c r="CZ52" s="265">
        <f>IF(OR(DA52=1,DB52=1,DC52=1),0,IF(B52="",0,IF(OR(AND(AN52="Tier 1",X52="No",OR(AI52&gt;$AJ$3,AJ52&gt;$AJ$4)),(AND(AN52="Tier 1",X52="Yes",AJ52&gt;$AJ$5)),(AND(AN52="Tier 2",X52="No",OR(AI52&gt;$AK$3,AJ52&gt;$AK$4))),(AND(AN52="Tier 2",X52="Yes",AJ52&gt;$AK$5)),(AND(AN52="Tier 3",X52="No",OR(AI52&gt;$AL$3,AJ52&gt;$AL$4))),(AND(AN52="Tier 3",X52="Yes",AJ52&gt;$AL$5))),1,0)))</f>
        <v/>
      </c>
      <c r="DA52" s="265">
        <f>IF(OR(DB52=1,DC52=1),0,IF(B52="",0,IF(OR(AND(AN52="Tier 1",X52="No",OR(AI52&gt;$AM$3,AJ52&gt;$AM$4)),(AND(AN52="Tier 1",X52="Yes",AJ52&gt;$AM$5)),(AND(AN52="Tier 2",X52="No",OR(AI52&gt;$AN$3,AJ52&gt;$AN$4))),(AND(AN52="Tier 2",X52="Yes",AJ52&gt;$AN$5)),(AND(AN52="Tier 3",X52="No",OR(AI52&gt;$AO$3,AJ52&gt;$AO$4))),(AND(AN52="Tier 3",X52="Yes",AJ52&gt;$AO$5))),1,0)))</f>
        <v/>
      </c>
      <c r="DB52" s="265">
        <f>IF(DC52=1,0,IF(B52="",0,IF(OR(AND(AN52="Tier 1",X52="No",OR(AI52&gt;$AP$3,AJ52&gt;$AP$4)),(AND(AN52="Tier 1",X52="Yes",AJ52&gt;$AP$5)),(AND(AN52="Tier 2",X52="No",OR(AI52&gt;$AQ$3,AJ52&gt;$AQ$4))),(AND(AN52="Tier 2",X52="Yes",AJ52&gt;$AQ$5)),(AND(AN52="Tier 3",X52="No",OR(AI52&gt;$AR$3,AJ52&gt;$AR$4))),(AND(AN52="Tier 3",X52="Yes",AJ52&gt;$AR$5))),1,0)))</f>
        <v/>
      </c>
      <c r="DC52" s="265">
        <f>IF(B52="",0,IF(OR(AND(AN52="Tier 1",X52="No",OR(AI52&gt;$AS$3,AJ52&gt;$AS$4)),(AND(AN52="Tier 1",X52="Yes",AJ52&gt;$AS$5)),(AND(AN52="Tier 2",X52="No",OR(AI52&gt;$AT$3,AJ52&gt;$AT$4))),(AND(AN52="Tier 2",X52="Yes",AJ52&gt;$AT$5)),(AND(AN52="Tier 3",X52="No",OR(AI52&gt;$AU$3,AJ52&gt;$AU$4))),(AND(AN52="Tier 3",X52="Yes",AJ52&gt;$AU$5))),1,0))</f>
        <v/>
      </c>
      <c r="DD52" s="265">
        <f>IF((SUM(CE52:CX52)=0),0,W52)</f>
        <v/>
      </c>
      <c r="DE52" s="265">
        <f>IF(OR(B52="",DD52&gt;0),0,W52)</f>
        <v/>
      </c>
      <c r="DF52" s="265">
        <f>IF(B52="",0,IF(COUNTIF(CE52:CX52,1)&gt;0,0,L52-M52))</f>
        <v/>
      </c>
      <c r="DG52" s="265">
        <f>DE52+IF(DD52&gt;0,0,DF52)</f>
        <v/>
      </c>
      <c r="DH52" s="265">
        <f>IF(B52="","",M52+DF52)</f>
        <v/>
      </c>
      <c r="DI52" s="265">
        <f>IF(B52="",0,J52-K52)</f>
        <v/>
      </c>
      <c r="DJ52" s="265">
        <f>IF(OR(BF52="EUR",BF52="CAD",BF52="GBP",BF52="AUD"),(GA52*(1-V52))+(HG52)+IF(HX52="",0,HX52*(1-U52)),0)</f>
        <v/>
      </c>
      <c r="DK52" s="265">
        <f>IF(BF52="EUR",33%,IF(BF52="CAD",38%,IF(BF52="GBP",51%,IF(BF52="AUD",61%,0))))</f>
        <v/>
      </c>
      <c r="DL52" s="265">
        <f>DJ52*DK52</f>
        <v/>
      </c>
      <c r="DN52" s="538">
        <f>IF(OR(Y52="Second Lien",Y52="Tier 1 Split Lien",Y52="Tier 2 Split Lien"),DG52,0)</f>
        <v/>
      </c>
      <c r="DO52" s="539">
        <f>DN52*DN$6</f>
        <v/>
      </c>
      <c r="DP52" s="538">
        <f>DG52-DO52</f>
        <v/>
      </c>
      <c r="DQ52" s="538">
        <f>IF(Y52="Second Lien",DP52,0)</f>
        <v/>
      </c>
      <c r="DR52" s="539">
        <f>DQ52*DQ$6</f>
        <v/>
      </c>
      <c r="DS52" s="538">
        <f>DP52-DR52</f>
        <v/>
      </c>
      <c r="DT52" s="538">
        <f>IF(BH52="Yes",DS52,0)</f>
        <v/>
      </c>
      <c r="DU52" s="539">
        <f>DT52*DT$6</f>
        <v/>
      </c>
      <c r="DV52" s="538">
        <f>DS52-DU52</f>
        <v/>
      </c>
      <c r="DW52" s="538">
        <f>IF(OR(BG52="Canada",BG52="United Kingdom",BG52="Australia",BG52="Netherlands Antilles",BG52="Bermuda",BG52="Cayman Islands",BG52="British Virgin Islands",BG52="Channel Islands",BG52="Isle of Man",BG52="Australia",BG52="Netherlands",BG52="Germany",BG52="Sweden",BG52="Switzerland",BG52="Austria",BG52="Belgium",BG52="Denmark",BG52="Finland",BG52="Iceland",BG52="Ireland",BG52="Lichtenstein",BG52="Luxemborg",BG52="Norway"),DV52,0)</f>
        <v/>
      </c>
      <c r="DX52" s="539">
        <f>DW52*DW$6</f>
        <v/>
      </c>
      <c r="DY52" s="538">
        <f>DV52-DX52</f>
        <v/>
      </c>
      <c r="DZ52" s="538">
        <f>IF(BI52="Yes",DY52,0)</f>
        <v/>
      </c>
      <c r="EA52" s="539">
        <f>DZ52*DZ$6</f>
        <v/>
      </c>
      <c r="EB52" s="538">
        <f>DY52-EA52</f>
        <v/>
      </c>
      <c r="EC52" s="538">
        <f>IF(OR(Z52="Delayed Draw",Z52="Revolver"),EB52,0)</f>
        <v/>
      </c>
      <c r="ED52" s="539">
        <f>EC52*EC$6</f>
        <v/>
      </c>
      <c r="EE52" s="538">
        <f>EB52-ED52</f>
        <v/>
      </c>
      <c r="EF52" s="538">
        <f>IF(S52="Yes",EE52,0)</f>
        <v/>
      </c>
      <c r="EG52" s="539">
        <f>EF52*EF$6</f>
        <v/>
      </c>
      <c r="EH52" s="538">
        <f>EE52-EG52</f>
        <v/>
      </c>
      <c r="EI52" s="538">
        <f>IF(Q52="Yes",EH52,0)</f>
        <v/>
      </c>
      <c r="EJ52" s="539">
        <f>EI52*EI$6</f>
        <v/>
      </c>
      <c r="EK52" s="538">
        <f>EH52-EJ52</f>
        <v/>
      </c>
      <c r="EL52" s="538">
        <f>IF(BD52="Semi-Annually",EK52,0)</f>
        <v/>
      </c>
      <c r="EM52" s="539">
        <f>EL52*EL$6</f>
        <v/>
      </c>
      <c r="EN52" s="538">
        <f>EK52-EM52</f>
        <v/>
      </c>
      <c r="EO52" s="538">
        <f>IF(BK52="Yes",EN52,0)</f>
        <v/>
      </c>
      <c r="EP52" s="539">
        <f>EO52*EO$6</f>
        <v/>
      </c>
      <c r="EQ52" s="538">
        <f>EN52-EP52</f>
        <v/>
      </c>
      <c r="ER52" s="538">
        <f>IF(BL52="Yes",EQ52,0)</f>
        <v/>
      </c>
      <c r="ES52" s="539">
        <f>ER52*ER$6</f>
        <v/>
      </c>
      <c r="ET52" s="538">
        <f>EQ52-ES52</f>
        <v/>
      </c>
      <c r="EU52" s="538">
        <f>IF(BM52="Yes",ET52,0)</f>
        <v/>
      </c>
      <c r="EV52" s="539">
        <f>EU52*EU$6</f>
        <v/>
      </c>
      <c r="EW52" s="538">
        <f>ET52-EV52</f>
        <v/>
      </c>
      <c r="EX52" s="538">
        <f>IF(BV52="Yes",EW52,0)</f>
        <v/>
      </c>
      <c r="EY52" s="539">
        <f>EX52*EX$6</f>
        <v/>
      </c>
      <c r="EZ52" s="538">
        <f>EW52-EY52</f>
        <v/>
      </c>
      <c r="FA52" s="538">
        <f>IF(AR52="Yes",EZ52,0)</f>
        <v/>
      </c>
      <c r="FB52" s="539">
        <f>FA52*FA$6</f>
        <v/>
      </c>
      <c r="FC52" s="538">
        <f>EZ52-FB52</f>
        <v/>
      </c>
      <c r="FD52" s="538">
        <f>IF(OR(BF52="EUR",BF52="AUD",BF52="CAD",BF52="GBP"),FC52,0)</f>
        <v/>
      </c>
      <c r="FE52" s="539">
        <f>FD52*FD$6</f>
        <v/>
      </c>
      <c r="FF52" s="538">
        <f>FC52-FE52</f>
        <v/>
      </c>
      <c r="FG52" s="538">
        <f>FF52</f>
        <v/>
      </c>
      <c r="FH52" s="538">
        <f>IF(FF52=0,0,VLOOKUP(C52,$GU$10:$GV$406,2,FALSE)*FF52)</f>
        <v/>
      </c>
      <c r="FI52" s="538">
        <f>FF52-FH52</f>
        <v/>
      </c>
      <c r="FJ52" s="538">
        <f>FI52</f>
        <v/>
      </c>
      <c r="FK52" s="538">
        <f>IF(OR(IB52="",FI52&lt;0.01),,VLOOKUP(IB52,$GL$10:$GM$406,2,FALSE)*FI52)</f>
        <v/>
      </c>
      <c r="FL52" s="538">
        <f>FI52-FK52</f>
        <v/>
      </c>
      <c r="FM52" s="538">
        <f>FL52</f>
        <v/>
      </c>
      <c r="FN52" s="538">
        <f>IF(FL52=0,0,VLOOKUP(C52,$HD$10:$HE$406,2,FALSE)*FL52)</f>
        <v/>
      </c>
      <c r="FO52" s="538">
        <f>FL52-FN52</f>
        <v/>
      </c>
      <c r="FP52" s="538">
        <f>IF(SUM(CY52:DC52)&gt;0,0,IF(AND(AL52&gt;=5000000,AL52&lt;7500000),FO52,0))</f>
        <v/>
      </c>
      <c r="FQ52" s="539">
        <f>IF(B52="",0,FP52*FP$6*(1-$U52))</f>
        <v/>
      </c>
      <c r="FR52" s="538">
        <f>FO52-FQ52</f>
        <v/>
      </c>
      <c r="FS52" s="538">
        <f>IF(SUM(CY52:DC52)&gt;0,0,IF(AL52&lt;15000000,FR52,0))</f>
        <v/>
      </c>
      <c r="FT52" s="539">
        <f>IF(B52="",0,FS52*FS$6*(1-$U52))</f>
        <v/>
      </c>
      <c r="FU52" s="538">
        <f>FR52-FT52</f>
        <v/>
      </c>
      <c r="FV52" s="538">
        <f>IF(SUM(CY52:DC52)&gt;0,0,IF(OR(AND(X52="No",AN52="Tier 1",AI52&gt;$AG$3),AND(X52="No",AN52="Tier 2",AI52&gt;$AH$3),AND(X52="No",AN52="Tier 3",AI52&gt;$AI$3)),FU52,0))</f>
        <v/>
      </c>
      <c r="FW52" s="538">
        <f>IF(SUM(CY52:DC52)&gt;0,0,IF(OR(AND(X52="No",AN52="Tier 1",AJ52&gt;$AG$4),AND(X52="No",AN52="Tier 2",AJ52&gt;$AH$4),AND(X52="No",AN52="Tier 3",AJ52&gt;$AI$4)),FU52,0))</f>
        <v/>
      </c>
      <c r="FX52" s="538">
        <f>IF(SUM(CY52:DC52)&gt;0,0,IF(OR(AND(X52="Yes",AN52="Tier 1",AJ52&gt;$AG$5),AND(X52="Yes",AN52="Tier 2",AJ52&gt;$AH$5),AND(X52="Yes",AN52="Tier 3",AJ52&gt;$AI$5)),FU52,0))</f>
        <v/>
      </c>
      <c r="FY52" s="538">
        <f>IF(SUM(FV52:FX52)&gt;0,FU52,0)</f>
        <v/>
      </c>
      <c r="FZ52" s="539">
        <f>IF(B52="",0,FY52*FV$6*(1-MIN(90%,T52)))</f>
        <v/>
      </c>
      <c r="GA52" s="538">
        <f>FU52-FZ52</f>
        <v/>
      </c>
      <c r="GB52" s="538">
        <f>IF(AND(N52="No",DI52=0),GA52,IF(AND(N52="No",DI52&lt;&gt;0,K52=0),0,IF(AND(N52="No",DI52&lt;&gt;0,K52&gt;0,J52&lt;&gt;K52),MAX(0,M52-(DH52-GA52)),DG52)))</f>
        <v/>
      </c>
      <c r="GC52" s="540">
        <f>+GB52*V52</f>
        <v/>
      </c>
      <c r="GD52" s="138">
        <f>IFERROR(GC52/K52,"")</f>
        <v/>
      </c>
      <c r="GE52" s="541">
        <f>IF(IB52="","",IB52)</f>
        <v/>
      </c>
      <c r="GF52" s="538">
        <f t="array" ref="GF52">IF(SUM(IF(IB$9:IB51=IB52,1,0))&gt;0,0,SUMIF($IB$10:$IB$406,IB52,$FI$10:$FI$406))</f>
        <v/>
      </c>
      <c r="GG52" s="270">
        <f>GF52</f>
        <v/>
      </c>
      <c r="GH52" s="137">
        <f>GH51+1</f>
        <v/>
      </c>
      <c r="GI52" s="542">
        <f>LARGE($GG$10:$GG$406,GH52)</f>
        <v/>
      </c>
      <c r="GJ52" s="542">
        <f>IF(GH52&gt;GH$6,0,IF(GH52=$GH$2,$GJ$2,IF(GH52&lt;4,$GJ$3,$GJ$4)))</f>
        <v/>
      </c>
      <c r="GK52" s="489">
        <f>MAX(0,GI52-GJ52)</f>
        <v/>
      </c>
      <c r="GL52" s="137">
        <f t="array" ref="GL52">IF(GI52=0,0,LARGE(IF($GF$10:$GF$406=GI52,$GE$10:$GE$406,0),COUNTIF($GI$10:$GI$406,GI52)-COUNTIF(GI$9:GI51,GI52)))</f>
        <v/>
      </c>
      <c r="GM52" s="272">
        <f>IF(GI52=0,0,GK52/GI52)</f>
        <v/>
      </c>
      <c r="GO52" s="137">
        <f>IF(C52="","",IF(ISERROR(MATCH(C52,C$10:C51,0)),MAX(GO$10:GO51)+1,INDEX(GO$10:GO51,MATCH(C52,C$10:C51,0))))</f>
        <v/>
      </c>
      <c r="GP52" s="538">
        <f>IF(COUNTIF($A$10:A52,A52)&lt;=1,SUMIF($A$10:$A$406,A52,$FG$10:$FG$406),0)</f>
        <v/>
      </c>
      <c r="GQ52" s="137">
        <f>GQ51+1</f>
        <v/>
      </c>
      <c r="GR52" s="542">
        <f>LARGE($GP$10:$GP$406,GQ52)</f>
        <v/>
      </c>
      <c r="GS52" s="542">
        <f>IF(GQ52&gt;GQ$6,0,IF(GQ52&lt;=GQ$2,GS$2,IF(AND(GQ52&lt;=$GQ$3,GQ52&gt;$GQ$2),GS$3,GS$4)))</f>
        <v/>
      </c>
      <c r="GT52" s="489">
        <f>MAX(0,GR52-GS52)</f>
        <v/>
      </c>
      <c r="GU52" s="137">
        <f t="array" ref="GU52">IF(GR52=0,0,LARGE(IF($GP$10:$GP$406=GR52,$GO$10:$GO$406,0),COUNTIF($GR$10:$GR$406,GR52)-COUNTIF(GR$9:GR51,GR52)))</f>
        <v/>
      </c>
      <c r="GV52" s="272">
        <f>IF(GR52=0,0,GT52/GR52)</f>
        <v/>
      </c>
      <c r="GW52" s="272" t="n"/>
      <c r="GX52" s="137">
        <f>IF(C52="","",IF(ISERROR(MATCH(C52,C$10:C51,0)),MAX(GO$10:GO51)+1,INDEX(GO$10:GO51,MATCH(C52,C$10:C51,0))))</f>
        <v/>
      </c>
      <c r="GY52" s="538">
        <f>IF(COUNTIF($A$10:A52,A52)&lt;=1,SUMIF($A$10:$A$406,A52,$FG$10:$FG$406),0)</f>
        <v/>
      </c>
      <c r="GZ52" s="137">
        <f>GZ51+1</f>
        <v/>
      </c>
      <c r="HA52" s="542">
        <f>LARGE($GY$10:$GY$406,GZ52)</f>
        <v/>
      </c>
      <c r="HB52" s="543" t="inlineStr">
        <is>
          <t>-</t>
        </is>
      </c>
      <c r="HC52" s="489">
        <f>IF(GZ52&lt;6,MAX(0,$HC$2/5),0)</f>
        <v/>
      </c>
      <c r="HD52" s="137">
        <f t="array" ref="HD52">IF(HA52=0,0,LARGE(IF($GY$10:$GY$406=HA52,$GX$10:$GX$406,0),COUNTIF($HA$10:$HA$406,HA52)-COUNTIF(HA$9:HA51,HA52)))</f>
        <v/>
      </c>
      <c r="HE52" s="272">
        <f>IF(HA52=0,0,HC52/HA52)</f>
        <v/>
      </c>
      <c r="HG52" s="270">
        <f>DG52-GA52</f>
        <v/>
      </c>
      <c r="HH52" s="544" t="n">
        <v>0</v>
      </c>
      <c r="HI52" s="538">
        <f>MIN(HH52,DE52)</f>
        <v/>
      </c>
      <c r="HK52" s="137">
        <f>IF(COUNTIF($C$10:$C$406,HK51+1),HK51+1,"")</f>
        <v/>
      </c>
      <c r="HL52" s="538">
        <f>SUMIF($C$10:$C$406,HK52,$DG$10:$DG$406)</f>
        <v/>
      </c>
      <c r="HN52" s="521">
        <f>MIN(HO52:HS52)</f>
        <v/>
      </c>
      <c r="HO52" s="521">
        <f>IF(B52="","",$M52)</f>
        <v/>
      </c>
      <c r="HP52" s="521">
        <f>IF($N52="Yes",IF(P52&gt;=6,0,MIN($T52*$M52,$U52*$M52)),"")</f>
        <v/>
      </c>
      <c r="HQ52" s="521">
        <f>IF(AND(N52="Yes",P52&gt;=6),"",IF($S52="Yes",$R52*$M52,""))</f>
        <v/>
      </c>
      <c r="HR52" s="521">
        <f>IF($Q52="Yes",MIN($M52,$T52*$M52),"")</f>
        <v/>
      </c>
      <c r="HS52" s="521">
        <f>IF(AND($N52="Yes",$P52&gt;=6),"",IF(OR(CY52=1,DC52=1,),MIN($T52*$M52,$U52*$M52),IF(OR(CZ52=1,DA52=1,DB52=1),IF(AK52&gt;=5000000,MIN($T52*$M52,$IE52*$M52),MIN($T52*$M52,$U52*$M52)),"")))</f>
        <v/>
      </c>
      <c r="HT52" s="521">
        <f>IF(DD52&gt;0,DD52,"")</f>
        <v/>
      </c>
      <c r="HU52" s="522">
        <f>IF(B52="",0,$L52-$M52)</f>
        <v/>
      </c>
      <c r="HV52" s="274">
        <f>IF(OR(SUM(HP52:HT52)&gt;0,P52&gt;=6),"",IF($B52="","",1))</f>
        <v/>
      </c>
      <c r="HW52" s="522">
        <f>IF(AND($HT52&lt;&gt;0,OR(HT52&lt;=MIN(HP52:HS52),SUM(HP52:HS52)=0)),$HT52,0)</f>
        <v/>
      </c>
      <c r="HX52" s="522">
        <f>IF(AND($HS52&lt;&gt;0,OR(AND($HS52&lt;&gt;$HT52,$HS52&lt;&gt;$HR52,$HS52&lt;&gt;$HQ52,$HS52&lt;&gt;$HP52,$HS52&lt;MIN($HP52:$HR52),$HS52&lt;HT52),SUM($HP52:$HR52)+SUM(HT52)=0),IA52&lt;=0),$HS52,0)</f>
        <v/>
      </c>
      <c r="HY52" s="522">
        <f>IF(AND($HR52&lt;&gt;0,OR(AND($HR52&lt;&gt;$HT52,$HR52&lt;&gt;$HS52,$HR52&lt;&gt;$HQ52,$HR52&lt;&gt;$HP52),$HR52&lt;MIN($HP52:$HQ52),$HR52&lt;MIN($HS52:$HT52),SUM($HP52:$HQ52)+SUM($HS52:$HT52)=0)),$HR52,0)</f>
        <v/>
      </c>
      <c r="HZ52" s="522">
        <f>IF(AND($HQ52&lt;&gt;0,OR(AND($HQ52&lt;&gt;$HT52,HQ52&lt;&gt;HS52,HQ52&lt;&gt;HR52,HQ52&lt;&gt;HP52,HQ52&lt;MIN(HR52:HT52)),SUM(HP52)+SUM(HR52:HT52)=0)),$HQ52,0)</f>
        <v/>
      </c>
      <c r="IA52" s="522">
        <f>IF(AND($HP52&lt;&gt;0,OR(HP52&lt;=MIN(HQ52:HT52),SUM(HQ52:HT52)=0)),$HP52,0)</f>
        <v/>
      </c>
      <c r="IB52" s="545" t="n">
        <v>31</v>
      </c>
      <c r="IC52">
        <f>HU52=DF52</f>
        <v/>
      </c>
      <c r="IE52" s="351">
        <f>IF(B52="","",IF(AND(Y52="Second Lien",OR(CZ52=1,DA52=1,DB52=1)),50%,IF(CZ52=1,90%,IF(DA52=1,80%,IF(DB52=1,65%,"No Initial Haircut")))))</f>
        <v/>
      </c>
    </row>
    <row r="53">
      <c r="A53">
        <f>D53</f>
        <v/>
      </c>
      <c r="B53" s="242">
        <f>IF(D53="","",B52+1)</f>
        <v/>
      </c>
      <c r="C53" s="242">
        <f>IF(COUNTIF($A$10:A52,A53)&gt;0,C52,C52+1)</f>
        <v/>
      </c>
      <c r="D53" s="243" t="inlineStr">
        <is>
          <t>Dunmore Holdings, LLC</t>
        </is>
      </c>
      <c r="E53" s="243" t="inlineStr">
        <is>
          <t>Dunmore (Term Loan)</t>
        </is>
      </c>
      <c r="F53" s="244" t="n"/>
      <c r="G53" s="528" t="n">
        <v>9969773.140000001</v>
      </c>
      <c r="H53" s="528" t="n">
        <v>9969773.140000001</v>
      </c>
      <c r="I53" s="246" t="n">
        <v>1</v>
      </c>
      <c r="J53" s="529">
        <f>IF(B53="","",G53*I53)</f>
        <v/>
      </c>
      <c r="K53" s="529">
        <f>IF(B53="","",H53*I53)</f>
        <v/>
      </c>
      <c r="L53" s="529">
        <f>IF(B53="","",IF(COUNTIF($CE53:$CX53,1)&gt;0,0,J53))</f>
        <v/>
      </c>
      <c r="M53" s="529">
        <f>IF(B53="","",IF(COUNTIF($CE53:$CX53,1)&gt;0,0,K53))</f>
        <v/>
      </c>
      <c r="N53" s="248" t="inlineStr">
        <is>
          <t>No</t>
        </is>
      </c>
      <c r="O53" s="248" t="inlineStr">
        <is>
          <t>N/A</t>
        </is>
      </c>
      <c r="P53" s="249">
        <f>IF(B53="","",IF(OR(O53="N/A",O53=""),0,YEARFRAC('Borrowing Base'!$J$4,'Loan List'!O53)*12))</f>
        <v/>
      </c>
      <c r="Q53" s="248" t="inlineStr">
        <is>
          <t>No</t>
        </is>
      </c>
      <c r="R53" s="250" t="n">
        <v>0.9928641</v>
      </c>
      <c r="S53" s="251">
        <f>IF(B53="","",IF(R53&lt;95%,"Yes","No"))</f>
        <v/>
      </c>
      <c r="T53" s="250" t="n">
        <v>0.9919999995105205</v>
      </c>
      <c r="U53" s="252">
        <f>IF(B53="","",IF(OR(Y53="First Lien",Y53="Split First Lien",Y53="Tier 1 Split Lien",Y53="Tier 2 Split Lien"),50%,30%))</f>
        <v/>
      </c>
      <c r="V53" s="252">
        <f>IF(B53="",0,IF(AND(Y53="First Lien",AN53="Tier 1"),IF(AND(X53="Yes",MIN(AH53,$AJ$5)&gt;4.5),(((4.5/MIN(AH53,$AJ$5))*72.5%)+(((MIN(AH53,$AJ$5)-4.5)/MIN(AH53,$AJ$5))*35%)),72.5%),IF(AND(Y53="First Lien",AN53="Tier 2"),IF(AND(X53="Yes",MIN(AH53,$AK$5)&gt;4.5),(((4.5/MIN(AH53,$AK$5))*72.5%)+(((MIN(AH53,$AK$5)-4.5)/MIN(AH53,$AK$5))*35%)),72.5%),IF(AND(X53="Yes",MIN(AH53,$AL$5)&gt;4),(((4/MIN(AH53,$AL$5))*72.5%)+(((MIN(AH53,$AL$5)-4)/MIN(AH53,$AL$5))*35%)),IF(OR(Y53="First Lien",Y53="Split First Lien"),72.5%,IF(Y53="Split Lien", 53%,35%))))))</f>
        <v/>
      </c>
      <c r="W53" s="530">
        <f>IF($C53="","",MIN($HO53:$HS53))</f>
        <v/>
      </c>
      <c r="X53" s="248" t="inlineStr">
        <is>
          <t>Yes</t>
        </is>
      </c>
      <c r="Y53" s="254" t="inlineStr">
        <is>
          <t>First Lien</t>
        </is>
      </c>
      <c r="Z53" s="254" t="inlineStr">
        <is>
          <t>Term</t>
        </is>
      </c>
      <c r="AA53" s="531" t="inlineStr">
        <is>
          <t>NR</t>
        </is>
      </c>
      <c r="AB53" s="531" t="inlineStr">
        <is>
          <t xml:space="preserve"> NR</t>
        </is>
      </c>
      <c r="AC53" s="532" t="n">
        <v>1.25</v>
      </c>
      <c r="AD53" s="532" t="n">
        <v>5.962962962962963</v>
      </c>
      <c r="AE53" s="532" t="n">
        <v>5.566256042865382</v>
      </c>
      <c r="AF53" s="257" t="n">
        <v>0.5351</v>
      </c>
      <c r="AG53" s="533" t="n">
        <v>5.962962962962963</v>
      </c>
      <c r="AH53" s="533" t="n">
        <v>5.962962962962963</v>
      </c>
      <c r="AI53" s="533" t="n">
        <v>6.313383948284272</v>
      </c>
      <c r="AJ53" s="533" t="n">
        <v>6.313383948284272</v>
      </c>
      <c r="AK53" s="534" t="n">
        <v>40500000</v>
      </c>
      <c r="AL53" s="534" t="n">
        <v>83872978</v>
      </c>
      <c r="AM53" s="276" t="n">
        <v>45838</v>
      </c>
      <c r="AN53" s="529">
        <f>IF(C53="","",(IF(AK53&gt;=50000000,"Tier 1",(IF(OR(AK53&gt;=20000000,AND(AK53&gt;5000000,AC53&gt;=1.25,AF53&lt;=0.65)),"Tier 2","Tier 3")))))</f>
        <v/>
      </c>
      <c r="AO53" s="244" t="n">
        <v>46615</v>
      </c>
      <c r="AP53" s="535" t="n">
        <v>2.044444444444444</v>
      </c>
      <c r="AQ53" s="535">
        <f>IF(C53="","",AP53)</f>
        <v/>
      </c>
      <c r="AR53" s="248" t="inlineStr">
        <is>
          <t>No</t>
        </is>
      </c>
      <c r="AS53" s="250" t="n">
        <v>0</v>
      </c>
      <c r="AT53" s="248" t="inlineStr">
        <is>
          <t>Yes</t>
        </is>
      </c>
      <c r="AU53" s="250" t="n">
        <v>0.01</v>
      </c>
      <c r="AV53" s="250" t="n">
        <v>0.0475</v>
      </c>
      <c r="AW53" s="250" t="n">
        <v>0.04166</v>
      </c>
      <c r="AX53" s="262">
        <f>IF(C53="","",MAX(AU53,AW53))</f>
        <v/>
      </c>
      <c r="AY53" s="250" t="n">
        <v>0</v>
      </c>
      <c r="AZ53" s="250" t="n">
        <v>0</v>
      </c>
      <c r="BA53" s="250" t="n">
        <v>0</v>
      </c>
      <c r="BB53" s="412">
        <f>IF(B53="","",IF(AR53="No",AV53-AZ53,""))</f>
        <v/>
      </c>
      <c r="BC53" s="412">
        <f>IF(B53="","",IF(AR53="Yes",AS53-BA53,""))</f>
        <v/>
      </c>
      <c r="BD53" s="254" t="inlineStr">
        <is>
          <t>Quarterly</t>
        </is>
      </c>
      <c r="BE53" s="536" t="inlineStr">
        <is>
          <t>Aerospace &amp; Defense</t>
        </is>
      </c>
      <c r="BF53" s="254" t="inlineStr">
        <is>
          <t>USD</t>
        </is>
      </c>
      <c r="BG53" s="254" t="inlineStr">
        <is>
          <t>United States</t>
        </is>
      </c>
      <c r="BH53" s="248" t="inlineStr">
        <is>
          <t>No</t>
        </is>
      </c>
      <c r="BI53" s="413">
        <f>IF(B53="","",IF(OR(AND(AZ53&gt;0,BB53&gt;=2.5%,BB53&lt;4%),AND(BA53&gt;0,BC53&gt;=6%,BC53&lt;8%)),"Yes","No"))</f>
        <v/>
      </c>
      <c r="BJ53" s="413">
        <f>IF(B53="","",IF(OR(AND(AZ53&gt;0,BB53&lt;2.5%),AND(BA53&gt;0,BC53&lt;6%)),"Yes","No"))</f>
        <v/>
      </c>
      <c r="BK53" s="248" t="inlineStr">
        <is>
          <t>No</t>
        </is>
      </c>
      <c r="BL53" s="248" t="inlineStr">
        <is>
          <t>No</t>
        </is>
      </c>
      <c r="BM53" s="248" t="inlineStr">
        <is>
          <t>No</t>
        </is>
      </c>
      <c r="BN53" s="248" t="inlineStr">
        <is>
          <t>No</t>
        </is>
      </c>
      <c r="BO53" s="248" t="inlineStr">
        <is>
          <t>No</t>
        </is>
      </c>
      <c r="BP53" s="248" t="inlineStr">
        <is>
          <t>No</t>
        </is>
      </c>
      <c r="BQ53" s="248" t="inlineStr">
        <is>
          <t>No</t>
        </is>
      </c>
      <c r="BR53" s="248" t="inlineStr">
        <is>
          <t>No</t>
        </is>
      </c>
      <c r="BS53" s="248" t="inlineStr">
        <is>
          <t>No</t>
        </is>
      </c>
      <c r="BT53" s="248" t="inlineStr">
        <is>
          <t>No</t>
        </is>
      </c>
      <c r="BU53" s="248" t="inlineStr">
        <is>
          <t>No</t>
        </is>
      </c>
      <c r="BV53" s="248" t="inlineStr">
        <is>
          <t>No</t>
        </is>
      </c>
      <c r="BW53" s="248" t="inlineStr">
        <is>
          <t>No</t>
        </is>
      </c>
      <c r="BX53" s="248" t="inlineStr">
        <is>
          <t>No</t>
        </is>
      </c>
      <c r="BY53" s="248" t="inlineStr">
        <is>
          <t>No</t>
        </is>
      </c>
      <c r="BZ53" s="248" t="inlineStr">
        <is>
          <t>No</t>
        </is>
      </c>
      <c r="CA53" s="248" t="inlineStr">
        <is>
          <t>Yes</t>
        </is>
      </c>
      <c r="CB53" s="537">
        <f>IF(B53="","",IF(AT53="No",((BB53+AW53)-$AZ$4),((BB53+AX53)-$AZ$4))*IF(DD53&gt;0,0,M53))</f>
        <v/>
      </c>
      <c r="CC53" s="537">
        <f>IF(B53="","",AY53*(L53-M53)*IF(DD53&gt;0,0,1))</f>
        <v/>
      </c>
      <c r="CD53" s="265" t="n"/>
      <c r="CE53" s="265">
        <f>IF(AND(B53&lt;&gt;"",R53&lt;=85%),1,0)</f>
        <v/>
      </c>
      <c r="CF53" s="265">
        <f>IF(B53="",0,(IF(OR(BF53="USD",BF53="CAD",BF53="GBP",BF53="AUD",BF53="EUR"),0,1)))</f>
        <v/>
      </c>
      <c r="CG53" s="265">
        <f>IF(B53="",0,(IF(OR(BG53="United States",BG53="Canada",BG53="United Kingdom",BG53="Australia",BG53="Netherlands Antilles",BG53="Bermuda",BG53="Cayman Islands",BG53="British Virgin Islands",BG53="Channel Islands",BG53="Isle of Man",BG53="Australia",BG53="Netherlands",BG53="Germany",BG53="Sweden",BG53="Switzerland",BG53="Austria",BG53="Belgium",BG53="Denmark",BG53="Finland",BG53="Iceland",BG53="Ireland",BG53="Lichtenstein",BG53="Luxemborg",BG53="Norway"),0,1)))</f>
        <v/>
      </c>
      <c r="CH53" s="265">
        <f>IF(BN53="Yes",1,0)</f>
        <v/>
      </c>
      <c r="CI53" s="265">
        <f>IF(BO53="Yes",1,0)</f>
        <v/>
      </c>
      <c r="CJ53" s="265">
        <f>IF(BP53="Yes",1,0)</f>
        <v/>
      </c>
      <c r="CK53" s="265">
        <f>IF(BQ53="Yes",1,0)</f>
        <v/>
      </c>
      <c r="CL53" s="265">
        <f>IF(BR53="Yes",1,0)</f>
        <v/>
      </c>
      <c r="CM53" s="265">
        <f>IF(BS53="Yes",1,0)</f>
        <v/>
      </c>
      <c r="CN53" s="265">
        <f>IF(OR(AND(BJ53="Yes",N53="No"),AND(BJ53="Yes",N53="Yes",P53&gt;=6)),1,0)</f>
        <v/>
      </c>
      <c r="CO53" s="265">
        <f>IF(BT53="Yes",1,0)</f>
        <v/>
      </c>
      <c r="CP53" s="265">
        <f>IF(AND(BU53="Yes",BV53="No"),1,0)</f>
        <v/>
      </c>
      <c r="CQ53" s="265">
        <f>IF(BW53="Yes",1,0)</f>
        <v/>
      </c>
      <c r="CR53" s="265">
        <f>IF(AP53="",0,IF(AP53&gt;7,1,0))</f>
        <v/>
      </c>
      <c r="CS53" s="265">
        <f>IF(OR(BD53&lt;&gt;"Monthly",BD53&lt;&gt;"Quarterly",BD53&lt;&gt;"Semi-Annually"),0,1)</f>
        <v/>
      </c>
      <c r="CT53" s="265">
        <f>IF(BX53="Yes",1,0)</f>
        <v/>
      </c>
      <c r="CU53" s="265">
        <f>IF(BY53="Yes",1,0)</f>
        <v/>
      </c>
      <c r="CV53" s="265">
        <f>IF(BZ53="Yes",1,0)</f>
        <v/>
      </c>
      <c r="CW53" s="265">
        <f>IF(CA53="No",1,0)</f>
        <v/>
      </c>
      <c r="CX53" s="265">
        <f>IF(B53="",0,IF(AK53&gt;=5000000,0,1))</f>
        <v/>
      </c>
      <c r="CY53" s="265">
        <f>IF(B53="",0,IF(AL53&gt;=5000000,0,1))</f>
        <v/>
      </c>
      <c r="CZ53" s="265">
        <f>IF(OR(DA53=1,DB53=1,DC53=1),0,IF(B53="",0,IF(OR(AND(AN53="Tier 1",X53="No",OR(AI53&gt;$AJ$3,AJ53&gt;$AJ$4)),(AND(AN53="Tier 1",X53="Yes",AJ53&gt;$AJ$5)),(AND(AN53="Tier 2",X53="No",OR(AI53&gt;$AK$3,AJ53&gt;$AK$4))),(AND(AN53="Tier 2",X53="Yes",AJ53&gt;$AK$5)),(AND(AN53="Tier 3",X53="No",OR(AI53&gt;$AL$3,AJ53&gt;$AL$4))),(AND(AN53="Tier 3",X53="Yes",AJ53&gt;$AL$5))),1,0)))</f>
        <v/>
      </c>
      <c r="DA53" s="265">
        <f>IF(OR(DB53=1,DC53=1),0,IF(B53="",0,IF(OR(AND(AN53="Tier 1",X53="No",OR(AI53&gt;$AM$3,AJ53&gt;$AM$4)),(AND(AN53="Tier 1",X53="Yes",AJ53&gt;$AM$5)),(AND(AN53="Tier 2",X53="No",OR(AI53&gt;$AN$3,AJ53&gt;$AN$4))),(AND(AN53="Tier 2",X53="Yes",AJ53&gt;$AN$5)),(AND(AN53="Tier 3",X53="No",OR(AI53&gt;$AO$3,AJ53&gt;$AO$4))),(AND(AN53="Tier 3",X53="Yes",AJ53&gt;$AO$5))),1,0)))</f>
        <v/>
      </c>
      <c r="DB53" s="265">
        <f>IF(DC53=1,0,IF(B53="",0,IF(OR(AND(AN53="Tier 1",X53="No",OR(AI53&gt;$AP$3,AJ53&gt;$AP$4)),(AND(AN53="Tier 1",X53="Yes",AJ53&gt;$AP$5)),(AND(AN53="Tier 2",X53="No",OR(AI53&gt;$AQ$3,AJ53&gt;$AQ$4))),(AND(AN53="Tier 2",X53="Yes",AJ53&gt;$AQ$5)),(AND(AN53="Tier 3",X53="No",OR(AI53&gt;$AR$3,AJ53&gt;$AR$4))),(AND(AN53="Tier 3",X53="Yes",AJ53&gt;$AR$5))),1,0)))</f>
        <v/>
      </c>
      <c r="DC53" s="265">
        <f>IF(B53="",0,IF(OR(AND(AN53="Tier 1",X53="No",OR(AI53&gt;$AS$3,AJ53&gt;$AS$4)),(AND(AN53="Tier 1",X53="Yes",AJ53&gt;$AS$5)),(AND(AN53="Tier 2",X53="No",OR(AI53&gt;$AT$3,AJ53&gt;$AT$4))),(AND(AN53="Tier 2",X53="Yes",AJ53&gt;$AT$5)),(AND(AN53="Tier 3",X53="No",OR(AI53&gt;$AU$3,AJ53&gt;$AU$4))),(AND(AN53="Tier 3",X53="Yes",AJ53&gt;$AU$5))),1,0))</f>
        <v/>
      </c>
      <c r="DD53" s="265">
        <f>IF((SUM(CE53:CX53)=0),0,W53)</f>
        <v/>
      </c>
      <c r="DE53" s="265">
        <f>IF(OR(B53="",DD53&gt;0),0,W53)</f>
        <v/>
      </c>
      <c r="DF53" s="265">
        <f>IF(B53="",0,IF(COUNTIF(CE53:CX53,1)&gt;0,0,L53-M53))</f>
        <v/>
      </c>
      <c r="DG53" s="265">
        <f>DE53+IF(DD53&gt;0,0,DF53)</f>
        <v/>
      </c>
      <c r="DH53" s="265">
        <f>IF(B53="","",M53+DF53)</f>
        <v/>
      </c>
      <c r="DI53" s="265">
        <f>IF(B53="",0,J53-K53)</f>
        <v/>
      </c>
      <c r="DJ53" s="265">
        <f>IF(OR(BF53="EUR",BF53="CAD",BF53="GBP",BF53="AUD"),(GA53*(1-V53))+(HG53)+IF(HX53="",0,HX53*(1-U53)),0)</f>
        <v/>
      </c>
      <c r="DK53" s="265">
        <f>IF(BF53="EUR",33%,IF(BF53="CAD",38%,IF(BF53="GBP",51%,IF(BF53="AUD",61%,0))))</f>
        <v/>
      </c>
      <c r="DL53" s="265">
        <f>DJ53*DK53</f>
        <v/>
      </c>
      <c r="DN53" s="538">
        <f>IF(OR(Y53="Second Lien",Y53="Tier 1 Split Lien",Y53="Tier 2 Split Lien"),DG53,0)</f>
        <v/>
      </c>
      <c r="DO53" s="539">
        <f>DN53*DN$6</f>
        <v/>
      </c>
      <c r="DP53" s="538">
        <f>DG53-DO53</f>
        <v/>
      </c>
      <c r="DQ53" s="538">
        <f>IF(Y53="Second Lien",DP53,0)</f>
        <v/>
      </c>
      <c r="DR53" s="539">
        <f>DQ53*DQ$6</f>
        <v/>
      </c>
      <c r="DS53" s="538">
        <f>DP53-DR53</f>
        <v/>
      </c>
      <c r="DT53" s="538">
        <f>IF(BH53="Yes",DS53,0)</f>
        <v/>
      </c>
      <c r="DU53" s="539">
        <f>DT53*DT$6</f>
        <v/>
      </c>
      <c r="DV53" s="538">
        <f>DS53-DU53</f>
        <v/>
      </c>
      <c r="DW53" s="538">
        <f>IF(OR(BG53="Canada",BG53="United Kingdom",BG53="Australia",BG53="Netherlands Antilles",BG53="Bermuda",BG53="Cayman Islands",BG53="British Virgin Islands",BG53="Channel Islands",BG53="Isle of Man",BG53="Australia",BG53="Netherlands",BG53="Germany",BG53="Sweden",BG53="Switzerland",BG53="Austria",BG53="Belgium",BG53="Denmark",BG53="Finland",BG53="Iceland",BG53="Ireland",BG53="Lichtenstein",BG53="Luxemborg",BG53="Norway"),DV53,0)</f>
        <v/>
      </c>
      <c r="DX53" s="539">
        <f>DW53*DW$6</f>
        <v/>
      </c>
      <c r="DY53" s="538">
        <f>DV53-DX53</f>
        <v/>
      </c>
      <c r="DZ53" s="538">
        <f>IF(BI53="Yes",DY53,0)</f>
        <v/>
      </c>
      <c r="EA53" s="539">
        <f>DZ53*DZ$6</f>
        <v/>
      </c>
      <c r="EB53" s="538">
        <f>DY53-EA53</f>
        <v/>
      </c>
      <c r="EC53" s="538">
        <f>IF(OR(Z53="Delayed Draw",Z53="Revolver"),EB53,0)</f>
        <v/>
      </c>
      <c r="ED53" s="539">
        <f>EC53*EC$6</f>
        <v/>
      </c>
      <c r="EE53" s="538">
        <f>EB53-ED53</f>
        <v/>
      </c>
      <c r="EF53" s="538">
        <f>IF(S53="Yes",EE53,0)</f>
        <v/>
      </c>
      <c r="EG53" s="539">
        <f>EF53*EF$6</f>
        <v/>
      </c>
      <c r="EH53" s="538">
        <f>EE53-EG53</f>
        <v/>
      </c>
      <c r="EI53" s="538">
        <f>IF(Q53="Yes",EH53,0)</f>
        <v/>
      </c>
      <c r="EJ53" s="539">
        <f>EI53*EI$6</f>
        <v/>
      </c>
      <c r="EK53" s="538">
        <f>EH53-EJ53</f>
        <v/>
      </c>
      <c r="EL53" s="538">
        <f>IF(BD53="Semi-Annually",EK53,0)</f>
        <v/>
      </c>
      <c r="EM53" s="539">
        <f>EL53*EL$6</f>
        <v/>
      </c>
      <c r="EN53" s="538">
        <f>EK53-EM53</f>
        <v/>
      </c>
      <c r="EO53" s="538">
        <f>IF(BK53="Yes",EN53,0)</f>
        <v/>
      </c>
      <c r="EP53" s="539">
        <f>EO53*EO$6</f>
        <v/>
      </c>
      <c r="EQ53" s="538">
        <f>EN53-EP53</f>
        <v/>
      </c>
      <c r="ER53" s="538">
        <f>IF(BL53="Yes",EQ53,0)</f>
        <v/>
      </c>
      <c r="ES53" s="539">
        <f>ER53*ER$6</f>
        <v/>
      </c>
      <c r="ET53" s="538">
        <f>EQ53-ES53</f>
        <v/>
      </c>
      <c r="EU53" s="538">
        <f>IF(BM53="Yes",ET53,0)</f>
        <v/>
      </c>
      <c r="EV53" s="539">
        <f>EU53*EU$6</f>
        <v/>
      </c>
      <c r="EW53" s="538">
        <f>ET53-EV53</f>
        <v/>
      </c>
      <c r="EX53" s="538">
        <f>IF(BV53="Yes",EW53,0)</f>
        <v/>
      </c>
      <c r="EY53" s="539">
        <f>EX53*EX$6</f>
        <v/>
      </c>
      <c r="EZ53" s="538">
        <f>EW53-EY53</f>
        <v/>
      </c>
      <c r="FA53" s="538">
        <f>IF(AR53="Yes",EZ53,0)</f>
        <v/>
      </c>
      <c r="FB53" s="539">
        <f>FA53*FA$6</f>
        <v/>
      </c>
      <c r="FC53" s="538">
        <f>EZ53-FB53</f>
        <v/>
      </c>
      <c r="FD53" s="538">
        <f>IF(OR(BF53="EUR",BF53="AUD",BF53="CAD",BF53="GBP"),FC53,0)</f>
        <v/>
      </c>
      <c r="FE53" s="539">
        <f>FD53*FD$6</f>
        <v/>
      </c>
      <c r="FF53" s="538">
        <f>FC53-FE53</f>
        <v/>
      </c>
      <c r="FG53" s="538">
        <f>FF53</f>
        <v/>
      </c>
      <c r="FH53" s="538">
        <f>IF(FF53=0,0,VLOOKUP(C53,$GU$10:$GV$406,2,FALSE)*FF53)</f>
        <v/>
      </c>
      <c r="FI53" s="538">
        <f>FF53-FH53</f>
        <v/>
      </c>
      <c r="FJ53" s="538">
        <f>FI53</f>
        <v/>
      </c>
      <c r="FK53" s="538">
        <f>IF(OR(IB53="",FI53&lt;0.01),,VLOOKUP(IB53,$GL$10:$GM$406,2,FALSE)*FI53)</f>
        <v/>
      </c>
      <c r="FL53" s="538">
        <f>FI53-FK53</f>
        <v/>
      </c>
      <c r="FM53" s="538">
        <f>FL53</f>
        <v/>
      </c>
      <c r="FN53" s="538">
        <f>IF(FL53=0,0,VLOOKUP(C53,$HD$10:$HE$406,2,FALSE)*FL53)</f>
        <v/>
      </c>
      <c r="FO53" s="538">
        <f>FL53-FN53</f>
        <v/>
      </c>
      <c r="FP53" s="538">
        <f>IF(SUM(CY53:DC53)&gt;0,0,IF(AND(AL53&gt;=5000000,AL53&lt;7500000),FO53,0))</f>
        <v/>
      </c>
      <c r="FQ53" s="539">
        <f>IF(B53="",0,FP53*FP$6*(1-$U53))</f>
        <v/>
      </c>
      <c r="FR53" s="538">
        <f>FO53-FQ53</f>
        <v/>
      </c>
      <c r="FS53" s="538">
        <f>IF(SUM(CY53:DC53)&gt;0,0,IF(AL53&lt;15000000,FR53,0))</f>
        <v/>
      </c>
      <c r="FT53" s="539">
        <f>IF(B53="",0,FS53*FS$6*(1-$U53))</f>
        <v/>
      </c>
      <c r="FU53" s="538">
        <f>FR53-FT53</f>
        <v/>
      </c>
      <c r="FV53" s="538">
        <f>IF(SUM(CY53:DC53)&gt;0,0,IF(OR(AND(X53="No",AN53="Tier 1",AI53&gt;$AG$3),AND(X53="No",AN53="Tier 2",AI53&gt;$AH$3),AND(X53="No",AN53="Tier 3",AI53&gt;$AI$3)),FU53,0))</f>
        <v/>
      </c>
      <c r="FW53" s="538">
        <f>IF(SUM(CY53:DC53)&gt;0,0,IF(OR(AND(X53="No",AN53="Tier 1",AJ53&gt;$AG$4),AND(X53="No",AN53="Tier 2",AJ53&gt;$AH$4),AND(X53="No",AN53="Tier 3",AJ53&gt;$AI$4)),FU53,0))</f>
        <v/>
      </c>
      <c r="FX53" s="538">
        <f>IF(SUM(CY53:DC53)&gt;0,0,IF(OR(AND(X53="Yes",AN53="Tier 1",AJ53&gt;$AG$5),AND(X53="Yes",AN53="Tier 2",AJ53&gt;$AH$5),AND(X53="Yes",AN53="Tier 3",AJ53&gt;$AI$5)),FU53,0))</f>
        <v/>
      </c>
      <c r="FY53" s="538">
        <f>IF(SUM(FV53:FX53)&gt;0,FU53,0)</f>
        <v/>
      </c>
      <c r="FZ53" s="539">
        <f>IF(B53="",0,FY53*FV$6*(1-MIN(90%,T53)))</f>
        <v/>
      </c>
      <c r="GA53" s="538">
        <f>FU53-FZ53</f>
        <v/>
      </c>
      <c r="GB53" s="538">
        <f>IF(AND(N53="No",DI53=0),GA53,IF(AND(N53="No",DI53&lt;&gt;0,K53=0),0,IF(AND(N53="No",DI53&lt;&gt;0,K53&gt;0,J53&lt;&gt;K53),MAX(0,M53-(DH53-GA53)),DG53)))</f>
        <v/>
      </c>
      <c r="GC53" s="540">
        <f>+GB53*V53</f>
        <v/>
      </c>
      <c r="GD53" s="138">
        <f>IFERROR(GC53/K53,"")</f>
        <v/>
      </c>
      <c r="GE53" s="541">
        <f>IF(IB53="","",IB53)</f>
        <v/>
      </c>
      <c r="GF53" s="538">
        <f t="array" ref="GF53">IF(SUM(IF(IB$9:IB52=IB53,1,0))&gt;0,0,SUMIF($IB$10:$IB$406,IB53,$FI$10:$FI$406))</f>
        <v/>
      </c>
      <c r="GG53" s="270">
        <f>GF53</f>
        <v/>
      </c>
      <c r="GH53" s="137">
        <f>GH52+1</f>
        <v/>
      </c>
      <c r="GI53" s="542">
        <f>LARGE($GG$10:$GG$406,GH53)</f>
        <v/>
      </c>
      <c r="GJ53" s="542">
        <f>IF(GH53&gt;GH$6,0,IF(GH53=$GH$2,$GJ$2,IF(GH53&lt;4,$GJ$3,$GJ$4)))</f>
        <v/>
      </c>
      <c r="GK53" s="489">
        <f>MAX(0,GI53-GJ53)</f>
        <v/>
      </c>
      <c r="GL53" s="137">
        <f t="array" ref="GL53">IF(GI53=0,0,LARGE(IF($GF$10:$GF$406=GI53,$GE$10:$GE$406,0),COUNTIF($GI$10:$GI$406,GI53)-COUNTIF(GI$9:GI52,GI53)))</f>
        <v/>
      </c>
      <c r="GM53" s="272">
        <f>IF(GI53=0,0,GK53/GI53)</f>
        <v/>
      </c>
      <c r="GO53" s="137">
        <f>IF(C53="","",IF(ISERROR(MATCH(C53,C$10:C52,0)),MAX(GO$10:GO52)+1,INDEX(GO$10:GO52,MATCH(C53,C$10:C52,0))))</f>
        <v/>
      </c>
      <c r="GP53" s="538">
        <f>IF(COUNTIF($A$10:A53,A53)&lt;=1,SUMIF($A$10:$A$406,A53,$FG$10:$FG$406),0)</f>
        <v/>
      </c>
      <c r="GQ53" s="137">
        <f>GQ52+1</f>
        <v/>
      </c>
      <c r="GR53" s="542">
        <f>LARGE($GP$10:$GP$406,GQ53)</f>
        <v/>
      </c>
      <c r="GS53" s="542">
        <f>IF(GQ53&gt;GQ$6,0,IF(GQ53&lt;=GQ$2,GS$2,IF(AND(GQ53&lt;=$GQ$3,GQ53&gt;$GQ$2),GS$3,GS$4)))</f>
        <v/>
      </c>
      <c r="GT53" s="489">
        <f>MAX(0,GR53-GS53)</f>
        <v/>
      </c>
      <c r="GU53" s="137">
        <f t="array" ref="GU53">IF(GR53=0,0,LARGE(IF($GP$10:$GP$406=GR53,$GO$10:$GO$406,0),COUNTIF($GR$10:$GR$406,GR53)-COUNTIF(GR$9:GR52,GR53)))</f>
        <v/>
      </c>
      <c r="GV53" s="272">
        <f>IF(GR53=0,0,GT53/GR53)</f>
        <v/>
      </c>
      <c r="GW53" s="272" t="n"/>
      <c r="GX53" s="137">
        <f>IF(C53="","",IF(ISERROR(MATCH(C53,C$10:C52,0)),MAX(GO$10:GO52)+1,INDEX(GO$10:GO52,MATCH(C53,C$10:C52,0))))</f>
        <v/>
      </c>
      <c r="GY53" s="538">
        <f>IF(COUNTIF($A$10:A53,A53)&lt;=1,SUMIF($A$10:$A$406,A53,$FG$10:$FG$406),0)</f>
        <v/>
      </c>
      <c r="GZ53" s="137">
        <f>GZ52+1</f>
        <v/>
      </c>
      <c r="HA53" s="542">
        <f>LARGE($GY$10:$GY$406,GZ53)</f>
        <v/>
      </c>
      <c r="HB53" s="543" t="inlineStr">
        <is>
          <t>-</t>
        </is>
      </c>
      <c r="HC53" s="489">
        <f>IF(GZ53&lt;6,MAX(0,$HC$2/5),0)</f>
        <v/>
      </c>
      <c r="HD53" s="137">
        <f t="array" ref="HD53">IF(HA53=0,0,LARGE(IF($GY$10:$GY$406=HA53,$GX$10:$GX$406,0),COUNTIF($HA$10:$HA$406,HA53)-COUNTIF(HA$9:HA52,HA53)))</f>
        <v/>
      </c>
      <c r="HE53" s="272">
        <f>IF(HA53=0,0,HC53/HA53)</f>
        <v/>
      </c>
      <c r="HF53" s="272" t="n"/>
      <c r="HG53" s="270">
        <f>DG53-GA53</f>
        <v/>
      </c>
      <c r="HH53" s="544" t="n">
        <v>0</v>
      </c>
      <c r="HI53" s="538">
        <f>MIN(HH53,DE53)</f>
        <v/>
      </c>
      <c r="HK53" s="137">
        <f>IF(COUNTIF($C$10:$C$406,HK52+1),HK52+1,"")</f>
        <v/>
      </c>
      <c r="HL53" s="538">
        <f>SUMIF($C$10:$C$406,HK53,$DG$10:$DG$406)</f>
        <v/>
      </c>
      <c r="HN53" s="521">
        <f>MIN(HO53:HS53)</f>
        <v/>
      </c>
      <c r="HO53" s="521">
        <f>IF(B53="","",$M53)</f>
        <v/>
      </c>
      <c r="HP53" s="521">
        <f>IF($N53="Yes",IF(P53&gt;=6,0,MIN($T53*$M53,$U53*$M53)),"")</f>
        <v/>
      </c>
      <c r="HQ53" s="521">
        <f>IF(AND(N53="Yes",P53&gt;=6),"",IF($S53="Yes",$R53*$M53,""))</f>
        <v/>
      </c>
      <c r="HR53" s="521">
        <f>IF($Q53="Yes",MIN($M53,$T53*$M53),"")</f>
        <v/>
      </c>
      <c r="HS53" s="521">
        <f>IF(AND($N53="Yes",$P53&gt;=6),"",IF(OR(CY53=1,DC53=1,),MIN($T53*$M53,$U53*$M53),IF(OR(CZ53=1,DA53=1,DB53=1),IF(AK53&gt;=5000000,MIN($T53*$M53,$IE53*$M53),MIN($T53*$M53,$U53*$M53)),"")))</f>
        <v/>
      </c>
      <c r="HT53" s="521">
        <f>IF(DD53&gt;0,DD53,"")</f>
        <v/>
      </c>
      <c r="HU53" s="522">
        <f>IF(B53="",0,$L53-$M53)</f>
        <v/>
      </c>
      <c r="HV53" s="274">
        <f>IF(OR(SUM(HP53:HT53)&gt;0,P53&gt;=6),"",IF($B53="","",1))</f>
        <v/>
      </c>
      <c r="HW53" s="522">
        <f>IF(AND($HT53&lt;&gt;0,OR(HT53&lt;=MIN(HP53:HS53),SUM(HP53:HS53)=0)),$HT53,0)</f>
        <v/>
      </c>
      <c r="HX53" s="522">
        <f>IF(AND($HS53&lt;&gt;0,OR(AND($HS53&lt;&gt;$HT53,$HS53&lt;&gt;$HR53,$HS53&lt;&gt;$HQ53,$HS53&lt;&gt;$HP53,$HS53&lt;MIN($HP53:$HR53),$HS53&lt;HT53),SUM($HP53:$HR53)+SUM(HT53)=0),IA53&lt;=0),$HS53,0)</f>
        <v/>
      </c>
      <c r="HY53" s="522">
        <f>IF(AND($HR53&lt;&gt;0,OR(AND($HR53&lt;&gt;$HT53,$HR53&lt;&gt;$HS53,$HR53&lt;&gt;$HQ53,$HR53&lt;&gt;$HP53),$HR53&lt;MIN($HP53:$HQ53),$HR53&lt;MIN($HS53:$HT53),SUM($HP53:$HQ53)+SUM($HS53:$HT53)=0)),$HR53,0)</f>
        <v/>
      </c>
      <c r="HZ53" s="522">
        <f>IF(AND($HQ53&lt;&gt;0,OR(AND($HQ53&lt;&gt;$HT53,HQ53&lt;&gt;HS53,HQ53&lt;&gt;HR53,HQ53&lt;&gt;HP53,HQ53&lt;MIN(HR53:HT53)),SUM(HP53)+SUM(HR53:HT53)=0)),$HQ53,0)</f>
        <v/>
      </c>
      <c r="IA53" s="522">
        <f>IF(AND($HP53&lt;&gt;0,OR(HP53&lt;=MIN(HQ53:HT53),SUM(HQ53:HT53)=0)),$HP53,0)</f>
        <v/>
      </c>
      <c r="IB53" s="545" t="n">
        <v>1</v>
      </c>
      <c r="IC53">
        <f>HU53=DF53</f>
        <v/>
      </c>
      <c r="IE53" s="351">
        <f>IF(B53="","",IF(AND(Y53="Second Lien",OR(CZ53=1,DA53=1,DB53=1)),50%,IF(CZ53=1,90%,IF(DA53=1,80%,IF(DB53=1,65%,"No Initial Haircut")))))</f>
        <v/>
      </c>
    </row>
    <row r="54">
      <c r="A54">
        <f>D54</f>
        <v/>
      </c>
      <c r="B54" s="242">
        <f>IF(D54="","",B53+1)</f>
        <v/>
      </c>
      <c r="C54" s="242">
        <f>IF(COUNTIF($A$10:A53,A54)&gt;0,C53,C53+1)</f>
        <v/>
      </c>
      <c r="D54" s="243" t="inlineStr">
        <is>
          <t>Everline Holdings, LLC</t>
        </is>
      </c>
      <c r="E54" s="243" t="inlineStr">
        <is>
          <t>Everline (TL)</t>
        </is>
      </c>
      <c r="F54" s="244" t="n"/>
      <c r="G54" s="528" t="n">
        <v>37577126.5</v>
      </c>
      <c r="H54" s="528" t="n">
        <v>37577126.5</v>
      </c>
      <c r="I54" s="246" t="n">
        <v>1</v>
      </c>
      <c r="J54" s="529">
        <f>IF(B54="","",G54*I54)</f>
        <v/>
      </c>
      <c r="K54" s="529">
        <f>IF(B54="","",H54*I54)</f>
        <v/>
      </c>
      <c r="L54" s="529">
        <f>IF(B54="","",IF(COUNTIF($CE54:$CX54,1)&gt;0,0,J54))</f>
        <v/>
      </c>
      <c r="M54" s="529">
        <f>IF(B54="","",IF(COUNTIF($CE54:$CX54,1)&gt;0,0,K54))</f>
        <v/>
      </c>
      <c r="N54" s="248" t="inlineStr">
        <is>
          <t>No</t>
        </is>
      </c>
      <c r="O54" s="248" t="inlineStr">
        <is>
          <t>N/A</t>
        </is>
      </c>
      <c r="P54" s="249">
        <f>IF(B54="","",IF(OR(O54="N/A",O54=""),0,YEARFRAC('Borrowing Base'!$J$4,'Loan List'!O54)*12))</f>
        <v/>
      </c>
      <c r="Q54" s="248" t="inlineStr">
        <is>
          <t>No</t>
        </is>
      </c>
      <c r="R54" s="250" t="n">
        <v>0.9853436794905355</v>
      </c>
      <c r="S54" s="251">
        <f>IF(B54="","",IF(R54&lt;95%,"Yes","No"))</f>
        <v/>
      </c>
      <c r="T54" s="250" t="n">
        <v>0.9950000000874846</v>
      </c>
      <c r="U54" s="252">
        <f>IF(B54="","",IF(OR(Y54="First Lien",Y54="Split First Lien",Y54="Tier 1 Split Lien",Y54="Tier 2 Split Lien"),50%,30%))</f>
        <v/>
      </c>
      <c r="V54" s="252">
        <f>IF(B54="",0,IF(AND(Y54="First Lien",AN54="Tier 1"),IF(AND(X54="Yes",MIN(AH54,$AJ$5)&gt;4.5),(((4.5/MIN(AH54,$AJ$5))*72.5%)+(((MIN(AH54,$AJ$5)-4.5)/MIN(AH54,$AJ$5))*35%)),72.5%),IF(AND(Y54="First Lien",AN54="Tier 2"),IF(AND(X54="Yes",MIN(AH54,$AK$5)&gt;4.5),(((4.5/MIN(AH54,$AK$5))*72.5%)+(((MIN(AH54,$AK$5)-4.5)/MIN(AH54,$AK$5))*35%)),72.5%),IF(AND(X54="Yes",MIN(AH54,$AL$5)&gt;4),(((4/MIN(AH54,$AL$5))*72.5%)+(((MIN(AH54,$AL$5)-4)/MIN(AH54,$AL$5))*35%)),IF(OR(Y54="First Lien",Y54="Split First Lien"),72.5%,IF(Y54="Split Lien", 53%,35%))))))</f>
        <v/>
      </c>
      <c r="W54" s="530">
        <f>IF($C54="","",MIN($HO54:$HS54))</f>
        <v/>
      </c>
      <c r="X54" s="248" t="inlineStr">
        <is>
          <t>No</t>
        </is>
      </c>
      <c r="Y54" s="254" t="inlineStr">
        <is>
          <t>First Lien</t>
        </is>
      </c>
      <c r="Z54" s="254" t="inlineStr">
        <is>
          <t>Term</t>
        </is>
      </c>
      <c r="AA54" s="531" t="inlineStr">
        <is>
          <t>NR</t>
        </is>
      </c>
      <c r="AB54" s="531" t="inlineStr">
        <is>
          <t xml:space="preserve"> NR</t>
        </is>
      </c>
      <c r="AC54" s="532" t="n">
        <v>1.53</v>
      </c>
      <c r="AD54" s="532" t="n">
        <v>4.284671532846716</v>
      </c>
      <c r="AE54" s="532" t="n">
        <v>4.406115665854199</v>
      </c>
      <c r="AF54" s="257" t="n">
        <v>0.358</v>
      </c>
      <c r="AG54" s="533" t="n">
        <v>3.248175182481752</v>
      </c>
      <c r="AH54" s="533" t="n">
        <v>4.284671532846716</v>
      </c>
      <c r="AI54" s="533" t="n">
        <v>3.763442589419575</v>
      </c>
      <c r="AJ54" s="533" t="n">
        <v>4.432784944908343</v>
      </c>
      <c r="AK54" s="534" t="n">
        <v>13700000</v>
      </c>
      <c r="AL54" s="534" t="n">
        <v>23007658</v>
      </c>
      <c r="AM54" s="276" t="n">
        <v>45838</v>
      </c>
      <c r="AN54" s="529">
        <f>IF(C54="","",(IF(AK54&gt;=50000000,"Tier 1",(IF(OR(AK54&gt;=20000000,AND(AK54&gt;5000000,AC54&gt;=1.25,AF54&lt;=0.65)),"Tier 2","Tier 3")))))</f>
        <v/>
      </c>
      <c r="AO54" s="244" t="n">
        <v>46904</v>
      </c>
      <c r="AP54" s="535" t="n">
        <v>2.833333333333333</v>
      </c>
      <c r="AQ54" s="535">
        <f>IF(C54="","",AP54)</f>
        <v/>
      </c>
      <c r="AR54" s="248" t="inlineStr">
        <is>
          <t>No</t>
        </is>
      </c>
      <c r="AS54" s="250" t="n">
        <v>0</v>
      </c>
      <c r="AT54" s="248" t="inlineStr">
        <is>
          <t>Yes</t>
        </is>
      </c>
      <c r="AU54" s="250" t="n">
        <v>0.01</v>
      </c>
      <c r="AV54" s="250" t="n">
        <v>0.055</v>
      </c>
      <c r="AW54" s="250" t="n">
        <v>0.042956</v>
      </c>
      <c r="AX54" s="262">
        <f>IF(C54="","",MAX(AU54,AW54))</f>
        <v/>
      </c>
      <c r="AY54" s="250" t="n">
        <v>0</v>
      </c>
      <c r="AZ54" s="250" t="n">
        <v>0</v>
      </c>
      <c r="BA54" s="250" t="n">
        <v>0</v>
      </c>
      <c r="BB54" s="412">
        <f>IF(B54="","",IF(AR54="No",AV54-AZ54,""))</f>
        <v/>
      </c>
      <c r="BC54" s="412">
        <f>IF(B54="","",IF(AR54="Yes",AS54-BA54,""))</f>
        <v/>
      </c>
      <c r="BD54" s="254" t="inlineStr">
        <is>
          <t>Quarterly</t>
        </is>
      </c>
      <c r="BE54" s="536" t="inlineStr">
        <is>
          <t>Personal Products</t>
        </is>
      </c>
      <c r="BF54" s="254" t="inlineStr">
        <is>
          <t>USD</t>
        </is>
      </c>
      <c r="BG54" s="254" t="inlineStr">
        <is>
          <t>United States</t>
        </is>
      </c>
      <c r="BH54" s="248" t="inlineStr">
        <is>
          <t>No</t>
        </is>
      </c>
      <c r="BI54" s="413">
        <f>IF(B54="","",IF(OR(AND(AZ54&gt;0,BB54&gt;=2.5%,BB54&lt;4%),AND(BA54&gt;0,BC54&gt;=6%,BC54&lt;8%)),"Yes","No"))</f>
        <v/>
      </c>
      <c r="BJ54" s="413">
        <f>IF(B54="","",IF(OR(AND(AZ54&gt;0,BB54&lt;2.5%),AND(BA54&gt;0,BC54&lt;6%)),"Yes","No"))</f>
        <v/>
      </c>
      <c r="BK54" s="248" t="inlineStr">
        <is>
          <t>No</t>
        </is>
      </c>
      <c r="BL54" s="248" t="inlineStr">
        <is>
          <t>No</t>
        </is>
      </c>
      <c r="BM54" s="248" t="inlineStr">
        <is>
          <t>No</t>
        </is>
      </c>
      <c r="BN54" s="248" t="inlineStr">
        <is>
          <t>No</t>
        </is>
      </c>
      <c r="BO54" s="248" t="inlineStr">
        <is>
          <t>No</t>
        </is>
      </c>
      <c r="BP54" s="248" t="inlineStr">
        <is>
          <t>No</t>
        </is>
      </c>
      <c r="BQ54" s="248" t="inlineStr">
        <is>
          <t>No</t>
        </is>
      </c>
      <c r="BR54" s="248" t="inlineStr">
        <is>
          <t>No</t>
        </is>
      </c>
      <c r="BS54" s="248" t="inlineStr">
        <is>
          <t>No</t>
        </is>
      </c>
      <c r="BT54" s="248" t="inlineStr">
        <is>
          <t>No</t>
        </is>
      </c>
      <c r="BU54" s="248" t="inlineStr">
        <is>
          <t>No</t>
        </is>
      </c>
      <c r="BV54" s="248" t="inlineStr">
        <is>
          <t>No</t>
        </is>
      </c>
      <c r="BW54" s="248" t="inlineStr">
        <is>
          <t>No</t>
        </is>
      </c>
      <c r="BX54" s="248" t="inlineStr">
        <is>
          <t>No</t>
        </is>
      </c>
      <c r="BY54" s="248" t="inlineStr">
        <is>
          <t>No</t>
        </is>
      </c>
      <c r="BZ54" s="248" t="inlineStr">
        <is>
          <t>No</t>
        </is>
      </c>
      <c r="CA54" s="248" t="inlineStr">
        <is>
          <t>Yes</t>
        </is>
      </c>
      <c r="CB54" s="537">
        <f>IF(B54="","",IF(AT54="No",((BB54+AW54)-$AZ$4),((BB54+AX54)-$AZ$4))*IF(DD54&gt;0,0,M54))</f>
        <v/>
      </c>
      <c r="CC54" s="537">
        <f>IF(B54="","",AY54*(L54-M54)*IF(DD54&gt;0,0,1))</f>
        <v/>
      </c>
      <c r="CD54" s="265" t="n"/>
      <c r="CE54" s="265">
        <f>IF(AND(B54&lt;&gt;"",R54&lt;=85%),1,0)</f>
        <v/>
      </c>
      <c r="CF54" s="265">
        <f>IF(B54="",0,(IF(OR(BF54="USD",BF54="CAD",BF54="GBP",BF54="AUD",BF54="EUR"),0,1)))</f>
        <v/>
      </c>
      <c r="CG54" s="265">
        <f>IF(B54="",0,(IF(OR(BG54="United States",BG54="Canada",BG54="United Kingdom",BG54="Australia",BG54="Netherlands Antilles",BG54="Bermuda",BG54="Cayman Islands",BG54="British Virgin Islands",BG54="Channel Islands",BG54="Isle of Man",BG54="Australia",BG54="Netherlands",BG54="Germany",BG54="Sweden",BG54="Switzerland",BG54="Austria",BG54="Belgium",BG54="Denmark",BG54="Finland",BG54="Iceland",BG54="Ireland",BG54="Lichtenstein",BG54="Luxemborg",BG54="Norway"),0,1)))</f>
        <v/>
      </c>
      <c r="CH54" s="265">
        <f>IF(BN54="Yes",1,0)</f>
        <v/>
      </c>
      <c r="CI54" s="265">
        <f>IF(BO54="Yes",1,0)</f>
        <v/>
      </c>
      <c r="CJ54" s="265">
        <f>IF(BP54="Yes",1,0)</f>
        <v/>
      </c>
      <c r="CK54" s="265">
        <f>IF(BQ54="Yes",1,0)</f>
        <v/>
      </c>
      <c r="CL54" s="265">
        <f>IF(BR54="Yes",1,0)</f>
        <v/>
      </c>
      <c r="CM54" s="265">
        <f>IF(BS54="Yes",1,0)</f>
        <v/>
      </c>
      <c r="CN54" s="265">
        <f>IF(OR(AND(BJ54="Yes",N54="No"),AND(BJ54="Yes",N54="Yes",P54&gt;=6)),1,0)</f>
        <v/>
      </c>
      <c r="CO54" s="265">
        <f>IF(BT54="Yes",1,0)</f>
        <v/>
      </c>
      <c r="CP54" s="265">
        <f>IF(AND(BU54="Yes",BV54="No"),1,0)</f>
        <v/>
      </c>
      <c r="CQ54" s="265">
        <f>IF(BW54="Yes",1,0)</f>
        <v/>
      </c>
      <c r="CR54" s="265">
        <f>IF(AP54="",0,IF(AP54&gt;7,1,0))</f>
        <v/>
      </c>
      <c r="CS54" s="265">
        <f>IF(OR(BD54&lt;&gt;"Monthly",BD54&lt;&gt;"Quarterly",BD54&lt;&gt;"Semi-Annually"),0,1)</f>
        <v/>
      </c>
      <c r="CT54" s="265">
        <f>IF(BX54="Yes",1,0)</f>
        <v/>
      </c>
      <c r="CU54" s="265">
        <f>IF(BY54="Yes",1,0)</f>
        <v/>
      </c>
      <c r="CV54" s="265">
        <f>IF(BZ54="Yes",1,0)</f>
        <v/>
      </c>
      <c r="CW54" s="265">
        <f>IF(CA54="No",1,0)</f>
        <v/>
      </c>
      <c r="CX54" s="265">
        <f>IF(B54="",0,IF(AK54&gt;=5000000,0,1))</f>
        <v/>
      </c>
      <c r="CY54" s="265">
        <f>IF(B54="",0,IF(AL54&gt;=5000000,0,1))</f>
        <v/>
      </c>
      <c r="CZ54" s="265">
        <f>IF(OR(DA54=1,DB54=1,DC54=1),0,IF(B54="",0,IF(OR(AND(AN54="Tier 1",X54="No",OR(AI54&gt;$AJ$3,AJ54&gt;$AJ$4)),(AND(AN54="Tier 1",X54="Yes",AJ54&gt;$AJ$5)),(AND(AN54="Tier 2",X54="No",OR(AI54&gt;$AK$3,AJ54&gt;$AK$4))),(AND(AN54="Tier 2",X54="Yes",AJ54&gt;$AK$5)),(AND(AN54="Tier 3",X54="No",OR(AI54&gt;$AL$3,AJ54&gt;$AL$4))),(AND(AN54="Tier 3",X54="Yes",AJ54&gt;$AL$5))),1,0)))</f>
        <v/>
      </c>
      <c r="DA54" s="265">
        <f>IF(OR(DB54=1,DC54=1),0,IF(B54="",0,IF(OR(AND(AN54="Tier 1",X54="No",OR(AI54&gt;$AM$3,AJ54&gt;$AM$4)),(AND(AN54="Tier 1",X54="Yes",AJ54&gt;$AM$5)),(AND(AN54="Tier 2",X54="No",OR(AI54&gt;$AN$3,AJ54&gt;$AN$4))),(AND(AN54="Tier 2",X54="Yes",AJ54&gt;$AN$5)),(AND(AN54="Tier 3",X54="No",OR(AI54&gt;$AO$3,AJ54&gt;$AO$4))),(AND(AN54="Tier 3",X54="Yes",AJ54&gt;$AO$5))),1,0)))</f>
        <v/>
      </c>
      <c r="DB54" s="265">
        <f>IF(DC54=1,0,IF(B54="",0,IF(OR(AND(AN54="Tier 1",X54="No",OR(AI54&gt;$AP$3,AJ54&gt;$AP$4)),(AND(AN54="Tier 1",X54="Yes",AJ54&gt;$AP$5)),(AND(AN54="Tier 2",X54="No",OR(AI54&gt;$AQ$3,AJ54&gt;$AQ$4))),(AND(AN54="Tier 2",X54="Yes",AJ54&gt;$AQ$5)),(AND(AN54="Tier 3",X54="No",OR(AI54&gt;$AR$3,AJ54&gt;$AR$4))),(AND(AN54="Tier 3",X54="Yes",AJ54&gt;$AR$5))),1,0)))</f>
        <v/>
      </c>
      <c r="DC54" s="265">
        <f>IF(B54="",0,IF(OR(AND(AN54="Tier 1",X54="No",OR(AI54&gt;$AS$3,AJ54&gt;$AS$4)),(AND(AN54="Tier 1",X54="Yes",AJ54&gt;$AS$5)),(AND(AN54="Tier 2",X54="No",OR(AI54&gt;$AT$3,AJ54&gt;$AT$4))),(AND(AN54="Tier 2",X54="Yes",AJ54&gt;$AT$5)),(AND(AN54="Tier 3",X54="No",OR(AI54&gt;$AU$3,AJ54&gt;$AU$4))),(AND(AN54="Tier 3",X54="Yes",AJ54&gt;$AU$5))),1,0))</f>
        <v/>
      </c>
      <c r="DD54" s="265">
        <f>IF((SUM(CE54:CX54)=0),0,W54)</f>
        <v/>
      </c>
      <c r="DE54" s="265">
        <f>IF(OR(B54="",DD54&gt;0),0,W54)</f>
        <v/>
      </c>
      <c r="DF54" s="265">
        <f>IF(B54="",0,IF(COUNTIF(CE54:CX54,1)&gt;0,0,L54-M54))</f>
        <v/>
      </c>
      <c r="DG54" s="265">
        <f>DE54+IF(DD54&gt;0,0,DF54)</f>
        <v/>
      </c>
      <c r="DH54" s="265">
        <f>IF(B54="","",M54+DF54)</f>
        <v/>
      </c>
      <c r="DI54" s="265">
        <f>IF(B54="",0,J54-K54)</f>
        <v/>
      </c>
      <c r="DJ54" s="265">
        <f>IF(OR(BF54="EUR",BF54="CAD",BF54="GBP",BF54="AUD"),(GA54*(1-V54))+(HG54)+IF(HX54="",0,HX54*(1-U54)),0)</f>
        <v/>
      </c>
      <c r="DK54" s="265">
        <f>IF(BF54="EUR",33%,IF(BF54="CAD",38%,IF(BF54="GBP",51%,IF(BF54="AUD",61%,0))))</f>
        <v/>
      </c>
      <c r="DL54" s="265">
        <f>DJ54*DK54</f>
        <v/>
      </c>
      <c r="DN54" s="538">
        <f>IF(OR(Y54="Second Lien",Y54="Tier 1 Split Lien",Y54="Tier 2 Split Lien"),DG54,0)</f>
        <v/>
      </c>
      <c r="DO54" s="539">
        <f>DN54*DN$6</f>
        <v/>
      </c>
      <c r="DP54" s="538">
        <f>DG54-DO54</f>
        <v/>
      </c>
      <c r="DQ54" s="538">
        <f>IF(Y54="Second Lien",DP54,0)</f>
        <v/>
      </c>
      <c r="DR54" s="539">
        <f>DQ54*DQ$6</f>
        <v/>
      </c>
      <c r="DS54" s="538">
        <f>DP54-DR54</f>
        <v/>
      </c>
      <c r="DT54" s="538">
        <f>IF(BH54="Yes",DS54,0)</f>
        <v/>
      </c>
      <c r="DU54" s="539">
        <f>DT54*DT$6</f>
        <v/>
      </c>
      <c r="DV54" s="538">
        <f>DS54-DU54</f>
        <v/>
      </c>
      <c r="DW54" s="538">
        <f>IF(OR(BG54="Canada",BG54="United Kingdom",BG54="Australia",BG54="Netherlands Antilles",BG54="Bermuda",BG54="Cayman Islands",BG54="British Virgin Islands",BG54="Channel Islands",BG54="Isle of Man",BG54="Australia",BG54="Netherlands",BG54="Germany",BG54="Sweden",BG54="Switzerland",BG54="Austria",BG54="Belgium",BG54="Denmark",BG54="Finland",BG54="Iceland",BG54="Ireland",BG54="Lichtenstein",BG54="Luxemborg",BG54="Norway"),DV54,0)</f>
        <v/>
      </c>
      <c r="DX54" s="539">
        <f>DW54*DW$6</f>
        <v/>
      </c>
      <c r="DY54" s="538">
        <f>DV54-DX54</f>
        <v/>
      </c>
      <c r="DZ54" s="538">
        <f>IF(BI54="Yes",DY54,0)</f>
        <v/>
      </c>
      <c r="EA54" s="539">
        <f>DZ54*DZ$6</f>
        <v/>
      </c>
      <c r="EB54" s="538">
        <f>DY54-EA54</f>
        <v/>
      </c>
      <c r="EC54" s="538">
        <f>IF(OR(Z54="Delayed Draw",Z54="Revolver"),EB54,0)</f>
        <v/>
      </c>
      <c r="ED54" s="539">
        <f>EC54*EC$6</f>
        <v/>
      </c>
      <c r="EE54" s="538">
        <f>EB54-ED54</f>
        <v/>
      </c>
      <c r="EF54" s="538">
        <f>IF(S54="Yes",EE54,0)</f>
        <v/>
      </c>
      <c r="EG54" s="539">
        <f>EF54*EF$6</f>
        <v/>
      </c>
      <c r="EH54" s="538">
        <f>EE54-EG54</f>
        <v/>
      </c>
      <c r="EI54" s="538">
        <f>IF(Q54="Yes",EH54,0)</f>
        <v/>
      </c>
      <c r="EJ54" s="539">
        <f>EI54*EI$6</f>
        <v/>
      </c>
      <c r="EK54" s="538">
        <f>EH54-EJ54</f>
        <v/>
      </c>
      <c r="EL54" s="538">
        <f>IF(BD54="Semi-Annually",EK54,0)</f>
        <v/>
      </c>
      <c r="EM54" s="539">
        <f>EL54*EL$6</f>
        <v/>
      </c>
      <c r="EN54" s="538">
        <f>EK54-EM54</f>
        <v/>
      </c>
      <c r="EO54" s="538">
        <f>IF(BK54="Yes",EN54,0)</f>
        <v/>
      </c>
      <c r="EP54" s="539">
        <f>EO54*EO$6</f>
        <v/>
      </c>
      <c r="EQ54" s="538">
        <f>EN54-EP54</f>
        <v/>
      </c>
      <c r="ER54" s="538">
        <f>IF(BL54="Yes",EQ54,0)</f>
        <v/>
      </c>
      <c r="ES54" s="539">
        <f>ER54*ER$6</f>
        <v/>
      </c>
      <c r="ET54" s="538">
        <f>EQ54-ES54</f>
        <v/>
      </c>
      <c r="EU54" s="538">
        <f>IF(BM54="Yes",ET54,0)</f>
        <v/>
      </c>
      <c r="EV54" s="539">
        <f>EU54*EU$6</f>
        <v/>
      </c>
      <c r="EW54" s="538">
        <f>ET54-EV54</f>
        <v/>
      </c>
      <c r="EX54" s="538">
        <f>IF(BV54="Yes",EW54,0)</f>
        <v/>
      </c>
      <c r="EY54" s="539">
        <f>EX54*EX$6</f>
        <v/>
      </c>
      <c r="EZ54" s="538">
        <f>EW54-EY54</f>
        <v/>
      </c>
      <c r="FA54" s="538">
        <f>IF(AR54="Yes",EZ54,0)</f>
        <v/>
      </c>
      <c r="FB54" s="539">
        <f>FA54*FA$6</f>
        <v/>
      </c>
      <c r="FC54" s="538">
        <f>EZ54-FB54</f>
        <v/>
      </c>
      <c r="FD54" s="538">
        <f>IF(OR(BF54="EUR",BF54="AUD",BF54="CAD",BF54="GBP"),FC54,0)</f>
        <v/>
      </c>
      <c r="FE54" s="539">
        <f>FD54*FD$6</f>
        <v/>
      </c>
      <c r="FF54" s="538">
        <f>FC54-FE54</f>
        <v/>
      </c>
      <c r="FG54" s="538">
        <f>FF54</f>
        <v/>
      </c>
      <c r="FH54" s="538">
        <f>IF(FF54=0,0,VLOOKUP(C54,$GU$10:$GV$406,2,FALSE)*FF54)</f>
        <v/>
      </c>
      <c r="FI54" s="538">
        <f>FF54-FH54</f>
        <v/>
      </c>
      <c r="FJ54" s="538">
        <f>FI54</f>
        <v/>
      </c>
      <c r="FK54" s="538">
        <f>IF(OR(IB54="",FI54&lt;0.01),,VLOOKUP(IB54,$GL$10:$GM$406,2,FALSE)*FI54)</f>
        <v/>
      </c>
      <c r="FL54" s="538">
        <f>FI54-FK54</f>
        <v/>
      </c>
      <c r="FM54" s="538">
        <f>FL54</f>
        <v/>
      </c>
      <c r="FN54" s="538">
        <f>IF(FL54=0,0,VLOOKUP(C54,$HD$10:$HE$406,2,FALSE)*FL54)</f>
        <v/>
      </c>
      <c r="FO54" s="538">
        <f>FL54-FN54</f>
        <v/>
      </c>
      <c r="FP54" s="538">
        <f>IF(SUM(CY54:DC54)&gt;0,0,IF(AND(AL54&gt;=5000000,AL54&lt;7500000),FO54,0))</f>
        <v/>
      </c>
      <c r="FQ54" s="539">
        <f>IF(B54="",0,FP54*FP$6*(1-$U54))</f>
        <v/>
      </c>
      <c r="FR54" s="538">
        <f>FO54-FQ54</f>
        <v/>
      </c>
      <c r="FS54" s="538">
        <f>IF(SUM(CY54:DC54)&gt;0,0,IF(AL54&lt;15000000,FR54,0))</f>
        <v/>
      </c>
      <c r="FT54" s="539">
        <f>IF(B54="",0,FS54*FS$6*(1-$U54))</f>
        <v/>
      </c>
      <c r="FU54" s="538">
        <f>FR54-FT54</f>
        <v/>
      </c>
      <c r="FV54" s="538">
        <f>IF(SUM(CY54:DC54)&gt;0,0,IF(OR(AND(X54="No",AN54="Tier 1",AI54&gt;$AG$3),AND(X54="No",AN54="Tier 2",AI54&gt;$AH$3),AND(X54="No",AN54="Tier 3",AI54&gt;$AI$3)),FU54,0))</f>
        <v/>
      </c>
      <c r="FW54" s="538">
        <f>IF(SUM(CY54:DC54)&gt;0,0,IF(OR(AND(X54="No",AN54="Tier 1",AJ54&gt;$AG$4),AND(X54="No",AN54="Tier 2",AJ54&gt;$AH$4),AND(X54="No",AN54="Tier 3",AJ54&gt;$AI$4)),FU54,0))</f>
        <v/>
      </c>
      <c r="FX54" s="538">
        <f>IF(SUM(CY54:DC54)&gt;0,0,IF(OR(AND(X54="Yes",AN54="Tier 1",AJ54&gt;$AG$5),AND(X54="Yes",AN54="Tier 2",AJ54&gt;$AH$5),AND(X54="Yes",AN54="Tier 3",AJ54&gt;$AI$5)),FU54,0))</f>
        <v/>
      </c>
      <c r="FY54" s="538">
        <f>IF(SUM(FV54:FX54)&gt;0,FU54,0)</f>
        <v/>
      </c>
      <c r="FZ54" s="539">
        <f>IF(B54="",0,FY54*FV$6*(1-MIN(90%,T54)))</f>
        <v/>
      </c>
      <c r="GA54" s="538">
        <f>FU54-FZ54</f>
        <v/>
      </c>
      <c r="GB54" s="538">
        <f>IF(AND(N54="No",DI54=0),GA54,IF(AND(N54="No",DI54&lt;&gt;0,K54=0),0,IF(AND(N54="No",DI54&lt;&gt;0,K54&gt;0,J54&lt;&gt;K54),MAX(0,M54-(DH54-GA54)),DG54)))</f>
        <v/>
      </c>
      <c r="GC54" s="540">
        <f>+GB54*V54</f>
        <v/>
      </c>
      <c r="GD54" s="138">
        <f>IFERROR(GC54/K54,"")</f>
        <v/>
      </c>
      <c r="GE54" s="541">
        <f>IF(IB54="","",IB54)</f>
        <v/>
      </c>
      <c r="GF54" s="538">
        <f t="array" ref="GF54">IF(SUM(IF(IB$9:IB53=IB54,1,0))&gt;0,0,SUMIF($IB$10:$IB$406,IB54,$FI$10:$FI$406))</f>
        <v/>
      </c>
      <c r="GG54" s="270">
        <f>GF54</f>
        <v/>
      </c>
      <c r="GH54" s="137">
        <f>GH53+1</f>
        <v/>
      </c>
      <c r="GI54" s="542">
        <f>LARGE($GG$10:$GG$406,GH54)</f>
        <v/>
      </c>
      <c r="GJ54" s="542">
        <f>IF(GH54&gt;GH$6,0,IF(GH54=$GH$2,$GJ$2,IF(GH54&lt;4,$GJ$3,$GJ$4)))</f>
        <v/>
      </c>
      <c r="GK54" s="489">
        <f>MAX(0,GI54-GJ54)</f>
        <v/>
      </c>
      <c r="GL54" s="137">
        <f t="array" ref="GL54">IF(GI54=0,0,LARGE(IF($GF$10:$GF$406=GI54,$GE$10:$GE$406,0),COUNTIF($GI$10:$GI$406,GI54)-COUNTIF(GI$9:GI53,GI54)))</f>
        <v/>
      </c>
      <c r="GM54" s="272">
        <f>IF(GI54=0,0,GK54/GI54)</f>
        <v/>
      </c>
      <c r="GO54" s="137">
        <f>IF(C54="","",IF(ISERROR(MATCH(C54,C$10:C53,0)),MAX(GO$10:GO53)+1,INDEX(GO$10:GO53,MATCH(C54,C$10:C53,0))))</f>
        <v/>
      </c>
      <c r="GP54" s="538">
        <f>IF(COUNTIF($A$10:A54,A54)&lt;=1,SUMIF($A$10:$A$406,A54,$FG$10:$FG$406),0)</f>
        <v/>
      </c>
      <c r="GQ54" s="137">
        <f>GQ53+1</f>
        <v/>
      </c>
      <c r="GR54" s="542">
        <f>LARGE($GP$10:$GP$406,GQ54)</f>
        <v/>
      </c>
      <c r="GS54" s="542">
        <f>IF(GQ54&gt;GQ$6,0,IF(GQ54&lt;=GQ$2,GS$2,IF(AND(GQ54&lt;=$GQ$3,GQ54&gt;$GQ$2),GS$3,GS$4)))</f>
        <v/>
      </c>
      <c r="GT54" s="489">
        <f>MAX(0,GR54-GS54)</f>
        <v/>
      </c>
      <c r="GU54" s="137">
        <f t="array" ref="GU54">IF(GR54=0,0,LARGE(IF($GP$10:$GP$406=GR54,$GO$10:$GO$406,0),COUNTIF($GR$10:$GR$406,GR54)-COUNTIF(GR$9:GR53,GR54)))</f>
        <v/>
      </c>
      <c r="GV54" s="272">
        <f>IF(GR54=0,0,GT54/GR54)</f>
        <v/>
      </c>
      <c r="GW54" s="272" t="n"/>
      <c r="GX54" s="137">
        <f>IF(C54="","",IF(ISERROR(MATCH(C54,C$10:C53,0)),MAX(GO$10:GO53)+1,INDEX(GO$10:GO53,MATCH(C54,C$10:C53,0))))</f>
        <v/>
      </c>
      <c r="GY54" s="538">
        <f>IF(COUNTIF($A$10:A54,A54)&lt;=1,SUMIF($A$10:$A$406,A54,$FG$10:$FG$406),0)</f>
        <v/>
      </c>
      <c r="GZ54" s="137">
        <f>GZ53+1</f>
        <v/>
      </c>
      <c r="HA54" s="542">
        <f>LARGE($GY$10:$GY$406,GZ54)</f>
        <v/>
      </c>
      <c r="HB54" s="543" t="inlineStr">
        <is>
          <t>-</t>
        </is>
      </c>
      <c r="HC54" s="489">
        <f>IF(GZ54&lt;6,MAX(0,$HC$2/5),0)</f>
        <v/>
      </c>
      <c r="HD54" s="137">
        <f t="array" ref="HD54">IF(HA54=0,0,LARGE(IF($GY$10:$GY$406=HA54,$GX$10:$GX$406,0),COUNTIF($HA$10:$HA$406,HA54)-COUNTIF(HA$9:HA53,HA54)))</f>
        <v/>
      </c>
      <c r="HE54" s="272">
        <f>IF(HA54=0,0,HC54/HA54)</f>
        <v/>
      </c>
      <c r="HF54" s="272" t="n"/>
      <c r="HG54" s="270">
        <f>DG54-GA54</f>
        <v/>
      </c>
      <c r="HH54" s="544" t="n">
        <v>0</v>
      </c>
      <c r="HI54" s="538">
        <f>MIN(HH54,DE54)</f>
        <v/>
      </c>
      <c r="HK54" s="137">
        <f>IF(COUNTIF($C$10:$C$406,HK53+1),HK53+1,"")</f>
        <v/>
      </c>
      <c r="HL54" s="538">
        <f>SUMIF($C$10:$C$406,HK54,$DG$10:$DG$406)</f>
        <v/>
      </c>
      <c r="HN54" s="521">
        <f>MIN(HO54:HS54)</f>
        <v/>
      </c>
      <c r="HO54" s="521">
        <f>IF(B54="","",$M54)</f>
        <v/>
      </c>
      <c r="HP54" s="521">
        <f>IF($N54="Yes",IF(P54&gt;=6,0,MIN($T54*$M54,$U54*$M54)),"")</f>
        <v/>
      </c>
      <c r="HQ54" s="521">
        <f>IF(AND(N54="Yes",P54&gt;=6),"",IF($S54="Yes",$R54*$M54,""))</f>
        <v/>
      </c>
      <c r="HR54" s="521">
        <f>IF($Q54="Yes",MIN($M54,$T54*$M54),"")</f>
        <v/>
      </c>
      <c r="HS54" s="521">
        <f>IF(AND($N54="Yes",$P54&gt;=6),"",IF(OR(CY54=1,DC54=1,),MIN($T54*$M54,$U54*$M54),IF(OR(CZ54=1,DA54=1,DB54=1),IF(AK54&gt;=5000000,MIN($T54*$M54,$IE54*$M54),MIN($T54*$M54,$U54*$M54)),"")))</f>
        <v/>
      </c>
      <c r="HT54" s="521">
        <f>IF(DD54&gt;0,DD54,"")</f>
        <v/>
      </c>
      <c r="HU54" s="522">
        <f>IF(B54="",0,$L54-$M54)</f>
        <v/>
      </c>
      <c r="HV54" s="274">
        <f>IF(OR(SUM(HP54:HT54)&gt;0,P54&gt;=6),"",IF($B54="","",1))</f>
        <v/>
      </c>
      <c r="HW54" s="522">
        <f>IF(AND($HT54&lt;&gt;0,OR(HT54&lt;=MIN(HP54:HS54),SUM(HP54:HS54)=0)),$HT54,0)</f>
        <v/>
      </c>
      <c r="HX54" s="522">
        <f>IF(AND($HS54&lt;&gt;0,OR(AND($HS54&lt;&gt;$HT54,$HS54&lt;&gt;$HR54,$HS54&lt;&gt;$HQ54,$HS54&lt;&gt;$HP54,$HS54&lt;MIN($HP54:$HR54),$HS54&lt;HT54),SUM($HP54:$HR54)+SUM(HT54)=0),IA54&lt;=0),$HS54,0)</f>
        <v/>
      </c>
      <c r="HY54" s="522">
        <f>IF(AND($HR54&lt;&gt;0,OR(AND($HR54&lt;&gt;$HT54,$HR54&lt;&gt;$HS54,$HR54&lt;&gt;$HQ54,$HR54&lt;&gt;$HP54),$HR54&lt;MIN($HP54:$HQ54),$HR54&lt;MIN($HS54:$HT54),SUM($HP54:$HQ54)+SUM($HS54:$HT54)=0)),$HR54,0)</f>
        <v/>
      </c>
      <c r="HZ54" s="522">
        <f>IF(AND($HQ54&lt;&gt;0,OR(AND($HQ54&lt;&gt;$HT54,HQ54&lt;&gt;HS54,HQ54&lt;&gt;HR54,HQ54&lt;&gt;HP54,HQ54&lt;MIN(HR54:HT54)),SUM(HP54)+SUM(HR54:HT54)=0)),$HQ54,0)</f>
        <v/>
      </c>
      <c r="IA54" s="522">
        <f>IF(AND($HP54&lt;&gt;0,OR(HP54&lt;=MIN(HQ54:HT54),SUM(HQ54:HT54)=0)),$HP54,0)</f>
        <v/>
      </c>
      <c r="IB54" s="545" t="n">
        <v>53</v>
      </c>
      <c r="IC54">
        <f>HU54=DF54</f>
        <v/>
      </c>
      <c r="IE54" s="351">
        <f>IF(B54="","",IF(AND(Y54="Second Lien",OR(CZ54=1,DA54=1,DB54=1)),50%,IF(CZ54=1,90%,IF(DA54=1,80%,IF(DB54=1,65%,"No Initial Haircut")))))</f>
        <v/>
      </c>
    </row>
    <row r="55">
      <c r="A55">
        <f>D55</f>
        <v/>
      </c>
      <c r="B55" s="242">
        <f>IF(D55="","",B54+1)</f>
        <v/>
      </c>
      <c r="C55" s="242">
        <f>IF(COUNTIF($A$10:A54,A55)&gt;0,C54,C54+1)</f>
        <v/>
      </c>
      <c r="D55" s="243" t="inlineStr">
        <is>
          <t>Fairhaven Holdings, LLC</t>
        </is>
      </c>
      <c r="E55" s="243" t="inlineStr">
        <is>
          <t>Fairhaven (USD Term Loan)</t>
        </is>
      </c>
      <c r="F55" s="244" t="n"/>
      <c r="G55" s="528" t="n">
        <v>37406250</v>
      </c>
      <c r="H55" s="528" t="n">
        <v>37406250</v>
      </c>
      <c r="I55" s="246" t="n">
        <v>1</v>
      </c>
      <c r="J55" s="529">
        <f>IF(B55="","",G55*I55)</f>
        <v/>
      </c>
      <c r="K55" s="529">
        <f>IF(B55="","",H55*I55)</f>
        <v/>
      </c>
      <c r="L55" s="529">
        <f>IF(B55="","",IF(COUNTIF($CE55:$CX55,1)&gt;0,0,J55))</f>
        <v/>
      </c>
      <c r="M55" s="529">
        <f>IF(B55="","",IF(COUNTIF($CE55:$CX55,1)&gt;0,0,K55))</f>
        <v/>
      </c>
      <c r="N55" s="248" t="inlineStr">
        <is>
          <t>No</t>
        </is>
      </c>
      <c r="O55" s="248" t="inlineStr">
        <is>
          <t>N/A</t>
        </is>
      </c>
      <c r="P55" s="249">
        <f>IF(B55="","",IF(OR(O55="N/A",O55=""),0,YEARFRAC('Borrowing Base'!$J$4,'Loan List'!O55)*12))</f>
        <v/>
      </c>
      <c r="Q55" s="248" t="inlineStr">
        <is>
          <t>No</t>
        </is>
      </c>
      <c r="R55" s="250" t="n">
        <v>0.9900054127999999</v>
      </c>
      <c r="S55" s="251">
        <f>IF(B55="","",IF(R55&lt;95%,"Yes","No"))</f>
        <v/>
      </c>
      <c r="T55" s="250" t="n">
        <v>1</v>
      </c>
      <c r="U55" s="252">
        <f>IF(B55="","",IF(OR(Y55="First Lien",Y55="Split First Lien",Y55="Tier 1 Split Lien",Y55="Tier 2 Split Lien"),50%,30%))</f>
        <v/>
      </c>
      <c r="V55" s="252">
        <f>IF(B55="",0,IF(AND(Y55="First Lien",AN55="Tier 1"),IF(AND(X55="Yes",MIN(AH55,$AJ$5)&gt;4.5),(((4.5/MIN(AH55,$AJ$5))*72.5%)+(((MIN(AH55,$AJ$5)-4.5)/MIN(AH55,$AJ$5))*35%)),72.5%),IF(AND(Y55="First Lien",AN55="Tier 2"),IF(AND(X55="Yes",MIN(AH55,$AK$5)&gt;4.5),(((4.5/MIN(AH55,$AK$5))*72.5%)+(((MIN(AH55,$AK$5)-4.5)/MIN(AH55,$AK$5))*35%)),72.5%),IF(AND(X55="Yes",MIN(AH55,$AL$5)&gt;4),(((4/MIN(AH55,$AL$5))*72.5%)+(((MIN(AH55,$AL$5)-4)/MIN(AH55,$AL$5))*35%)),IF(OR(Y55="First Lien",Y55="Split First Lien"),72.5%,IF(Y55="Split Lien", 53%,35%))))))</f>
        <v/>
      </c>
      <c r="W55" s="530">
        <f>IF($C55="","",MIN($HO55:$HS55))</f>
        <v/>
      </c>
      <c r="X55" s="248" t="inlineStr">
        <is>
          <t>Yes</t>
        </is>
      </c>
      <c r="Y55" s="254" t="inlineStr">
        <is>
          <t>First Lien</t>
        </is>
      </c>
      <c r="Z55" s="254" t="inlineStr">
        <is>
          <t>Term</t>
        </is>
      </c>
      <c r="AA55" s="531" t="inlineStr">
        <is>
          <t>NR</t>
        </is>
      </c>
      <c r="AB55" s="531" t="inlineStr">
        <is>
          <t xml:space="preserve"> NR</t>
        </is>
      </c>
      <c r="AC55" s="532" t="n">
        <v>1.80860830227199</v>
      </c>
      <c r="AD55" s="532" t="n">
        <v>5.16691756762921</v>
      </c>
      <c r="AE55" s="532" t="n">
        <v>5.09294323401877</v>
      </c>
      <c r="AF55" s="257" t="n">
        <v>0.592529422933743</v>
      </c>
      <c r="AG55" s="533" t="n">
        <v>5.16691756762921</v>
      </c>
      <c r="AH55" s="533" t="n">
        <v>5.16691756762921</v>
      </c>
      <c r="AI55" s="533" t="n">
        <v>5.09294323401877</v>
      </c>
      <c r="AJ55" s="533" t="n">
        <v>5.09294323401877</v>
      </c>
      <c r="AK55" s="534" t="n">
        <v>21921000</v>
      </c>
      <c r="AL55" s="534" t="n">
        <v>23886225</v>
      </c>
      <c r="AM55" s="276" t="n">
        <v>45838</v>
      </c>
      <c r="AN55" s="529">
        <f>IF(C55="","",(IF(AK55&gt;=50000000,"Tier 1",(IF(OR(AK55&gt;=20000000,AND(AK55&gt;5000000,AC55&gt;=1.25,AF55&lt;=0.65)),"Tier 2","Tier 3")))))</f>
        <v/>
      </c>
      <c r="AO55" s="244" t="n">
        <v>47836</v>
      </c>
      <c r="AP55" s="535" t="n">
        <v>5.386111111111111</v>
      </c>
      <c r="AQ55" s="535">
        <f>IF(C55="","",AP55)</f>
        <v/>
      </c>
      <c r="AR55" s="248" t="inlineStr">
        <is>
          <t>No</t>
        </is>
      </c>
      <c r="AS55" s="250" t="n">
        <v>0</v>
      </c>
      <c r="AT55" s="248" t="inlineStr">
        <is>
          <t>Yes</t>
        </is>
      </c>
      <c r="AU55" s="250" t="n">
        <v>0.01</v>
      </c>
      <c r="AV55" s="250" t="n">
        <v>0.0525</v>
      </c>
      <c r="AW55" s="250" t="n">
        <v>0.042166</v>
      </c>
      <c r="AX55" s="262">
        <f>IF(C55="","",MAX(AU55,AW55))</f>
        <v/>
      </c>
      <c r="AY55" s="250" t="n">
        <v>0</v>
      </c>
      <c r="AZ55" s="250" t="n">
        <v>0</v>
      </c>
      <c r="BA55" s="250" t="n">
        <v>0</v>
      </c>
      <c r="BB55" s="412">
        <f>IF(B55="","",IF(AR55="No",AV55-AZ55,""))</f>
        <v/>
      </c>
      <c r="BC55" s="412">
        <f>IF(B55="","",IF(AR55="Yes",AS55-BA55,""))</f>
        <v/>
      </c>
      <c r="BD55" s="254" t="inlineStr">
        <is>
          <t>Quarterly</t>
        </is>
      </c>
      <c r="BE55" s="536" t="inlineStr">
        <is>
          <t>Media</t>
        </is>
      </c>
      <c r="BF55" s="254" t="inlineStr">
        <is>
          <t>USD</t>
        </is>
      </c>
      <c r="BG55" s="254" t="inlineStr">
        <is>
          <t>United States</t>
        </is>
      </c>
      <c r="BH55" s="248" t="inlineStr">
        <is>
          <t>No</t>
        </is>
      </c>
      <c r="BI55" s="413">
        <f>IF(B55="","",IF(OR(AND(AZ55&gt;0,BB55&gt;=2.5%,BB55&lt;4%),AND(BA55&gt;0,BC55&gt;=6%,BC55&lt;8%)),"Yes","No"))</f>
        <v/>
      </c>
      <c r="BJ55" s="413">
        <f>IF(B55="","",IF(OR(AND(AZ55&gt;0,BB55&lt;2.5%),AND(BA55&gt;0,BC55&lt;6%)),"Yes","No"))</f>
        <v/>
      </c>
      <c r="BK55" s="248" t="inlineStr">
        <is>
          <t>No</t>
        </is>
      </c>
      <c r="BL55" s="248" t="inlineStr">
        <is>
          <t>No</t>
        </is>
      </c>
      <c r="BM55" s="248" t="inlineStr">
        <is>
          <t>No</t>
        </is>
      </c>
      <c r="BN55" s="248" t="inlineStr">
        <is>
          <t>No</t>
        </is>
      </c>
      <c r="BO55" s="248" t="inlineStr">
        <is>
          <t>No</t>
        </is>
      </c>
      <c r="BP55" s="248" t="inlineStr">
        <is>
          <t>No</t>
        </is>
      </c>
      <c r="BQ55" s="248" t="inlineStr">
        <is>
          <t>No</t>
        </is>
      </c>
      <c r="BR55" s="248" t="inlineStr">
        <is>
          <t>No</t>
        </is>
      </c>
      <c r="BS55" s="248" t="inlineStr">
        <is>
          <t>No</t>
        </is>
      </c>
      <c r="BT55" s="248" t="inlineStr">
        <is>
          <t>No</t>
        </is>
      </c>
      <c r="BU55" s="248" t="inlineStr">
        <is>
          <t>No</t>
        </is>
      </c>
      <c r="BV55" s="248" t="inlineStr">
        <is>
          <t>No</t>
        </is>
      </c>
      <c r="BW55" s="248" t="inlineStr">
        <is>
          <t>No</t>
        </is>
      </c>
      <c r="BX55" s="248" t="inlineStr">
        <is>
          <t>No</t>
        </is>
      </c>
      <c r="BY55" s="248" t="inlineStr">
        <is>
          <t>No</t>
        </is>
      </c>
      <c r="BZ55" s="248" t="inlineStr">
        <is>
          <t>No</t>
        </is>
      </c>
      <c r="CA55" s="248" t="inlineStr">
        <is>
          <t>Yes</t>
        </is>
      </c>
      <c r="CB55" s="537">
        <f>IF(B55="","",IF(AT55="No",((BB55+AW55)-$AZ$4),((BB55+AX55)-$AZ$4))*IF(DD55&gt;0,0,M55))</f>
        <v/>
      </c>
      <c r="CC55" s="537">
        <f>IF(B55="","",AY55*(L55-M55)*IF(DD55&gt;0,0,1))</f>
        <v/>
      </c>
      <c r="CD55" s="265" t="n"/>
      <c r="CE55" s="265">
        <f>IF(AND(B55&lt;&gt;"",R55&lt;=85%),1,0)</f>
        <v/>
      </c>
      <c r="CF55" s="265">
        <f>IF(B55="",0,(IF(OR(BF55="USD",BF55="CAD",BF55="GBP",BF55="AUD",BF55="EUR"),0,1)))</f>
        <v/>
      </c>
      <c r="CG55" s="265">
        <f>IF(B55="",0,(IF(OR(BG55="United States",BG55="Canada",BG55="United Kingdom",BG55="Australia",BG55="Netherlands Antilles",BG55="Bermuda",BG55="Cayman Islands",BG55="British Virgin Islands",BG55="Channel Islands",BG55="Isle of Man",BG55="Australia",BG55="Netherlands",BG55="Germany",BG55="Sweden",BG55="Switzerland",BG55="Austria",BG55="Belgium",BG55="Denmark",BG55="Finland",BG55="Iceland",BG55="Ireland",BG55="Lichtenstein",BG55="Luxemborg",BG55="Norway"),0,1)))</f>
        <v/>
      </c>
      <c r="CH55" s="265">
        <f>IF(BN55="Yes",1,0)</f>
        <v/>
      </c>
      <c r="CI55" s="265">
        <f>IF(BO55="Yes",1,0)</f>
        <v/>
      </c>
      <c r="CJ55" s="265">
        <f>IF(BP55="Yes",1,0)</f>
        <v/>
      </c>
      <c r="CK55" s="265">
        <f>IF(BQ55="Yes",1,0)</f>
        <v/>
      </c>
      <c r="CL55" s="265">
        <f>IF(BR55="Yes",1,0)</f>
        <v/>
      </c>
      <c r="CM55" s="265">
        <f>IF(BS55="Yes",1,0)</f>
        <v/>
      </c>
      <c r="CN55" s="265">
        <f>IF(OR(AND(BJ55="Yes",N55="No"),AND(BJ55="Yes",N55="Yes",P55&gt;=6)),1,0)</f>
        <v/>
      </c>
      <c r="CO55" s="265">
        <f>IF(BT55="Yes",1,0)</f>
        <v/>
      </c>
      <c r="CP55" s="265">
        <f>IF(AND(BU55="Yes",BV55="No"),1,0)</f>
        <v/>
      </c>
      <c r="CQ55" s="265">
        <f>IF(BW55="Yes",1,0)</f>
        <v/>
      </c>
      <c r="CR55" s="265">
        <f>IF(AP55="",0,IF(AP55&gt;7,1,0))</f>
        <v/>
      </c>
      <c r="CS55" s="265">
        <f>IF(OR(BD55&lt;&gt;"Monthly",BD55&lt;&gt;"Quarterly",BD55&lt;&gt;"Semi-Annually"),0,1)</f>
        <v/>
      </c>
      <c r="CT55" s="265">
        <f>IF(BX55="Yes",1,0)</f>
        <v/>
      </c>
      <c r="CU55" s="265">
        <f>IF(BY55="Yes",1,0)</f>
        <v/>
      </c>
      <c r="CV55" s="265">
        <f>IF(BZ55="Yes",1,0)</f>
        <v/>
      </c>
      <c r="CW55" s="265">
        <f>IF(CA55="No",1,0)</f>
        <v/>
      </c>
      <c r="CX55" s="265">
        <f>IF(B55="",0,IF(AK55&gt;=5000000,0,1))</f>
        <v/>
      </c>
      <c r="CY55" s="265">
        <f>IF(B55="",0,IF(AL55&gt;=5000000,0,1))</f>
        <v/>
      </c>
      <c r="CZ55" s="265">
        <f>IF(OR(DA55=1,DB55=1,DC55=1),0,IF(B55="",0,IF(OR(AND(AN55="Tier 1",X55="No",OR(AI55&gt;$AJ$3,AJ55&gt;$AJ$4)),(AND(AN55="Tier 1",X55="Yes",AJ55&gt;$AJ$5)),(AND(AN55="Tier 2",X55="No",OR(AI55&gt;$AK$3,AJ55&gt;$AK$4))),(AND(AN55="Tier 2",X55="Yes",AJ55&gt;$AK$5)),(AND(AN55="Tier 3",X55="No",OR(AI55&gt;$AL$3,AJ55&gt;$AL$4))),(AND(AN55="Tier 3",X55="Yes",AJ55&gt;$AL$5))),1,0)))</f>
        <v/>
      </c>
      <c r="DA55" s="265">
        <f>IF(OR(DB55=1,DC55=1),0,IF(B55="",0,IF(OR(AND(AN55="Tier 1",X55="No",OR(AI55&gt;$AM$3,AJ55&gt;$AM$4)),(AND(AN55="Tier 1",X55="Yes",AJ55&gt;$AM$5)),(AND(AN55="Tier 2",X55="No",OR(AI55&gt;$AN$3,AJ55&gt;$AN$4))),(AND(AN55="Tier 2",X55="Yes",AJ55&gt;$AN$5)),(AND(AN55="Tier 3",X55="No",OR(AI55&gt;$AO$3,AJ55&gt;$AO$4))),(AND(AN55="Tier 3",X55="Yes",AJ55&gt;$AO$5))),1,0)))</f>
        <v/>
      </c>
      <c r="DB55" s="265">
        <f>IF(DC55=1,0,IF(B55="",0,IF(OR(AND(AN55="Tier 1",X55="No",OR(AI55&gt;$AP$3,AJ55&gt;$AP$4)),(AND(AN55="Tier 1",X55="Yes",AJ55&gt;$AP$5)),(AND(AN55="Tier 2",X55="No",OR(AI55&gt;$AQ$3,AJ55&gt;$AQ$4))),(AND(AN55="Tier 2",X55="Yes",AJ55&gt;$AQ$5)),(AND(AN55="Tier 3",X55="No",OR(AI55&gt;$AR$3,AJ55&gt;$AR$4))),(AND(AN55="Tier 3",X55="Yes",AJ55&gt;$AR$5))),1,0)))</f>
        <v/>
      </c>
      <c r="DC55" s="265">
        <f>IF(B55="",0,IF(OR(AND(AN55="Tier 1",X55="No",OR(AI55&gt;$AS$3,AJ55&gt;$AS$4)),(AND(AN55="Tier 1",X55="Yes",AJ55&gt;$AS$5)),(AND(AN55="Tier 2",X55="No",OR(AI55&gt;$AT$3,AJ55&gt;$AT$4))),(AND(AN55="Tier 2",X55="Yes",AJ55&gt;$AT$5)),(AND(AN55="Tier 3",X55="No",OR(AI55&gt;$AU$3,AJ55&gt;$AU$4))),(AND(AN55="Tier 3",X55="Yes",AJ55&gt;$AU$5))),1,0))</f>
        <v/>
      </c>
      <c r="DD55" s="265">
        <f>IF((SUM(CE55:CX55)=0),0,W55)</f>
        <v/>
      </c>
      <c r="DE55" s="265">
        <f>IF(OR(B55="",DD55&gt;0),0,W55)</f>
        <v/>
      </c>
      <c r="DF55" s="265">
        <f>IF(B55="",0,IF(COUNTIF(CE55:CX55,1)&gt;0,0,L55-M55))</f>
        <v/>
      </c>
      <c r="DG55" s="265">
        <f>DE55+IF(DD55&gt;0,0,DF55)</f>
        <v/>
      </c>
      <c r="DH55" s="265">
        <f>IF(B55="","",M55+DF55)</f>
        <v/>
      </c>
      <c r="DI55" s="265">
        <f>IF(B55="",0,J55-K55)</f>
        <v/>
      </c>
      <c r="DJ55" s="265">
        <f>IF(OR(BF55="EUR",BF55="CAD",BF55="GBP",BF55="AUD"),(GA55*(1-V55))+(HG55)+IF(HX55="",0,HX55*(1-U55)),0)</f>
        <v/>
      </c>
      <c r="DK55" s="265">
        <f>IF(BF55="EUR",33%,IF(BF55="CAD",38%,IF(BF55="GBP",51%,IF(BF55="AUD",61%,0))))</f>
        <v/>
      </c>
      <c r="DL55" s="265">
        <f>DJ55*DK55</f>
        <v/>
      </c>
      <c r="DN55" s="538">
        <f>IF(OR(Y55="Second Lien",Y55="Tier 1 Split Lien",Y55="Tier 2 Split Lien"),DG55,0)</f>
        <v/>
      </c>
      <c r="DO55" s="539">
        <f>DN55*DN$6</f>
        <v/>
      </c>
      <c r="DP55" s="538">
        <f>DG55-DO55</f>
        <v/>
      </c>
      <c r="DQ55" s="538">
        <f>IF(Y55="Second Lien",DP55,0)</f>
        <v/>
      </c>
      <c r="DR55" s="539">
        <f>DQ55*DQ$6</f>
        <v/>
      </c>
      <c r="DS55" s="538">
        <f>DP55-DR55</f>
        <v/>
      </c>
      <c r="DT55" s="538">
        <f>IF(BH55="Yes",DS55,0)</f>
        <v/>
      </c>
      <c r="DU55" s="539">
        <f>DT55*DT$6</f>
        <v/>
      </c>
      <c r="DV55" s="538">
        <f>DS55-DU55</f>
        <v/>
      </c>
      <c r="DW55" s="538">
        <f>IF(OR(BG55="Canada",BG55="United Kingdom",BG55="Australia",BG55="Netherlands Antilles",BG55="Bermuda",BG55="Cayman Islands",BG55="British Virgin Islands",BG55="Channel Islands",BG55="Isle of Man",BG55="Australia",BG55="Netherlands",BG55="Germany",BG55="Sweden",BG55="Switzerland",BG55="Austria",BG55="Belgium",BG55="Denmark",BG55="Finland",BG55="Iceland",BG55="Ireland",BG55="Lichtenstein",BG55="Luxemborg",BG55="Norway"),DV55,0)</f>
        <v/>
      </c>
      <c r="DX55" s="539">
        <f>DW55*DW$6</f>
        <v/>
      </c>
      <c r="DY55" s="538">
        <f>DV55-DX55</f>
        <v/>
      </c>
      <c r="DZ55" s="538">
        <f>IF(BI55="Yes",DY55,0)</f>
        <v/>
      </c>
      <c r="EA55" s="539">
        <f>DZ55*DZ$6</f>
        <v/>
      </c>
      <c r="EB55" s="538">
        <f>DY55-EA55</f>
        <v/>
      </c>
      <c r="EC55" s="538">
        <f>IF(OR(Z55="Delayed Draw",Z55="Revolver"),EB55,0)</f>
        <v/>
      </c>
      <c r="ED55" s="539">
        <f>EC55*EC$6</f>
        <v/>
      </c>
      <c r="EE55" s="538">
        <f>EB55-ED55</f>
        <v/>
      </c>
      <c r="EF55" s="538">
        <f>IF(S55="Yes",EE55,0)</f>
        <v/>
      </c>
      <c r="EG55" s="539">
        <f>EF55*EF$6</f>
        <v/>
      </c>
      <c r="EH55" s="538">
        <f>EE55-EG55</f>
        <v/>
      </c>
      <c r="EI55" s="538">
        <f>IF(Q55="Yes",EH55,0)</f>
        <v/>
      </c>
      <c r="EJ55" s="539">
        <f>EI55*EI$6</f>
        <v/>
      </c>
      <c r="EK55" s="538">
        <f>EH55-EJ55</f>
        <v/>
      </c>
      <c r="EL55" s="538">
        <f>IF(BD55="Semi-Annually",EK55,0)</f>
        <v/>
      </c>
      <c r="EM55" s="539">
        <f>EL55*EL$6</f>
        <v/>
      </c>
      <c r="EN55" s="538">
        <f>EK55-EM55</f>
        <v/>
      </c>
      <c r="EO55" s="538">
        <f>IF(BK55="Yes",EN55,0)</f>
        <v/>
      </c>
      <c r="EP55" s="539">
        <f>EO55*EO$6</f>
        <v/>
      </c>
      <c r="EQ55" s="538">
        <f>EN55-EP55</f>
        <v/>
      </c>
      <c r="ER55" s="538">
        <f>IF(BL55="Yes",EQ55,0)</f>
        <v/>
      </c>
      <c r="ES55" s="539">
        <f>ER55*ER$6</f>
        <v/>
      </c>
      <c r="ET55" s="538">
        <f>EQ55-ES55</f>
        <v/>
      </c>
      <c r="EU55" s="538">
        <f>IF(BM55="Yes",ET55,0)</f>
        <v/>
      </c>
      <c r="EV55" s="539">
        <f>EU55*EU$6</f>
        <v/>
      </c>
      <c r="EW55" s="538">
        <f>ET55-EV55</f>
        <v/>
      </c>
      <c r="EX55" s="538">
        <f>IF(BV55="Yes",EW55,0)</f>
        <v/>
      </c>
      <c r="EY55" s="539">
        <f>EX55*EX$6</f>
        <v/>
      </c>
      <c r="EZ55" s="538">
        <f>EW55-EY55</f>
        <v/>
      </c>
      <c r="FA55" s="538">
        <f>IF(AR55="Yes",EZ55,0)</f>
        <v/>
      </c>
      <c r="FB55" s="539">
        <f>FA55*FA$6</f>
        <v/>
      </c>
      <c r="FC55" s="538">
        <f>EZ55-FB55</f>
        <v/>
      </c>
      <c r="FD55" s="538">
        <f>IF(OR(BF55="EUR",BF55="AUD",BF55="CAD",BF55="GBP"),FC55,0)</f>
        <v/>
      </c>
      <c r="FE55" s="539">
        <f>FD55*FD$6</f>
        <v/>
      </c>
      <c r="FF55" s="538">
        <f>FC55-FE55</f>
        <v/>
      </c>
      <c r="FG55" s="538">
        <f>FF55</f>
        <v/>
      </c>
      <c r="FH55" s="538">
        <f>IF(FF55=0,0,VLOOKUP(C55,$GU$10:$GV$406,2,FALSE)*FF55)</f>
        <v/>
      </c>
      <c r="FI55" s="538">
        <f>FF55-FH55</f>
        <v/>
      </c>
      <c r="FJ55" s="538">
        <f>FI55</f>
        <v/>
      </c>
      <c r="FK55" s="538">
        <f>IF(OR(IB55="",FI55&lt;0.01),,VLOOKUP(IB55,$GL$10:$GM$406,2,FALSE)*FI55)</f>
        <v/>
      </c>
      <c r="FL55" s="538">
        <f>FI55-FK55</f>
        <v/>
      </c>
      <c r="FM55" s="538">
        <f>FL55</f>
        <v/>
      </c>
      <c r="FN55" s="538">
        <f>IF(FL55=0,0,VLOOKUP(C55,$HD$10:$HE$406,2,FALSE)*FL55)</f>
        <v/>
      </c>
      <c r="FO55" s="538">
        <f>FL55-FN55</f>
        <v/>
      </c>
      <c r="FP55" s="538">
        <f>IF(SUM(CY55:DC55)&gt;0,0,IF(AND(AL55&gt;=5000000,AL55&lt;7500000),FO55,0))</f>
        <v/>
      </c>
      <c r="FQ55" s="539">
        <f>IF(B55="",0,FP55*FP$6*(1-$U55))</f>
        <v/>
      </c>
      <c r="FR55" s="538">
        <f>FO55-FQ55</f>
        <v/>
      </c>
      <c r="FS55" s="538">
        <f>IF(SUM(CY55:DC55)&gt;0,0,IF(AL55&lt;15000000,FR55,0))</f>
        <v/>
      </c>
      <c r="FT55" s="539">
        <f>IF(B55="",0,FS55*FS$6*(1-$U55))</f>
        <v/>
      </c>
      <c r="FU55" s="538">
        <f>FR55-FT55</f>
        <v/>
      </c>
      <c r="FV55" s="538">
        <f>IF(SUM(CY55:DC55)&gt;0,0,IF(OR(AND(X55="No",AN55="Tier 1",AI55&gt;$AG$3),AND(X55="No",AN55="Tier 2",AI55&gt;$AH$3),AND(X55="No",AN55="Tier 3",AI55&gt;$AI$3)),FU55,0))</f>
        <v/>
      </c>
      <c r="FW55" s="538">
        <f>IF(SUM(CY55:DC55)&gt;0,0,IF(OR(AND(X55="No",AN55="Tier 1",AJ55&gt;$AG$4),AND(X55="No",AN55="Tier 2",AJ55&gt;$AH$4),AND(X55="No",AN55="Tier 3",AJ55&gt;$AI$4)),FU55,0))</f>
        <v/>
      </c>
      <c r="FX55" s="538">
        <f>IF(SUM(CY55:DC55)&gt;0,0,IF(OR(AND(X55="Yes",AN55="Tier 1",AJ55&gt;$AG$5),AND(X55="Yes",AN55="Tier 2",AJ55&gt;$AH$5),AND(X55="Yes",AN55="Tier 3",AJ55&gt;$AI$5)),FU55,0))</f>
        <v/>
      </c>
      <c r="FY55" s="538">
        <f>IF(SUM(FV55:FX55)&gt;0,FU55,0)</f>
        <v/>
      </c>
      <c r="FZ55" s="539">
        <f>IF(B55="",0,FY55*FV$6*(1-MIN(90%,T55)))</f>
        <v/>
      </c>
      <c r="GA55" s="538">
        <f>FU55-FZ55</f>
        <v/>
      </c>
      <c r="GB55" s="538">
        <f>IF(AND(N55="No",DI55=0),GA55,IF(AND(N55="No",DI55&lt;&gt;0,K55=0),0,IF(AND(N55="No",DI55&lt;&gt;0,K55&gt;0,J55&lt;&gt;K55),MAX(0,M55-(DH55-GA55)),DG55)))</f>
        <v/>
      </c>
      <c r="GC55" s="540">
        <f>+GB55*V55</f>
        <v/>
      </c>
      <c r="GD55" s="138">
        <f>IFERROR(GC55/K55,"")</f>
        <v/>
      </c>
      <c r="GE55" s="541">
        <f>IF(IB55="","",IB55)</f>
        <v/>
      </c>
      <c r="GF55" s="538">
        <f t="array" ref="GF55">IF(SUM(IF(IB$9:IB54=IB55,1,0))&gt;0,0,SUMIF($IB$10:$IB$406,IB55,$FI$10:$FI$406))</f>
        <v/>
      </c>
      <c r="GG55" s="270">
        <f>GF55</f>
        <v/>
      </c>
      <c r="GH55" s="137">
        <f>GH54+1</f>
        <v/>
      </c>
      <c r="GI55" s="542">
        <f>LARGE($GG$10:$GG$406,GH55)</f>
        <v/>
      </c>
      <c r="GJ55" s="542">
        <f>IF(GH55&gt;GH$6,0,IF(GH55=$GH$2,$GJ$2,IF(GH55&lt;4,$GJ$3,$GJ$4)))</f>
        <v/>
      </c>
      <c r="GK55" s="489">
        <f>MAX(0,GI55-GJ55)</f>
        <v/>
      </c>
      <c r="GL55" s="137">
        <f t="array" ref="GL55">IF(GI55=0,0,LARGE(IF($GF$10:$GF$406=GI55,$GE$10:$GE$406,0),COUNTIF($GI$10:$GI$406,GI55)-COUNTIF(GI$9:GI54,GI55)))</f>
        <v/>
      </c>
      <c r="GM55" s="272">
        <f>IF(GI55=0,0,GK55/GI55)</f>
        <v/>
      </c>
      <c r="GO55" s="137">
        <f>IF(C55="","",IF(ISERROR(MATCH(C55,C$10:C54,0)),MAX(GO$10:GO54)+1,INDEX(GO$10:GO54,MATCH(C55,C$10:C54,0))))</f>
        <v/>
      </c>
      <c r="GP55" s="538">
        <f>IF(COUNTIF($A$10:A55,A55)&lt;=1,SUMIF($A$10:$A$406,A55,$FG$10:$FG$406),0)</f>
        <v/>
      </c>
      <c r="GQ55" s="137">
        <f>GQ54+1</f>
        <v/>
      </c>
      <c r="GR55" s="542">
        <f>LARGE($GP$10:$GP$406,GQ55)</f>
        <v/>
      </c>
      <c r="GS55" s="542">
        <f>IF(GQ55&gt;GQ$6,0,IF(GQ55&lt;=GQ$2,GS$2,IF(AND(GQ55&lt;=$GQ$3,GQ55&gt;$GQ$2),GS$3,GS$4)))</f>
        <v/>
      </c>
      <c r="GT55" s="489">
        <f>MAX(0,GR55-GS55)</f>
        <v/>
      </c>
      <c r="GU55" s="137">
        <f t="array" ref="GU55">IF(GR55=0,0,LARGE(IF($GP$10:$GP$406=GR55,$GO$10:$GO$406,0),COUNTIF($GR$10:$GR$406,GR55)-COUNTIF(GR$9:GR54,GR55)))</f>
        <v/>
      </c>
      <c r="GV55" s="272">
        <f>IF(GR55=0,0,GT55/GR55)</f>
        <v/>
      </c>
      <c r="GW55" s="272" t="n"/>
      <c r="GX55" s="137">
        <f>IF(C55="","",IF(ISERROR(MATCH(C55,C$10:C54,0)),MAX(GO$10:GO54)+1,INDEX(GO$10:GO54,MATCH(C55,C$10:C54,0))))</f>
        <v/>
      </c>
      <c r="GY55" s="538">
        <f>IF(COUNTIF($A$10:A55,A55)&lt;=1,SUMIF($A$10:$A$406,A55,$FG$10:$FG$406),0)</f>
        <v/>
      </c>
      <c r="GZ55" s="137">
        <f>GZ54+1</f>
        <v/>
      </c>
      <c r="HA55" s="542">
        <f>LARGE($GY$10:$GY$406,GZ55)</f>
        <v/>
      </c>
      <c r="HB55" s="543" t="inlineStr">
        <is>
          <t>-</t>
        </is>
      </c>
      <c r="HC55" s="489">
        <f>IF(GZ55&lt;6,MAX(0,$HC$2/5),0)</f>
        <v/>
      </c>
      <c r="HD55" s="137">
        <f t="array" ref="HD55">IF(HA55=0,0,LARGE(IF($GY$10:$GY$406=HA55,$GX$10:$GX$406,0),COUNTIF($HA$10:$HA$406,HA55)-COUNTIF(HA$9:HA54,HA55)))</f>
        <v/>
      </c>
      <c r="HE55" s="272">
        <f>IF(HA55=0,0,HC55/HA55)</f>
        <v/>
      </c>
      <c r="HF55" s="272" t="n"/>
      <c r="HG55" s="270">
        <f>DG55-GA55</f>
        <v/>
      </c>
      <c r="HH55" s="544" t="n">
        <v>0</v>
      </c>
      <c r="HI55" s="538">
        <f>MIN(HH55,DE55)</f>
        <v/>
      </c>
      <c r="HK55" s="137">
        <f>IF(COUNTIF($C$10:$C$406,HK54+1),HK54+1,"")</f>
        <v/>
      </c>
      <c r="HL55" s="538">
        <f>SUMIF($C$10:$C$406,HK55,$DG$10:$DG$406)</f>
        <v/>
      </c>
      <c r="HN55" s="521">
        <f>MIN(HO55:HS55)</f>
        <v/>
      </c>
      <c r="HO55" s="521">
        <f>IF(B55="","",$M55)</f>
        <v/>
      </c>
      <c r="HP55" s="521">
        <f>IF($N55="Yes",IF(P55&gt;=6,0,MIN($T55*$M55,$U55*$M55)),"")</f>
        <v/>
      </c>
      <c r="HQ55" s="521">
        <f>IF(AND(N55="Yes",P55&gt;=6),"",IF($S55="Yes",$R55*$M55,""))</f>
        <v/>
      </c>
      <c r="HR55" s="521">
        <f>IF($Q55="Yes",MIN($M55,$T55*$M55),"")</f>
        <v/>
      </c>
      <c r="HS55" s="521">
        <f>IF(AND($N55="Yes",$P55&gt;=6),"",IF(OR(CY55=1,DC55=1,),MIN($T55*$M55,$U55*$M55),IF(OR(CZ55=1,DA55=1,DB55=1),IF(AK55&gt;=5000000,MIN($T55*$M55,$IE55*$M55),MIN($T55*$M55,$U55*$M55)),"")))</f>
        <v/>
      </c>
      <c r="HT55" s="521">
        <f>IF(DD55&gt;0,DD55,"")</f>
        <v/>
      </c>
      <c r="HU55" s="522">
        <f>IF(B55="",0,$L55-$M55)</f>
        <v/>
      </c>
      <c r="HV55" s="274">
        <f>IF(OR(SUM(HP55:HT55)&gt;0,P55&gt;=6),"",IF($B55="","",1))</f>
        <v/>
      </c>
      <c r="HW55" s="522">
        <f>IF(AND($HT55&lt;&gt;0,OR(HT55&lt;=MIN(HP55:HS55),SUM(HP55:HS55)=0)),$HT55,0)</f>
        <v/>
      </c>
      <c r="HX55" s="522">
        <f>IF(AND($HS55&lt;&gt;0,OR(AND($HS55&lt;&gt;$HT55,$HS55&lt;&gt;$HR55,$HS55&lt;&gt;$HQ55,$HS55&lt;&gt;$HP55,$HS55&lt;MIN($HP55:$HR55),$HS55&lt;HT55),SUM($HP55:$HR55)+SUM(HT55)=0),IA55&lt;=0),$HS55,0)</f>
        <v/>
      </c>
      <c r="HY55" s="522">
        <f>IF(AND($HR55&lt;&gt;0,OR(AND($HR55&lt;&gt;$HT55,$HR55&lt;&gt;$HS55,$HR55&lt;&gt;$HQ55,$HR55&lt;&gt;$HP55),$HR55&lt;MIN($HP55:$HQ55),$HR55&lt;MIN($HS55:$HT55),SUM($HP55:$HQ55)+SUM($HS55:$HT55)=0)),$HR55,0)</f>
        <v/>
      </c>
      <c r="HZ55" s="522">
        <f>IF(AND($HQ55&lt;&gt;0,OR(AND($HQ55&lt;&gt;$HT55,HQ55&lt;&gt;HS55,HQ55&lt;&gt;HR55,HQ55&lt;&gt;HP55,HQ55&lt;MIN(HR55:HT55)),SUM(HP55)+SUM(HR55:HT55)=0)),$HQ55,0)</f>
        <v/>
      </c>
      <c r="IA55" s="522">
        <f>IF(AND($HP55&lt;&gt;0,OR(HP55&lt;=MIN(HQ55:HT55),SUM(HQ55:HT55)=0)),$HP55,0)</f>
        <v/>
      </c>
      <c r="IB55" s="545" t="n">
        <v>46</v>
      </c>
      <c r="IC55">
        <f>HU55=DF55</f>
        <v/>
      </c>
      <c r="IE55" s="351">
        <f>IF(B55="","",IF(AND(Y55="Second Lien",OR(CZ55=1,DA55=1,DB55=1)),50%,IF(CZ55=1,90%,IF(DA55=1,80%,IF(DB55=1,65%,"No Initial Haircut")))))</f>
        <v/>
      </c>
    </row>
    <row r="56">
      <c r="A56">
        <f>D56</f>
        <v/>
      </c>
      <c r="B56" s="242">
        <f>IF(D56="","",B55+1)</f>
        <v/>
      </c>
      <c r="C56" s="242">
        <f>IF(COUNTIF($A$10:A55,A56)&gt;0,C55,C55+1)</f>
        <v/>
      </c>
      <c r="D56" s="243" t="inlineStr">
        <is>
          <t>Glenridge Holdings, LLC</t>
        </is>
      </c>
      <c r="E56" s="243" t="inlineStr">
        <is>
          <t>Glenridge (TLB)</t>
        </is>
      </c>
      <c r="F56" s="244" t="n"/>
      <c r="G56" s="528" t="n">
        <v>3073360.02</v>
      </c>
      <c r="H56" s="528" t="n">
        <v>3073360.02</v>
      </c>
      <c r="I56" s="246" t="n">
        <v>1</v>
      </c>
      <c r="J56" s="529">
        <f>IF(B56="","",G56*I56)</f>
        <v/>
      </c>
      <c r="K56" s="529">
        <f>IF(B56="","",H56*I56)</f>
        <v/>
      </c>
      <c r="L56" s="529">
        <f>IF(B56="","",IF(COUNTIF($CE56:$CX56,1)&gt;0,0,J56))</f>
        <v/>
      </c>
      <c r="M56" s="529">
        <f>IF(B56="","",IF(COUNTIF($CE56:$CX56,1)&gt;0,0,K56))</f>
        <v/>
      </c>
      <c r="N56" s="248" t="inlineStr">
        <is>
          <t>No</t>
        </is>
      </c>
      <c r="O56" s="248" t="inlineStr">
        <is>
          <t>N/A</t>
        </is>
      </c>
      <c r="P56" s="249">
        <f>IF(B56="","",IF(OR(O56="N/A",O56=""),0,YEARFRAC('Borrowing Base'!$J$4,'Loan List'!O56)*12))</f>
        <v/>
      </c>
      <c r="Q56" s="248" t="inlineStr">
        <is>
          <t>No</t>
        </is>
      </c>
      <c r="R56" s="250" t="n">
        <v>1</v>
      </c>
      <c r="S56" s="251">
        <f>IF(B56="","",IF(R56&lt;95%,"Yes","No"))</f>
        <v/>
      </c>
      <c r="T56" s="250" t="n">
        <v>0.9900000000650754</v>
      </c>
      <c r="U56" s="252">
        <f>IF(B56="","",IF(OR(Y56="First Lien",Y56="Split First Lien",Y56="Tier 1 Split Lien",Y56="Tier 2 Split Lien"),50%,30%))</f>
        <v/>
      </c>
      <c r="V56" s="252">
        <f>IF(B56="",0,IF(AND(Y56="First Lien",AN56="Tier 1"),IF(AND(X56="Yes",MIN(AH56,$AJ$5)&gt;4.5),(((4.5/MIN(AH56,$AJ$5))*72.5%)+(((MIN(AH56,$AJ$5)-4.5)/MIN(AH56,$AJ$5))*35%)),72.5%),IF(AND(Y56="First Lien",AN56="Tier 2"),IF(AND(X56="Yes",MIN(AH56,$AK$5)&gt;4.5),(((4.5/MIN(AH56,$AK$5))*72.5%)+(((MIN(AH56,$AK$5)-4.5)/MIN(AH56,$AK$5))*35%)),72.5%),IF(AND(X56="Yes",MIN(AH56,$AL$5)&gt;4),(((4/MIN(AH56,$AL$5))*72.5%)+(((MIN(AH56,$AL$5)-4)/MIN(AH56,$AL$5))*35%)),IF(OR(Y56="First Lien",Y56="Split First Lien"),72.5%,IF(Y56="Split Lien", 53%,35%))))))</f>
        <v/>
      </c>
      <c r="W56" s="530">
        <f>IF($C56="","",MIN($HO56:$HS56))</f>
        <v/>
      </c>
      <c r="X56" s="248" t="inlineStr">
        <is>
          <t>No</t>
        </is>
      </c>
      <c r="Y56" s="254" t="inlineStr">
        <is>
          <t>First Lien</t>
        </is>
      </c>
      <c r="Z56" s="254" t="inlineStr">
        <is>
          <t>Term</t>
        </is>
      </c>
      <c r="AA56" s="531" t="inlineStr">
        <is>
          <t>NR</t>
        </is>
      </c>
      <c r="AB56" s="531" t="inlineStr">
        <is>
          <t xml:space="preserve"> NR</t>
        </is>
      </c>
      <c r="AC56" s="532" t="n">
        <v>1.7</v>
      </c>
      <c r="AD56" s="532" t="n">
        <v>7.577639751552795</v>
      </c>
      <c r="AE56" s="532" t="n">
        <v>6.371582108821372</v>
      </c>
      <c r="AF56" s="257" t="n">
        <v>0.458</v>
      </c>
      <c r="AG56" s="533" t="n">
        <v>6.02</v>
      </c>
      <c r="AH56" s="533" t="n">
        <v>6.02</v>
      </c>
      <c r="AI56" s="533" t="n">
        <v>4.918379184030153</v>
      </c>
      <c r="AJ56" s="533" t="n">
        <v>4.918379184030153</v>
      </c>
      <c r="AK56" s="534" t="n">
        <v>16100000</v>
      </c>
      <c r="AL56" s="534" t="n">
        <v>36502035.86510184</v>
      </c>
      <c r="AM56" s="276" t="n">
        <v>45808</v>
      </c>
      <c r="AN56" s="529">
        <f>IF(C56="","",(IF(AK56&gt;=50000000,"Tier 1",(IF(OR(AK56&gt;=20000000,AND(AK56&gt;5000000,AC56&gt;=1.25,AF56&lt;=0.65)),"Tier 2","Tier 3")))))</f>
        <v/>
      </c>
      <c r="AO56" s="244" t="n">
        <v>46959</v>
      </c>
      <c r="AP56" s="535" t="n">
        <v>2.986111111111111</v>
      </c>
      <c r="AQ56" s="535">
        <f>IF(C56="","",AP56)</f>
        <v/>
      </c>
      <c r="AR56" s="248" t="inlineStr">
        <is>
          <t>No</t>
        </is>
      </c>
      <c r="AS56" s="250" t="n">
        <v>0</v>
      </c>
      <c r="AT56" s="248" t="inlineStr">
        <is>
          <t>Yes</t>
        </is>
      </c>
      <c r="AU56" s="250" t="n">
        <v>0.01</v>
      </c>
      <c r="AV56" s="250" t="n">
        <v>0.0475</v>
      </c>
      <c r="AW56" s="250" t="n">
        <v>0.04295600000000001</v>
      </c>
      <c r="AX56" s="262">
        <f>IF(C56="","",MAX(AU56,AW56))</f>
        <v/>
      </c>
      <c r="AY56" s="250" t="n">
        <v>0</v>
      </c>
      <c r="AZ56" s="250" t="n">
        <v>0</v>
      </c>
      <c r="BA56" s="250" t="n">
        <v>0</v>
      </c>
      <c r="BB56" s="412">
        <f>IF(B56="","",IF(AR56="No",AV56-AZ56,""))</f>
        <v/>
      </c>
      <c r="BC56" s="412">
        <f>IF(B56="","",IF(AR56="Yes",AS56-BA56,""))</f>
        <v/>
      </c>
      <c r="BD56" s="254" t="inlineStr">
        <is>
          <t>Quarterly</t>
        </is>
      </c>
      <c r="BE56" s="536" t="inlineStr">
        <is>
          <t>Distributors</t>
        </is>
      </c>
      <c r="BF56" s="254" t="inlineStr">
        <is>
          <t>USD</t>
        </is>
      </c>
      <c r="BG56" s="254" t="inlineStr">
        <is>
          <t>United States</t>
        </is>
      </c>
      <c r="BH56" s="248" t="inlineStr">
        <is>
          <t>No</t>
        </is>
      </c>
      <c r="BI56" s="413">
        <f>IF(B56="","",IF(OR(AND(AZ56&gt;0,BB56&gt;=2.5%,BB56&lt;4%),AND(BA56&gt;0,BC56&gt;=6%,BC56&lt;8%)),"Yes","No"))</f>
        <v/>
      </c>
      <c r="BJ56" s="413">
        <f>IF(B56="","",IF(OR(AND(AZ56&gt;0,BB56&lt;2.5%),AND(BA56&gt;0,BC56&lt;6%)),"Yes","No"))</f>
        <v/>
      </c>
      <c r="BK56" s="248" t="inlineStr">
        <is>
          <t>No</t>
        </is>
      </c>
      <c r="BL56" s="248" t="inlineStr">
        <is>
          <t>No</t>
        </is>
      </c>
      <c r="BM56" s="248" t="inlineStr">
        <is>
          <t>No</t>
        </is>
      </c>
      <c r="BN56" s="248" t="inlineStr">
        <is>
          <t>No</t>
        </is>
      </c>
      <c r="BO56" s="248" t="inlineStr">
        <is>
          <t>No</t>
        </is>
      </c>
      <c r="BP56" s="248" t="inlineStr">
        <is>
          <t>No</t>
        </is>
      </c>
      <c r="BQ56" s="248" t="inlineStr">
        <is>
          <t>No</t>
        </is>
      </c>
      <c r="BR56" s="248" t="inlineStr">
        <is>
          <t>No</t>
        </is>
      </c>
      <c r="BS56" s="248" t="inlineStr">
        <is>
          <t>No</t>
        </is>
      </c>
      <c r="BT56" s="248" t="inlineStr">
        <is>
          <t>No</t>
        </is>
      </c>
      <c r="BU56" s="248" t="inlineStr">
        <is>
          <t>No</t>
        </is>
      </c>
      <c r="BV56" s="248" t="inlineStr">
        <is>
          <t>No</t>
        </is>
      </c>
      <c r="BW56" s="248" t="inlineStr">
        <is>
          <t>No</t>
        </is>
      </c>
      <c r="BX56" s="248" t="inlineStr">
        <is>
          <t>No</t>
        </is>
      </c>
      <c r="BY56" s="248" t="inlineStr">
        <is>
          <t>No</t>
        </is>
      </c>
      <c r="BZ56" s="248" t="inlineStr">
        <is>
          <t>No</t>
        </is>
      </c>
      <c r="CA56" s="248" t="inlineStr">
        <is>
          <t>Yes</t>
        </is>
      </c>
      <c r="CB56" s="537">
        <f>IF(B56="","",IF(AT56="No",((BB56+AW56)-$AZ$4),((BB56+AX56)-$AZ$4))*IF(DD56&gt;0,0,M56))</f>
        <v/>
      </c>
      <c r="CC56" s="537">
        <f>IF(B56="","",AY56*(L56-M56)*IF(DD56&gt;0,0,1))</f>
        <v/>
      </c>
      <c r="CD56" s="265" t="n"/>
      <c r="CE56" s="265">
        <f>IF(AND(B56&lt;&gt;"",R56&lt;=85%),1,0)</f>
        <v/>
      </c>
      <c r="CF56" s="265">
        <f>IF(B56="",0,(IF(OR(BF56="USD",BF56="CAD",BF56="GBP",BF56="AUD",BF56="EUR"),0,1)))</f>
        <v/>
      </c>
      <c r="CG56" s="265">
        <f>IF(B56="",0,(IF(OR(BG56="United States",BG56="Canada",BG56="United Kingdom",BG56="Australia",BG56="Netherlands Antilles",BG56="Bermuda",BG56="Cayman Islands",BG56="British Virgin Islands",BG56="Channel Islands",BG56="Isle of Man",BG56="Australia",BG56="Netherlands",BG56="Germany",BG56="Sweden",BG56="Switzerland",BG56="Austria",BG56="Belgium",BG56="Denmark",BG56="Finland",BG56="Iceland",BG56="Ireland",BG56="Lichtenstein",BG56="Luxemborg",BG56="Norway"),0,1)))</f>
        <v/>
      </c>
      <c r="CH56" s="265">
        <f>IF(BN56="Yes",1,0)</f>
        <v/>
      </c>
      <c r="CI56" s="265">
        <f>IF(BO56="Yes",1,0)</f>
        <v/>
      </c>
      <c r="CJ56" s="265">
        <f>IF(BP56="Yes",1,0)</f>
        <v/>
      </c>
      <c r="CK56" s="265">
        <f>IF(BQ56="Yes",1,0)</f>
        <v/>
      </c>
      <c r="CL56" s="265">
        <f>IF(BR56="Yes",1,0)</f>
        <v/>
      </c>
      <c r="CM56" s="265">
        <f>IF(BS56="Yes",1,0)</f>
        <v/>
      </c>
      <c r="CN56" s="265">
        <f>IF(OR(AND(BJ56="Yes",N56="No"),AND(BJ56="Yes",N56="Yes",P56&gt;=6)),1,0)</f>
        <v/>
      </c>
      <c r="CO56" s="265">
        <f>IF(BT56="Yes",1,0)</f>
        <v/>
      </c>
      <c r="CP56" s="265">
        <f>IF(AND(BU56="Yes",BV56="No"),1,0)</f>
        <v/>
      </c>
      <c r="CQ56" s="265">
        <f>IF(BW56="Yes",1,0)</f>
        <v/>
      </c>
      <c r="CR56" s="265">
        <f>IF(AP56="",0,IF(AP56&gt;7,1,0))</f>
        <v/>
      </c>
      <c r="CS56" s="265">
        <f>IF(OR(BD56&lt;&gt;"Monthly",BD56&lt;&gt;"Quarterly",BD56&lt;&gt;"Semi-Annually"),0,1)</f>
        <v/>
      </c>
      <c r="CT56" s="265">
        <f>IF(BX56="Yes",1,0)</f>
        <v/>
      </c>
      <c r="CU56" s="265">
        <f>IF(BY56="Yes",1,0)</f>
        <v/>
      </c>
      <c r="CV56" s="265">
        <f>IF(BZ56="Yes",1,0)</f>
        <v/>
      </c>
      <c r="CW56" s="265">
        <f>IF(CA56="No",1,0)</f>
        <v/>
      </c>
      <c r="CX56" s="265">
        <f>IF(B56="",0,IF(AK56&gt;=5000000,0,1))</f>
        <v/>
      </c>
      <c r="CY56" s="265">
        <f>IF(B56="",0,IF(AL56&gt;=5000000,0,1))</f>
        <v/>
      </c>
      <c r="CZ56" s="265">
        <f>IF(OR(DA56=1,DB56=1,DC56=1),0,IF(B56="",0,IF(OR(AND(AN56="Tier 1",X56="No",OR(AI56&gt;$AJ$3,AJ56&gt;$AJ$4)),(AND(AN56="Tier 1",X56="Yes",AJ56&gt;$AJ$5)),(AND(AN56="Tier 2",X56="No",OR(AI56&gt;$AK$3,AJ56&gt;$AK$4))),(AND(AN56="Tier 2",X56="Yes",AJ56&gt;$AK$5)),(AND(AN56="Tier 3",X56="No",OR(AI56&gt;$AL$3,AJ56&gt;$AL$4))),(AND(AN56="Tier 3",X56="Yes",AJ56&gt;$AL$5))),1,0)))</f>
        <v/>
      </c>
      <c r="DA56" s="265">
        <f>IF(OR(DB56=1,DC56=1),0,IF(B56="",0,IF(OR(AND(AN56="Tier 1",X56="No",OR(AI56&gt;$AM$3,AJ56&gt;$AM$4)),(AND(AN56="Tier 1",X56="Yes",AJ56&gt;$AM$5)),(AND(AN56="Tier 2",X56="No",OR(AI56&gt;$AN$3,AJ56&gt;$AN$4))),(AND(AN56="Tier 2",X56="Yes",AJ56&gt;$AN$5)),(AND(AN56="Tier 3",X56="No",OR(AI56&gt;$AO$3,AJ56&gt;$AO$4))),(AND(AN56="Tier 3",X56="Yes",AJ56&gt;$AO$5))),1,0)))</f>
        <v/>
      </c>
      <c r="DB56" s="265">
        <f>IF(DC56=1,0,IF(B56="",0,IF(OR(AND(AN56="Tier 1",X56="No",OR(AI56&gt;$AP$3,AJ56&gt;$AP$4)),(AND(AN56="Tier 1",X56="Yes",AJ56&gt;$AP$5)),(AND(AN56="Tier 2",X56="No",OR(AI56&gt;$AQ$3,AJ56&gt;$AQ$4))),(AND(AN56="Tier 2",X56="Yes",AJ56&gt;$AQ$5)),(AND(AN56="Tier 3",X56="No",OR(AI56&gt;$AR$3,AJ56&gt;$AR$4))),(AND(AN56="Tier 3",X56="Yes",AJ56&gt;$AR$5))),1,0)))</f>
        <v/>
      </c>
      <c r="DC56" s="265">
        <f>IF(B56="",0,IF(OR(AND(AN56="Tier 1",X56="No",OR(AI56&gt;$AS$3,AJ56&gt;$AS$4)),(AND(AN56="Tier 1",X56="Yes",AJ56&gt;$AS$5)),(AND(AN56="Tier 2",X56="No",OR(AI56&gt;$AT$3,AJ56&gt;$AT$4))),(AND(AN56="Tier 2",X56="Yes",AJ56&gt;$AT$5)),(AND(AN56="Tier 3",X56="No",OR(AI56&gt;$AU$3,AJ56&gt;$AU$4))),(AND(AN56="Tier 3",X56="Yes",AJ56&gt;$AU$5))),1,0))</f>
        <v/>
      </c>
      <c r="DD56" s="265">
        <f>IF((SUM(CE56:CX56)=0),0,W56)</f>
        <v/>
      </c>
      <c r="DE56" s="265">
        <f>IF(OR(B56="",DD56&gt;0),0,W56)</f>
        <v/>
      </c>
      <c r="DF56" s="265">
        <f>IF(B56="",0,IF(COUNTIF(CE56:CX56,1)&gt;0,0,L56-M56))</f>
        <v/>
      </c>
      <c r="DG56" s="265">
        <f>DE56+IF(DD56&gt;0,0,DF56)</f>
        <v/>
      </c>
      <c r="DH56" s="265">
        <f>IF(B56="","",M56+DF56)</f>
        <v/>
      </c>
      <c r="DI56" s="265">
        <f>IF(B56="",0,J56-K56)</f>
        <v/>
      </c>
      <c r="DJ56" s="265">
        <f>IF(OR(BF56="EUR",BF56="CAD",BF56="GBP",BF56="AUD"),(GA56*(1-V56))+(HG56)+IF(HX56="",0,HX56*(1-U56)),0)</f>
        <v/>
      </c>
      <c r="DK56" s="265">
        <f>IF(BF56="EUR",33%,IF(BF56="CAD",38%,IF(BF56="GBP",51%,IF(BF56="AUD",61%,0))))</f>
        <v/>
      </c>
      <c r="DL56" s="265">
        <f>DJ56*DK56</f>
        <v/>
      </c>
      <c r="DN56" s="538">
        <f>IF(OR(Y56="Second Lien",Y56="Tier 1 Split Lien",Y56="Tier 2 Split Lien"),DG56,0)</f>
        <v/>
      </c>
      <c r="DO56" s="539">
        <f>DN56*DN$6</f>
        <v/>
      </c>
      <c r="DP56" s="538">
        <f>DG56-DO56</f>
        <v/>
      </c>
      <c r="DQ56" s="538">
        <f>IF(Y56="Second Lien",DP56,0)</f>
        <v/>
      </c>
      <c r="DR56" s="539">
        <f>DQ56*DQ$6</f>
        <v/>
      </c>
      <c r="DS56" s="538">
        <f>DP56-DR56</f>
        <v/>
      </c>
      <c r="DT56" s="538">
        <f>IF(BH56="Yes",DS56,0)</f>
        <v/>
      </c>
      <c r="DU56" s="539">
        <f>DT56*DT$6</f>
        <v/>
      </c>
      <c r="DV56" s="538">
        <f>DS56-DU56</f>
        <v/>
      </c>
      <c r="DW56" s="538">
        <f>IF(OR(BG56="Canada",BG56="United Kingdom",BG56="Australia",BG56="Netherlands Antilles",BG56="Bermuda",BG56="Cayman Islands",BG56="British Virgin Islands",BG56="Channel Islands",BG56="Isle of Man",BG56="Australia",BG56="Netherlands",BG56="Germany",BG56="Sweden",BG56="Switzerland",BG56="Austria",BG56="Belgium",BG56="Denmark",BG56="Finland",BG56="Iceland",BG56="Ireland",BG56="Lichtenstein",BG56="Luxemborg",BG56="Norway"),DV56,0)</f>
        <v/>
      </c>
      <c r="DX56" s="539">
        <f>DW56*DW$6</f>
        <v/>
      </c>
      <c r="DY56" s="538">
        <f>DV56-DX56</f>
        <v/>
      </c>
      <c r="DZ56" s="538">
        <f>IF(BI56="Yes",DY56,0)</f>
        <v/>
      </c>
      <c r="EA56" s="539">
        <f>DZ56*DZ$6</f>
        <v/>
      </c>
      <c r="EB56" s="538">
        <f>DY56-EA56</f>
        <v/>
      </c>
      <c r="EC56" s="538">
        <f>IF(OR(Z56="Delayed Draw",Z56="Revolver"),EB56,0)</f>
        <v/>
      </c>
      <c r="ED56" s="539">
        <f>EC56*EC$6</f>
        <v/>
      </c>
      <c r="EE56" s="538">
        <f>EB56-ED56</f>
        <v/>
      </c>
      <c r="EF56" s="538">
        <f>IF(S56="Yes",EE56,0)</f>
        <v/>
      </c>
      <c r="EG56" s="539">
        <f>EF56*EF$6</f>
        <v/>
      </c>
      <c r="EH56" s="538">
        <f>EE56-EG56</f>
        <v/>
      </c>
      <c r="EI56" s="538">
        <f>IF(Q56="Yes",EH56,0)</f>
        <v/>
      </c>
      <c r="EJ56" s="539">
        <f>EI56*EI$6</f>
        <v/>
      </c>
      <c r="EK56" s="538">
        <f>EH56-EJ56</f>
        <v/>
      </c>
      <c r="EL56" s="538">
        <f>IF(BD56="Semi-Annually",EK56,0)</f>
        <v/>
      </c>
      <c r="EM56" s="539">
        <f>EL56*EL$6</f>
        <v/>
      </c>
      <c r="EN56" s="538">
        <f>EK56-EM56</f>
        <v/>
      </c>
      <c r="EO56" s="538">
        <f>IF(BK56="Yes",EN56,0)</f>
        <v/>
      </c>
      <c r="EP56" s="539">
        <f>EO56*EO$6</f>
        <v/>
      </c>
      <c r="EQ56" s="538">
        <f>EN56-EP56</f>
        <v/>
      </c>
      <c r="ER56" s="538">
        <f>IF(BL56="Yes",EQ56,0)</f>
        <v/>
      </c>
      <c r="ES56" s="539">
        <f>ER56*ER$6</f>
        <v/>
      </c>
      <c r="ET56" s="538">
        <f>EQ56-ES56</f>
        <v/>
      </c>
      <c r="EU56" s="538">
        <f>IF(BM56="Yes",ET56,0)</f>
        <v/>
      </c>
      <c r="EV56" s="539">
        <f>EU56*EU$6</f>
        <v/>
      </c>
      <c r="EW56" s="538">
        <f>ET56-EV56</f>
        <v/>
      </c>
      <c r="EX56" s="538">
        <f>IF(BV56="Yes",EW56,0)</f>
        <v/>
      </c>
      <c r="EY56" s="539">
        <f>EX56*EX$6</f>
        <v/>
      </c>
      <c r="EZ56" s="538">
        <f>EW56-EY56</f>
        <v/>
      </c>
      <c r="FA56" s="538">
        <f>IF(AR56="Yes",EZ56,0)</f>
        <v/>
      </c>
      <c r="FB56" s="539">
        <f>FA56*FA$6</f>
        <v/>
      </c>
      <c r="FC56" s="538">
        <f>EZ56-FB56</f>
        <v/>
      </c>
      <c r="FD56" s="538">
        <f>IF(OR(BF56="EUR",BF56="AUD",BF56="CAD",BF56="GBP"),FC56,0)</f>
        <v/>
      </c>
      <c r="FE56" s="539">
        <f>FD56*FD$6</f>
        <v/>
      </c>
      <c r="FF56" s="538">
        <f>FC56-FE56</f>
        <v/>
      </c>
      <c r="FG56" s="538">
        <f>FF56</f>
        <v/>
      </c>
      <c r="FH56" s="538">
        <f>IF(FF56=0,0,VLOOKUP(C56,$GU$10:$GV$406,2,FALSE)*FF56)</f>
        <v/>
      </c>
      <c r="FI56" s="538">
        <f>FF56-FH56</f>
        <v/>
      </c>
      <c r="FJ56" s="538">
        <f>FI56</f>
        <v/>
      </c>
      <c r="FK56" s="538">
        <f>IF(OR(IB56="",FI56&lt;0.01),,VLOOKUP(IB56,$GL$10:$GM$406,2,FALSE)*FI56)</f>
        <v/>
      </c>
      <c r="FL56" s="538">
        <f>FI56-FK56</f>
        <v/>
      </c>
      <c r="FM56" s="538">
        <f>FL56</f>
        <v/>
      </c>
      <c r="FN56" s="538">
        <f>IF(FL56=0,0,VLOOKUP(C56,$HD$10:$HE$406,2,FALSE)*FL56)</f>
        <v/>
      </c>
      <c r="FO56" s="538">
        <f>FL56-FN56</f>
        <v/>
      </c>
      <c r="FP56" s="538">
        <f>IF(SUM(CY56:DC56)&gt;0,0,IF(AND(AL56&gt;=5000000,AL56&lt;7500000),FO56,0))</f>
        <v/>
      </c>
      <c r="FQ56" s="539">
        <f>IF(B56="",0,FP56*FP$6*(1-$U56))</f>
        <v/>
      </c>
      <c r="FR56" s="538">
        <f>FO56-FQ56</f>
        <v/>
      </c>
      <c r="FS56" s="538">
        <f>IF(SUM(CY56:DC56)&gt;0,0,IF(AL56&lt;15000000,FR56,0))</f>
        <v/>
      </c>
      <c r="FT56" s="539">
        <f>IF(B56="",0,FS56*FS$6*(1-$U56))</f>
        <v/>
      </c>
      <c r="FU56" s="538">
        <f>FR56-FT56</f>
        <v/>
      </c>
      <c r="FV56" s="538">
        <f>IF(SUM(CY56:DC56)&gt;0,0,IF(OR(AND(X56="No",AN56="Tier 1",AI56&gt;$AG$3),AND(X56="No",AN56="Tier 2",AI56&gt;$AH$3),AND(X56="No",AN56="Tier 3",AI56&gt;$AI$3)),FU56,0))</f>
        <v/>
      </c>
      <c r="FW56" s="538">
        <f>IF(SUM(CY56:DC56)&gt;0,0,IF(OR(AND(X56="No",AN56="Tier 1",AJ56&gt;$AG$4),AND(X56="No",AN56="Tier 2",AJ56&gt;$AH$4),AND(X56="No",AN56="Tier 3",AJ56&gt;$AI$4)),FU56,0))</f>
        <v/>
      </c>
      <c r="FX56" s="538">
        <f>IF(SUM(CY56:DC56)&gt;0,0,IF(OR(AND(X56="Yes",AN56="Tier 1",AJ56&gt;$AG$5),AND(X56="Yes",AN56="Tier 2",AJ56&gt;$AH$5),AND(X56="Yes",AN56="Tier 3",AJ56&gt;$AI$5)),FU56,0))</f>
        <v/>
      </c>
      <c r="FY56" s="538">
        <f>IF(SUM(FV56:FX56)&gt;0,FU56,0)</f>
        <v/>
      </c>
      <c r="FZ56" s="539">
        <f>IF(B56="",0,FY56*FV$6*(1-MIN(90%,T56)))</f>
        <v/>
      </c>
      <c r="GA56" s="538">
        <f>FU56-FZ56</f>
        <v/>
      </c>
      <c r="GB56" s="538">
        <f>IF(AND(N56="No",DI56=0),GA56,IF(AND(N56="No",DI56&lt;&gt;0,K56=0),0,IF(AND(N56="No",DI56&lt;&gt;0,K56&gt;0,J56&lt;&gt;K56),MAX(0,M56-(DH56-GA56)),DG56)))</f>
        <v/>
      </c>
      <c r="GC56" s="540">
        <f>+GB56*V56</f>
        <v/>
      </c>
      <c r="GD56" s="138">
        <f>IFERROR(GC56/K56,"")</f>
        <v/>
      </c>
      <c r="GE56" s="541">
        <f>IF(IB56="","",IB56)</f>
        <v/>
      </c>
      <c r="GF56" s="538">
        <f t="array" ref="GF56">IF(SUM(IF(IB$9:IB55=IB56,1,0))&gt;0,0,SUMIF($IB$10:$IB$406,IB56,$FI$10:$FI$406))</f>
        <v/>
      </c>
      <c r="GG56" s="270">
        <f>GF56</f>
        <v/>
      </c>
      <c r="GH56" s="137">
        <f>GH55+1</f>
        <v/>
      </c>
      <c r="GI56" s="542">
        <f>LARGE($GG$10:$GG$406,GH56)</f>
        <v/>
      </c>
      <c r="GJ56" s="542">
        <f>IF(GH56&gt;GH$6,0,IF(GH56=$GH$2,$GJ$2,IF(GH56&lt;4,$GJ$3,$GJ$4)))</f>
        <v/>
      </c>
      <c r="GK56" s="489">
        <f>MAX(0,GI56-GJ56)</f>
        <v/>
      </c>
      <c r="GL56" s="137">
        <f t="array" ref="GL56">IF(GI56=0,0,LARGE(IF($GF$10:$GF$406=GI56,$GE$10:$GE$406,0),COUNTIF($GI$10:$GI$406,GI56)-COUNTIF(GI$9:GI55,GI56)))</f>
        <v/>
      </c>
      <c r="GM56" s="272">
        <f>IF(GI56=0,0,GK56/GI56)</f>
        <v/>
      </c>
      <c r="GO56" s="137">
        <f>IF(C56="","",IF(ISERROR(MATCH(C56,C$10:C55,0)),MAX(GO$10:GO55)+1,INDEX(GO$10:GO55,MATCH(C56,C$10:C55,0))))</f>
        <v/>
      </c>
      <c r="GP56" s="538">
        <f>IF(COUNTIF($A$10:A56,A56)&lt;=1,SUMIF($A$10:$A$406,A56,$FG$10:$FG$406),0)</f>
        <v/>
      </c>
      <c r="GQ56" s="137">
        <f>GQ55+1</f>
        <v/>
      </c>
      <c r="GR56" s="542">
        <f>LARGE($GP$10:$GP$406,GQ56)</f>
        <v/>
      </c>
      <c r="GS56" s="542">
        <f>IF(GQ56&gt;GQ$6,0,IF(GQ56&lt;=GQ$2,GS$2,IF(AND(GQ56&lt;=$GQ$3,GQ56&gt;$GQ$2),GS$3,GS$4)))</f>
        <v/>
      </c>
      <c r="GT56" s="489">
        <f>MAX(0,GR56-GS56)</f>
        <v/>
      </c>
      <c r="GU56" s="137">
        <f t="array" ref="GU56">IF(GR56=0,0,LARGE(IF($GP$10:$GP$406=GR56,$GO$10:$GO$406,0),COUNTIF($GR$10:$GR$406,GR56)-COUNTIF(GR$9:GR55,GR56)))</f>
        <v/>
      </c>
      <c r="GV56" s="272">
        <f>IF(GR56=0,0,GT56/GR56)</f>
        <v/>
      </c>
      <c r="GW56" s="272" t="n"/>
      <c r="GX56" s="137">
        <f>IF(C56="","",IF(ISERROR(MATCH(C56,C$10:C55,0)),MAX(GO$10:GO55)+1,INDEX(GO$10:GO55,MATCH(C56,C$10:C55,0))))</f>
        <v/>
      </c>
      <c r="GY56" s="538">
        <f>IF(COUNTIF($A$10:A56,A56)&lt;=1,SUMIF($A$10:$A$406,A56,$FG$10:$FG$406),0)</f>
        <v/>
      </c>
      <c r="GZ56" s="137">
        <f>GZ55+1</f>
        <v/>
      </c>
      <c r="HA56" s="542">
        <f>LARGE($GY$10:$GY$406,GZ56)</f>
        <v/>
      </c>
      <c r="HB56" s="543" t="inlineStr">
        <is>
          <t>-</t>
        </is>
      </c>
      <c r="HC56" s="489">
        <f>IF(GZ56&lt;6,MAX(0,$HC$2/5),0)</f>
        <v/>
      </c>
      <c r="HD56" s="137">
        <f t="array" ref="HD56">IF(HA56=0,0,LARGE(IF($GY$10:$GY$406=HA56,$GX$10:$GX$406,0),COUNTIF($HA$10:$HA$406,HA56)-COUNTIF(HA$9:HA55,HA56)))</f>
        <v/>
      </c>
      <c r="HE56" s="272">
        <f>IF(HA56=0,0,HC56/HA56)</f>
        <v/>
      </c>
      <c r="HF56" s="272" t="n"/>
      <c r="HG56" s="270">
        <f>DG56-GA56</f>
        <v/>
      </c>
      <c r="HH56" s="544" t="n">
        <v>0</v>
      </c>
      <c r="HI56" s="538">
        <f>MIN(HH56,DE56)</f>
        <v/>
      </c>
      <c r="HK56" s="137">
        <f>IF(COUNTIF($C$10:$C$406,HK55+1),HK55+1,"")</f>
        <v/>
      </c>
      <c r="HL56" s="538">
        <f>SUMIF($C$10:$C$406,HK56,$DG$10:$DG$406)</f>
        <v/>
      </c>
      <c r="HN56" s="521">
        <f>MIN(HO56:HS56)</f>
        <v/>
      </c>
      <c r="HO56" s="521">
        <f>IF(B56="","",$M56)</f>
        <v/>
      </c>
      <c r="HP56" s="521">
        <f>IF($N56="Yes",IF(P56&gt;=6,0,MIN($T56*$M56,$U56*$M56)),"")</f>
        <v/>
      </c>
      <c r="HQ56" s="521">
        <f>IF(AND(N56="Yes",P56&gt;=6),"",IF($S56="Yes",$R56*$M56,""))</f>
        <v/>
      </c>
      <c r="HR56" s="521">
        <f>IF($Q56="Yes",MIN($M56,$T56*$M56),"")</f>
        <v/>
      </c>
      <c r="HS56" s="521">
        <f>IF(AND($N56="Yes",$P56&gt;=6),"",IF(OR(CY56=1,DC56=1,),MIN($T56*$M56,$U56*$M56),IF(OR(CZ56=1,DA56=1,DB56=1),IF(AK56&gt;=5000000,MIN($T56*$M56,$IE56*$M56),MIN($T56*$M56,$U56*$M56)),"")))</f>
        <v/>
      </c>
      <c r="HT56" s="521">
        <f>IF(DD56&gt;0,DD56,"")</f>
        <v/>
      </c>
      <c r="HU56" s="522">
        <f>IF(B56="",0,$L56-$M56)</f>
        <v/>
      </c>
      <c r="HV56" s="274">
        <f>IF(OR(SUM(HP56:HT56)&gt;0,P56&gt;=6),"",IF($B56="","",1))</f>
        <v/>
      </c>
      <c r="HW56" s="522">
        <f>IF(AND($HT56&lt;&gt;0,OR(HT56&lt;=MIN(HP56:HS56),SUM(HP56:HS56)=0)),$HT56,0)</f>
        <v/>
      </c>
      <c r="HX56" s="522">
        <f>IF(AND($HS56&lt;&gt;0,OR(AND($HS56&lt;&gt;$HT56,$HS56&lt;&gt;$HR56,$HS56&lt;&gt;$HQ56,$HS56&lt;&gt;$HP56,$HS56&lt;MIN($HP56:$HR56),$HS56&lt;HT56),SUM($HP56:$HR56)+SUM(HT56)=0),IA56&lt;=0),$HS56,0)</f>
        <v/>
      </c>
      <c r="HY56" s="522">
        <f>IF(AND($HR56&lt;&gt;0,OR(AND($HR56&lt;&gt;$HT56,$HR56&lt;&gt;$HS56,$HR56&lt;&gt;$HQ56,$HR56&lt;&gt;$HP56),$HR56&lt;MIN($HP56:$HQ56),$HR56&lt;MIN($HS56:$HT56),SUM($HP56:$HQ56)+SUM($HS56:$HT56)=0)),$HR56,0)</f>
        <v/>
      </c>
      <c r="HZ56" s="522">
        <f>IF(AND($HQ56&lt;&gt;0,OR(AND($HQ56&lt;&gt;$HT56,HQ56&lt;&gt;HS56,HQ56&lt;&gt;HR56,HQ56&lt;&gt;HP56,HQ56&lt;MIN(HR56:HT56)),SUM(HP56)+SUM(HR56:HT56)=0)),$HQ56,0)</f>
        <v/>
      </c>
      <c r="IA56" s="522">
        <f>IF(AND($HP56&lt;&gt;0,OR(HP56&lt;=MIN(HQ56:HT56),SUM(HQ56:HT56)=0)),$HP56,0)</f>
        <v/>
      </c>
      <c r="IB56" s="545" t="n">
        <v>18</v>
      </c>
      <c r="IC56">
        <f>HU56=DF56</f>
        <v/>
      </c>
      <c r="IE56" s="351">
        <f>IF(B56="","",IF(AND(Y56="Second Lien",OR(CZ56=1,DA56=1,DB56=1)),50%,IF(CZ56=1,90%,IF(DA56=1,80%,IF(DB56=1,65%,"No Initial Haircut")))))</f>
        <v/>
      </c>
    </row>
    <row r="57">
      <c r="A57">
        <f>D57</f>
        <v/>
      </c>
      <c r="B57" s="242">
        <f>IF(D57="","",B56+1)</f>
        <v/>
      </c>
      <c r="C57" s="242">
        <f>IF(COUNTIF($A$10:A56,A57)&gt;0,C56,C56+1)</f>
        <v/>
      </c>
      <c r="D57" s="243" t="inlineStr">
        <is>
          <t>Hollowbrook Holdings, LLC</t>
        </is>
      </c>
      <c r="E57" s="243" t="inlineStr">
        <is>
          <t>Hollowbrook (Term Loan)</t>
        </is>
      </c>
      <c r="F57" s="244" t="n"/>
      <c r="G57" s="528" t="n">
        <v>9564481.369999999</v>
      </c>
      <c r="H57" s="528" t="n">
        <v>9564481.369999999</v>
      </c>
      <c r="I57" s="246" t="n">
        <v>1</v>
      </c>
      <c r="J57" s="529">
        <f>IF(B57="","",G57*I57)</f>
        <v/>
      </c>
      <c r="K57" s="529">
        <f>IF(B57="","",H57*I57)</f>
        <v/>
      </c>
      <c r="L57" s="529">
        <f>IF(B57="","",IF(COUNTIF($CE57:$CX57,1)&gt;0,0,J57))</f>
        <v/>
      </c>
      <c r="M57" s="529">
        <f>IF(B57="","",IF(COUNTIF($CE57:$CX57,1)&gt;0,0,K57))</f>
        <v/>
      </c>
      <c r="N57" s="248" t="inlineStr">
        <is>
          <t>No</t>
        </is>
      </c>
      <c r="O57" s="248" t="inlineStr">
        <is>
          <t>N/A</t>
        </is>
      </c>
      <c r="P57" s="249">
        <f>IF(B57="","",IF(OR(O57="N/A",O57=""),0,YEARFRAC('Borrowing Base'!$J$4,'Loan List'!O57)*12))</f>
        <v/>
      </c>
      <c r="Q57" s="248" t="inlineStr">
        <is>
          <t>No</t>
        </is>
      </c>
      <c r="R57" s="250" t="n">
        <v>0.9866543317303024</v>
      </c>
      <c r="S57" s="251">
        <f>IF(B57="","",IF(R57&lt;95%,"Yes","No"))</f>
        <v/>
      </c>
      <c r="T57" s="250" t="n">
        <v>1</v>
      </c>
      <c r="U57" s="252">
        <f>IF(B57="","",IF(OR(Y57="First Lien",Y57="Split First Lien",Y57="Tier 1 Split Lien",Y57="Tier 2 Split Lien"),50%,30%))</f>
        <v/>
      </c>
      <c r="V57" s="252">
        <f>IF(B57="",0,IF(AND(Y57="First Lien",AN57="Tier 1"),IF(AND(X57="Yes",MIN(AH57,$AJ$5)&gt;4.5),(((4.5/MIN(AH57,$AJ$5))*72.5%)+(((MIN(AH57,$AJ$5)-4.5)/MIN(AH57,$AJ$5))*35%)),72.5%),IF(AND(Y57="First Lien",AN57="Tier 2"),IF(AND(X57="Yes",MIN(AH57,$AK$5)&gt;4.5),(((4.5/MIN(AH57,$AK$5))*72.5%)+(((MIN(AH57,$AK$5)-4.5)/MIN(AH57,$AK$5))*35%)),72.5%),IF(AND(X57="Yes",MIN(AH57,$AL$5)&gt;4),(((4/MIN(AH57,$AL$5))*72.5%)+(((MIN(AH57,$AL$5)-4)/MIN(AH57,$AL$5))*35%)),IF(OR(Y57="First Lien",Y57="Split First Lien"),72.5%,IF(Y57="Split Lien", 53%,35%))))))</f>
        <v/>
      </c>
      <c r="W57" s="530">
        <f>IF($C57="","",MIN($HO57:$HS57))</f>
        <v/>
      </c>
      <c r="X57" s="248" t="inlineStr">
        <is>
          <t>Yes</t>
        </is>
      </c>
      <c r="Y57" s="254" t="inlineStr">
        <is>
          <t>First Lien</t>
        </is>
      </c>
      <c r="Z57" s="254" t="inlineStr">
        <is>
          <t>Term</t>
        </is>
      </c>
      <c r="AA57" s="531" t="inlineStr">
        <is>
          <t>NR</t>
        </is>
      </c>
      <c r="AB57" s="531" t="inlineStr">
        <is>
          <t xml:space="preserve"> NR</t>
        </is>
      </c>
      <c r="AC57" s="532" t="n">
        <v>1.25</v>
      </c>
      <c r="AD57" s="532" t="n">
        <v>4.977826047606118</v>
      </c>
      <c r="AE57" s="532" t="n">
        <v>4.37094152084771</v>
      </c>
      <c r="AF57" s="257" t="n">
        <v>0.4140007527286413</v>
      </c>
      <c r="AG57" s="533" t="n">
        <v>4.977826047606118</v>
      </c>
      <c r="AH57" s="533" t="n">
        <v>4.977826047606118</v>
      </c>
      <c r="AI57" s="533" t="n">
        <v>4.368468004498732</v>
      </c>
      <c r="AJ57" s="533" t="n">
        <v>4.37094152084771</v>
      </c>
      <c r="AK57" s="534" t="n">
        <v>11049000</v>
      </c>
      <c r="AL57" s="534" t="n">
        <v>27463736</v>
      </c>
      <c r="AM57" s="276" t="n">
        <v>45838</v>
      </c>
      <c r="AN57" s="529">
        <f>IF(C57="","",(IF(AK57&gt;=50000000,"Tier 1",(IF(OR(AK57&gt;=20000000,AND(AK57&gt;5000000,AC57&gt;=1.25,AF57&lt;=0.65)),"Tier 2","Tier 3")))))</f>
        <v/>
      </c>
      <c r="AO57" s="244" t="n">
        <v>46203</v>
      </c>
      <c r="AP57" s="535" t="n">
        <v>0.9166666666666666</v>
      </c>
      <c r="AQ57" s="535">
        <f>IF(C57="","",AP57)</f>
        <v/>
      </c>
      <c r="AR57" s="248" t="inlineStr">
        <is>
          <t>No</t>
        </is>
      </c>
      <c r="AS57" s="250" t="n">
        <v>0</v>
      </c>
      <c r="AT57" s="248" t="inlineStr">
        <is>
          <t>Yes</t>
        </is>
      </c>
      <c r="AU57" s="250" t="n">
        <v>0.01</v>
      </c>
      <c r="AV57" s="250" t="n">
        <v>0.059</v>
      </c>
      <c r="AW57" s="250" t="n">
        <v>0.04295600000000001</v>
      </c>
      <c r="AX57" s="262">
        <f>IF(C57="","",MAX(AU57,AW57))</f>
        <v/>
      </c>
      <c r="AY57" s="250" t="n">
        <v>0</v>
      </c>
      <c r="AZ57" s="250" t="n">
        <v>0</v>
      </c>
      <c r="BA57" s="250" t="n">
        <v>0</v>
      </c>
      <c r="BB57" s="412">
        <f>IF(B57="","",IF(AR57="No",AV57-AZ57,""))</f>
        <v/>
      </c>
      <c r="BC57" s="412">
        <f>IF(B57="","",IF(AR57="Yes",AS57-BA57,""))</f>
        <v/>
      </c>
      <c r="BD57" s="254" t="inlineStr">
        <is>
          <t>Quarterly</t>
        </is>
      </c>
      <c r="BE57" s="536" t="inlineStr">
        <is>
          <t>Media</t>
        </is>
      </c>
      <c r="BF57" s="254" t="inlineStr">
        <is>
          <t>USD</t>
        </is>
      </c>
      <c r="BG57" s="254" t="inlineStr">
        <is>
          <t>United States</t>
        </is>
      </c>
      <c r="BH57" s="248" t="inlineStr">
        <is>
          <t>No</t>
        </is>
      </c>
      <c r="BI57" s="413">
        <f>IF(B57="","",IF(OR(AND(AZ57&gt;0,BB57&gt;=2.5%,BB57&lt;4%),AND(BA57&gt;0,BC57&gt;=6%,BC57&lt;8%)),"Yes","No"))</f>
        <v/>
      </c>
      <c r="BJ57" s="413">
        <f>IF(B57="","",IF(OR(AND(AZ57&gt;0,BB57&lt;2.5%),AND(BA57&gt;0,BC57&lt;6%)),"Yes","No"))</f>
        <v/>
      </c>
      <c r="BK57" s="248" t="inlineStr">
        <is>
          <t>No</t>
        </is>
      </c>
      <c r="BL57" s="248" t="inlineStr">
        <is>
          <t>No</t>
        </is>
      </c>
      <c r="BM57" s="248" t="inlineStr">
        <is>
          <t>No</t>
        </is>
      </c>
      <c r="BN57" s="248" t="inlineStr">
        <is>
          <t>No</t>
        </is>
      </c>
      <c r="BO57" s="248" t="inlineStr">
        <is>
          <t>No</t>
        </is>
      </c>
      <c r="BP57" s="248" t="inlineStr">
        <is>
          <t>No</t>
        </is>
      </c>
      <c r="BQ57" s="248" t="inlineStr">
        <is>
          <t>No</t>
        </is>
      </c>
      <c r="BR57" s="248" t="inlineStr">
        <is>
          <t>No</t>
        </is>
      </c>
      <c r="BS57" s="248" t="inlineStr">
        <is>
          <t>No</t>
        </is>
      </c>
      <c r="BT57" s="248" t="inlineStr">
        <is>
          <t>No</t>
        </is>
      </c>
      <c r="BU57" s="248" t="inlineStr">
        <is>
          <t>No</t>
        </is>
      </c>
      <c r="BV57" s="248" t="inlineStr">
        <is>
          <t>No</t>
        </is>
      </c>
      <c r="BW57" s="248" t="inlineStr">
        <is>
          <t>No</t>
        </is>
      </c>
      <c r="BX57" s="248" t="inlineStr">
        <is>
          <t>No</t>
        </is>
      </c>
      <c r="BY57" s="248" t="inlineStr">
        <is>
          <t>No</t>
        </is>
      </c>
      <c r="BZ57" s="248" t="inlineStr">
        <is>
          <t>No</t>
        </is>
      </c>
      <c r="CA57" s="248" t="inlineStr">
        <is>
          <t>Yes</t>
        </is>
      </c>
      <c r="CB57" s="537">
        <f>IF(B57="","",IF(AT57="No",((BB57+AW57)-$AZ$4),((BB57+AX57)-$AZ$4))*IF(DD57&gt;0,0,M57))</f>
        <v/>
      </c>
      <c r="CC57" s="537">
        <f>IF(B57="","",AY57*(L57-M57)*IF(DD57&gt;0,0,1))</f>
        <v/>
      </c>
      <c r="CD57" s="265" t="n"/>
      <c r="CE57" s="265">
        <f>IF(AND(B57&lt;&gt;"",R57&lt;=85%),1,0)</f>
        <v/>
      </c>
      <c r="CF57" s="265">
        <f>IF(B57="",0,(IF(OR(BF57="USD",BF57="CAD",BF57="GBP",BF57="AUD",BF57="EUR"),0,1)))</f>
        <v/>
      </c>
      <c r="CG57" s="265">
        <f>IF(B57="",0,(IF(OR(BG57="United States",BG57="Canada",BG57="United Kingdom",BG57="Australia",BG57="Netherlands Antilles",BG57="Bermuda",BG57="Cayman Islands",BG57="British Virgin Islands",BG57="Channel Islands",BG57="Isle of Man",BG57="Australia",BG57="Netherlands",BG57="Germany",BG57="Sweden",BG57="Switzerland",BG57="Austria",BG57="Belgium",BG57="Denmark",BG57="Finland",BG57="Iceland",BG57="Ireland",BG57="Lichtenstein",BG57="Luxemborg",BG57="Norway"),0,1)))</f>
        <v/>
      </c>
      <c r="CH57" s="265">
        <f>IF(BN57="Yes",1,0)</f>
        <v/>
      </c>
      <c r="CI57" s="265">
        <f>IF(BO57="Yes",1,0)</f>
        <v/>
      </c>
      <c r="CJ57" s="265">
        <f>IF(BP57="Yes",1,0)</f>
        <v/>
      </c>
      <c r="CK57" s="265">
        <f>IF(BQ57="Yes",1,0)</f>
        <v/>
      </c>
      <c r="CL57" s="265">
        <f>IF(BR57="Yes",1,0)</f>
        <v/>
      </c>
      <c r="CM57" s="265">
        <f>IF(BS57="Yes",1,0)</f>
        <v/>
      </c>
      <c r="CN57" s="265">
        <f>IF(OR(AND(BJ57="Yes",N57="No"),AND(BJ57="Yes",N57="Yes",P57&gt;=6)),1,0)</f>
        <v/>
      </c>
      <c r="CO57" s="265">
        <f>IF(BT57="Yes",1,0)</f>
        <v/>
      </c>
      <c r="CP57" s="265">
        <f>IF(AND(BU57="Yes",BV57="No"),1,0)</f>
        <v/>
      </c>
      <c r="CQ57" s="265">
        <f>IF(BW57="Yes",1,0)</f>
        <v/>
      </c>
      <c r="CR57" s="265">
        <f>IF(AP57="",0,IF(AP57&gt;7,1,0))</f>
        <v/>
      </c>
      <c r="CS57" s="265">
        <f>IF(OR(BD57&lt;&gt;"Monthly",BD57&lt;&gt;"Quarterly",BD57&lt;&gt;"Semi-Annually"),0,1)</f>
        <v/>
      </c>
      <c r="CT57" s="265">
        <f>IF(BX57="Yes",1,0)</f>
        <v/>
      </c>
      <c r="CU57" s="265">
        <f>IF(BY57="Yes",1,0)</f>
        <v/>
      </c>
      <c r="CV57" s="265">
        <f>IF(BZ57="Yes",1,0)</f>
        <v/>
      </c>
      <c r="CW57" s="265">
        <f>IF(CA57="No",1,0)</f>
        <v/>
      </c>
      <c r="CX57" s="265">
        <f>IF(B57="",0,IF(AK57&gt;=5000000,0,1))</f>
        <v/>
      </c>
      <c r="CY57" s="265">
        <f>IF(B57="",0,IF(AL57&gt;=5000000,0,1))</f>
        <v/>
      </c>
      <c r="CZ57" s="265">
        <f>IF(OR(DA57=1,DB57=1,DC57=1),0,IF(B57="",0,IF(OR(AND(AN57="Tier 1",X57="No",OR(AI57&gt;$AJ$3,AJ57&gt;$AJ$4)),(AND(AN57="Tier 1",X57="Yes",AJ57&gt;$AJ$5)),(AND(AN57="Tier 2",X57="No",OR(AI57&gt;$AK$3,AJ57&gt;$AK$4))),(AND(AN57="Tier 2",X57="Yes",AJ57&gt;$AK$5)),(AND(AN57="Tier 3",X57="No",OR(AI57&gt;$AL$3,AJ57&gt;$AL$4))),(AND(AN57="Tier 3",X57="Yes",AJ57&gt;$AL$5))),1,0)))</f>
        <v/>
      </c>
      <c r="DA57" s="265">
        <f>IF(OR(DB57=1,DC57=1),0,IF(B57="",0,IF(OR(AND(AN57="Tier 1",X57="No",OR(AI57&gt;$AM$3,AJ57&gt;$AM$4)),(AND(AN57="Tier 1",X57="Yes",AJ57&gt;$AM$5)),(AND(AN57="Tier 2",X57="No",OR(AI57&gt;$AN$3,AJ57&gt;$AN$4))),(AND(AN57="Tier 2",X57="Yes",AJ57&gt;$AN$5)),(AND(AN57="Tier 3",X57="No",OR(AI57&gt;$AO$3,AJ57&gt;$AO$4))),(AND(AN57="Tier 3",X57="Yes",AJ57&gt;$AO$5))),1,0)))</f>
        <v/>
      </c>
      <c r="DB57" s="265">
        <f>IF(DC57=1,0,IF(B57="",0,IF(OR(AND(AN57="Tier 1",X57="No",OR(AI57&gt;$AP$3,AJ57&gt;$AP$4)),(AND(AN57="Tier 1",X57="Yes",AJ57&gt;$AP$5)),(AND(AN57="Tier 2",X57="No",OR(AI57&gt;$AQ$3,AJ57&gt;$AQ$4))),(AND(AN57="Tier 2",X57="Yes",AJ57&gt;$AQ$5)),(AND(AN57="Tier 3",X57="No",OR(AI57&gt;$AR$3,AJ57&gt;$AR$4))),(AND(AN57="Tier 3",X57="Yes",AJ57&gt;$AR$5))),1,0)))</f>
        <v/>
      </c>
      <c r="DC57" s="265">
        <f>IF(B57="",0,IF(OR(AND(AN57="Tier 1",X57="No",OR(AI57&gt;$AS$3,AJ57&gt;$AS$4)),(AND(AN57="Tier 1",X57="Yes",AJ57&gt;$AS$5)),(AND(AN57="Tier 2",X57="No",OR(AI57&gt;$AT$3,AJ57&gt;$AT$4))),(AND(AN57="Tier 2",X57="Yes",AJ57&gt;$AT$5)),(AND(AN57="Tier 3",X57="No",OR(AI57&gt;$AU$3,AJ57&gt;$AU$4))),(AND(AN57="Tier 3",X57="Yes",AJ57&gt;$AU$5))),1,0))</f>
        <v/>
      </c>
      <c r="DD57" s="265">
        <f>IF((SUM(CE57:CX57)=0),0,W57)</f>
        <v/>
      </c>
      <c r="DE57" s="265">
        <f>IF(OR(B57="",DD57&gt;0),0,W57)</f>
        <v/>
      </c>
      <c r="DF57" s="265">
        <f>IF(B57="",0,IF(COUNTIF(CE57:CX57,1)&gt;0,0,L57-M57))</f>
        <v/>
      </c>
      <c r="DG57" s="265">
        <f>DE57+IF(DD57&gt;0,0,DF57)</f>
        <v/>
      </c>
      <c r="DH57" s="265">
        <f>IF(B57="","",M57+DF57)</f>
        <v/>
      </c>
      <c r="DI57" s="265">
        <f>IF(B57="",0,J57-K57)</f>
        <v/>
      </c>
      <c r="DJ57" s="265">
        <f>IF(OR(BF57="EUR",BF57="CAD",BF57="GBP",BF57="AUD"),(GA57*(1-V57))+(HG57)+IF(HX57="",0,HX57*(1-U57)),0)</f>
        <v/>
      </c>
      <c r="DK57" s="265">
        <f>IF(BF57="EUR",33%,IF(BF57="CAD",38%,IF(BF57="GBP",51%,IF(BF57="AUD",61%,0))))</f>
        <v/>
      </c>
      <c r="DL57" s="265">
        <f>DJ57*DK57</f>
        <v/>
      </c>
      <c r="DN57" s="538">
        <f>IF(OR(Y57="Second Lien",Y57="Tier 1 Split Lien",Y57="Tier 2 Split Lien"),DG57,0)</f>
        <v/>
      </c>
      <c r="DO57" s="539">
        <f>DN57*DN$6</f>
        <v/>
      </c>
      <c r="DP57" s="538">
        <f>DG57-DO57</f>
        <v/>
      </c>
      <c r="DQ57" s="538">
        <f>IF(Y57="Second Lien",DP57,0)</f>
        <v/>
      </c>
      <c r="DR57" s="539">
        <f>DQ57*DQ$6</f>
        <v/>
      </c>
      <c r="DS57" s="538">
        <f>DP57-DR57</f>
        <v/>
      </c>
      <c r="DT57" s="538">
        <f>IF(BH57="Yes",DS57,0)</f>
        <v/>
      </c>
      <c r="DU57" s="539">
        <f>DT57*DT$6</f>
        <v/>
      </c>
      <c r="DV57" s="538">
        <f>DS57-DU57</f>
        <v/>
      </c>
      <c r="DW57" s="538">
        <f>IF(OR(BG57="Canada",BG57="United Kingdom",BG57="Australia",BG57="Netherlands Antilles",BG57="Bermuda",BG57="Cayman Islands",BG57="British Virgin Islands",BG57="Channel Islands",BG57="Isle of Man",BG57="Australia",BG57="Netherlands",BG57="Germany",BG57="Sweden",BG57="Switzerland",BG57="Austria",BG57="Belgium",BG57="Denmark",BG57="Finland",BG57="Iceland",BG57="Ireland",BG57="Lichtenstein",BG57="Luxemborg",BG57="Norway"),DV57,0)</f>
        <v/>
      </c>
      <c r="DX57" s="539">
        <f>DW57*DW$6</f>
        <v/>
      </c>
      <c r="DY57" s="538">
        <f>DV57-DX57</f>
        <v/>
      </c>
      <c r="DZ57" s="538">
        <f>IF(BI57="Yes",DY57,0)</f>
        <v/>
      </c>
      <c r="EA57" s="539">
        <f>DZ57*DZ$6</f>
        <v/>
      </c>
      <c r="EB57" s="538">
        <f>DY57-EA57</f>
        <v/>
      </c>
      <c r="EC57" s="538">
        <f>IF(OR(Z57="Delayed Draw",Z57="Revolver"),EB57,0)</f>
        <v/>
      </c>
      <c r="ED57" s="539">
        <f>EC57*EC$6</f>
        <v/>
      </c>
      <c r="EE57" s="538">
        <f>EB57-ED57</f>
        <v/>
      </c>
      <c r="EF57" s="538">
        <f>IF(S57="Yes",EE57,0)</f>
        <v/>
      </c>
      <c r="EG57" s="539">
        <f>EF57*EF$6</f>
        <v/>
      </c>
      <c r="EH57" s="538">
        <f>EE57-EG57</f>
        <v/>
      </c>
      <c r="EI57" s="538">
        <f>IF(Q57="Yes",EH57,0)</f>
        <v/>
      </c>
      <c r="EJ57" s="539">
        <f>EI57*EI$6</f>
        <v/>
      </c>
      <c r="EK57" s="538">
        <f>EH57-EJ57</f>
        <v/>
      </c>
      <c r="EL57" s="538">
        <f>IF(BD57="Semi-Annually",EK57,0)</f>
        <v/>
      </c>
      <c r="EM57" s="539">
        <f>EL57*EL$6</f>
        <v/>
      </c>
      <c r="EN57" s="538">
        <f>EK57-EM57</f>
        <v/>
      </c>
      <c r="EO57" s="538">
        <f>IF(BK57="Yes",EN57,0)</f>
        <v/>
      </c>
      <c r="EP57" s="539">
        <f>EO57*EO$6</f>
        <v/>
      </c>
      <c r="EQ57" s="538">
        <f>EN57-EP57</f>
        <v/>
      </c>
      <c r="ER57" s="538">
        <f>IF(BL57="Yes",EQ57,0)</f>
        <v/>
      </c>
      <c r="ES57" s="539">
        <f>ER57*ER$6</f>
        <v/>
      </c>
      <c r="ET57" s="538">
        <f>EQ57-ES57</f>
        <v/>
      </c>
      <c r="EU57" s="538">
        <f>IF(BM57="Yes",ET57,0)</f>
        <v/>
      </c>
      <c r="EV57" s="539">
        <f>EU57*EU$6</f>
        <v/>
      </c>
      <c r="EW57" s="538">
        <f>ET57-EV57</f>
        <v/>
      </c>
      <c r="EX57" s="538">
        <f>IF(BV57="Yes",EW57,0)</f>
        <v/>
      </c>
      <c r="EY57" s="539">
        <f>EX57*EX$6</f>
        <v/>
      </c>
      <c r="EZ57" s="538">
        <f>EW57-EY57</f>
        <v/>
      </c>
      <c r="FA57" s="538">
        <f>IF(AR57="Yes",EZ57,0)</f>
        <v/>
      </c>
      <c r="FB57" s="539">
        <f>FA57*FA$6</f>
        <v/>
      </c>
      <c r="FC57" s="538">
        <f>EZ57-FB57</f>
        <v/>
      </c>
      <c r="FD57" s="538">
        <f>IF(OR(BF57="EUR",BF57="AUD",BF57="CAD",BF57="GBP"),FC57,0)</f>
        <v/>
      </c>
      <c r="FE57" s="539">
        <f>FD57*FD$6</f>
        <v/>
      </c>
      <c r="FF57" s="538">
        <f>FC57-FE57</f>
        <v/>
      </c>
      <c r="FG57" s="538">
        <f>FF57</f>
        <v/>
      </c>
      <c r="FH57" s="538">
        <f>IF(FF57=0,0,VLOOKUP(C57,$GU$10:$GV$406,2,FALSE)*FF57)</f>
        <v/>
      </c>
      <c r="FI57" s="538">
        <f>FF57-FH57</f>
        <v/>
      </c>
      <c r="FJ57" s="538">
        <f>FI57</f>
        <v/>
      </c>
      <c r="FK57" s="538">
        <f>IF(OR(IB57="",FI57&lt;0.01),,VLOOKUP(IB57,$GL$10:$GM$406,2,FALSE)*FI57)</f>
        <v/>
      </c>
      <c r="FL57" s="538">
        <f>FI57-FK57</f>
        <v/>
      </c>
      <c r="FM57" s="538">
        <f>FL57</f>
        <v/>
      </c>
      <c r="FN57" s="538">
        <f>IF(FL57=0,0,VLOOKUP(C57,$HD$10:$HE$406,2,FALSE)*FL57)</f>
        <v/>
      </c>
      <c r="FO57" s="538">
        <f>FL57-FN57</f>
        <v/>
      </c>
      <c r="FP57" s="538">
        <f>IF(SUM(CY57:DC57)&gt;0,0,IF(AND(AL57&gt;=5000000,AL57&lt;7500000),FO57,0))</f>
        <v/>
      </c>
      <c r="FQ57" s="539">
        <f>IF(B57="",0,FP57*FP$6*(1-$U57))</f>
        <v/>
      </c>
      <c r="FR57" s="538">
        <f>FO57-FQ57</f>
        <v/>
      </c>
      <c r="FS57" s="538">
        <f>IF(SUM(CY57:DC57)&gt;0,0,IF(AL57&lt;15000000,FR57,0))</f>
        <v/>
      </c>
      <c r="FT57" s="539">
        <f>IF(B57="",0,FS57*FS$6*(1-$U57))</f>
        <v/>
      </c>
      <c r="FU57" s="538">
        <f>FR57-FT57</f>
        <v/>
      </c>
      <c r="FV57" s="538">
        <f>IF(SUM(CY57:DC57)&gt;0,0,IF(OR(AND(X57="No",AN57="Tier 1",AI57&gt;$AG$3),AND(X57="No",AN57="Tier 2",AI57&gt;$AH$3),AND(X57="No",AN57="Tier 3",AI57&gt;$AI$3)),FU57,0))</f>
        <v/>
      </c>
      <c r="FW57" s="538">
        <f>IF(SUM(CY57:DC57)&gt;0,0,IF(OR(AND(X57="No",AN57="Tier 1",AJ57&gt;$AG$4),AND(X57="No",AN57="Tier 2",AJ57&gt;$AH$4),AND(X57="No",AN57="Tier 3",AJ57&gt;$AI$4)),FU57,0))</f>
        <v/>
      </c>
      <c r="FX57" s="538">
        <f>IF(SUM(CY57:DC57)&gt;0,0,IF(OR(AND(X57="Yes",AN57="Tier 1",AJ57&gt;$AG$5),AND(X57="Yes",AN57="Tier 2",AJ57&gt;$AH$5),AND(X57="Yes",AN57="Tier 3",AJ57&gt;$AI$5)),FU57,0))</f>
        <v/>
      </c>
      <c r="FY57" s="538">
        <f>IF(SUM(FV57:FX57)&gt;0,FU57,0)</f>
        <v/>
      </c>
      <c r="FZ57" s="539">
        <f>IF(B57="",0,FY57*FV$6*(1-MIN(90%,T57)))</f>
        <v/>
      </c>
      <c r="GA57" s="538">
        <f>FU57-FZ57</f>
        <v/>
      </c>
      <c r="GB57" s="538">
        <f>IF(AND(N57="No",DI57=0),GA57,IF(AND(N57="No",DI57&lt;&gt;0,K57=0),0,IF(AND(N57="No",DI57&lt;&gt;0,K57&gt;0,J57&lt;&gt;K57),MAX(0,M57-(DH57-GA57)),DG57)))</f>
        <v/>
      </c>
      <c r="GC57" s="540">
        <f>+GB57*V57</f>
        <v/>
      </c>
      <c r="GD57" s="138">
        <f>IFERROR(GC57/K57,"")</f>
        <v/>
      </c>
      <c r="GE57" s="541">
        <f>IF(IB57="","",IB57)</f>
        <v/>
      </c>
      <c r="GF57" s="538">
        <f t="array" ref="GF57">IF(SUM(IF(IB$9:IB56=IB57,1,0))&gt;0,0,SUMIF($IB$10:$IB$406,IB57,$FI$10:$FI$406))</f>
        <v/>
      </c>
      <c r="GG57" s="270">
        <f>GF57</f>
        <v/>
      </c>
      <c r="GH57" s="137">
        <f>GH56+1</f>
        <v/>
      </c>
      <c r="GI57" s="542">
        <f>LARGE($GG$10:$GG$406,GH57)</f>
        <v/>
      </c>
      <c r="GJ57" s="542">
        <f>IF(GH57&gt;GH$6,0,IF(GH57=$GH$2,$GJ$2,IF(GH57&lt;4,$GJ$3,$GJ$4)))</f>
        <v/>
      </c>
      <c r="GK57" s="489">
        <f>MAX(0,GI57-GJ57)</f>
        <v/>
      </c>
      <c r="GL57" s="137">
        <f t="array" ref="GL57">IF(GI57=0,0,LARGE(IF($GF$10:$GF$406=GI57,$GE$10:$GE$406,0),COUNTIF($GI$10:$GI$406,GI57)-COUNTIF(GI$9:GI56,GI57)))</f>
        <v/>
      </c>
      <c r="GM57" s="272">
        <f>IF(GI57=0,0,GK57/GI57)</f>
        <v/>
      </c>
      <c r="GO57" s="137">
        <f>IF(C57="","",IF(ISERROR(MATCH(C57,C$10:C56,0)),MAX(GO$10:GO56)+1,INDEX(GO$10:GO56,MATCH(C57,C$10:C56,0))))</f>
        <v/>
      </c>
      <c r="GP57" s="538">
        <f>IF(COUNTIF($A$10:A57,A57)&lt;=1,SUMIF($A$10:$A$406,A57,$FG$10:$FG$406),0)</f>
        <v/>
      </c>
      <c r="GQ57" s="137">
        <f>GQ56+1</f>
        <v/>
      </c>
      <c r="GR57" s="542">
        <f>LARGE($GP$10:$GP$406,GQ57)</f>
        <v/>
      </c>
      <c r="GS57" s="542">
        <f>IF(GQ57&gt;GQ$6,0,IF(GQ57&lt;=GQ$2,GS$2,IF(AND(GQ57&lt;=$GQ$3,GQ57&gt;$GQ$2),GS$3,GS$4)))</f>
        <v/>
      </c>
      <c r="GT57" s="489">
        <f>MAX(0,GR57-GS57)</f>
        <v/>
      </c>
      <c r="GU57" s="137">
        <f t="array" ref="GU57">IF(GR57=0,0,LARGE(IF($GP$10:$GP$406=GR57,$GO$10:$GO$406,0),COUNTIF($GR$10:$GR$406,GR57)-COUNTIF(GR$9:GR56,GR57)))</f>
        <v/>
      </c>
      <c r="GV57" s="272">
        <f>IF(GR57=0,0,GT57/GR57)</f>
        <v/>
      </c>
      <c r="GW57" s="272" t="n"/>
      <c r="GX57" s="137">
        <f>IF(C57="","",IF(ISERROR(MATCH(C57,C$10:C56,0)),MAX(GO$10:GO56)+1,INDEX(GO$10:GO56,MATCH(C57,C$10:C56,0))))</f>
        <v/>
      </c>
      <c r="GY57" s="538">
        <f>IF(COUNTIF($A$10:A57,A57)&lt;=1,SUMIF($A$10:$A$406,A57,$FG$10:$FG$406),0)</f>
        <v/>
      </c>
      <c r="GZ57" s="137">
        <f>GZ56+1</f>
        <v/>
      </c>
      <c r="HA57" s="542">
        <f>LARGE($GY$10:$GY$406,GZ57)</f>
        <v/>
      </c>
      <c r="HB57" s="543" t="inlineStr">
        <is>
          <t>-</t>
        </is>
      </c>
      <c r="HC57" s="489">
        <f>IF(GZ57&lt;6,MAX(0,$HC$2/5),0)</f>
        <v/>
      </c>
      <c r="HD57" s="137">
        <f t="array" ref="HD57">IF(HA57=0,0,LARGE(IF($GY$10:$GY$406=HA57,$GX$10:$GX$406,0),COUNTIF($HA$10:$HA$406,HA57)-COUNTIF(HA$9:HA56,HA57)))</f>
        <v/>
      </c>
      <c r="HE57" s="272">
        <f>IF(HA57=0,0,HC57/HA57)</f>
        <v/>
      </c>
      <c r="HF57" s="272" t="n"/>
      <c r="HG57" s="270">
        <f>DG57-GA57</f>
        <v/>
      </c>
      <c r="HH57" s="544" t="n">
        <v>0</v>
      </c>
      <c r="HI57" s="538">
        <f>MIN(HH57,DE57)</f>
        <v/>
      </c>
      <c r="HK57" s="137">
        <f>IF(COUNTIF($C$10:$C$406,HK56+1),HK56+1,"")</f>
        <v/>
      </c>
      <c r="HL57" s="538">
        <f>SUMIF($C$10:$C$406,HK57,$DG$10:$DG$406)</f>
        <v/>
      </c>
      <c r="HN57" s="521">
        <f>MIN(HO57:HS57)</f>
        <v/>
      </c>
      <c r="HO57" s="521">
        <f>IF(B57="","",$M57)</f>
        <v/>
      </c>
      <c r="HP57" s="521">
        <f>IF($N57="Yes",IF(P57&gt;=6,0,MIN($T57*$M57,$U57*$M57)),"")</f>
        <v/>
      </c>
      <c r="HQ57" s="521">
        <f>IF(AND(N57="Yes",P57&gt;=6),"",IF($S57="Yes",$R57*$M57,""))</f>
        <v/>
      </c>
      <c r="HR57" s="521">
        <f>IF($Q57="Yes",MIN($M57,$T57*$M57),"")</f>
        <v/>
      </c>
      <c r="HS57" s="521">
        <f>IF(AND($N57="Yes",$P57&gt;=6),"",IF(OR(CY57=1,DC57=1,),MIN($T57*$M57,$U57*$M57),IF(OR(CZ57=1,DA57=1,DB57=1),IF(AK57&gt;=5000000,MIN($T57*$M57,$IE57*$M57),MIN($T57*$M57,$U57*$M57)),"")))</f>
        <v/>
      </c>
      <c r="HT57" s="521">
        <f>IF(DD57&gt;0,DD57,"")</f>
        <v/>
      </c>
      <c r="HU57" s="522">
        <f>IF(B57="",0,$L57-$M57)</f>
        <v/>
      </c>
      <c r="HV57" s="274">
        <f>IF(OR(SUM(HP57:HT57)&gt;0,P57&gt;=6),"",IF($B57="","",1))</f>
        <v/>
      </c>
      <c r="HW57" s="522">
        <f>IF(AND($HT57&lt;&gt;0,OR(HT57&lt;=MIN(HP57:HS57),SUM(HP57:HS57)=0)),$HT57,0)</f>
        <v/>
      </c>
      <c r="HX57" s="522">
        <f>IF(AND($HS57&lt;&gt;0,OR(AND($HS57&lt;&gt;$HT57,$HS57&lt;&gt;$HR57,$HS57&lt;&gt;$HQ57,$HS57&lt;&gt;$HP57,$HS57&lt;MIN($HP57:$HR57),$HS57&lt;HT57),SUM($HP57:$HR57)+SUM(HT57)=0),IA57&lt;=0),$HS57,0)</f>
        <v/>
      </c>
      <c r="HY57" s="522">
        <f>IF(AND($HR57&lt;&gt;0,OR(AND($HR57&lt;&gt;$HT57,$HR57&lt;&gt;$HS57,$HR57&lt;&gt;$HQ57,$HR57&lt;&gt;$HP57),$HR57&lt;MIN($HP57:$HQ57),$HR57&lt;MIN($HS57:$HT57),SUM($HP57:$HQ57)+SUM($HS57:$HT57)=0)),$HR57,0)</f>
        <v/>
      </c>
      <c r="HZ57" s="522">
        <f>IF(AND($HQ57&lt;&gt;0,OR(AND($HQ57&lt;&gt;$HT57,HQ57&lt;&gt;HS57,HQ57&lt;&gt;HR57,HQ57&lt;&gt;HP57,HQ57&lt;MIN(HR57:HT57)),SUM(HP57)+SUM(HR57:HT57)=0)),$HQ57,0)</f>
        <v/>
      </c>
      <c r="IA57" s="522">
        <f>IF(AND($HP57&lt;&gt;0,OR(HP57&lt;=MIN(HQ57:HT57),SUM(HQ57:HT57)=0)),$HP57,0)</f>
        <v/>
      </c>
      <c r="IB57" s="545" t="n">
        <v>46</v>
      </c>
      <c r="IC57">
        <f>HU57=DF57</f>
        <v/>
      </c>
      <c r="IE57" s="351">
        <f>IF(B57="","",IF(AND(Y57="Second Lien",OR(CZ57=1,DA57=1,DB57=1)),50%,IF(CZ57=1,90%,IF(DA57=1,80%,IF(DB57=1,65%,"No Initial Haircut")))))</f>
        <v/>
      </c>
    </row>
    <row r="58">
      <c r="A58">
        <f>D58</f>
        <v/>
      </c>
      <c r="B58" s="242">
        <f>IF(D58="","",B57+1)</f>
        <v/>
      </c>
      <c r="C58" s="242">
        <f>IF(COUNTIF($A$10:A57,A58)&gt;0,C57,C57+1)</f>
        <v/>
      </c>
      <c r="D58" s="243" t="inlineStr">
        <is>
          <t>Northgate Industries, Inc.</t>
        </is>
      </c>
      <c r="E58" s="243" t="inlineStr">
        <is>
          <t>Northgate (Term Loan)</t>
        </is>
      </c>
      <c r="F58" s="244" t="n"/>
      <c r="G58" s="528" t="n">
        <v>30304386.32</v>
      </c>
      <c r="H58" s="528" t="n">
        <v>30304386.32</v>
      </c>
      <c r="I58" s="246" t="n">
        <v>1</v>
      </c>
      <c r="J58" s="529">
        <f>IF(B58="","",G58*I58)</f>
        <v/>
      </c>
      <c r="K58" s="529">
        <f>IF(B58="","",H58*I58)</f>
        <v/>
      </c>
      <c r="L58" s="529">
        <f>IF(B58="","",IF(COUNTIF($CE58:$CX58,1)&gt;0,0,J58))</f>
        <v/>
      </c>
      <c r="M58" s="529">
        <f>IF(B58="","",IF(COUNTIF($CE58:$CX58,1)&gt;0,0,K58))</f>
        <v/>
      </c>
      <c r="N58" s="248" t="inlineStr">
        <is>
          <t>No</t>
        </is>
      </c>
      <c r="O58" s="248" t="inlineStr">
        <is>
          <t>N/A</t>
        </is>
      </c>
      <c r="P58" s="249">
        <f>IF(B58="","",IF(OR(O58="N/A",O58=""),0,YEARFRAC('Borrowing Base'!$J$4,'Loan List'!O58)*12))</f>
        <v/>
      </c>
      <c r="Q58" s="248" t="inlineStr">
        <is>
          <t>No</t>
        </is>
      </c>
      <c r="R58" s="250" t="n">
        <v>0.9925248775211799</v>
      </c>
      <c r="S58" s="251">
        <f>IF(B58="","",IF(R58&lt;95%,"Yes","No"))</f>
        <v/>
      </c>
      <c r="T58" s="250" t="n">
        <v>1</v>
      </c>
      <c r="U58" s="252">
        <f>IF(B58="","",IF(OR(Y58="First Lien",Y58="Split First Lien",Y58="Tier 1 Split Lien",Y58="Tier 2 Split Lien"),50%,30%))</f>
        <v/>
      </c>
      <c r="V58" s="252">
        <f>IF(B58="",0,IF(AND(Y58="First Lien",AN58="Tier 1"),IF(AND(X58="Yes",MIN(AH58,$AJ$5)&gt;4.5),(((4.5/MIN(AH58,$AJ$5))*72.5%)+(((MIN(AH58,$AJ$5)-4.5)/MIN(AH58,$AJ$5))*35%)),72.5%),IF(AND(Y58="First Lien",AN58="Tier 2"),IF(AND(X58="Yes",MIN(AH58,$AK$5)&gt;4.5),(((4.5/MIN(AH58,$AK$5))*72.5%)+(((MIN(AH58,$AK$5)-4.5)/MIN(AH58,$AK$5))*35%)),72.5%),IF(AND(X58="Yes",MIN(AH58,$AL$5)&gt;4),(((4/MIN(AH58,$AL$5))*72.5%)+(((MIN(AH58,$AL$5)-4)/MIN(AH58,$AL$5))*35%)),IF(OR(Y58="First Lien",Y58="Split First Lien"),72.5%,IF(Y58="Split Lien", 53%,35%))))))</f>
        <v/>
      </c>
      <c r="W58" s="530">
        <f>IF($C58="","",MIN($HO58:$HS58))</f>
        <v/>
      </c>
      <c r="X58" s="248" t="inlineStr">
        <is>
          <t>No</t>
        </is>
      </c>
      <c r="Y58" s="254" t="inlineStr">
        <is>
          <t>First Lien</t>
        </is>
      </c>
      <c r="Z58" s="254" t="inlineStr">
        <is>
          <t>Term</t>
        </is>
      </c>
      <c r="AA58" s="531" t="inlineStr">
        <is>
          <t>NR</t>
        </is>
      </c>
      <c r="AB58" s="531" t="inlineStr">
        <is>
          <t xml:space="preserve"> NR</t>
        </is>
      </c>
      <c r="AC58" s="532" t="n">
        <v>1.878421578539441</v>
      </c>
      <c r="AD58" s="532" t="n">
        <v>5.270107209364316</v>
      </c>
      <c r="AE58" s="532" t="n">
        <v>3.436280701193626</v>
      </c>
      <c r="AF58" s="257" t="n">
        <v>0.3828336808248713</v>
      </c>
      <c r="AG58" s="533" t="n">
        <v>5.270107209364316</v>
      </c>
      <c r="AH58" s="533" t="n">
        <v>5.270107209364316</v>
      </c>
      <c r="AI58" s="533" t="n">
        <v>3.436280701193626</v>
      </c>
      <c r="AJ58" s="533" t="n">
        <v>3.436280701193626</v>
      </c>
      <c r="AK58" s="534" t="n">
        <v>10208520.97741089</v>
      </c>
      <c r="AL58" s="534" t="n">
        <v>22710747.84516057</v>
      </c>
      <c r="AM58" s="276" t="n">
        <v>45777</v>
      </c>
      <c r="AN58" s="529">
        <f>IF(C58="","",(IF(AK58&gt;=50000000,"Tier 1",(IF(OR(AK58&gt;=20000000,AND(AK58&gt;5000000,AC58&gt;=1.25,AF58&lt;=0.65)),"Tier 2","Tier 3")))))</f>
        <v/>
      </c>
      <c r="AO58" s="244" t="n">
        <v>47749</v>
      </c>
      <c r="AP58" s="535" t="n">
        <v>5.147222222222222</v>
      </c>
      <c r="AQ58" s="535">
        <f>IF(C58="","",AP58)</f>
        <v/>
      </c>
      <c r="AR58" s="248" t="inlineStr">
        <is>
          <t>No</t>
        </is>
      </c>
      <c r="AS58" s="250" t="n">
        <v>0</v>
      </c>
      <c r="AT58" s="248" t="inlineStr">
        <is>
          <t>Yes</t>
        </is>
      </c>
      <c r="AU58" s="250" t="n">
        <v>0.01</v>
      </c>
      <c r="AV58" s="250" t="n">
        <v>0.045</v>
      </c>
      <c r="AW58" s="250" t="n">
        <v>0.04295600000000001</v>
      </c>
      <c r="AX58" s="262">
        <f>IF(C58="","",MAX(AU58,AW58))</f>
        <v/>
      </c>
      <c r="AY58" s="250" t="n">
        <v>0</v>
      </c>
      <c r="AZ58" s="250" t="n">
        <v>0</v>
      </c>
      <c r="BA58" s="250" t="n">
        <v>0</v>
      </c>
      <c r="BB58" s="412">
        <f>IF(B58="","",IF(AR58="No",AV58-AZ58,""))</f>
        <v/>
      </c>
      <c r="BC58" s="412">
        <f>IF(B58="","",IF(AR58="Yes",AS58-BA58,""))</f>
        <v/>
      </c>
      <c r="BD58" s="254" t="inlineStr">
        <is>
          <t>Quarterly</t>
        </is>
      </c>
      <c r="BE58" s="536" t="inlineStr">
        <is>
          <t>Professional Services</t>
        </is>
      </c>
      <c r="BF58" s="254" t="inlineStr">
        <is>
          <t>USD</t>
        </is>
      </c>
      <c r="BG58" s="254" t="inlineStr">
        <is>
          <t>United States</t>
        </is>
      </c>
      <c r="BH58" s="248" t="inlineStr">
        <is>
          <t>No</t>
        </is>
      </c>
      <c r="BI58" s="413">
        <f>IF(B58="","",IF(OR(AND(AZ58&gt;0,BB58&gt;=2.5%,BB58&lt;4%),AND(BA58&gt;0,BC58&gt;=6%,BC58&lt;8%)),"Yes","No"))</f>
        <v/>
      </c>
      <c r="BJ58" s="413">
        <f>IF(B58="","",IF(OR(AND(AZ58&gt;0,BB58&lt;2.5%),AND(BA58&gt;0,BC58&lt;6%)),"Yes","No"))</f>
        <v/>
      </c>
      <c r="BK58" s="248" t="inlineStr">
        <is>
          <t>No</t>
        </is>
      </c>
      <c r="BL58" s="248" t="inlineStr">
        <is>
          <t>No</t>
        </is>
      </c>
      <c r="BM58" s="248" t="inlineStr">
        <is>
          <t>No</t>
        </is>
      </c>
      <c r="BN58" s="248" t="inlineStr">
        <is>
          <t>No</t>
        </is>
      </c>
      <c r="BO58" s="248" t="inlineStr">
        <is>
          <t>No</t>
        </is>
      </c>
      <c r="BP58" s="248" t="inlineStr">
        <is>
          <t>No</t>
        </is>
      </c>
      <c r="BQ58" s="248" t="inlineStr">
        <is>
          <t>No</t>
        </is>
      </c>
      <c r="BR58" s="248" t="inlineStr">
        <is>
          <t>No</t>
        </is>
      </c>
      <c r="BS58" s="248" t="inlineStr">
        <is>
          <t>No</t>
        </is>
      </c>
      <c r="BT58" s="248" t="inlineStr">
        <is>
          <t>No</t>
        </is>
      </c>
      <c r="BU58" s="248" t="inlineStr">
        <is>
          <t>No</t>
        </is>
      </c>
      <c r="BV58" s="248" t="inlineStr">
        <is>
          <t>No</t>
        </is>
      </c>
      <c r="BW58" s="248" t="inlineStr">
        <is>
          <t>No</t>
        </is>
      </c>
      <c r="BX58" s="248" t="inlineStr">
        <is>
          <t>No</t>
        </is>
      </c>
      <c r="BY58" s="248" t="inlineStr">
        <is>
          <t>No</t>
        </is>
      </c>
      <c r="BZ58" s="248" t="inlineStr">
        <is>
          <t>No</t>
        </is>
      </c>
      <c r="CA58" s="248" t="inlineStr">
        <is>
          <t>Yes</t>
        </is>
      </c>
      <c r="CB58" s="537">
        <f>IF(B58="","",IF(AT58="No",((BB58+AW58)-$AZ$4),((BB58+AX58)-$AZ$4))*IF(DD58&gt;0,0,M58))</f>
        <v/>
      </c>
      <c r="CC58" s="537">
        <f>IF(B58="","",AY58*(L58-M58)*IF(DD58&gt;0,0,1))</f>
        <v/>
      </c>
      <c r="CD58" s="265" t="n"/>
      <c r="CE58" s="265">
        <f>IF(AND(B58&lt;&gt;"",R58&lt;=85%),1,0)</f>
        <v/>
      </c>
      <c r="CF58" s="265">
        <f>IF(B58="",0,(IF(OR(BF58="USD",BF58="CAD",BF58="GBP",BF58="AUD",BF58="EUR"),0,1)))</f>
        <v/>
      </c>
      <c r="CG58" s="265">
        <f>IF(B58="",0,(IF(OR(BG58="United States",BG58="Canada",BG58="United Kingdom",BG58="Australia",BG58="Netherlands Antilles",BG58="Bermuda",BG58="Cayman Islands",BG58="British Virgin Islands",BG58="Channel Islands",BG58="Isle of Man",BG58="Australia",BG58="Netherlands",BG58="Germany",BG58="Sweden",BG58="Switzerland",BG58="Austria",BG58="Belgium",BG58="Denmark",BG58="Finland",BG58="Iceland",BG58="Ireland",BG58="Lichtenstein",BG58="Luxemborg",BG58="Norway"),0,1)))</f>
        <v/>
      </c>
      <c r="CH58" s="265">
        <f>IF(BN58="Yes",1,0)</f>
        <v/>
      </c>
      <c r="CI58" s="265">
        <f>IF(BO58="Yes",1,0)</f>
        <v/>
      </c>
      <c r="CJ58" s="265">
        <f>IF(BP58="Yes",1,0)</f>
        <v/>
      </c>
      <c r="CK58" s="265">
        <f>IF(BQ58="Yes",1,0)</f>
        <v/>
      </c>
      <c r="CL58" s="265">
        <f>IF(BR58="Yes",1,0)</f>
        <v/>
      </c>
      <c r="CM58" s="265">
        <f>IF(BS58="Yes",1,0)</f>
        <v/>
      </c>
      <c r="CN58" s="265">
        <f>IF(OR(AND(BJ58="Yes",N58="No"),AND(BJ58="Yes",N58="Yes",P58&gt;=6)),1,0)</f>
        <v/>
      </c>
      <c r="CO58" s="265">
        <f>IF(BT58="Yes",1,0)</f>
        <v/>
      </c>
      <c r="CP58" s="265">
        <f>IF(AND(BU58="Yes",BV58="No"),1,0)</f>
        <v/>
      </c>
      <c r="CQ58" s="265">
        <f>IF(BW58="Yes",1,0)</f>
        <v/>
      </c>
      <c r="CR58" s="265">
        <f>IF(AP58="",0,IF(AP58&gt;7,1,0))</f>
        <v/>
      </c>
      <c r="CS58" s="265">
        <f>IF(OR(BD58&lt;&gt;"Monthly",BD58&lt;&gt;"Quarterly",BD58&lt;&gt;"Semi-Annually"),0,1)</f>
        <v/>
      </c>
      <c r="CT58" s="265">
        <f>IF(BX58="Yes",1,0)</f>
        <v/>
      </c>
      <c r="CU58" s="265">
        <f>IF(BY58="Yes",1,0)</f>
        <v/>
      </c>
      <c r="CV58" s="265">
        <f>IF(BZ58="Yes",1,0)</f>
        <v/>
      </c>
      <c r="CW58" s="265">
        <f>IF(CA58="No",1,0)</f>
        <v/>
      </c>
      <c r="CX58" s="265">
        <f>IF(B58="",0,IF(AK58&gt;=5000000,0,1))</f>
        <v/>
      </c>
      <c r="CY58" s="265">
        <f>IF(B58="",0,IF(AL58&gt;=5000000,0,1))</f>
        <v/>
      </c>
      <c r="CZ58" s="265">
        <f>IF(OR(DA58=1,DB58=1,DC58=1),0,IF(B58="",0,IF(OR(AND(AN58="Tier 1",X58="No",OR(AI58&gt;$AJ$3,AJ58&gt;$AJ$4)),(AND(AN58="Tier 1",X58="Yes",AJ58&gt;$AJ$5)),(AND(AN58="Tier 2",X58="No",OR(AI58&gt;$AK$3,AJ58&gt;$AK$4))),(AND(AN58="Tier 2",X58="Yes",AJ58&gt;$AK$5)),(AND(AN58="Tier 3",X58="No",OR(AI58&gt;$AL$3,AJ58&gt;$AL$4))),(AND(AN58="Tier 3",X58="Yes",AJ58&gt;$AL$5))),1,0)))</f>
        <v/>
      </c>
      <c r="DA58" s="265">
        <f>IF(OR(DB58=1,DC58=1),0,IF(B58="",0,IF(OR(AND(AN58="Tier 1",X58="No",OR(AI58&gt;$AM$3,AJ58&gt;$AM$4)),(AND(AN58="Tier 1",X58="Yes",AJ58&gt;$AM$5)),(AND(AN58="Tier 2",X58="No",OR(AI58&gt;$AN$3,AJ58&gt;$AN$4))),(AND(AN58="Tier 2",X58="Yes",AJ58&gt;$AN$5)),(AND(AN58="Tier 3",X58="No",OR(AI58&gt;$AO$3,AJ58&gt;$AO$4))),(AND(AN58="Tier 3",X58="Yes",AJ58&gt;$AO$5))),1,0)))</f>
        <v/>
      </c>
      <c r="DB58" s="265">
        <f>IF(DC58=1,0,IF(B58="",0,IF(OR(AND(AN58="Tier 1",X58="No",OR(AI58&gt;$AP$3,AJ58&gt;$AP$4)),(AND(AN58="Tier 1",X58="Yes",AJ58&gt;$AP$5)),(AND(AN58="Tier 2",X58="No",OR(AI58&gt;$AQ$3,AJ58&gt;$AQ$4))),(AND(AN58="Tier 2",X58="Yes",AJ58&gt;$AQ$5)),(AND(AN58="Tier 3",X58="No",OR(AI58&gt;$AR$3,AJ58&gt;$AR$4))),(AND(AN58="Tier 3",X58="Yes",AJ58&gt;$AR$5))),1,0)))</f>
        <v/>
      </c>
      <c r="DC58" s="265">
        <f>IF(B58="",0,IF(OR(AND(AN58="Tier 1",X58="No",OR(AI58&gt;$AS$3,AJ58&gt;$AS$4)),(AND(AN58="Tier 1",X58="Yes",AJ58&gt;$AS$5)),(AND(AN58="Tier 2",X58="No",OR(AI58&gt;$AT$3,AJ58&gt;$AT$4))),(AND(AN58="Tier 2",X58="Yes",AJ58&gt;$AT$5)),(AND(AN58="Tier 3",X58="No",OR(AI58&gt;$AU$3,AJ58&gt;$AU$4))),(AND(AN58="Tier 3",X58="Yes",AJ58&gt;$AU$5))),1,0))</f>
        <v/>
      </c>
      <c r="DD58" s="265">
        <f>IF((SUM(CE58:CX58)=0),0,W58)</f>
        <v/>
      </c>
      <c r="DE58" s="265">
        <f>IF(OR(B58="",DD58&gt;0),0,W58)</f>
        <v/>
      </c>
      <c r="DF58" s="265">
        <f>IF(B58="",0,IF(COUNTIF(CE58:CX58,1)&gt;0,0,L58-M58))</f>
        <v/>
      </c>
      <c r="DG58" s="265">
        <f>DE58+IF(DD58&gt;0,0,DF58)</f>
        <v/>
      </c>
      <c r="DH58" s="265">
        <f>IF(B58="","",M58+DF58)</f>
        <v/>
      </c>
      <c r="DI58" s="265">
        <f>IF(B58="",0,J58-K58)</f>
        <v/>
      </c>
      <c r="DJ58" s="265">
        <f>IF(OR(BF58="EUR",BF58="CAD",BF58="GBP",BF58="AUD"),(GA58*(1-V58))+(HG58)+IF(HX58="",0,HX58*(1-U58)),0)</f>
        <v/>
      </c>
      <c r="DK58" s="265">
        <f>IF(BF58="EUR",33%,IF(BF58="CAD",38%,IF(BF58="GBP",51%,IF(BF58="AUD",61%,0))))</f>
        <v/>
      </c>
      <c r="DL58" s="265">
        <f>DJ58*DK58</f>
        <v/>
      </c>
      <c r="DN58" s="538">
        <f>IF(OR(Y58="Second Lien",Y58="Tier 1 Split Lien",Y58="Tier 2 Split Lien"),DG58,0)</f>
        <v/>
      </c>
      <c r="DO58" s="539">
        <f>DN58*DN$6</f>
        <v/>
      </c>
      <c r="DP58" s="538">
        <f>DG58-DO58</f>
        <v/>
      </c>
      <c r="DQ58" s="538">
        <f>IF(Y58="Second Lien",DP58,0)</f>
        <v/>
      </c>
      <c r="DR58" s="539">
        <f>DQ58*DQ$6</f>
        <v/>
      </c>
      <c r="DS58" s="538">
        <f>DP58-DR58</f>
        <v/>
      </c>
      <c r="DT58" s="538">
        <f>IF(BH58="Yes",DS58,0)</f>
        <v/>
      </c>
      <c r="DU58" s="539">
        <f>DT58*DT$6</f>
        <v/>
      </c>
      <c r="DV58" s="538">
        <f>DS58-DU58</f>
        <v/>
      </c>
      <c r="DW58" s="538">
        <f>IF(OR(BG58="Canada",BG58="United Kingdom",BG58="Australia",BG58="Netherlands Antilles",BG58="Bermuda",BG58="Cayman Islands",BG58="British Virgin Islands",BG58="Channel Islands",BG58="Isle of Man",BG58="Australia",BG58="Netherlands",BG58="Germany",BG58="Sweden",BG58="Switzerland",BG58="Austria",BG58="Belgium",BG58="Denmark",BG58="Finland",BG58="Iceland",BG58="Ireland",BG58="Lichtenstein",BG58="Luxemborg",BG58="Norway"),DV58,0)</f>
        <v/>
      </c>
      <c r="DX58" s="539">
        <f>DW58*DW$6</f>
        <v/>
      </c>
      <c r="DY58" s="538">
        <f>DV58-DX58</f>
        <v/>
      </c>
      <c r="DZ58" s="538">
        <f>IF(BI58="Yes",DY58,0)</f>
        <v/>
      </c>
      <c r="EA58" s="539">
        <f>DZ58*DZ$6</f>
        <v/>
      </c>
      <c r="EB58" s="538">
        <f>DY58-EA58</f>
        <v/>
      </c>
      <c r="EC58" s="538">
        <f>IF(OR(Z58="Delayed Draw",Z58="Revolver"),EB58,0)</f>
        <v/>
      </c>
      <c r="ED58" s="539">
        <f>EC58*EC$6</f>
        <v/>
      </c>
      <c r="EE58" s="538">
        <f>EB58-ED58</f>
        <v/>
      </c>
      <c r="EF58" s="538">
        <f>IF(S58="Yes",EE58,0)</f>
        <v/>
      </c>
      <c r="EG58" s="539">
        <f>EF58*EF$6</f>
        <v/>
      </c>
      <c r="EH58" s="538">
        <f>EE58-EG58</f>
        <v/>
      </c>
      <c r="EI58" s="538">
        <f>IF(Q58="Yes",EH58,0)</f>
        <v/>
      </c>
      <c r="EJ58" s="539">
        <f>EI58*EI$6</f>
        <v/>
      </c>
      <c r="EK58" s="538">
        <f>EH58-EJ58</f>
        <v/>
      </c>
      <c r="EL58" s="538">
        <f>IF(BD58="Semi-Annually",EK58,0)</f>
        <v/>
      </c>
      <c r="EM58" s="539">
        <f>EL58*EL$6</f>
        <v/>
      </c>
      <c r="EN58" s="538">
        <f>EK58-EM58</f>
        <v/>
      </c>
      <c r="EO58" s="538">
        <f>IF(BK58="Yes",EN58,0)</f>
        <v/>
      </c>
      <c r="EP58" s="539">
        <f>EO58*EO$6</f>
        <v/>
      </c>
      <c r="EQ58" s="538">
        <f>EN58-EP58</f>
        <v/>
      </c>
      <c r="ER58" s="538">
        <f>IF(BL58="Yes",EQ58,0)</f>
        <v/>
      </c>
      <c r="ES58" s="539">
        <f>ER58*ER$6</f>
        <v/>
      </c>
      <c r="ET58" s="538">
        <f>EQ58-ES58</f>
        <v/>
      </c>
      <c r="EU58" s="538">
        <f>IF(BM58="Yes",ET58,0)</f>
        <v/>
      </c>
      <c r="EV58" s="539">
        <f>EU58*EU$6</f>
        <v/>
      </c>
      <c r="EW58" s="538">
        <f>ET58-EV58</f>
        <v/>
      </c>
      <c r="EX58" s="538">
        <f>IF(BV58="Yes",EW58,0)</f>
        <v/>
      </c>
      <c r="EY58" s="539">
        <f>EX58*EX$6</f>
        <v/>
      </c>
      <c r="EZ58" s="538">
        <f>EW58-EY58</f>
        <v/>
      </c>
      <c r="FA58" s="538">
        <f>IF(AR58="Yes",EZ58,0)</f>
        <v/>
      </c>
      <c r="FB58" s="539">
        <f>FA58*FA$6</f>
        <v/>
      </c>
      <c r="FC58" s="538">
        <f>EZ58-FB58</f>
        <v/>
      </c>
      <c r="FD58" s="538">
        <f>IF(OR(BF58="EUR",BF58="AUD",BF58="CAD",BF58="GBP"),FC58,0)</f>
        <v/>
      </c>
      <c r="FE58" s="539">
        <f>FD58*FD$6</f>
        <v/>
      </c>
      <c r="FF58" s="538">
        <f>FC58-FE58</f>
        <v/>
      </c>
      <c r="FG58" s="538">
        <f>FF58</f>
        <v/>
      </c>
      <c r="FH58" s="538">
        <f>IF(FF58=0,0,VLOOKUP(C58,$GU$10:$GV$406,2,FALSE)*FF58)</f>
        <v/>
      </c>
      <c r="FI58" s="538">
        <f>FF58-FH58</f>
        <v/>
      </c>
      <c r="FJ58" s="538">
        <f>FI58</f>
        <v/>
      </c>
      <c r="FK58" s="538">
        <f>IF(OR(IB58="",FI58&lt;0.01),,VLOOKUP(IB58,$GL$10:$GM$406,2,FALSE)*FI58)</f>
        <v/>
      </c>
      <c r="FL58" s="538">
        <f>FI58-FK58</f>
        <v/>
      </c>
      <c r="FM58" s="538">
        <f>FL58</f>
        <v/>
      </c>
      <c r="FN58" s="538">
        <f>IF(FL58=0,0,VLOOKUP(C58,$HD$10:$HE$406,2,FALSE)*FL58)</f>
        <v/>
      </c>
      <c r="FO58" s="538">
        <f>FL58-FN58</f>
        <v/>
      </c>
      <c r="FP58" s="538">
        <f>IF(SUM(CY58:DC58)&gt;0,0,IF(AND(AL58&gt;=5000000,AL58&lt;7500000),FO58,0))</f>
        <v/>
      </c>
      <c r="FQ58" s="539">
        <f>IF(B58="",0,FP58*FP$6*(1-$U58))</f>
        <v/>
      </c>
      <c r="FR58" s="538">
        <f>FO58-FQ58</f>
        <v/>
      </c>
      <c r="FS58" s="538">
        <f>IF(SUM(CY58:DC58)&gt;0,0,IF(AL58&lt;15000000,FR58,0))</f>
        <v/>
      </c>
      <c r="FT58" s="539">
        <f>IF(B58="",0,FS58*FS$6*(1-$U58))</f>
        <v/>
      </c>
      <c r="FU58" s="538">
        <f>FR58-FT58</f>
        <v/>
      </c>
      <c r="FV58" s="538">
        <f>IF(SUM(CY58:DC58)&gt;0,0,IF(OR(AND(X58="No",AN58="Tier 1",AI58&gt;$AG$3),AND(X58="No",AN58="Tier 2",AI58&gt;$AH$3),AND(X58="No",AN58="Tier 3",AI58&gt;$AI$3)),FU58,0))</f>
        <v/>
      </c>
      <c r="FW58" s="538">
        <f>IF(SUM(CY58:DC58)&gt;0,0,IF(OR(AND(X58="No",AN58="Tier 1",AJ58&gt;$AG$4),AND(X58="No",AN58="Tier 2",AJ58&gt;$AH$4),AND(X58="No",AN58="Tier 3",AJ58&gt;$AI$4)),FU58,0))</f>
        <v/>
      </c>
      <c r="FX58" s="538">
        <f>IF(SUM(CY58:DC58)&gt;0,0,IF(OR(AND(X58="Yes",AN58="Tier 1",AJ58&gt;$AG$5),AND(X58="Yes",AN58="Tier 2",AJ58&gt;$AH$5),AND(X58="Yes",AN58="Tier 3",AJ58&gt;$AI$5)),FU58,0))</f>
        <v/>
      </c>
      <c r="FY58" s="538">
        <f>IF(SUM(FV58:FX58)&gt;0,FU58,0)</f>
        <v/>
      </c>
      <c r="FZ58" s="539">
        <f>IF(B58="",0,FY58*FV$6*(1-MIN(90%,T58)))</f>
        <v/>
      </c>
      <c r="GA58" s="538">
        <f>FU58-FZ58</f>
        <v/>
      </c>
      <c r="GB58" s="538">
        <f>IF(AND(N58="No",DI58=0),GA58,IF(AND(N58="No",DI58&lt;&gt;0,K58=0),0,IF(AND(N58="No",DI58&lt;&gt;0,K58&gt;0,J58&lt;&gt;K58),MAX(0,M58-(DH58-GA58)),DG58)))</f>
        <v/>
      </c>
      <c r="GC58" s="540">
        <f>+GB58*V58</f>
        <v/>
      </c>
      <c r="GD58" s="138">
        <f>IFERROR(GC58/K58,"")</f>
        <v/>
      </c>
      <c r="GE58" s="541">
        <f>IF(IB58="","",IB58)</f>
        <v/>
      </c>
      <c r="GF58" s="538">
        <f t="array" ref="GF58">IF(SUM(IF(IB$9:IB57=IB58,1,0))&gt;0,0,SUMIF($IB$10:$IB$406,IB58,$FI$10:$FI$406))</f>
        <v/>
      </c>
      <c r="GG58" s="270">
        <f>GF58</f>
        <v/>
      </c>
      <c r="GH58" s="137">
        <f>GH57+1</f>
        <v/>
      </c>
      <c r="GI58" s="542">
        <f>LARGE($GG$10:$GG$406,GH58)</f>
        <v/>
      </c>
      <c r="GJ58" s="542">
        <f>IF(GH58&gt;GH$6,0,IF(GH58=$GH$2,$GJ$2,IF(GH58&lt;4,$GJ$3,$GJ$4)))</f>
        <v/>
      </c>
      <c r="GK58" s="489">
        <f>MAX(0,GI58-GJ58)</f>
        <v/>
      </c>
      <c r="GL58" s="137">
        <f t="array" ref="GL58">IF(GI58=0,0,LARGE(IF($GF$10:$GF$406=GI58,$GE$10:$GE$406,0),COUNTIF($GI$10:$GI$406,GI58)-COUNTIF(GI$9:GI57,GI58)))</f>
        <v/>
      </c>
      <c r="GM58" s="272">
        <f>IF(GI58=0,0,GK58/GI58)</f>
        <v/>
      </c>
      <c r="GO58" s="137">
        <f>IF(C58="","",IF(ISERROR(MATCH(C58,C$10:C57,0)),MAX(GO$10:GO57)+1,INDEX(GO$10:GO57,MATCH(C58,C$10:C57,0))))</f>
        <v/>
      </c>
      <c r="GP58" s="538">
        <f>IF(COUNTIF($A$10:A58,A58)&lt;=1,SUMIF($A$10:$A$406,A58,$FG$10:$FG$406),0)</f>
        <v/>
      </c>
      <c r="GQ58" s="137">
        <f>GQ57+1</f>
        <v/>
      </c>
      <c r="GR58" s="542">
        <f>LARGE($GP$10:$GP$406,GQ58)</f>
        <v/>
      </c>
      <c r="GS58" s="542">
        <f>IF(GQ58&gt;GQ$6,0,IF(GQ58&lt;=GQ$2,GS$2,IF(AND(GQ58&lt;=$GQ$3,GQ58&gt;$GQ$2),GS$3,GS$4)))</f>
        <v/>
      </c>
      <c r="GT58" s="489">
        <f>MAX(0,GR58-GS58)</f>
        <v/>
      </c>
      <c r="GU58" s="137">
        <f t="array" ref="GU58">IF(GR58=0,0,LARGE(IF($GP$10:$GP$406=GR58,$GO$10:$GO$406,0),COUNTIF($GR$10:$GR$406,GR58)-COUNTIF(GR$9:GR57,GR58)))</f>
        <v/>
      </c>
      <c r="GV58" s="272">
        <f>IF(GR58=0,0,GT58/GR58)</f>
        <v/>
      </c>
      <c r="GW58" s="272" t="n"/>
      <c r="GX58" s="137">
        <f>IF(C58="","",IF(ISERROR(MATCH(C58,C$10:C57,0)),MAX(GO$10:GO57)+1,INDEX(GO$10:GO57,MATCH(C58,C$10:C57,0))))</f>
        <v/>
      </c>
      <c r="GY58" s="538">
        <f>IF(COUNTIF($A$10:A58,A58)&lt;=1,SUMIF($A$10:$A$406,A58,$FG$10:$FG$406),0)</f>
        <v/>
      </c>
      <c r="GZ58" s="137">
        <f>GZ57+1</f>
        <v/>
      </c>
      <c r="HA58" s="542">
        <f>LARGE($GY$10:$GY$406,GZ58)</f>
        <v/>
      </c>
      <c r="HB58" s="543" t="inlineStr">
        <is>
          <t>-</t>
        </is>
      </c>
      <c r="HC58" s="489">
        <f>IF(GZ58&lt;6,MAX(0,$HC$2/5),0)</f>
        <v/>
      </c>
      <c r="HD58" s="137">
        <f t="array" ref="HD58">IF(HA58=0,0,LARGE(IF($GY$10:$GY$406=HA58,$GX$10:$GX$406,0),COUNTIF($HA$10:$HA$406,HA58)-COUNTIF(HA$9:HA57,HA58)))</f>
        <v/>
      </c>
      <c r="HE58" s="272">
        <f>IF(HA58=0,0,HC58/HA58)</f>
        <v/>
      </c>
      <c r="HF58" s="272" t="n"/>
      <c r="HG58" s="270">
        <f>DG58-GA58</f>
        <v/>
      </c>
      <c r="HH58" s="544" t="n">
        <v>0</v>
      </c>
      <c r="HI58" s="538">
        <f>MIN(HH58,DE58)</f>
        <v/>
      </c>
      <c r="HK58" s="137">
        <f>IF(COUNTIF($C$10:$C$406,HK57+1),HK57+1,"")</f>
        <v/>
      </c>
      <c r="HL58" s="538">
        <f>SUMIF($C$10:$C$406,HK58,$DG$10:$DG$406)</f>
        <v/>
      </c>
      <c r="HN58" s="521">
        <f>MIN(HO58:HS58)</f>
        <v/>
      </c>
      <c r="HO58" s="521">
        <f>IF(B58="","",$M58)</f>
        <v/>
      </c>
      <c r="HP58" s="521">
        <f>IF($N58="Yes",IF(P58&gt;=6,0,MIN($T58*$M58,$U58*$M58)),"")</f>
        <v/>
      </c>
      <c r="HQ58" s="521">
        <f>IF(AND(N58="Yes",P58&gt;=6),"",IF($S58="Yes",$R58*$M58,""))</f>
        <v/>
      </c>
      <c r="HR58" s="521">
        <f>IF($Q58="Yes",MIN($M58,$T58*$M58),"")</f>
        <v/>
      </c>
      <c r="HS58" s="521">
        <f>IF(AND($N58="Yes",$P58&gt;=6),"",IF(OR(CY58=1,DC58=1,),MIN($T58*$M58,$U58*$M58),IF(OR(CZ58=1,DA58=1,DB58=1),IF(AK58&gt;=5000000,MIN($T58*$M58,$IE58*$M58),MIN($T58*$M58,$U58*$M58)),"")))</f>
        <v/>
      </c>
      <c r="HT58" s="521">
        <f>IF(DD58&gt;0,DD58,"")</f>
        <v/>
      </c>
      <c r="HU58" s="522">
        <f>IF(B58="",0,$L58-$M58)</f>
        <v/>
      </c>
      <c r="HV58" s="274">
        <f>IF(OR(SUM(HP58:HT58)&gt;0,P58&gt;=6),"",IF($B58="","",1))</f>
        <v/>
      </c>
      <c r="HW58" s="522">
        <f>IF(AND($HT58&lt;&gt;0,OR(HT58&lt;=MIN(HP58:HS58),SUM(HP58:HS58)=0)),$HT58,0)</f>
        <v/>
      </c>
      <c r="HX58" s="522">
        <f>IF(AND($HS58&lt;&gt;0,OR(AND($HS58&lt;&gt;$HT58,$HS58&lt;&gt;$HR58,$HS58&lt;&gt;$HQ58,$HS58&lt;&gt;$HP58,$HS58&lt;MIN($HP58:$HR58),$HS58&lt;HT58),SUM($HP58:$HR58)+SUM(HT58)=0),IA58&lt;=0),$HS58,0)</f>
        <v/>
      </c>
      <c r="HY58" s="522">
        <f>IF(AND($HR58&lt;&gt;0,OR(AND($HR58&lt;&gt;$HT58,$HR58&lt;&gt;$HS58,$HR58&lt;&gt;$HQ58,$HR58&lt;&gt;$HP58),$HR58&lt;MIN($HP58:$HQ58),$HR58&lt;MIN($HS58:$HT58),SUM($HP58:$HQ58)+SUM($HS58:$HT58)=0)),$HR58,0)</f>
        <v/>
      </c>
      <c r="HZ58" s="522">
        <f>IF(AND($HQ58&lt;&gt;0,OR(AND($HQ58&lt;&gt;$HT58,HQ58&lt;&gt;HS58,HQ58&lt;&gt;HR58,HQ58&lt;&gt;HP58,HQ58&lt;MIN(HR58:HT58)),SUM(HP58)+SUM(HR58:HT58)=0)),$HQ58,0)</f>
        <v/>
      </c>
      <c r="IA58" s="522">
        <f>IF(AND($HP58&lt;&gt;0,OR(HP58&lt;=MIN(HQ58:HT58),SUM(HQ58:HT58)=0)),$HP58,0)</f>
        <v/>
      </c>
      <c r="IB58" s="545" t="n">
        <v>55</v>
      </c>
      <c r="IC58">
        <f>HU58=DF58</f>
        <v/>
      </c>
      <c r="IE58" s="351">
        <f>IF(B58="","",IF(AND(Y58="Second Lien",OR(CZ58=1,DA58=1,DB58=1)),50%,IF(CZ58=1,90%,IF(DA58=1,80%,IF(DB58=1,65%,"No Initial Haircut")))))</f>
        <v/>
      </c>
    </row>
    <row r="59">
      <c r="A59">
        <f>D59</f>
        <v/>
      </c>
      <c r="B59" s="242">
        <f>IF(D59="","",B58+1)</f>
        <v/>
      </c>
      <c r="C59" s="242">
        <f>IF(COUNTIF($A$10:A58,A59)&gt;0,C58,C58+1)</f>
        <v/>
      </c>
      <c r="D59" s="243" t="inlineStr">
        <is>
          <t>Cedar Ridge Industries, Inc.</t>
        </is>
      </c>
      <c r="E59" s="243" t="inlineStr">
        <is>
          <t>Cedar Ridge (TL)</t>
        </is>
      </c>
      <c r="F59" s="244" t="n"/>
      <c r="G59" s="528" t="n">
        <v>9164597.43</v>
      </c>
      <c r="H59" s="528" t="n">
        <v>9164597.43</v>
      </c>
      <c r="I59" s="246" t="n">
        <v>1</v>
      </c>
      <c r="J59" s="529">
        <f>IF(B59="","",G59*I59)</f>
        <v/>
      </c>
      <c r="K59" s="529">
        <f>IF(B59="","",H59*I59)</f>
        <v/>
      </c>
      <c r="L59" s="529">
        <f>IF(B59="","",IF(COUNTIF($CE59:$CX59,1)&gt;0,0,J59))</f>
        <v/>
      </c>
      <c r="M59" s="529">
        <f>IF(B59="","",IF(COUNTIF($CE59:$CX59,1)&gt;0,0,K59))</f>
        <v/>
      </c>
      <c r="N59" s="248" t="inlineStr">
        <is>
          <t>No</t>
        </is>
      </c>
      <c r="O59" s="248" t="inlineStr">
        <is>
          <t>N/A</t>
        </is>
      </c>
      <c r="P59" s="249">
        <f>IF(B59="","",IF(OR(O59="N/A",O59=""),0,YEARFRAC('Borrowing Base'!$J$4,'Loan List'!O59)*12))</f>
        <v/>
      </c>
      <c r="Q59" s="248" t="inlineStr">
        <is>
          <t>No</t>
        </is>
      </c>
      <c r="R59" s="250" t="n">
        <v>0.99125</v>
      </c>
      <c r="S59" s="251">
        <f>IF(B59="","",IF(R59&lt;95%,"Yes","No"))</f>
        <v/>
      </c>
      <c r="T59" s="250" t="n">
        <v>0.9900000004691969</v>
      </c>
      <c r="U59" s="252">
        <f>IF(B59="","",IF(OR(Y59="First Lien",Y59="Split First Lien",Y59="Tier 1 Split Lien",Y59="Tier 2 Split Lien"),50%,30%))</f>
        <v/>
      </c>
      <c r="V59" s="252">
        <f>IF(B59="",0,IF(AND(Y59="First Lien",AN59="Tier 1"),IF(AND(X59="Yes",MIN(AH59,$AJ$5)&gt;4.5),(((4.5/MIN(AH59,$AJ$5))*72.5%)+(((MIN(AH59,$AJ$5)-4.5)/MIN(AH59,$AJ$5))*35%)),72.5%),IF(AND(Y59="First Lien",AN59="Tier 2"),IF(AND(X59="Yes",MIN(AH59,$AK$5)&gt;4.5),(((4.5/MIN(AH59,$AK$5))*72.5%)+(((MIN(AH59,$AK$5)-4.5)/MIN(AH59,$AK$5))*35%)),72.5%),IF(AND(X59="Yes",MIN(AH59,$AL$5)&gt;4),(((4/MIN(AH59,$AL$5))*72.5%)+(((MIN(AH59,$AL$5)-4)/MIN(AH59,$AL$5))*35%)),IF(OR(Y59="First Lien",Y59="Split First Lien"),72.5%,IF(Y59="Split Lien", 53%,35%))))))</f>
        <v/>
      </c>
      <c r="W59" s="530">
        <f>IF($C59="","",MIN($HO59:$HS59))</f>
        <v/>
      </c>
      <c r="X59" s="248" t="inlineStr">
        <is>
          <t>No</t>
        </is>
      </c>
      <c r="Y59" s="254" t="inlineStr">
        <is>
          <t>First Lien</t>
        </is>
      </c>
      <c r="Z59" s="254" t="inlineStr">
        <is>
          <t>Term</t>
        </is>
      </c>
      <c r="AA59" s="531" t="inlineStr">
        <is>
          <t>NR</t>
        </is>
      </c>
      <c r="AB59" s="531" t="inlineStr">
        <is>
          <t xml:space="preserve"> NR</t>
        </is>
      </c>
      <c r="AC59" s="532" t="n">
        <v>1.883495145631068</v>
      </c>
      <c r="AD59" s="532" t="n">
        <v>2.068965517241379</v>
      </c>
      <c r="AE59" s="532" t="n">
        <v>4.006468852184026</v>
      </c>
      <c r="AF59" s="257" t="n">
        <v>0.1925569769341468</v>
      </c>
      <c r="AG59" s="533" t="n">
        <v>2.068965517241379</v>
      </c>
      <c r="AH59" s="533" t="n">
        <v>2.068965517241379</v>
      </c>
      <c r="AI59" s="533" t="n">
        <v>4.006468852184026</v>
      </c>
      <c r="AJ59" s="533" t="n">
        <v>4.006468852184026</v>
      </c>
      <c r="AK59" s="534" t="n">
        <v>14500000</v>
      </c>
      <c r="AL59" s="534" t="n">
        <v>31489766.3440527</v>
      </c>
      <c r="AM59" s="276" t="n">
        <v>45808</v>
      </c>
      <c r="AN59" s="529">
        <f>IF(C59="","",(IF(AK59&gt;=50000000,"Tier 1",(IF(OR(AK59&gt;=20000000,AND(AK59&gt;5000000,AC59&gt;=1.25,AF59&lt;=0.65)),"Tier 2","Tier 3")))))</f>
        <v/>
      </c>
      <c r="AO59" s="244" t="n">
        <v>47483</v>
      </c>
      <c r="AP59" s="535" t="n">
        <v>4.416666666666667</v>
      </c>
      <c r="AQ59" s="535">
        <f>IF(C59="","",AP59)</f>
        <v/>
      </c>
      <c r="AR59" s="248" t="inlineStr">
        <is>
          <t>No</t>
        </is>
      </c>
      <c r="AS59" s="250" t="n">
        <v>0</v>
      </c>
      <c r="AT59" s="248" t="inlineStr">
        <is>
          <t>Yes</t>
        </is>
      </c>
      <c r="AU59" s="250" t="n">
        <v>0.01</v>
      </c>
      <c r="AV59" s="250" t="n">
        <v>0.0525</v>
      </c>
      <c r="AW59" s="250" t="n">
        <v>0.042956</v>
      </c>
      <c r="AX59" s="262">
        <f>IF(C59="","",MAX(AU59,AW59))</f>
        <v/>
      </c>
      <c r="AY59" s="250" t="n">
        <v>0</v>
      </c>
      <c r="AZ59" s="250" t="n">
        <v>0</v>
      </c>
      <c r="BA59" s="250" t="n">
        <v>0</v>
      </c>
      <c r="BB59" s="412">
        <f>IF(B59="","",IF(AR59="No",AV59-AZ59,""))</f>
        <v/>
      </c>
      <c r="BC59" s="412">
        <f>IF(B59="","",IF(AR59="Yes",AS59-BA59,""))</f>
        <v/>
      </c>
      <c r="BD59" s="254" t="inlineStr">
        <is>
          <t>Quarterly</t>
        </is>
      </c>
      <c r="BE59" s="536" t="inlineStr">
        <is>
          <t>Diversified Consumer Services</t>
        </is>
      </c>
      <c r="BF59" s="254" t="inlineStr">
        <is>
          <t>USD</t>
        </is>
      </c>
      <c r="BG59" s="254" t="inlineStr">
        <is>
          <t>United States</t>
        </is>
      </c>
      <c r="BH59" s="248" t="inlineStr">
        <is>
          <t>No</t>
        </is>
      </c>
      <c r="BI59" s="413">
        <f>IF(B59="","",IF(OR(AND(AZ59&gt;0,BB59&gt;=2.5%,BB59&lt;4%),AND(BA59&gt;0,BC59&gt;=6%,BC59&lt;8%)),"Yes","No"))</f>
        <v/>
      </c>
      <c r="BJ59" s="413">
        <f>IF(B59="","",IF(OR(AND(AZ59&gt;0,BB59&lt;2.5%),AND(BA59&gt;0,BC59&lt;6%)),"Yes","No"))</f>
        <v/>
      </c>
      <c r="BK59" s="248" t="inlineStr">
        <is>
          <t>No</t>
        </is>
      </c>
      <c r="BL59" s="248" t="inlineStr">
        <is>
          <t>No</t>
        </is>
      </c>
      <c r="BM59" s="248" t="inlineStr">
        <is>
          <t>No</t>
        </is>
      </c>
      <c r="BN59" s="248" t="inlineStr">
        <is>
          <t>No</t>
        </is>
      </c>
      <c r="BO59" s="248" t="inlineStr">
        <is>
          <t>No</t>
        </is>
      </c>
      <c r="BP59" s="248" t="inlineStr">
        <is>
          <t>No</t>
        </is>
      </c>
      <c r="BQ59" s="248" t="inlineStr">
        <is>
          <t>No</t>
        </is>
      </c>
      <c r="BR59" s="248" t="inlineStr">
        <is>
          <t>No</t>
        </is>
      </c>
      <c r="BS59" s="248" t="inlineStr">
        <is>
          <t>No</t>
        </is>
      </c>
      <c r="BT59" s="248" t="inlineStr">
        <is>
          <t>No</t>
        </is>
      </c>
      <c r="BU59" s="248" t="inlineStr">
        <is>
          <t>No</t>
        </is>
      </c>
      <c r="BV59" s="248" t="inlineStr">
        <is>
          <t>No</t>
        </is>
      </c>
      <c r="BW59" s="248" t="inlineStr">
        <is>
          <t>No</t>
        </is>
      </c>
      <c r="BX59" s="248" t="inlineStr">
        <is>
          <t>No</t>
        </is>
      </c>
      <c r="BY59" s="248" t="inlineStr">
        <is>
          <t>No</t>
        </is>
      </c>
      <c r="BZ59" s="248" t="inlineStr">
        <is>
          <t>No</t>
        </is>
      </c>
      <c r="CA59" s="248" t="inlineStr">
        <is>
          <t>Yes</t>
        </is>
      </c>
      <c r="CB59" s="537">
        <f>IF(B59="","",IF(AT59="No",((BB59+AW59)-$AZ$4),((BB59+AX59)-$AZ$4))*IF(DD59&gt;0,0,M59))</f>
        <v/>
      </c>
      <c r="CC59" s="537">
        <f>IF(B59="","",AY59*(L59-M59)*IF(DD59&gt;0,0,1))</f>
        <v/>
      </c>
      <c r="CD59" s="265" t="n"/>
      <c r="CE59" s="265">
        <f>IF(AND(B59&lt;&gt;"",R59&lt;=85%),1,0)</f>
        <v/>
      </c>
      <c r="CF59" s="265">
        <f>IF(B59="",0,(IF(OR(BF59="USD",BF59="CAD",BF59="GBP",BF59="AUD",BF59="EUR"),0,1)))</f>
        <v/>
      </c>
      <c r="CG59" s="265">
        <f>IF(B59="",0,(IF(OR(BG59="United States",BG59="Canada",BG59="United Kingdom",BG59="Australia",BG59="Netherlands Antilles",BG59="Bermuda",BG59="Cayman Islands",BG59="British Virgin Islands",BG59="Channel Islands",BG59="Isle of Man",BG59="Australia",BG59="Netherlands",BG59="Germany",BG59="Sweden",BG59="Switzerland",BG59="Austria",BG59="Belgium",BG59="Denmark",BG59="Finland",BG59="Iceland",BG59="Ireland",BG59="Lichtenstein",BG59="Luxemborg",BG59="Norway"),0,1)))</f>
        <v/>
      </c>
      <c r="CH59" s="265">
        <f>IF(BN59="Yes",1,0)</f>
        <v/>
      </c>
      <c r="CI59" s="265">
        <f>IF(BO59="Yes",1,0)</f>
        <v/>
      </c>
      <c r="CJ59" s="265">
        <f>IF(BP59="Yes",1,0)</f>
        <v/>
      </c>
      <c r="CK59" s="265">
        <f>IF(BQ59="Yes",1,0)</f>
        <v/>
      </c>
      <c r="CL59" s="265">
        <f>IF(BR59="Yes",1,0)</f>
        <v/>
      </c>
      <c r="CM59" s="265">
        <f>IF(BS59="Yes",1,0)</f>
        <v/>
      </c>
      <c r="CN59" s="265">
        <f>IF(OR(AND(BJ59="Yes",N59="No"),AND(BJ59="Yes",N59="Yes",P59&gt;=6)),1,0)</f>
        <v/>
      </c>
      <c r="CO59" s="265">
        <f>IF(BT59="Yes",1,0)</f>
        <v/>
      </c>
      <c r="CP59" s="265">
        <f>IF(AND(BU59="Yes",BV59="No"),1,0)</f>
        <v/>
      </c>
      <c r="CQ59" s="265">
        <f>IF(BW59="Yes",1,0)</f>
        <v/>
      </c>
      <c r="CR59" s="265">
        <f>IF(AP59="",0,IF(AP59&gt;7,1,0))</f>
        <v/>
      </c>
      <c r="CS59" s="265">
        <f>IF(OR(BD59&lt;&gt;"Monthly",BD59&lt;&gt;"Quarterly",BD59&lt;&gt;"Semi-Annually"),0,1)</f>
        <v/>
      </c>
      <c r="CT59" s="265">
        <f>IF(BX59="Yes",1,0)</f>
        <v/>
      </c>
      <c r="CU59" s="265">
        <f>IF(BY59="Yes",1,0)</f>
        <v/>
      </c>
      <c r="CV59" s="265">
        <f>IF(BZ59="Yes",1,0)</f>
        <v/>
      </c>
      <c r="CW59" s="265">
        <f>IF(CA59="No",1,0)</f>
        <v/>
      </c>
      <c r="CX59" s="265">
        <f>IF(B59="",0,IF(AK59&gt;=5000000,0,1))</f>
        <v/>
      </c>
      <c r="CY59" s="265">
        <f>IF(B59="",0,IF(AL59&gt;=5000000,0,1))</f>
        <v/>
      </c>
      <c r="CZ59" s="265">
        <f>IF(OR(DA59=1,DB59=1,DC59=1),0,IF(B59="",0,IF(OR(AND(AN59="Tier 1",X59="No",OR(AI59&gt;$AJ$3,AJ59&gt;$AJ$4)),(AND(AN59="Tier 1",X59="Yes",AJ59&gt;$AJ$5)),(AND(AN59="Tier 2",X59="No",OR(AI59&gt;$AK$3,AJ59&gt;$AK$4))),(AND(AN59="Tier 2",X59="Yes",AJ59&gt;$AK$5)),(AND(AN59="Tier 3",X59="No",OR(AI59&gt;$AL$3,AJ59&gt;$AL$4))),(AND(AN59="Tier 3",X59="Yes",AJ59&gt;$AL$5))),1,0)))</f>
        <v/>
      </c>
      <c r="DA59" s="265">
        <f>IF(OR(DB59=1,DC59=1),0,IF(B59="",0,IF(OR(AND(AN59="Tier 1",X59="No",OR(AI59&gt;$AM$3,AJ59&gt;$AM$4)),(AND(AN59="Tier 1",X59="Yes",AJ59&gt;$AM$5)),(AND(AN59="Tier 2",X59="No",OR(AI59&gt;$AN$3,AJ59&gt;$AN$4))),(AND(AN59="Tier 2",X59="Yes",AJ59&gt;$AN$5)),(AND(AN59="Tier 3",X59="No",OR(AI59&gt;$AO$3,AJ59&gt;$AO$4))),(AND(AN59="Tier 3",X59="Yes",AJ59&gt;$AO$5))),1,0)))</f>
        <v/>
      </c>
      <c r="DB59" s="265">
        <f>IF(DC59=1,0,IF(B59="",0,IF(OR(AND(AN59="Tier 1",X59="No",OR(AI59&gt;$AP$3,AJ59&gt;$AP$4)),(AND(AN59="Tier 1",X59="Yes",AJ59&gt;$AP$5)),(AND(AN59="Tier 2",X59="No",OR(AI59&gt;$AQ$3,AJ59&gt;$AQ$4))),(AND(AN59="Tier 2",X59="Yes",AJ59&gt;$AQ$5)),(AND(AN59="Tier 3",X59="No",OR(AI59&gt;$AR$3,AJ59&gt;$AR$4))),(AND(AN59="Tier 3",X59="Yes",AJ59&gt;$AR$5))),1,0)))</f>
        <v/>
      </c>
      <c r="DC59" s="265">
        <f>IF(B59="",0,IF(OR(AND(AN59="Tier 1",X59="No",OR(AI59&gt;$AS$3,AJ59&gt;$AS$4)),(AND(AN59="Tier 1",X59="Yes",AJ59&gt;$AS$5)),(AND(AN59="Tier 2",X59="No",OR(AI59&gt;$AT$3,AJ59&gt;$AT$4))),(AND(AN59="Tier 2",X59="Yes",AJ59&gt;$AT$5)),(AND(AN59="Tier 3",X59="No",OR(AI59&gt;$AU$3,AJ59&gt;$AU$4))),(AND(AN59="Tier 3",X59="Yes",AJ59&gt;$AU$5))),1,0))</f>
        <v/>
      </c>
      <c r="DD59" s="265">
        <f>IF((SUM(CE59:CX59)=0),0,W59)</f>
        <v/>
      </c>
      <c r="DE59" s="265">
        <f>IF(OR(B59="",DD59&gt;0),0,W59)</f>
        <v/>
      </c>
      <c r="DF59" s="265">
        <f>IF(B59="",0,IF(COUNTIF(CE59:CX59,1)&gt;0,0,L59-M59))</f>
        <v/>
      </c>
      <c r="DG59" s="265">
        <f>DE59+IF(DD59&gt;0,0,DF59)</f>
        <v/>
      </c>
      <c r="DH59" s="265">
        <f>IF(B59="","",M59+DF59)</f>
        <v/>
      </c>
      <c r="DI59" s="265">
        <f>IF(B59="",0,J59-K59)</f>
        <v/>
      </c>
      <c r="DJ59" s="265">
        <f>IF(OR(BF59="EUR",BF59="CAD",BF59="GBP",BF59="AUD"),(GA59*(1-V59))+(HG59)+IF(HX59="",0,HX59*(1-U59)),0)</f>
        <v/>
      </c>
      <c r="DK59" s="265">
        <f>IF(BF59="EUR",33%,IF(BF59="CAD",38%,IF(BF59="GBP",51%,IF(BF59="AUD",61%,0))))</f>
        <v/>
      </c>
      <c r="DL59" s="265">
        <f>DJ59*DK59</f>
        <v/>
      </c>
      <c r="DN59" s="538">
        <f>IF(OR(Y59="Second Lien",Y59="Tier 1 Split Lien",Y59="Tier 2 Split Lien"),DG59,0)</f>
        <v/>
      </c>
      <c r="DO59" s="539">
        <f>DN59*DN$6</f>
        <v/>
      </c>
      <c r="DP59" s="538">
        <f>DG59-DO59</f>
        <v/>
      </c>
      <c r="DQ59" s="538">
        <f>IF(Y59="Second Lien",DP59,0)</f>
        <v/>
      </c>
      <c r="DR59" s="539">
        <f>DQ59*DQ$6</f>
        <v/>
      </c>
      <c r="DS59" s="538">
        <f>DP59-DR59</f>
        <v/>
      </c>
      <c r="DT59" s="538">
        <f>IF(BH59="Yes",DS59,0)</f>
        <v/>
      </c>
      <c r="DU59" s="539">
        <f>DT59*DT$6</f>
        <v/>
      </c>
      <c r="DV59" s="538">
        <f>DS59-DU59</f>
        <v/>
      </c>
      <c r="DW59" s="538">
        <f>IF(OR(BG59="Canada",BG59="United Kingdom",BG59="Australia",BG59="Netherlands Antilles",BG59="Bermuda",BG59="Cayman Islands",BG59="British Virgin Islands",BG59="Channel Islands",BG59="Isle of Man",BG59="Australia",BG59="Netherlands",BG59="Germany",BG59="Sweden",BG59="Switzerland",BG59="Austria",BG59="Belgium",BG59="Denmark",BG59="Finland",BG59="Iceland",BG59="Ireland",BG59="Lichtenstein",BG59="Luxemborg",BG59="Norway"),DV59,0)</f>
        <v/>
      </c>
      <c r="DX59" s="539">
        <f>DW59*DW$6</f>
        <v/>
      </c>
      <c r="DY59" s="538">
        <f>DV59-DX59</f>
        <v/>
      </c>
      <c r="DZ59" s="538">
        <f>IF(BI59="Yes",DY59,0)</f>
        <v/>
      </c>
      <c r="EA59" s="539">
        <f>DZ59*DZ$6</f>
        <v/>
      </c>
      <c r="EB59" s="538">
        <f>DY59-EA59</f>
        <v/>
      </c>
      <c r="EC59" s="538">
        <f>IF(OR(Z59="Delayed Draw",Z59="Revolver"),EB59,0)</f>
        <v/>
      </c>
      <c r="ED59" s="539">
        <f>EC59*EC$6</f>
        <v/>
      </c>
      <c r="EE59" s="538">
        <f>EB59-ED59</f>
        <v/>
      </c>
      <c r="EF59" s="538">
        <f>IF(S59="Yes",EE59,0)</f>
        <v/>
      </c>
      <c r="EG59" s="539">
        <f>EF59*EF$6</f>
        <v/>
      </c>
      <c r="EH59" s="538">
        <f>EE59-EG59</f>
        <v/>
      </c>
      <c r="EI59" s="538">
        <f>IF(Q59="Yes",EH59,0)</f>
        <v/>
      </c>
      <c r="EJ59" s="539">
        <f>EI59*EI$6</f>
        <v/>
      </c>
      <c r="EK59" s="538">
        <f>EH59-EJ59</f>
        <v/>
      </c>
      <c r="EL59" s="538">
        <f>IF(BD59="Semi-Annually",EK59,0)</f>
        <v/>
      </c>
      <c r="EM59" s="539">
        <f>EL59*EL$6</f>
        <v/>
      </c>
      <c r="EN59" s="538">
        <f>EK59-EM59</f>
        <v/>
      </c>
      <c r="EO59" s="538">
        <f>IF(BK59="Yes",EN59,0)</f>
        <v/>
      </c>
      <c r="EP59" s="539">
        <f>EO59*EO$6</f>
        <v/>
      </c>
      <c r="EQ59" s="538">
        <f>EN59-EP59</f>
        <v/>
      </c>
      <c r="ER59" s="538">
        <f>IF(BL59="Yes",EQ59,0)</f>
        <v/>
      </c>
      <c r="ES59" s="539">
        <f>ER59*ER$6</f>
        <v/>
      </c>
      <c r="ET59" s="538">
        <f>EQ59-ES59</f>
        <v/>
      </c>
      <c r="EU59" s="538">
        <f>IF(BM59="Yes",ET59,0)</f>
        <v/>
      </c>
      <c r="EV59" s="539">
        <f>EU59*EU$6</f>
        <v/>
      </c>
      <c r="EW59" s="538">
        <f>ET59-EV59</f>
        <v/>
      </c>
      <c r="EX59" s="538">
        <f>IF(BV59="Yes",EW59,0)</f>
        <v/>
      </c>
      <c r="EY59" s="539">
        <f>EX59*EX$6</f>
        <v/>
      </c>
      <c r="EZ59" s="538">
        <f>EW59-EY59</f>
        <v/>
      </c>
      <c r="FA59" s="538">
        <f>IF(AR59="Yes",EZ59,0)</f>
        <v/>
      </c>
      <c r="FB59" s="539">
        <f>FA59*FA$6</f>
        <v/>
      </c>
      <c r="FC59" s="538">
        <f>EZ59-FB59</f>
        <v/>
      </c>
      <c r="FD59" s="538">
        <f>IF(OR(BF59="EUR",BF59="AUD",BF59="CAD",BF59="GBP"),FC59,0)</f>
        <v/>
      </c>
      <c r="FE59" s="539">
        <f>FD59*FD$6</f>
        <v/>
      </c>
      <c r="FF59" s="538">
        <f>FC59-FE59</f>
        <v/>
      </c>
      <c r="FG59" s="538">
        <f>FF59</f>
        <v/>
      </c>
      <c r="FH59" s="538">
        <f>IF(FF59=0,0,VLOOKUP(C59,$GU$10:$GV$406,2,FALSE)*FF59)</f>
        <v/>
      </c>
      <c r="FI59" s="538">
        <f>FF59-FH59</f>
        <v/>
      </c>
      <c r="FJ59" s="538">
        <f>FI59</f>
        <v/>
      </c>
      <c r="FK59" s="538">
        <f>IF(OR(IB59="",FI59&lt;0.01),,VLOOKUP(IB59,$GL$10:$GM$406,2,FALSE)*FI59)</f>
        <v/>
      </c>
      <c r="FL59" s="538">
        <f>FI59-FK59</f>
        <v/>
      </c>
      <c r="FM59" s="538">
        <f>FL59</f>
        <v/>
      </c>
      <c r="FN59" s="538">
        <f>IF(FL59=0,0,VLOOKUP(C59,$HD$10:$HE$406,2,FALSE)*FL59)</f>
        <v/>
      </c>
      <c r="FO59" s="538">
        <f>FL59-FN59</f>
        <v/>
      </c>
      <c r="FP59" s="538">
        <f>IF(SUM(CY59:DC59)&gt;0,0,IF(AND(AL59&gt;=5000000,AL59&lt;7500000),FO59,0))</f>
        <v/>
      </c>
      <c r="FQ59" s="539">
        <f>IF(B59="",0,FP59*FP$6*(1-$U59))</f>
        <v/>
      </c>
      <c r="FR59" s="538">
        <f>FO59-FQ59</f>
        <v/>
      </c>
      <c r="FS59" s="538">
        <f>IF(SUM(CY59:DC59)&gt;0,0,IF(AL59&lt;15000000,FR59,0))</f>
        <v/>
      </c>
      <c r="FT59" s="539">
        <f>IF(B59="",0,FS59*FS$6*(1-$U59))</f>
        <v/>
      </c>
      <c r="FU59" s="538">
        <f>FR59-FT59</f>
        <v/>
      </c>
      <c r="FV59" s="538">
        <f>IF(SUM(CY59:DC59)&gt;0,0,IF(OR(AND(X59="No",AN59="Tier 1",AI59&gt;$AG$3),AND(X59="No",AN59="Tier 2",AI59&gt;$AH$3),AND(X59="No",AN59="Tier 3",AI59&gt;$AI$3)),FU59,0))</f>
        <v/>
      </c>
      <c r="FW59" s="538">
        <f>IF(SUM(CY59:DC59)&gt;0,0,IF(OR(AND(X59="No",AN59="Tier 1",AJ59&gt;$AG$4),AND(X59="No",AN59="Tier 2",AJ59&gt;$AH$4),AND(X59="No",AN59="Tier 3",AJ59&gt;$AI$4)),FU59,0))</f>
        <v/>
      </c>
      <c r="FX59" s="538">
        <f>IF(SUM(CY59:DC59)&gt;0,0,IF(OR(AND(X59="Yes",AN59="Tier 1",AJ59&gt;$AG$5),AND(X59="Yes",AN59="Tier 2",AJ59&gt;$AH$5),AND(X59="Yes",AN59="Tier 3",AJ59&gt;$AI$5)),FU59,0))</f>
        <v/>
      </c>
      <c r="FY59" s="538">
        <f>IF(SUM(FV59:FX59)&gt;0,FU59,0)</f>
        <v/>
      </c>
      <c r="FZ59" s="539">
        <f>IF(B59="",0,FY59*FV$6*(1-MIN(90%,T59)))</f>
        <v/>
      </c>
      <c r="GA59" s="538">
        <f>FU59-FZ59</f>
        <v/>
      </c>
      <c r="GB59" s="538">
        <f>IF(AND(N59="No",DI59=0),GA59,IF(AND(N59="No",DI59&lt;&gt;0,K59=0),0,IF(AND(N59="No",DI59&lt;&gt;0,K59&gt;0,J59&lt;&gt;K59),MAX(0,M59-(DH59-GA59)),DG59)))</f>
        <v/>
      </c>
      <c r="GC59" s="540">
        <f>+GB59*V59</f>
        <v/>
      </c>
      <c r="GD59" s="138">
        <f>IFERROR(GC59/K59,"")</f>
        <v/>
      </c>
      <c r="GE59" s="541">
        <f>IF(IB59="","",IB59)</f>
        <v/>
      </c>
      <c r="GF59" s="538">
        <f t="array" ref="GF59">IF(SUM(IF(IB$9:IB58=IB59,1,0))&gt;0,0,SUMIF($IB$10:$IB$406,IB59,$FI$10:$FI$406))</f>
        <v/>
      </c>
      <c r="GG59" s="270">
        <f>GF59</f>
        <v/>
      </c>
      <c r="GH59" s="137">
        <f>GH58+1</f>
        <v/>
      </c>
      <c r="GI59" s="542">
        <f>LARGE($GG$10:$GG$406,GH59)</f>
        <v/>
      </c>
      <c r="GJ59" s="542">
        <f>IF(GH59&gt;GH$6,0,IF(GH59=$GH$2,$GJ$2,IF(GH59&lt;4,$GJ$3,$GJ$4)))</f>
        <v/>
      </c>
      <c r="GK59" s="489">
        <f>MAX(0,GI59-GJ59)</f>
        <v/>
      </c>
      <c r="GL59" s="137">
        <f t="array" ref="GL59">IF(GI59=0,0,LARGE(IF($GF$10:$GF$406=GI59,$GE$10:$GE$406,0),COUNTIF($GI$10:$GI$406,GI59)-COUNTIF(GI$9:GI58,GI59)))</f>
        <v/>
      </c>
      <c r="GM59" s="272">
        <f>IF(GI59=0,0,GK59/GI59)</f>
        <v/>
      </c>
      <c r="GO59" s="137">
        <f>IF(C59="","",IF(ISERROR(MATCH(C59,C$10:C58,0)),MAX(GO$10:GO58)+1,INDEX(GO$10:GO58,MATCH(C59,C$10:C58,0))))</f>
        <v/>
      </c>
      <c r="GP59" s="538">
        <f>IF(COUNTIF($A$10:A59,A59)&lt;=1,SUMIF($A$10:$A$406,A59,$FG$10:$FG$406),0)</f>
        <v/>
      </c>
      <c r="GQ59" s="137">
        <f>GQ58+1</f>
        <v/>
      </c>
      <c r="GR59" s="542">
        <f>LARGE($GP$10:$GP$406,GQ59)</f>
        <v/>
      </c>
      <c r="GS59" s="542">
        <f>IF(GQ59&gt;GQ$6,0,IF(GQ59&lt;=GQ$2,GS$2,IF(AND(GQ59&lt;=$GQ$3,GQ59&gt;$GQ$2),GS$3,GS$4)))</f>
        <v/>
      </c>
      <c r="GT59" s="489">
        <f>MAX(0,GR59-GS59)</f>
        <v/>
      </c>
      <c r="GU59" s="137">
        <f t="array" ref="GU59">IF(GR59=0,0,LARGE(IF($GP$10:$GP$406=GR59,$GO$10:$GO$406,0),COUNTIF($GR$10:$GR$406,GR59)-COUNTIF(GR$9:GR58,GR59)))</f>
        <v/>
      </c>
      <c r="GV59" s="272">
        <f>IF(GR59=0,0,GT59/GR59)</f>
        <v/>
      </c>
      <c r="GW59" s="272" t="n"/>
      <c r="GX59" s="137">
        <f>IF(C59="","",IF(ISERROR(MATCH(C59,C$10:C58,0)),MAX(GO$10:GO58)+1,INDEX(GO$10:GO58,MATCH(C59,C$10:C58,0))))</f>
        <v/>
      </c>
      <c r="GY59" s="538">
        <f>IF(COUNTIF($A$10:A59,A59)&lt;=1,SUMIF($A$10:$A$406,A59,$FG$10:$FG$406),0)</f>
        <v/>
      </c>
      <c r="GZ59" s="137">
        <f>GZ58+1</f>
        <v/>
      </c>
      <c r="HA59" s="542">
        <f>LARGE($GY$10:$GY$406,GZ59)</f>
        <v/>
      </c>
      <c r="HB59" s="543" t="inlineStr">
        <is>
          <t>-</t>
        </is>
      </c>
      <c r="HC59" s="489">
        <f>IF(GZ59&lt;6,MAX(0,$HC$2/5),0)</f>
        <v/>
      </c>
      <c r="HD59" s="137">
        <f t="array" ref="HD59">IF(HA59=0,0,LARGE(IF($GY$10:$GY$406=HA59,$GX$10:$GX$406,0),COUNTIF($HA$10:$HA$406,HA59)-COUNTIF(HA$9:HA58,HA59)))</f>
        <v/>
      </c>
      <c r="HE59" s="272">
        <f>IF(HA59=0,0,HC59/HA59)</f>
        <v/>
      </c>
      <c r="HF59" s="272" t="n"/>
      <c r="HG59" s="270">
        <f>DG59-GA59</f>
        <v/>
      </c>
      <c r="HH59" s="544" t="n">
        <v>0</v>
      </c>
      <c r="HI59" s="538">
        <f>MIN(HH59,DE59)</f>
        <v/>
      </c>
      <c r="HK59" s="137">
        <f>IF(COUNTIF($C$10:$C$406,HK58+1),HK58+1,"")</f>
        <v/>
      </c>
      <c r="HL59" s="538">
        <f>SUMIF($C$10:$C$406,HK59,$DG$10:$DG$406)</f>
        <v/>
      </c>
      <c r="HN59" s="521">
        <f>MIN(HO59:HS59)</f>
        <v/>
      </c>
      <c r="HO59" s="521">
        <f>IF(B59="","",$M59)</f>
        <v/>
      </c>
      <c r="HP59" s="521">
        <f>IF($N59="Yes",IF(P59&gt;=6,0,MIN($T59*$M59,$U59*$M59)),"")</f>
        <v/>
      </c>
      <c r="HQ59" s="521">
        <f>IF(AND(N59="Yes",P59&gt;=6),"",IF($S59="Yes",$R59*$M59,""))</f>
        <v/>
      </c>
      <c r="HR59" s="521">
        <f>IF($Q59="Yes",MIN($M59,$T59*$M59),"")</f>
        <v/>
      </c>
      <c r="HS59" s="521">
        <f>IF(AND($N59="Yes",$P59&gt;=6),"",IF(OR(CY59=1,DC59=1,),MIN($T59*$M59,$U59*$M59),IF(OR(CZ59=1,DA59=1,DB59=1),IF(AK59&gt;=5000000,MIN($T59*$M59,$IE59*$M59),MIN($T59*$M59,$U59*$M59)),"")))</f>
        <v/>
      </c>
      <c r="HT59" s="521">
        <f>IF(DD59&gt;0,DD59,"")</f>
        <v/>
      </c>
      <c r="HU59" s="522">
        <f>IF(B59="",0,$L59-$M59)</f>
        <v/>
      </c>
      <c r="HV59" s="274">
        <f>IF(OR(SUM(HP59:HT59)&gt;0,P59&gt;=6),"",IF($B59="","",1))</f>
        <v/>
      </c>
      <c r="HW59" s="522">
        <f>IF(AND($HT59&lt;&gt;0,OR(HT59&lt;=MIN(HP59:HS59),SUM(HP59:HS59)=0)),$HT59,0)</f>
        <v/>
      </c>
      <c r="HX59" s="522">
        <f>IF(AND($HS59&lt;&gt;0,OR(AND($HS59&lt;&gt;$HT59,$HS59&lt;&gt;$HR59,$HS59&lt;&gt;$HQ59,$HS59&lt;&gt;$HP59,$HS59&lt;MIN($HP59:$HR59),$HS59&lt;HT59),SUM($HP59:$HR59)+SUM(HT59)=0),IA59&lt;=0),$HS59,0)</f>
        <v/>
      </c>
      <c r="HY59" s="522">
        <f>IF(AND($HR59&lt;&gt;0,OR(AND($HR59&lt;&gt;$HT59,$HR59&lt;&gt;$HS59,$HR59&lt;&gt;$HQ59,$HR59&lt;&gt;$HP59),$HR59&lt;MIN($HP59:$HQ59),$HR59&lt;MIN($HS59:$HT59),SUM($HP59:$HQ59)+SUM($HS59:$HT59)=0)),$HR59,0)</f>
        <v/>
      </c>
      <c r="HZ59" s="522">
        <f>IF(AND($HQ59&lt;&gt;0,OR(AND($HQ59&lt;&gt;$HT59,HQ59&lt;&gt;HS59,HQ59&lt;&gt;HR59,HQ59&lt;&gt;HP59,HQ59&lt;MIN(HR59:HT59)),SUM(HP59)+SUM(HR59:HT59)=0)),$HQ59,0)</f>
        <v/>
      </c>
      <c r="IA59" s="522">
        <f>IF(AND($HP59&lt;&gt;0,OR(HP59&lt;=MIN(HQ59:HT59),SUM(HQ59:HT59)=0)),$HP59,0)</f>
        <v/>
      </c>
      <c r="IB59" s="545" t="n">
        <v>19</v>
      </c>
      <c r="IC59">
        <f>HU59=DF59</f>
        <v/>
      </c>
      <c r="IE59" s="351">
        <f>IF(B59="","",IF(AND(Y59="Second Lien",OR(CZ59=1,DA59=1,DB59=1)),50%,IF(CZ59=1,90%,IF(DA59=1,80%,IF(DB59=1,65%,"No Initial Haircut")))))</f>
        <v/>
      </c>
    </row>
    <row r="60">
      <c r="A60">
        <f>D60</f>
        <v/>
      </c>
      <c r="B60" s="242">
        <f>IF(D60="","",B59+1)</f>
        <v/>
      </c>
      <c r="C60" s="242">
        <f>IF(COUNTIF($A$10:A59,A60)&gt;0,C59,C59+1)</f>
        <v/>
      </c>
      <c r="D60" s="243" t="inlineStr">
        <is>
          <t>Bluewater Industries, Inc.</t>
        </is>
      </c>
      <c r="E60" s="243" t="inlineStr">
        <is>
          <t>Bluewater (Term Loan)</t>
        </is>
      </c>
      <c r="F60" s="244" t="n"/>
      <c r="G60" s="528" t="n">
        <v>4530808.259999999</v>
      </c>
      <c r="H60" s="528" t="n">
        <v>4530808.259999999</v>
      </c>
      <c r="I60" s="246" t="n">
        <v>1</v>
      </c>
      <c r="J60" s="529">
        <f>IF(B60="","",G60*I60)</f>
        <v/>
      </c>
      <c r="K60" s="529">
        <f>IF(B60="","",H60*I60)</f>
        <v/>
      </c>
      <c r="L60" s="529">
        <f>IF(B60="","",IF(COUNTIF($CE60:$CX60,1)&gt;0,0,J60))</f>
        <v/>
      </c>
      <c r="M60" s="529">
        <f>IF(B60="","",IF(COUNTIF($CE60:$CX60,1)&gt;0,0,K60))</f>
        <v/>
      </c>
      <c r="N60" s="248" t="inlineStr">
        <is>
          <t>No</t>
        </is>
      </c>
      <c r="O60" s="248" t="inlineStr">
        <is>
          <t>N/A</t>
        </is>
      </c>
      <c r="P60" s="249">
        <f>IF(B60="","",IF(OR(O60="N/A",O60=""),0,YEARFRAC('Borrowing Base'!$J$4,'Loan List'!O60)*12))</f>
        <v/>
      </c>
      <c r="Q60" s="248" t="inlineStr">
        <is>
          <t>No</t>
        </is>
      </c>
      <c r="R60" s="250" t="n">
        <v>0.78</v>
      </c>
      <c r="S60" s="251">
        <f>IF(B60="","",IF(R60&lt;95%,"Yes","No"))</f>
        <v/>
      </c>
      <c r="T60" s="250" t="n">
        <v>0.8999999997956672</v>
      </c>
      <c r="U60" s="252">
        <f>IF(B60="","",IF(OR(Y60="First Lien",Y60="Split First Lien",Y60="Tier 1 Split Lien",Y60="Tier 2 Split Lien"),50%,30%))</f>
        <v/>
      </c>
      <c r="V60" s="252">
        <f>IF(B60="",0,IF(AND(Y60="First Lien",AN60="Tier 1"),IF(AND(X60="Yes",MIN(AH60,$AJ$5)&gt;4.5),(((4.5/MIN(AH60,$AJ$5))*72.5%)+(((MIN(AH60,$AJ$5)-4.5)/MIN(AH60,$AJ$5))*35%)),72.5%),IF(AND(Y60="First Lien",AN60="Tier 2"),IF(AND(X60="Yes",MIN(AH60,$AK$5)&gt;4.5),(((4.5/MIN(AH60,$AK$5))*72.5%)+(((MIN(AH60,$AK$5)-4.5)/MIN(AH60,$AK$5))*35%)),72.5%),IF(AND(X60="Yes",MIN(AH60,$AL$5)&gt;4),(((4/MIN(AH60,$AL$5))*72.5%)+(((MIN(AH60,$AL$5)-4)/MIN(AH60,$AL$5))*35%)),IF(OR(Y60="First Lien",Y60="Split First Lien"),72.5%,IF(Y60="Split Lien", 53%,35%))))))</f>
        <v/>
      </c>
      <c r="W60" s="530">
        <f>IF($C60="","",MIN($HO60:$HS60))</f>
        <v/>
      </c>
      <c r="X60" s="248" t="inlineStr">
        <is>
          <t>Yes</t>
        </is>
      </c>
      <c r="Y60" s="254" t="inlineStr">
        <is>
          <t>First Lien</t>
        </is>
      </c>
      <c r="Z60" s="254" t="inlineStr">
        <is>
          <t>Term</t>
        </is>
      </c>
      <c r="AA60" s="531" t="inlineStr">
        <is>
          <t>NR</t>
        </is>
      </c>
      <c r="AB60" s="531" t="inlineStr">
        <is>
          <t xml:space="preserve"> NR</t>
        </is>
      </c>
      <c r="AC60" s="532" t="n">
        <v>2.245981639997509</v>
      </c>
      <c r="AD60" s="532" t="n">
        <v>4.449999942278366</v>
      </c>
      <c r="AE60" s="532" t="n">
        <v>17.49722229407756</v>
      </c>
      <c r="AF60" s="257" t="n">
        <v>0.5374065997664349</v>
      </c>
      <c r="AG60" s="533" t="n">
        <v>4.449999942278366</v>
      </c>
      <c r="AH60" s="533" t="n">
        <v>4.449999942278366</v>
      </c>
      <c r="AI60" s="533" t="n">
        <v>17.49722229407756</v>
      </c>
      <c r="AJ60" s="533" t="n">
        <v>17.49722229407756</v>
      </c>
      <c r="AK60" s="534" t="n">
        <v>11685393.41</v>
      </c>
      <c r="AL60" s="534" t="n">
        <v>2787622.310000001</v>
      </c>
      <c r="AM60" s="276" t="n">
        <v>45838</v>
      </c>
      <c r="AN60" s="529">
        <f>IF(C60="","",(IF(AK60&gt;=50000000,"Tier 1",(IF(OR(AK60&gt;=20000000,AND(AK60&gt;5000000,AC60&gt;=1.25,AF60&lt;=0.65)),"Tier 2","Tier 3")))))</f>
        <v/>
      </c>
      <c r="AO60" s="244" t="n">
        <v>46633</v>
      </c>
      <c r="AP60" s="535" t="n">
        <v>2.091666666666667</v>
      </c>
      <c r="AQ60" s="535">
        <f>IF(C60="","",AP60)</f>
        <v/>
      </c>
      <c r="AR60" s="248" t="inlineStr">
        <is>
          <t>No</t>
        </is>
      </c>
      <c r="AS60" s="250" t="n">
        <v>0</v>
      </c>
      <c r="AT60" s="248" t="inlineStr">
        <is>
          <t>Yes</t>
        </is>
      </c>
      <c r="AU60" s="250" t="n">
        <v>0.01</v>
      </c>
      <c r="AV60" s="250" t="n">
        <v>0.0925</v>
      </c>
      <c r="AW60" s="250" t="n">
        <v>0.022956</v>
      </c>
      <c r="AX60" s="262">
        <f>IF(C60="","",MAX(AU60,AW60))</f>
        <v/>
      </c>
      <c r="AY60" s="250" t="n">
        <v>0</v>
      </c>
      <c r="AZ60" s="250" t="n">
        <v>0.075</v>
      </c>
      <c r="BA60" s="250" t="n">
        <v>0</v>
      </c>
      <c r="BB60" s="412">
        <f>IF(B60="","",IF(AR60="No",AV60-AZ60,""))</f>
        <v/>
      </c>
      <c r="BC60" s="412">
        <f>IF(B60="","",IF(AR60="Yes",AS60-BA60,""))</f>
        <v/>
      </c>
      <c r="BD60" s="254" t="inlineStr">
        <is>
          <t>Quarterly</t>
        </is>
      </c>
      <c r="BE60" s="536" t="inlineStr">
        <is>
          <t>Consumer Finance</t>
        </is>
      </c>
      <c r="BF60" s="254" t="inlineStr">
        <is>
          <t>USD</t>
        </is>
      </c>
      <c r="BG60" s="254" t="inlineStr">
        <is>
          <t>United States</t>
        </is>
      </c>
      <c r="BH60" s="248" t="inlineStr">
        <is>
          <t>No</t>
        </is>
      </c>
      <c r="BI60" s="413">
        <f>IF(B60="","",IF(OR(AND(AZ60&gt;0,BB60&gt;=2.5%,BB60&lt;4%),AND(BA60&gt;0,BC60&gt;=6%,BC60&lt;8%)),"Yes","No"))</f>
        <v/>
      </c>
      <c r="BJ60" s="413">
        <f>IF(B60="","",IF(OR(AND(AZ60&gt;0,BB60&lt;2.5%),AND(BA60&gt;0,BC60&lt;6%)),"Yes","No"))</f>
        <v/>
      </c>
      <c r="BK60" s="248" t="inlineStr">
        <is>
          <t>No</t>
        </is>
      </c>
      <c r="BL60" s="248" t="inlineStr">
        <is>
          <t>No</t>
        </is>
      </c>
      <c r="BM60" s="248" t="inlineStr">
        <is>
          <t>No</t>
        </is>
      </c>
      <c r="BN60" s="248" t="inlineStr">
        <is>
          <t>No</t>
        </is>
      </c>
      <c r="BO60" s="248" t="inlineStr">
        <is>
          <t>No</t>
        </is>
      </c>
      <c r="BP60" s="248" t="inlineStr">
        <is>
          <t>No</t>
        </is>
      </c>
      <c r="BQ60" s="248" t="inlineStr">
        <is>
          <t>No</t>
        </is>
      </c>
      <c r="BR60" s="248" t="inlineStr">
        <is>
          <t>No</t>
        </is>
      </c>
      <c r="BS60" s="248" t="inlineStr">
        <is>
          <t>No</t>
        </is>
      </c>
      <c r="BT60" s="248" t="inlineStr">
        <is>
          <t>No</t>
        </is>
      </c>
      <c r="BU60" s="248" t="inlineStr">
        <is>
          <t>No</t>
        </is>
      </c>
      <c r="BV60" s="248" t="inlineStr">
        <is>
          <t>No</t>
        </is>
      </c>
      <c r="BW60" s="248" t="inlineStr">
        <is>
          <t>No</t>
        </is>
      </c>
      <c r="BX60" s="248" t="inlineStr">
        <is>
          <t>No</t>
        </is>
      </c>
      <c r="BY60" s="248" t="inlineStr">
        <is>
          <t>No</t>
        </is>
      </c>
      <c r="BZ60" s="248" t="inlineStr">
        <is>
          <t>No</t>
        </is>
      </c>
      <c r="CA60" s="248" t="inlineStr">
        <is>
          <t>Yes</t>
        </is>
      </c>
      <c r="CB60" s="537">
        <f>IF(B60="","",IF(AT60="No",((BB60+AW60)-$AZ$4),((BB60+AX60)-$AZ$4))*IF(DD60&gt;0,0,M60))</f>
        <v/>
      </c>
      <c r="CC60" s="537">
        <f>IF(B60="","",AY60*(L60-M60)*IF(DD60&gt;0,0,1))</f>
        <v/>
      </c>
      <c r="CD60" s="265" t="n"/>
      <c r="CE60" s="265">
        <f>IF(AND(B60&lt;&gt;"",R60&lt;=85%),1,0)</f>
        <v/>
      </c>
      <c r="CF60" s="265">
        <f>IF(B60="",0,(IF(OR(BF60="USD",BF60="CAD",BF60="GBP",BF60="AUD",BF60="EUR"),0,1)))</f>
        <v/>
      </c>
      <c r="CG60" s="265">
        <f>IF(B60="",0,(IF(OR(BG60="United States",BG60="Canada",BG60="United Kingdom",BG60="Australia",BG60="Netherlands Antilles",BG60="Bermuda",BG60="Cayman Islands",BG60="British Virgin Islands",BG60="Channel Islands",BG60="Isle of Man",BG60="Australia",BG60="Netherlands",BG60="Germany",BG60="Sweden",BG60="Switzerland",BG60="Austria",BG60="Belgium",BG60="Denmark",BG60="Finland",BG60="Iceland",BG60="Ireland",BG60="Lichtenstein",BG60="Luxemborg",BG60="Norway"),0,1)))</f>
        <v/>
      </c>
      <c r="CH60" s="265">
        <f>IF(BN60="Yes",1,0)</f>
        <v/>
      </c>
      <c r="CI60" s="265">
        <f>IF(BO60="Yes",1,0)</f>
        <v/>
      </c>
      <c r="CJ60" s="265">
        <f>IF(BP60="Yes",1,0)</f>
        <v/>
      </c>
      <c r="CK60" s="265">
        <f>IF(BQ60="Yes",1,0)</f>
        <v/>
      </c>
      <c r="CL60" s="265">
        <f>IF(BR60="Yes",1,0)</f>
        <v/>
      </c>
      <c r="CM60" s="265">
        <f>IF(BS60="Yes",1,0)</f>
        <v/>
      </c>
      <c r="CN60" s="265">
        <f>IF(OR(AND(BJ60="Yes",N60="No"),AND(BJ60="Yes",N60="Yes",P60&gt;=6)),1,0)</f>
        <v/>
      </c>
      <c r="CO60" s="265">
        <f>IF(BT60="Yes",1,0)</f>
        <v/>
      </c>
      <c r="CP60" s="265">
        <f>IF(AND(BU60="Yes",BV60="No"),1,0)</f>
        <v/>
      </c>
      <c r="CQ60" s="265">
        <f>IF(BW60="Yes",1,0)</f>
        <v/>
      </c>
      <c r="CR60" s="265">
        <f>IF(AP60="",0,IF(AP60&gt;7,1,0))</f>
        <v/>
      </c>
      <c r="CS60" s="265">
        <f>IF(OR(BD60&lt;&gt;"Monthly",BD60&lt;&gt;"Quarterly",BD60&lt;&gt;"Semi-Annually"),0,1)</f>
        <v/>
      </c>
      <c r="CT60" s="265">
        <f>IF(BX60="Yes",1,0)</f>
        <v/>
      </c>
      <c r="CU60" s="265">
        <f>IF(BY60="Yes",1,0)</f>
        <v/>
      </c>
      <c r="CV60" s="265">
        <f>IF(BZ60="Yes",1,0)</f>
        <v/>
      </c>
      <c r="CW60" s="265">
        <f>IF(CA60="No",1,0)</f>
        <v/>
      </c>
      <c r="CX60" s="265">
        <f>IF(B60="",0,IF(AK60&gt;=5000000,0,1))</f>
        <v/>
      </c>
      <c r="CY60" s="265">
        <f>IF(B60="",0,IF(AL60&gt;=5000000,0,1))</f>
        <v/>
      </c>
      <c r="CZ60" s="265">
        <f>IF(OR(DA60=1,DB60=1,DC60=1),0,IF(B60="",0,IF(OR(AND(AN60="Tier 1",X60="No",OR(AI60&gt;$AJ$3,AJ60&gt;$AJ$4)),(AND(AN60="Tier 1",X60="Yes",AJ60&gt;$AJ$5)),(AND(AN60="Tier 2",X60="No",OR(AI60&gt;$AK$3,AJ60&gt;$AK$4))),(AND(AN60="Tier 2",X60="Yes",AJ60&gt;$AK$5)),(AND(AN60="Tier 3",X60="No",OR(AI60&gt;$AL$3,AJ60&gt;$AL$4))),(AND(AN60="Tier 3",X60="Yes",AJ60&gt;$AL$5))),1,0)))</f>
        <v/>
      </c>
      <c r="DA60" s="265">
        <f>IF(OR(DB60=1,DC60=1),0,IF(B60="",0,IF(OR(AND(AN60="Tier 1",X60="No",OR(AI60&gt;$AM$3,AJ60&gt;$AM$4)),(AND(AN60="Tier 1",X60="Yes",AJ60&gt;$AM$5)),(AND(AN60="Tier 2",X60="No",OR(AI60&gt;$AN$3,AJ60&gt;$AN$4))),(AND(AN60="Tier 2",X60="Yes",AJ60&gt;$AN$5)),(AND(AN60="Tier 3",X60="No",OR(AI60&gt;$AO$3,AJ60&gt;$AO$4))),(AND(AN60="Tier 3",X60="Yes",AJ60&gt;$AO$5))),1,0)))</f>
        <v/>
      </c>
      <c r="DB60" s="265">
        <f>IF(DC60=1,0,IF(B60="",0,IF(OR(AND(AN60="Tier 1",X60="No",OR(AI60&gt;$AP$3,AJ60&gt;$AP$4)),(AND(AN60="Tier 1",X60="Yes",AJ60&gt;$AP$5)),(AND(AN60="Tier 2",X60="No",OR(AI60&gt;$AQ$3,AJ60&gt;$AQ$4))),(AND(AN60="Tier 2",X60="Yes",AJ60&gt;$AQ$5)),(AND(AN60="Tier 3",X60="No",OR(AI60&gt;$AR$3,AJ60&gt;$AR$4))),(AND(AN60="Tier 3",X60="Yes",AJ60&gt;$AR$5))),1,0)))</f>
        <v/>
      </c>
      <c r="DC60" s="265">
        <f>IF(B60="",0,IF(OR(AND(AN60="Tier 1",X60="No",OR(AI60&gt;$AS$3,AJ60&gt;$AS$4)),(AND(AN60="Tier 1",X60="Yes",AJ60&gt;$AS$5)),(AND(AN60="Tier 2",X60="No",OR(AI60&gt;$AT$3,AJ60&gt;$AT$4))),(AND(AN60="Tier 2",X60="Yes",AJ60&gt;$AT$5)),(AND(AN60="Tier 3",X60="No",OR(AI60&gt;$AU$3,AJ60&gt;$AU$4))),(AND(AN60="Tier 3",X60="Yes",AJ60&gt;$AU$5))),1,0))</f>
        <v/>
      </c>
      <c r="DD60" s="265">
        <f>IF((SUM(CE60:CX60)=0),0,W60)</f>
        <v/>
      </c>
      <c r="DE60" s="265">
        <f>IF(OR(B60="",DD60&gt;0),0,W60)</f>
        <v/>
      </c>
      <c r="DF60" s="265">
        <f>IF(B60="",0,IF(COUNTIF(CE60:CX60,1)&gt;0,0,L60-M60))</f>
        <v/>
      </c>
      <c r="DG60" s="265">
        <f>DE60+IF(DD60&gt;0,0,DF60)</f>
        <v/>
      </c>
      <c r="DH60" s="265">
        <f>IF(B60="","",M60+DF60)</f>
        <v/>
      </c>
      <c r="DI60" s="265">
        <f>IF(B60="",0,J60-K60)</f>
        <v/>
      </c>
      <c r="DJ60" s="265">
        <f>IF(OR(BF60="EUR",BF60="CAD",BF60="GBP",BF60="AUD"),(GA60*(1-V60))+(HG60)+IF(HX60="",0,HX60*(1-U60)),0)</f>
        <v/>
      </c>
      <c r="DK60" s="265">
        <f>IF(BF60="EUR",33%,IF(BF60="CAD",38%,IF(BF60="GBP",51%,IF(BF60="AUD",61%,0))))</f>
        <v/>
      </c>
      <c r="DL60" s="265">
        <f>DJ60*DK60</f>
        <v/>
      </c>
      <c r="DN60" s="538">
        <f>IF(OR(Y60="Second Lien",Y60="Tier 1 Split Lien",Y60="Tier 2 Split Lien"),DG60,0)</f>
        <v/>
      </c>
      <c r="DO60" s="539">
        <f>DN60*DN$6</f>
        <v/>
      </c>
      <c r="DP60" s="538">
        <f>DG60-DO60</f>
        <v/>
      </c>
      <c r="DQ60" s="538">
        <f>IF(Y60="Second Lien",DP60,0)</f>
        <v/>
      </c>
      <c r="DR60" s="539">
        <f>DQ60*DQ$6</f>
        <v/>
      </c>
      <c r="DS60" s="538">
        <f>DP60-DR60</f>
        <v/>
      </c>
      <c r="DT60" s="538">
        <f>IF(BH60="Yes",DS60,0)</f>
        <v/>
      </c>
      <c r="DU60" s="539">
        <f>DT60*DT$6</f>
        <v/>
      </c>
      <c r="DV60" s="538">
        <f>DS60-DU60</f>
        <v/>
      </c>
      <c r="DW60" s="538">
        <f>IF(OR(BG60="Canada",BG60="United Kingdom",BG60="Australia",BG60="Netherlands Antilles",BG60="Bermuda",BG60="Cayman Islands",BG60="British Virgin Islands",BG60="Channel Islands",BG60="Isle of Man",BG60="Australia",BG60="Netherlands",BG60="Germany",BG60="Sweden",BG60="Switzerland",BG60="Austria",BG60="Belgium",BG60="Denmark",BG60="Finland",BG60="Iceland",BG60="Ireland",BG60="Lichtenstein",BG60="Luxemborg",BG60="Norway"),DV60,0)</f>
        <v/>
      </c>
      <c r="DX60" s="539">
        <f>DW60*DW$6</f>
        <v/>
      </c>
      <c r="DY60" s="538">
        <f>DV60-DX60</f>
        <v/>
      </c>
      <c r="DZ60" s="538">
        <f>IF(BI60="Yes",DY60,0)</f>
        <v/>
      </c>
      <c r="EA60" s="539">
        <f>DZ60*DZ$6</f>
        <v/>
      </c>
      <c r="EB60" s="538">
        <f>DY60-EA60</f>
        <v/>
      </c>
      <c r="EC60" s="538">
        <f>IF(OR(Z60="Delayed Draw",Z60="Revolver"),EB60,0)</f>
        <v/>
      </c>
      <c r="ED60" s="539">
        <f>EC60*EC$6</f>
        <v/>
      </c>
      <c r="EE60" s="538">
        <f>EB60-ED60</f>
        <v/>
      </c>
      <c r="EF60" s="538">
        <f>IF(S60="Yes",EE60,0)</f>
        <v/>
      </c>
      <c r="EG60" s="539">
        <f>EF60*EF$6</f>
        <v/>
      </c>
      <c r="EH60" s="538">
        <f>EE60-EG60</f>
        <v/>
      </c>
      <c r="EI60" s="538">
        <f>IF(Q60="Yes",EH60,0)</f>
        <v/>
      </c>
      <c r="EJ60" s="539">
        <f>EI60*EI$6</f>
        <v/>
      </c>
      <c r="EK60" s="538">
        <f>EH60-EJ60</f>
        <v/>
      </c>
      <c r="EL60" s="538">
        <f>IF(BD60="Semi-Annually",EK60,0)</f>
        <v/>
      </c>
      <c r="EM60" s="539">
        <f>EL60*EL$6</f>
        <v/>
      </c>
      <c r="EN60" s="538">
        <f>EK60-EM60</f>
        <v/>
      </c>
      <c r="EO60" s="538">
        <f>IF(BK60="Yes",EN60,0)</f>
        <v/>
      </c>
      <c r="EP60" s="539">
        <f>EO60*EO$6</f>
        <v/>
      </c>
      <c r="EQ60" s="538">
        <f>EN60-EP60</f>
        <v/>
      </c>
      <c r="ER60" s="538">
        <f>IF(BL60="Yes",EQ60,0)</f>
        <v/>
      </c>
      <c r="ES60" s="539">
        <f>ER60*ER$6</f>
        <v/>
      </c>
      <c r="ET60" s="538">
        <f>EQ60-ES60</f>
        <v/>
      </c>
      <c r="EU60" s="538">
        <f>IF(BM60="Yes",ET60,0)</f>
        <v/>
      </c>
      <c r="EV60" s="539">
        <f>EU60*EU$6</f>
        <v/>
      </c>
      <c r="EW60" s="538">
        <f>ET60-EV60</f>
        <v/>
      </c>
      <c r="EX60" s="538">
        <f>IF(BV60="Yes",EW60,0)</f>
        <v/>
      </c>
      <c r="EY60" s="539">
        <f>EX60*EX$6</f>
        <v/>
      </c>
      <c r="EZ60" s="538">
        <f>EW60-EY60</f>
        <v/>
      </c>
      <c r="FA60" s="538">
        <f>IF(AR60="Yes",EZ60,0)</f>
        <v/>
      </c>
      <c r="FB60" s="539">
        <f>FA60*FA$6</f>
        <v/>
      </c>
      <c r="FC60" s="538">
        <f>EZ60-FB60</f>
        <v/>
      </c>
      <c r="FD60" s="538">
        <f>IF(OR(BF60="EUR",BF60="AUD",BF60="CAD",BF60="GBP"),FC60,0)</f>
        <v/>
      </c>
      <c r="FE60" s="539">
        <f>FD60*FD$6</f>
        <v/>
      </c>
      <c r="FF60" s="538">
        <f>FC60-FE60</f>
        <v/>
      </c>
      <c r="FG60" s="538">
        <f>FF60</f>
        <v/>
      </c>
      <c r="FH60" s="538">
        <f>IF(FF60=0,0,VLOOKUP(C60,$GU$10:$GV$406,2,FALSE)*FF60)</f>
        <v/>
      </c>
      <c r="FI60" s="538">
        <f>FF60-FH60</f>
        <v/>
      </c>
      <c r="FJ60" s="538">
        <f>FI60</f>
        <v/>
      </c>
      <c r="FK60" s="538">
        <f>IF(OR(IB60="",FI60&lt;0.01),,VLOOKUP(IB60,$GL$10:$GM$406,2,FALSE)*FI60)</f>
        <v/>
      </c>
      <c r="FL60" s="538">
        <f>FI60-FK60</f>
        <v/>
      </c>
      <c r="FM60" s="538">
        <f>FL60</f>
        <v/>
      </c>
      <c r="FN60" s="538">
        <f>IF(FL60=0,0,VLOOKUP(C60,$HD$10:$HE$406,2,FALSE)*FL60)</f>
        <v/>
      </c>
      <c r="FO60" s="538">
        <f>FL60-FN60</f>
        <v/>
      </c>
      <c r="FP60" s="538">
        <f>IF(SUM(CY60:DC60)&gt;0,0,IF(AND(AL60&gt;=5000000,AL60&lt;7500000),FO60,0))</f>
        <v/>
      </c>
      <c r="FQ60" s="539">
        <f>IF(B60="",0,FP60*FP$6*(1-$U60))</f>
        <v/>
      </c>
      <c r="FR60" s="538">
        <f>FO60-FQ60</f>
        <v/>
      </c>
      <c r="FS60" s="538">
        <f>IF(SUM(CY60:DC60)&gt;0,0,IF(AL60&lt;15000000,FR60,0))</f>
        <v/>
      </c>
      <c r="FT60" s="539">
        <f>IF(B60="",0,FS60*FS$6*(1-$U60))</f>
        <v/>
      </c>
      <c r="FU60" s="538">
        <f>FR60-FT60</f>
        <v/>
      </c>
      <c r="FV60" s="538">
        <f>IF(SUM(CY60:DC60)&gt;0,0,IF(OR(AND(X60="No",AN60="Tier 1",AI60&gt;$AG$3),AND(X60="No",AN60="Tier 2",AI60&gt;$AH$3),AND(X60="No",AN60="Tier 3",AI60&gt;$AI$3)),FU60,0))</f>
        <v/>
      </c>
      <c r="FW60" s="538">
        <f>IF(SUM(CY60:DC60)&gt;0,0,IF(OR(AND(X60="No",AN60="Tier 1",AJ60&gt;$AG$4),AND(X60="No",AN60="Tier 2",AJ60&gt;$AH$4),AND(X60="No",AN60="Tier 3",AJ60&gt;$AI$4)),FU60,0))</f>
        <v/>
      </c>
      <c r="FX60" s="538">
        <f>IF(SUM(CY60:DC60)&gt;0,0,IF(OR(AND(X60="Yes",AN60="Tier 1",AJ60&gt;$AG$5),AND(X60="Yes",AN60="Tier 2",AJ60&gt;$AH$5),AND(X60="Yes",AN60="Tier 3",AJ60&gt;$AI$5)),FU60,0))</f>
        <v/>
      </c>
      <c r="FY60" s="538">
        <f>IF(SUM(FV60:FX60)&gt;0,FU60,0)</f>
        <v/>
      </c>
      <c r="FZ60" s="539">
        <f>IF(B60="",0,FY60*FV$6*(1-MIN(90%,T60)))</f>
        <v/>
      </c>
      <c r="GA60" s="538">
        <f>FU60-FZ60</f>
        <v/>
      </c>
      <c r="GB60" s="538">
        <f>IF(AND(N60="No",DI60=0),GA60,IF(AND(N60="No",DI60&lt;&gt;0,K60=0),0,IF(AND(N60="No",DI60&lt;&gt;0,K60&gt;0,J60&lt;&gt;K60),MAX(0,M60-(DH60-GA60)),DG60)))</f>
        <v/>
      </c>
      <c r="GC60" s="540">
        <f>+GB60*V60</f>
        <v/>
      </c>
      <c r="GD60" s="138">
        <f>IFERROR(GC60/K60,"")</f>
        <v/>
      </c>
      <c r="GE60" s="541">
        <f>IF(IB60="","",IB60)</f>
        <v/>
      </c>
      <c r="GF60" s="538">
        <f t="array" ref="GF60">IF(SUM(IF(IB$9:IB59=IB60,1,0))&gt;0,0,SUMIF($IB$10:$IB$406,IB60,$FI$10:$FI$406))</f>
        <v/>
      </c>
      <c r="GG60" s="270">
        <f>GF60</f>
        <v/>
      </c>
      <c r="GH60" s="137">
        <f>GH59+1</f>
        <v/>
      </c>
      <c r="GI60" s="542">
        <f>LARGE($GG$10:$GG$406,GH60)</f>
        <v/>
      </c>
      <c r="GJ60" s="542">
        <f>IF(GH60&gt;GH$6,0,IF(GH60=$GH$2,$GJ$2,IF(GH60&lt;4,$GJ$3,$GJ$4)))</f>
        <v/>
      </c>
      <c r="GK60" s="489">
        <f>MAX(0,GI60-GJ60)</f>
        <v/>
      </c>
      <c r="GL60" s="137">
        <f t="array" ref="GL60">IF(GI60=0,0,LARGE(IF($GF$10:$GF$406=GI60,$GE$10:$GE$406,0),COUNTIF($GI$10:$GI$406,GI60)-COUNTIF(GI$9:GI59,GI60)))</f>
        <v/>
      </c>
      <c r="GM60" s="272">
        <f>IF(GI60=0,0,GK60/GI60)</f>
        <v/>
      </c>
      <c r="GO60" s="137">
        <f>IF(C60="","",IF(ISERROR(MATCH(C60,C$10:C59,0)),MAX(GO$10:GO59)+1,INDEX(GO$10:GO59,MATCH(C60,C$10:C59,0))))</f>
        <v/>
      </c>
      <c r="GP60" s="538">
        <f>IF(COUNTIF($A$10:A60,A60)&lt;=1,SUMIF($A$10:$A$406,A60,$FG$10:$FG$406),0)</f>
        <v/>
      </c>
      <c r="GQ60" s="137">
        <f>GQ59+1</f>
        <v/>
      </c>
      <c r="GR60" s="542">
        <f>LARGE($GP$10:$GP$406,GQ60)</f>
        <v/>
      </c>
      <c r="GS60" s="542">
        <f>IF(GQ60&gt;GQ$6,0,IF(GQ60&lt;=GQ$2,GS$2,IF(AND(GQ60&lt;=$GQ$3,GQ60&gt;$GQ$2),GS$3,GS$4)))</f>
        <v/>
      </c>
      <c r="GT60" s="489">
        <f>MAX(0,GR60-GS60)</f>
        <v/>
      </c>
      <c r="GU60" s="137">
        <f t="array" ref="GU60">IF(GR60=0,0,LARGE(IF($GP$10:$GP$406=GR60,$GO$10:$GO$406,0),COUNTIF($GR$10:$GR$406,GR60)-COUNTIF(GR$9:GR59,GR60)))</f>
        <v/>
      </c>
      <c r="GV60" s="272">
        <f>IF(GR60=0,0,GT60/GR60)</f>
        <v/>
      </c>
      <c r="GW60" s="272" t="n"/>
      <c r="GX60" s="137">
        <f>IF(C60="","",IF(ISERROR(MATCH(C60,C$10:C59,0)),MAX(GO$10:GO59)+1,INDEX(GO$10:GO59,MATCH(C60,C$10:C59,0))))</f>
        <v/>
      </c>
      <c r="GY60" s="538">
        <f>IF(COUNTIF($A$10:A60,A60)&lt;=1,SUMIF($A$10:$A$406,A60,$FG$10:$FG$406),0)</f>
        <v/>
      </c>
      <c r="GZ60" s="137">
        <f>GZ59+1</f>
        <v/>
      </c>
      <c r="HA60" s="542">
        <f>LARGE($GY$10:$GY$406,GZ60)</f>
        <v/>
      </c>
      <c r="HB60" s="543" t="inlineStr">
        <is>
          <t>-</t>
        </is>
      </c>
      <c r="HC60" s="489">
        <f>IF(GZ60&lt;6,MAX(0,$HC$2/5),0)</f>
        <v/>
      </c>
      <c r="HD60" s="137">
        <f t="array" ref="HD60">IF(HA60=0,0,LARGE(IF($GY$10:$GY$406=HA60,$GX$10:$GX$406,0),COUNTIF($HA$10:$HA$406,HA60)-COUNTIF(HA$9:HA59,HA60)))</f>
        <v/>
      </c>
      <c r="HE60" s="272">
        <f>IF(HA60=0,0,HC60/HA60)</f>
        <v/>
      </c>
      <c r="HF60" s="272" t="n"/>
      <c r="HG60" s="270">
        <f>DG60-GA60</f>
        <v/>
      </c>
      <c r="HH60" s="544" t="n">
        <v>0</v>
      </c>
      <c r="HI60" s="538">
        <f>MIN(HH60,DE60)</f>
        <v/>
      </c>
      <c r="HK60" s="137">
        <f>IF(COUNTIF($C$10:$C$406,HK59+1),HK59+1,"")</f>
        <v/>
      </c>
      <c r="HL60" s="538">
        <f>SUMIF($C$10:$C$406,HK60,$DG$10:$DG$406)</f>
        <v/>
      </c>
      <c r="HN60" s="521">
        <f>MIN(HO60:HS60)</f>
        <v/>
      </c>
      <c r="HO60" s="521">
        <f>IF(B60="","",$M60)</f>
        <v/>
      </c>
      <c r="HP60" s="521">
        <f>IF($N60="Yes",IF(P60&gt;=6,0,MIN($T60*$M60,$U60*$M60)),"")</f>
        <v/>
      </c>
      <c r="HQ60" s="521">
        <f>IF(AND(N60="Yes",P60&gt;=6),"",IF($S60="Yes",$R60*$M60,""))</f>
        <v/>
      </c>
      <c r="HR60" s="521">
        <f>IF($Q60="Yes",MIN($M60,$T60*$M60),"")</f>
        <v/>
      </c>
      <c r="HS60" s="521">
        <f>IF(AND($N60="Yes",$P60&gt;=6),"",IF(OR(CY60=1,DC60=1,),MIN($T60*$M60,$U60*$M60),IF(OR(CZ60=1,DA60=1,DB60=1),IF(AK60&gt;=5000000,MIN($T60*$M60,$IE60*$M60),MIN($T60*$M60,$U60*$M60)),"")))</f>
        <v/>
      </c>
      <c r="HT60" s="521">
        <f>IF(DD60&gt;0,DD60,"")</f>
        <v/>
      </c>
      <c r="HU60" s="522">
        <f>IF(B60="",0,$L60-$M60)</f>
        <v/>
      </c>
      <c r="HV60" s="274">
        <f>IF(OR(SUM(HP60:HT60)&gt;0,P60&gt;=6),"",IF($B60="","",1))</f>
        <v/>
      </c>
      <c r="HW60" s="522">
        <f>IF(AND($HT60&lt;&gt;0,OR(HT60&lt;=MIN(HP60:HS60),SUM(HP60:HS60)=0)),$HT60,0)</f>
        <v/>
      </c>
      <c r="HX60" s="522">
        <f>IF(AND($HS60&lt;&gt;0,OR(AND($HS60&lt;&gt;$HT60,$HS60&lt;&gt;$HR60,$HS60&lt;&gt;$HQ60,$HS60&lt;&gt;$HP60,$HS60&lt;MIN($HP60:$HR60),$HS60&lt;HT60),SUM($HP60:$HR60)+SUM(HT60)=0),IA60&lt;=0),$HS60,0)</f>
        <v/>
      </c>
      <c r="HY60" s="522">
        <f>IF(AND($HR60&lt;&gt;0,OR(AND($HR60&lt;&gt;$HT60,$HR60&lt;&gt;$HS60,$HR60&lt;&gt;$HQ60,$HR60&lt;&gt;$HP60),$HR60&lt;MIN($HP60:$HQ60),$HR60&lt;MIN($HS60:$HT60),SUM($HP60:$HQ60)+SUM($HS60:$HT60)=0)),$HR60,0)</f>
        <v/>
      </c>
      <c r="HZ60" s="522">
        <f>IF(AND($HQ60&lt;&gt;0,OR(AND($HQ60&lt;&gt;$HT60,HQ60&lt;&gt;HS60,HQ60&lt;&gt;HR60,HQ60&lt;&gt;HP60,HQ60&lt;MIN(HR60:HT60)),SUM(HP60)+SUM(HR60:HT60)=0)),$HQ60,0)</f>
        <v/>
      </c>
      <c r="IA60" s="522">
        <f>IF(AND($HP60&lt;&gt;0,OR(HP60&lt;=MIN(HQ60:HT60),SUM(HQ60:HT60)=0)),$HP60,0)</f>
        <v/>
      </c>
      <c r="IB60" s="545" t="n">
        <v>16</v>
      </c>
      <c r="IC60">
        <f>HU60=DF60</f>
        <v/>
      </c>
      <c r="IE60" s="351">
        <f>IF(B60="","",IF(AND(Y60="Second Lien",OR(CZ60=1,DA60=1,DB60=1)),50%,IF(CZ60=1,90%,IF(DA60=1,80%,IF(DB60=1,65%,"No Initial Haircut")))))</f>
        <v/>
      </c>
    </row>
    <row r="61">
      <c r="A61">
        <f>D61</f>
        <v/>
      </c>
      <c r="B61" s="242">
        <f>IF(D61="","",B60+1)</f>
        <v/>
      </c>
      <c r="C61" s="242">
        <f>IF(COUNTIF($A$10:A60,A61)&gt;0,C60,C60+1)</f>
        <v/>
      </c>
      <c r="D61" s="243" t="inlineStr">
        <is>
          <t>Ironwood Industries, Inc.</t>
        </is>
      </c>
      <c r="E61" s="243" t="inlineStr">
        <is>
          <t>Ironwood (TL)</t>
        </is>
      </c>
      <c r="F61" s="244" t="n"/>
      <c r="G61" s="528" t="n">
        <v>19771741.26</v>
      </c>
      <c r="H61" s="528" t="n">
        <v>19771741.26</v>
      </c>
      <c r="I61" s="246" t="n">
        <v>1</v>
      </c>
      <c r="J61" s="529">
        <f>IF(B61="","",G61*I61)</f>
        <v/>
      </c>
      <c r="K61" s="529">
        <f>IF(B61="","",H61*I61)</f>
        <v/>
      </c>
      <c r="L61" s="529">
        <f>IF(B61="","",IF(COUNTIF($CE61:$CX61,1)&gt;0,0,J61))</f>
        <v/>
      </c>
      <c r="M61" s="529">
        <f>IF(B61="","",IF(COUNTIF($CE61:$CX61,1)&gt;0,0,K61))</f>
        <v/>
      </c>
      <c r="N61" s="248" t="inlineStr">
        <is>
          <t>No</t>
        </is>
      </c>
      <c r="O61" s="248" t="inlineStr">
        <is>
          <t>N/A</t>
        </is>
      </c>
      <c r="P61" s="249">
        <f>IF(B61="","",IF(OR(O61="N/A",O61=""),0,YEARFRAC('Borrowing Base'!$J$4,'Loan List'!O61)*12))</f>
        <v/>
      </c>
      <c r="Q61" s="248" t="inlineStr">
        <is>
          <t>No</t>
        </is>
      </c>
      <c r="R61" s="250" t="n">
        <v>0.99125</v>
      </c>
      <c r="S61" s="251">
        <f>IF(B61="","",IF(R61&lt;95%,"Yes","No"))</f>
        <v/>
      </c>
      <c r="T61" s="250" t="n">
        <v>0.9840000000080922</v>
      </c>
      <c r="U61" s="252">
        <f>IF(B61="","",IF(OR(Y61="First Lien",Y61="Split First Lien",Y61="Tier 1 Split Lien",Y61="Tier 2 Split Lien"),50%,30%))</f>
        <v/>
      </c>
      <c r="V61" s="252">
        <f>IF(B61="",0,IF(AND(Y61="First Lien",AN61="Tier 1"),IF(AND(X61="Yes",MIN(AH61,$AJ$5)&gt;4.5),(((4.5/MIN(AH61,$AJ$5))*72.5%)+(((MIN(AH61,$AJ$5)-4.5)/MIN(AH61,$AJ$5))*35%)),72.5%),IF(AND(Y61="First Lien",AN61="Tier 2"),IF(AND(X61="Yes",MIN(AH61,$AK$5)&gt;4.5),(((4.5/MIN(AH61,$AK$5))*72.5%)+(((MIN(AH61,$AK$5)-4.5)/MIN(AH61,$AK$5))*35%)),72.5%),IF(AND(X61="Yes",MIN(AH61,$AL$5)&gt;4),(((4/MIN(AH61,$AL$5))*72.5%)+(((MIN(AH61,$AL$5)-4)/MIN(AH61,$AL$5))*35%)),IF(OR(Y61="First Lien",Y61="Split First Lien"),72.5%,IF(Y61="Split Lien", 53%,35%))))))</f>
        <v/>
      </c>
      <c r="W61" s="530">
        <f>IF($C61="","",MIN($HO61:$HS61))</f>
        <v/>
      </c>
      <c r="X61" s="248" t="inlineStr">
        <is>
          <t>No</t>
        </is>
      </c>
      <c r="Y61" s="254" t="inlineStr">
        <is>
          <t>First Lien</t>
        </is>
      </c>
      <c r="Z61" s="254" t="inlineStr">
        <is>
          <t>Term</t>
        </is>
      </c>
      <c r="AA61" s="531" t="inlineStr">
        <is>
          <t>NR</t>
        </is>
      </c>
      <c r="AB61" s="531" t="inlineStr">
        <is>
          <t xml:space="preserve"> NR</t>
        </is>
      </c>
      <c r="AC61" s="532" t="n">
        <v>1.87</v>
      </c>
      <c r="AD61" s="532" t="n">
        <v>2.81</v>
      </c>
      <c r="AE61" s="532" t="n">
        <v>5.496600234466588</v>
      </c>
      <c r="AF61" s="257" t="n">
        <v>0.198</v>
      </c>
      <c r="AG61" s="533" t="n">
        <v>2.81</v>
      </c>
      <c r="AH61" s="533" t="n">
        <v>2.81</v>
      </c>
      <c r="AI61" s="533" t="n">
        <v>4.895779601406799</v>
      </c>
      <c r="AJ61" s="533" t="n">
        <v>4.895779601406799</v>
      </c>
      <c r="AK61" s="534" t="n">
        <v>7151620.360803139</v>
      </c>
      <c r="AL61" s="534" t="n">
        <v>17060000</v>
      </c>
      <c r="AM61" s="276" t="n">
        <v>45838</v>
      </c>
      <c r="AN61" s="529">
        <f>IF(C61="","",(IF(AK61&gt;=50000000,"Tier 1",(IF(OR(AK61&gt;=20000000,AND(AK61&gt;5000000,AC61&gt;=1.25,AF61&lt;=0.65)),"Tier 2","Tier 3")))))</f>
        <v/>
      </c>
      <c r="AO61" s="244" t="n">
        <v>47469</v>
      </c>
      <c r="AP61" s="535" t="n">
        <v>4.380555555555556</v>
      </c>
      <c r="AQ61" s="535">
        <f>IF(C61="","",AP61)</f>
        <v/>
      </c>
      <c r="AR61" s="248" t="inlineStr">
        <is>
          <t>No</t>
        </is>
      </c>
      <c r="AS61" s="250" t="n">
        <v>0</v>
      </c>
      <c r="AT61" s="248" t="inlineStr">
        <is>
          <t>Yes</t>
        </is>
      </c>
      <c r="AU61" s="250" t="n">
        <v>0.01</v>
      </c>
      <c r="AV61" s="250" t="n">
        <v>0.0575</v>
      </c>
      <c r="AW61" s="250" t="n">
        <v>0.04316999999999999</v>
      </c>
      <c r="AX61" s="262">
        <f>IF(C61="","",MAX(AU61,AW61))</f>
        <v/>
      </c>
      <c r="AY61" s="250" t="n">
        <v>0</v>
      </c>
      <c r="AZ61" s="250" t="n">
        <v>0</v>
      </c>
      <c r="BA61" s="250" t="n">
        <v>0</v>
      </c>
      <c r="BB61" s="412">
        <f>IF(B61="","",IF(AR61="No",AV61-AZ61,""))</f>
        <v/>
      </c>
      <c r="BC61" s="412">
        <f>IF(B61="","",IF(AR61="Yes",AS61-BA61,""))</f>
        <v/>
      </c>
      <c r="BD61" s="254" t="inlineStr">
        <is>
          <t>Quarterly</t>
        </is>
      </c>
      <c r="BE61" s="536" t="inlineStr">
        <is>
          <t>Aerospace &amp; Defense</t>
        </is>
      </c>
      <c r="BF61" s="254" t="inlineStr">
        <is>
          <t>USD</t>
        </is>
      </c>
      <c r="BG61" s="254" t="inlineStr">
        <is>
          <t>United States</t>
        </is>
      </c>
      <c r="BH61" s="248" t="inlineStr">
        <is>
          <t>No</t>
        </is>
      </c>
      <c r="BI61" s="413">
        <f>IF(B61="","",IF(OR(AND(AZ61&gt;0,BB61&gt;=2.5%,BB61&lt;4%),AND(BA61&gt;0,BC61&gt;=6%,BC61&lt;8%)),"Yes","No"))</f>
        <v/>
      </c>
      <c r="BJ61" s="413">
        <f>IF(B61="","",IF(OR(AND(AZ61&gt;0,BB61&lt;2.5%),AND(BA61&gt;0,BC61&lt;6%)),"Yes","No"))</f>
        <v/>
      </c>
      <c r="BK61" s="248" t="inlineStr">
        <is>
          <t>No</t>
        </is>
      </c>
      <c r="BL61" s="248" t="inlineStr">
        <is>
          <t>No</t>
        </is>
      </c>
      <c r="BM61" s="248" t="inlineStr">
        <is>
          <t>No</t>
        </is>
      </c>
      <c r="BN61" s="248" t="inlineStr">
        <is>
          <t>No</t>
        </is>
      </c>
      <c r="BO61" s="248" t="inlineStr">
        <is>
          <t>No</t>
        </is>
      </c>
      <c r="BP61" s="248" t="inlineStr">
        <is>
          <t>No</t>
        </is>
      </c>
      <c r="BQ61" s="248" t="inlineStr">
        <is>
          <t>No</t>
        </is>
      </c>
      <c r="BR61" s="248" t="inlineStr">
        <is>
          <t>No</t>
        </is>
      </c>
      <c r="BS61" s="248" t="inlineStr">
        <is>
          <t>No</t>
        </is>
      </c>
      <c r="BT61" s="248" t="inlineStr">
        <is>
          <t>No</t>
        </is>
      </c>
      <c r="BU61" s="248" t="inlineStr">
        <is>
          <t>No</t>
        </is>
      </c>
      <c r="BV61" s="248" t="inlineStr">
        <is>
          <t>No</t>
        </is>
      </c>
      <c r="BW61" s="248" t="inlineStr">
        <is>
          <t>No</t>
        </is>
      </c>
      <c r="BX61" s="248" t="inlineStr">
        <is>
          <t>No</t>
        </is>
      </c>
      <c r="BY61" s="248" t="inlineStr">
        <is>
          <t>No</t>
        </is>
      </c>
      <c r="BZ61" s="248" t="inlineStr">
        <is>
          <t>No</t>
        </is>
      </c>
      <c r="CA61" s="248" t="inlineStr">
        <is>
          <t>Yes</t>
        </is>
      </c>
      <c r="CB61" s="537">
        <f>IF(B61="","",IF(AT61="No",((BB61+AW61)-$AZ$4),((BB61+AX61)-$AZ$4))*IF(DD61&gt;0,0,M61))</f>
        <v/>
      </c>
      <c r="CC61" s="537">
        <f>IF(B61="","",AY61*(L61-M61)*IF(DD61&gt;0,0,1))</f>
        <v/>
      </c>
      <c r="CD61" s="265" t="n"/>
      <c r="CE61" s="265">
        <f>IF(AND(B61&lt;&gt;"",R61&lt;=85%),1,0)</f>
        <v/>
      </c>
      <c r="CF61" s="265">
        <f>IF(B61="",0,(IF(OR(BF61="USD",BF61="CAD",BF61="GBP",BF61="AUD",BF61="EUR"),0,1)))</f>
        <v/>
      </c>
      <c r="CG61" s="265">
        <f>IF(B61="",0,(IF(OR(BG61="United States",BG61="Canada",BG61="United Kingdom",BG61="Australia",BG61="Netherlands Antilles",BG61="Bermuda",BG61="Cayman Islands",BG61="British Virgin Islands",BG61="Channel Islands",BG61="Isle of Man",BG61="Australia",BG61="Netherlands",BG61="Germany",BG61="Sweden",BG61="Switzerland",BG61="Austria",BG61="Belgium",BG61="Denmark",BG61="Finland",BG61="Iceland",BG61="Ireland",BG61="Lichtenstein",BG61="Luxemborg",BG61="Norway"),0,1)))</f>
        <v/>
      </c>
      <c r="CH61" s="265">
        <f>IF(BN61="Yes",1,0)</f>
        <v/>
      </c>
      <c r="CI61" s="265">
        <f>IF(BO61="Yes",1,0)</f>
        <v/>
      </c>
      <c r="CJ61" s="265">
        <f>IF(BP61="Yes",1,0)</f>
        <v/>
      </c>
      <c r="CK61" s="265">
        <f>IF(BQ61="Yes",1,0)</f>
        <v/>
      </c>
      <c r="CL61" s="265">
        <f>IF(BR61="Yes",1,0)</f>
        <v/>
      </c>
      <c r="CM61" s="265">
        <f>IF(BS61="Yes",1,0)</f>
        <v/>
      </c>
      <c r="CN61" s="265">
        <f>IF(OR(AND(BJ61="Yes",N61="No"),AND(BJ61="Yes",N61="Yes",P61&gt;=6)),1,0)</f>
        <v/>
      </c>
      <c r="CO61" s="265">
        <f>IF(BT61="Yes",1,0)</f>
        <v/>
      </c>
      <c r="CP61" s="265">
        <f>IF(AND(BU61="Yes",BV61="No"),1,0)</f>
        <v/>
      </c>
      <c r="CQ61" s="265">
        <f>IF(BW61="Yes",1,0)</f>
        <v/>
      </c>
      <c r="CR61" s="265">
        <f>IF(AP61="",0,IF(AP61&gt;7,1,0))</f>
        <v/>
      </c>
      <c r="CS61" s="265">
        <f>IF(OR(BD61&lt;&gt;"Monthly",BD61&lt;&gt;"Quarterly",BD61&lt;&gt;"Semi-Annually"),0,1)</f>
        <v/>
      </c>
      <c r="CT61" s="265">
        <f>IF(BX61="Yes",1,0)</f>
        <v/>
      </c>
      <c r="CU61" s="265">
        <f>IF(BY61="Yes",1,0)</f>
        <v/>
      </c>
      <c r="CV61" s="265">
        <f>IF(BZ61="Yes",1,0)</f>
        <v/>
      </c>
      <c r="CW61" s="265">
        <f>IF(CA61="No",1,0)</f>
        <v/>
      </c>
      <c r="CX61" s="265">
        <f>IF(B61="",0,IF(AK61&gt;=5000000,0,1))</f>
        <v/>
      </c>
      <c r="CY61" s="265">
        <f>IF(B61="",0,IF(AL61&gt;=5000000,0,1))</f>
        <v/>
      </c>
      <c r="CZ61" s="265">
        <f>IF(OR(DA61=1,DB61=1,DC61=1),0,IF(B61="",0,IF(OR(AND(AN61="Tier 1",X61="No",OR(AI61&gt;$AJ$3,AJ61&gt;$AJ$4)),(AND(AN61="Tier 1",X61="Yes",AJ61&gt;$AJ$5)),(AND(AN61="Tier 2",X61="No",OR(AI61&gt;$AK$3,AJ61&gt;$AK$4))),(AND(AN61="Tier 2",X61="Yes",AJ61&gt;$AK$5)),(AND(AN61="Tier 3",X61="No",OR(AI61&gt;$AL$3,AJ61&gt;$AL$4))),(AND(AN61="Tier 3",X61="Yes",AJ61&gt;$AL$5))),1,0)))</f>
        <v/>
      </c>
      <c r="DA61" s="265">
        <f>IF(OR(DB61=1,DC61=1),0,IF(B61="",0,IF(OR(AND(AN61="Tier 1",X61="No",OR(AI61&gt;$AM$3,AJ61&gt;$AM$4)),(AND(AN61="Tier 1",X61="Yes",AJ61&gt;$AM$5)),(AND(AN61="Tier 2",X61="No",OR(AI61&gt;$AN$3,AJ61&gt;$AN$4))),(AND(AN61="Tier 2",X61="Yes",AJ61&gt;$AN$5)),(AND(AN61="Tier 3",X61="No",OR(AI61&gt;$AO$3,AJ61&gt;$AO$4))),(AND(AN61="Tier 3",X61="Yes",AJ61&gt;$AO$5))),1,0)))</f>
        <v/>
      </c>
      <c r="DB61" s="265">
        <f>IF(DC61=1,0,IF(B61="",0,IF(OR(AND(AN61="Tier 1",X61="No",OR(AI61&gt;$AP$3,AJ61&gt;$AP$4)),(AND(AN61="Tier 1",X61="Yes",AJ61&gt;$AP$5)),(AND(AN61="Tier 2",X61="No",OR(AI61&gt;$AQ$3,AJ61&gt;$AQ$4))),(AND(AN61="Tier 2",X61="Yes",AJ61&gt;$AQ$5)),(AND(AN61="Tier 3",X61="No",OR(AI61&gt;$AR$3,AJ61&gt;$AR$4))),(AND(AN61="Tier 3",X61="Yes",AJ61&gt;$AR$5))),1,0)))</f>
        <v/>
      </c>
      <c r="DC61" s="265">
        <f>IF(B61="",0,IF(OR(AND(AN61="Tier 1",X61="No",OR(AI61&gt;$AS$3,AJ61&gt;$AS$4)),(AND(AN61="Tier 1",X61="Yes",AJ61&gt;$AS$5)),(AND(AN61="Tier 2",X61="No",OR(AI61&gt;$AT$3,AJ61&gt;$AT$4))),(AND(AN61="Tier 2",X61="Yes",AJ61&gt;$AT$5)),(AND(AN61="Tier 3",X61="No",OR(AI61&gt;$AU$3,AJ61&gt;$AU$4))),(AND(AN61="Tier 3",X61="Yes",AJ61&gt;$AU$5))),1,0))</f>
        <v/>
      </c>
      <c r="DD61" s="265">
        <f>IF((SUM(CE61:CX61)=0),0,W61)</f>
        <v/>
      </c>
      <c r="DE61" s="265">
        <f>IF(OR(B61="",DD61&gt;0),0,W61)</f>
        <v/>
      </c>
      <c r="DF61" s="265">
        <f>IF(B61="",0,IF(COUNTIF(CE61:CX61,1)&gt;0,0,L61-M61))</f>
        <v/>
      </c>
      <c r="DG61" s="265">
        <f>DE61+IF(DD61&gt;0,0,DF61)</f>
        <v/>
      </c>
      <c r="DH61" s="265">
        <f>IF(B61="","",M61+DF61)</f>
        <v/>
      </c>
      <c r="DI61" s="265">
        <f>IF(B61="",0,J61-K61)</f>
        <v/>
      </c>
      <c r="DJ61" s="265">
        <f>IF(OR(BF61="EUR",BF61="CAD",BF61="GBP",BF61="AUD"),(GA61*(1-V61))+(HG61)+IF(HX61="",0,HX61*(1-U61)),0)</f>
        <v/>
      </c>
      <c r="DK61" s="265">
        <f>IF(BF61="EUR",33%,IF(BF61="CAD",38%,IF(BF61="GBP",51%,IF(BF61="AUD",61%,0))))</f>
        <v/>
      </c>
      <c r="DL61" s="265">
        <f>DJ61*DK61</f>
        <v/>
      </c>
      <c r="DN61" s="538">
        <f>IF(OR(Y61="Second Lien",Y61="Tier 1 Split Lien",Y61="Tier 2 Split Lien"),DG61,0)</f>
        <v/>
      </c>
      <c r="DO61" s="539">
        <f>DN61*DN$6</f>
        <v/>
      </c>
      <c r="DP61" s="538">
        <f>DG61-DO61</f>
        <v/>
      </c>
      <c r="DQ61" s="538">
        <f>IF(Y61="Second Lien",DP61,0)</f>
        <v/>
      </c>
      <c r="DR61" s="539">
        <f>DQ61*DQ$6</f>
        <v/>
      </c>
      <c r="DS61" s="538">
        <f>DP61-DR61</f>
        <v/>
      </c>
      <c r="DT61" s="538">
        <f>IF(BH61="Yes",DS61,0)</f>
        <v/>
      </c>
      <c r="DU61" s="539">
        <f>DT61*DT$6</f>
        <v/>
      </c>
      <c r="DV61" s="538">
        <f>DS61-DU61</f>
        <v/>
      </c>
      <c r="DW61" s="538">
        <f>IF(OR(BG61="Canada",BG61="United Kingdom",BG61="Australia",BG61="Netherlands Antilles",BG61="Bermuda",BG61="Cayman Islands",BG61="British Virgin Islands",BG61="Channel Islands",BG61="Isle of Man",BG61="Australia",BG61="Netherlands",BG61="Germany",BG61="Sweden",BG61="Switzerland",BG61="Austria",BG61="Belgium",BG61="Denmark",BG61="Finland",BG61="Iceland",BG61="Ireland",BG61="Lichtenstein",BG61="Luxemborg",BG61="Norway"),DV61,0)</f>
        <v/>
      </c>
      <c r="DX61" s="539">
        <f>DW61*DW$6</f>
        <v/>
      </c>
      <c r="DY61" s="538">
        <f>DV61-DX61</f>
        <v/>
      </c>
      <c r="DZ61" s="538">
        <f>IF(BI61="Yes",DY61,0)</f>
        <v/>
      </c>
      <c r="EA61" s="539">
        <f>DZ61*DZ$6</f>
        <v/>
      </c>
      <c r="EB61" s="538">
        <f>DY61-EA61</f>
        <v/>
      </c>
      <c r="EC61" s="538">
        <f>IF(OR(Z61="Delayed Draw",Z61="Revolver"),EB61,0)</f>
        <v/>
      </c>
      <c r="ED61" s="539">
        <f>EC61*EC$6</f>
        <v/>
      </c>
      <c r="EE61" s="538">
        <f>EB61-ED61</f>
        <v/>
      </c>
      <c r="EF61" s="538">
        <f>IF(S61="Yes",EE61,0)</f>
        <v/>
      </c>
      <c r="EG61" s="539">
        <f>EF61*EF$6</f>
        <v/>
      </c>
      <c r="EH61" s="538">
        <f>EE61-EG61</f>
        <v/>
      </c>
      <c r="EI61" s="538">
        <f>IF(Q61="Yes",EH61,0)</f>
        <v/>
      </c>
      <c r="EJ61" s="539">
        <f>EI61*EI$6</f>
        <v/>
      </c>
      <c r="EK61" s="538">
        <f>EH61-EJ61</f>
        <v/>
      </c>
      <c r="EL61" s="538">
        <f>IF(BD61="Semi-Annually",EK61,0)</f>
        <v/>
      </c>
      <c r="EM61" s="539">
        <f>EL61*EL$6</f>
        <v/>
      </c>
      <c r="EN61" s="538">
        <f>EK61-EM61</f>
        <v/>
      </c>
      <c r="EO61" s="538">
        <f>IF(BK61="Yes",EN61,0)</f>
        <v/>
      </c>
      <c r="EP61" s="539">
        <f>EO61*EO$6</f>
        <v/>
      </c>
      <c r="EQ61" s="538">
        <f>EN61-EP61</f>
        <v/>
      </c>
      <c r="ER61" s="538">
        <f>IF(BL61="Yes",EQ61,0)</f>
        <v/>
      </c>
      <c r="ES61" s="539">
        <f>ER61*ER$6</f>
        <v/>
      </c>
      <c r="ET61" s="538">
        <f>EQ61-ES61</f>
        <v/>
      </c>
      <c r="EU61" s="538">
        <f>IF(BM61="Yes",ET61,0)</f>
        <v/>
      </c>
      <c r="EV61" s="539">
        <f>EU61*EU$6</f>
        <v/>
      </c>
      <c r="EW61" s="538">
        <f>ET61-EV61</f>
        <v/>
      </c>
      <c r="EX61" s="538">
        <f>IF(BV61="Yes",EW61,0)</f>
        <v/>
      </c>
      <c r="EY61" s="539">
        <f>EX61*EX$6</f>
        <v/>
      </c>
      <c r="EZ61" s="538">
        <f>EW61-EY61</f>
        <v/>
      </c>
      <c r="FA61" s="538">
        <f>IF(AR61="Yes",EZ61,0)</f>
        <v/>
      </c>
      <c r="FB61" s="539">
        <f>FA61*FA$6</f>
        <v/>
      </c>
      <c r="FC61" s="538">
        <f>EZ61-FB61</f>
        <v/>
      </c>
      <c r="FD61" s="538">
        <f>IF(OR(BF61="EUR",BF61="AUD",BF61="CAD",BF61="GBP"),FC61,0)</f>
        <v/>
      </c>
      <c r="FE61" s="539">
        <f>FD61*FD$6</f>
        <v/>
      </c>
      <c r="FF61" s="538">
        <f>FC61-FE61</f>
        <v/>
      </c>
      <c r="FG61" s="538">
        <f>FF61</f>
        <v/>
      </c>
      <c r="FH61" s="538">
        <f>IF(FF61=0,0,VLOOKUP(C61,$GU$10:$GV$406,2,FALSE)*FF61)</f>
        <v/>
      </c>
      <c r="FI61" s="538">
        <f>FF61-FH61</f>
        <v/>
      </c>
      <c r="FJ61" s="538">
        <f>FI61</f>
        <v/>
      </c>
      <c r="FK61" s="538">
        <f>IF(OR(IB61="",FI61&lt;0.01),,VLOOKUP(IB61,$GL$10:$GM$406,2,FALSE)*FI61)</f>
        <v/>
      </c>
      <c r="FL61" s="538">
        <f>FI61-FK61</f>
        <v/>
      </c>
      <c r="FM61" s="538">
        <f>FL61</f>
        <v/>
      </c>
      <c r="FN61" s="538">
        <f>IF(FL61=0,0,VLOOKUP(C61,$HD$10:$HE$406,2,FALSE)*FL61)</f>
        <v/>
      </c>
      <c r="FO61" s="538">
        <f>FL61-FN61</f>
        <v/>
      </c>
      <c r="FP61" s="538">
        <f>IF(SUM(CY61:DC61)&gt;0,0,IF(AND(AL61&gt;=5000000,AL61&lt;7500000),FO61,0))</f>
        <v/>
      </c>
      <c r="FQ61" s="539">
        <f>IF(B61="",0,FP61*FP$6*(1-$U61))</f>
        <v/>
      </c>
      <c r="FR61" s="538">
        <f>FO61-FQ61</f>
        <v/>
      </c>
      <c r="FS61" s="538">
        <f>IF(SUM(CY61:DC61)&gt;0,0,IF(AL61&lt;15000000,FR61,0))</f>
        <v/>
      </c>
      <c r="FT61" s="539">
        <f>IF(B61="",0,FS61*FS$6*(1-$U61))</f>
        <v/>
      </c>
      <c r="FU61" s="538">
        <f>FR61-FT61</f>
        <v/>
      </c>
      <c r="FV61" s="538">
        <f>IF(SUM(CY61:DC61)&gt;0,0,IF(OR(AND(X61="No",AN61="Tier 1",AI61&gt;$AG$3),AND(X61="No",AN61="Tier 2",AI61&gt;$AH$3),AND(X61="No",AN61="Tier 3",AI61&gt;$AI$3)),FU61,0))</f>
        <v/>
      </c>
      <c r="FW61" s="538">
        <f>IF(SUM(CY61:DC61)&gt;0,0,IF(OR(AND(X61="No",AN61="Tier 1",AJ61&gt;$AG$4),AND(X61="No",AN61="Tier 2",AJ61&gt;$AH$4),AND(X61="No",AN61="Tier 3",AJ61&gt;$AI$4)),FU61,0))</f>
        <v/>
      </c>
      <c r="FX61" s="538">
        <f>IF(SUM(CY61:DC61)&gt;0,0,IF(OR(AND(X61="Yes",AN61="Tier 1",AJ61&gt;$AG$5),AND(X61="Yes",AN61="Tier 2",AJ61&gt;$AH$5),AND(X61="Yes",AN61="Tier 3",AJ61&gt;$AI$5)),FU61,0))</f>
        <v/>
      </c>
      <c r="FY61" s="538">
        <f>IF(SUM(FV61:FX61)&gt;0,FU61,0)</f>
        <v/>
      </c>
      <c r="FZ61" s="539">
        <f>IF(B61="",0,FY61*FV$6*(1-MIN(90%,T61)))</f>
        <v/>
      </c>
      <c r="GA61" s="538">
        <f>FU61-FZ61</f>
        <v/>
      </c>
      <c r="GB61" s="538">
        <f>IF(AND(N61="No",DI61=0),GA61,IF(AND(N61="No",DI61&lt;&gt;0,K61=0),0,IF(AND(N61="No",DI61&lt;&gt;0,K61&gt;0,J61&lt;&gt;K61),MAX(0,M61-(DH61-GA61)),DG61)))</f>
        <v/>
      </c>
      <c r="GC61" s="540">
        <f>+GB61*V61</f>
        <v/>
      </c>
      <c r="GD61" s="138">
        <f>IFERROR(GC61/K61,"")</f>
        <v/>
      </c>
      <c r="GE61" s="541">
        <f>IF(IB61="","",IB61)</f>
        <v/>
      </c>
      <c r="GF61" s="538">
        <f t="array" ref="GF61">IF(SUM(IF(IB$9:IB60=IB61,1,0))&gt;0,0,SUMIF($IB$10:$IB$406,IB61,$FI$10:$FI$406))</f>
        <v/>
      </c>
      <c r="GG61" s="270">
        <f>GF61</f>
        <v/>
      </c>
      <c r="GH61" s="137">
        <f>GH60+1</f>
        <v/>
      </c>
      <c r="GI61" s="542">
        <f>LARGE($GG$10:$GG$406,GH61)</f>
        <v/>
      </c>
      <c r="GJ61" s="542">
        <f>IF(GH61&gt;GH$6,0,IF(GH61=$GH$2,$GJ$2,IF(GH61&lt;4,$GJ$3,$GJ$4)))</f>
        <v/>
      </c>
      <c r="GK61" s="489">
        <f>MAX(0,GI61-GJ61)</f>
        <v/>
      </c>
      <c r="GL61" s="137">
        <f t="array" ref="GL61">IF(GI61=0,0,LARGE(IF($GF$10:$GF$406=GI61,$GE$10:$GE$406,0),COUNTIF($GI$10:$GI$406,GI61)-COUNTIF(GI$9:GI60,GI61)))</f>
        <v/>
      </c>
      <c r="GM61" s="272">
        <f>IF(GI61=0,0,GK61/GI61)</f>
        <v/>
      </c>
      <c r="GO61" s="137">
        <f>IF(C61="","",IF(ISERROR(MATCH(C61,C$10:C60,0)),MAX(GO$10:GO60)+1,INDEX(GO$10:GO60,MATCH(C61,C$10:C60,0))))</f>
        <v/>
      </c>
      <c r="GP61" s="538">
        <f>IF(COUNTIF($A$10:A61,A61)&lt;=1,SUMIF($A$10:$A$406,A61,$FG$10:$FG$406),0)</f>
        <v/>
      </c>
      <c r="GQ61" s="137">
        <f>GQ60+1</f>
        <v/>
      </c>
      <c r="GR61" s="542">
        <f>LARGE($GP$10:$GP$406,GQ61)</f>
        <v/>
      </c>
      <c r="GS61" s="542">
        <f>IF(GQ61&gt;GQ$6,0,IF(GQ61&lt;=GQ$2,GS$2,IF(AND(GQ61&lt;=$GQ$3,GQ61&gt;$GQ$2),GS$3,GS$4)))</f>
        <v/>
      </c>
      <c r="GT61" s="489">
        <f>MAX(0,GR61-GS61)</f>
        <v/>
      </c>
      <c r="GU61" s="137">
        <f t="array" ref="GU61">IF(GR61=0,0,LARGE(IF($GP$10:$GP$406=GR61,$GO$10:$GO$406,0),COUNTIF($GR$10:$GR$406,GR61)-COUNTIF(GR$9:GR60,GR61)))</f>
        <v/>
      </c>
      <c r="GV61" s="272">
        <f>IF(GR61=0,0,GT61/GR61)</f>
        <v/>
      </c>
      <c r="GW61" s="272" t="n"/>
      <c r="GX61" s="137">
        <f>IF(C61="","",IF(ISERROR(MATCH(C61,C$10:C60,0)),MAX(GO$10:GO60)+1,INDEX(GO$10:GO60,MATCH(C61,C$10:C60,0))))</f>
        <v/>
      </c>
      <c r="GY61" s="538">
        <f>IF(COUNTIF($A$10:A61,A61)&lt;=1,SUMIF($A$10:$A$406,A61,$FG$10:$FG$406),0)</f>
        <v/>
      </c>
      <c r="GZ61" s="137">
        <f>GZ60+1</f>
        <v/>
      </c>
      <c r="HA61" s="542">
        <f>LARGE($GY$10:$GY$406,GZ61)</f>
        <v/>
      </c>
      <c r="HB61" s="543" t="inlineStr">
        <is>
          <t>-</t>
        </is>
      </c>
      <c r="HC61" s="489">
        <f>IF(GZ61&lt;6,MAX(0,$HC$2/5),0)</f>
        <v/>
      </c>
      <c r="HD61" s="137">
        <f t="array" ref="HD61">IF(HA61=0,0,LARGE(IF($GY$10:$GY$406=HA61,$GX$10:$GX$406,0),COUNTIF($HA$10:$HA$406,HA61)-COUNTIF(HA$9:HA60,HA61)))</f>
        <v/>
      </c>
      <c r="HE61" s="272">
        <f>IF(HA61=0,0,HC61/HA61)</f>
        <v/>
      </c>
      <c r="HF61" s="272" t="n"/>
      <c r="HG61" s="270">
        <f>DG61-GA61</f>
        <v/>
      </c>
      <c r="HH61" s="544" t="n">
        <v>0</v>
      </c>
      <c r="HI61" s="538">
        <f>MIN(HH61,DE61)</f>
        <v/>
      </c>
      <c r="HK61" s="137">
        <f>IF(COUNTIF($C$10:$C$406,HK60+1),HK60+1,"")</f>
        <v/>
      </c>
      <c r="HL61" s="538">
        <f>SUMIF($C$10:$C$406,HK61,$DG$10:$DG$406)</f>
        <v/>
      </c>
      <c r="HN61" s="521">
        <f>MIN(HO61:HS61)</f>
        <v/>
      </c>
      <c r="HO61" s="521">
        <f>IF(B61="","",$M61)</f>
        <v/>
      </c>
      <c r="HP61" s="521">
        <f>IF($N61="Yes",IF(P61&gt;=6,0,MIN($T61*$M61,$U61*$M61)),"")</f>
        <v/>
      </c>
      <c r="HQ61" s="521">
        <f>IF(AND(N61="Yes",P61&gt;=6),"",IF($S61="Yes",$R61*$M61,""))</f>
        <v/>
      </c>
      <c r="HR61" s="521">
        <f>IF($Q61="Yes",MIN($M61,$T61*$M61),"")</f>
        <v/>
      </c>
      <c r="HS61" s="521">
        <f>IF(AND($N61="Yes",$P61&gt;=6),"",IF(OR(CY61=1,DC61=1,),MIN($T61*$M61,$U61*$M61),IF(OR(CZ61=1,DA61=1,DB61=1),IF(AK61&gt;=5000000,MIN($T61*$M61,$IE61*$M61),MIN($T61*$M61,$U61*$M61)),"")))</f>
        <v/>
      </c>
      <c r="HT61" s="521">
        <f>IF(DD61&gt;0,DD61,"")</f>
        <v/>
      </c>
      <c r="HU61" s="522">
        <f>IF(B61="",0,$L61-$M61)</f>
        <v/>
      </c>
      <c r="HV61" s="274">
        <f>IF(OR(SUM(HP61:HT61)&gt;0,P61&gt;=6),"",IF($B61="","",1))</f>
        <v/>
      </c>
      <c r="HW61" s="522">
        <f>IF(AND($HT61&lt;&gt;0,OR(HT61&lt;=MIN(HP61:HS61),SUM(HP61:HS61)=0)),$HT61,0)</f>
        <v/>
      </c>
      <c r="HX61" s="522">
        <f>IF(AND($HS61&lt;&gt;0,OR(AND($HS61&lt;&gt;$HT61,$HS61&lt;&gt;$HR61,$HS61&lt;&gt;$HQ61,$HS61&lt;&gt;$HP61,$HS61&lt;MIN($HP61:$HR61),$HS61&lt;HT61),SUM($HP61:$HR61)+SUM(HT61)=0),IA61&lt;=0),$HS61,0)</f>
        <v/>
      </c>
      <c r="HY61" s="522">
        <f>IF(AND($HR61&lt;&gt;0,OR(AND($HR61&lt;&gt;$HT61,$HR61&lt;&gt;$HS61,$HR61&lt;&gt;$HQ61,$HR61&lt;&gt;$HP61),$HR61&lt;MIN($HP61:$HQ61),$HR61&lt;MIN($HS61:$HT61),SUM($HP61:$HQ61)+SUM($HS61:$HT61)=0)),$HR61,0)</f>
        <v/>
      </c>
      <c r="HZ61" s="522">
        <f>IF(AND($HQ61&lt;&gt;0,OR(AND($HQ61&lt;&gt;$HT61,HQ61&lt;&gt;HS61,HQ61&lt;&gt;HR61,HQ61&lt;&gt;HP61,HQ61&lt;MIN(HR61:HT61)),SUM(HP61)+SUM(HR61:HT61)=0)),$HQ61,0)</f>
        <v/>
      </c>
      <c r="IA61" s="522">
        <f>IF(AND($HP61&lt;&gt;0,OR(HP61&lt;=MIN(HQ61:HT61),SUM(HQ61:HT61)=0)),$HP61,0)</f>
        <v/>
      </c>
      <c r="IB61" s="545" t="n">
        <v>1</v>
      </c>
      <c r="IC61">
        <f>HU61=DF61</f>
        <v/>
      </c>
      <c r="IE61" s="351">
        <f>IF(B61="","",IF(AND(Y61="Second Lien",OR(CZ61=1,DA61=1,DB61=1)),50%,IF(CZ61=1,90%,IF(DA61=1,80%,IF(DB61=1,65%,"No Initial Haircut")))))</f>
        <v/>
      </c>
    </row>
    <row r="62">
      <c r="A62" t="inlineStr">
        <is>
          <t>Output Services Group, Inc.</t>
        </is>
      </c>
      <c r="B62" s="242">
        <f>IF(D62="","",B61+1)</f>
        <v/>
      </c>
      <c r="C62" s="242">
        <f>IF(COUNTIF($A$10:A61,A62)&gt;0,C61,C61+1)</f>
        <v/>
      </c>
      <c r="D62" s="243" t="inlineStr">
        <is>
          <t>Silverline Industries, Inc.</t>
        </is>
      </c>
      <c r="E62" s="243" t="inlineStr">
        <is>
          <t>Silverline (TL1)</t>
        </is>
      </c>
      <c r="F62" s="244" t="n"/>
      <c r="G62" s="528" t="n">
        <v>521421.96</v>
      </c>
      <c r="H62" s="528" t="n">
        <v>521421.96</v>
      </c>
      <c r="I62" s="246" t="n">
        <v>1</v>
      </c>
      <c r="J62" s="529">
        <f>IF(B62="","",G62*I62)</f>
        <v/>
      </c>
      <c r="K62" s="529">
        <f>IF(B62="","",H62*I62)</f>
        <v/>
      </c>
      <c r="L62" s="529">
        <f>IF(B62="","",IF(COUNTIF($CE62:$CX62,1)&gt;0,0,J62))</f>
        <v/>
      </c>
      <c r="M62" s="529">
        <f>IF(B62="","",IF(COUNTIF($CE62:$CX62,1)&gt;0,0,K62))</f>
        <v/>
      </c>
      <c r="N62" s="248" t="inlineStr">
        <is>
          <t>No</t>
        </is>
      </c>
      <c r="O62" s="248" t="inlineStr">
        <is>
          <t>N/A</t>
        </is>
      </c>
      <c r="P62" s="249">
        <f>IF(B62="","",IF(OR(O62="N/A",O62=""),0,YEARFRAC('Borrowing Base'!$J$4,'Loan List'!O62)*12))</f>
        <v/>
      </c>
      <c r="Q62" s="248" t="inlineStr">
        <is>
          <t>No</t>
        </is>
      </c>
      <c r="R62" s="250" t="n">
        <v>1</v>
      </c>
      <c r="S62" s="251">
        <f>IF(B62="","",IF(R62&lt;95%,"Yes","No"))</f>
        <v/>
      </c>
      <c r="T62" s="250" t="n">
        <v>1</v>
      </c>
      <c r="U62" s="252">
        <f>IF(B62="","",IF(OR(Y62="First Lien",Y62="Split First Lien",Y62="Tier 1 Split Lien",Y62="Tier 2 Split Lien"),50%,30%))</f>
        <v/>
      </c>
      <c r="V62" s="252">
        <f>IF(B62="",0,IF(AND(Y62="First Lien",AN62="Tier 1"),IF(AND(X62="Yes",MIN(AH62,$AJ$5)&gt;4.5),(((4.5/MIN(AH62,$AJ$5))*72.5%)+(((MIN(AH62,$AJ$5)-4.5)/MIN(AH62,$AJ$5))*35%)),72.5%),IF(AND(Y62="First Lien",AN62="Tier 2"),IF(AND(X62="Yes",MIN(AH62,$AK$5)&gt;4.5),(((4.5/MIN(AH62,$AK$5))*72.5%)+(((MIN(AH62,$AK$5)-4.5)/MIN(AH62,$AK$5))*35%)),72.5%),IF(AND(X62="Yes",MIN(AH62,$AL$5)&gt;4),(((4/MIN(AH62,$AL$5))*72.5%)+(((MIN(AH62,$AL$5)-4)/MIN(AH62,$AL$5))*35%)),IF(OR(Y62="First Lien",Y62="Split First Lien"),72.5%,IF(Y62="Split Lien", 53%,35%))))))</f>
        <v/>
      </c>
      <c r="W62" s="530">
        <f>IF($C62="","",MIN($HO62:$HS62))</f>
        <v/>
      </c>
      <c r="X62" s="248" t="inlineStr">
        <is>
          <t>No</t>
        </is>
      </c>
      <c r="Y62" s="254" t="inlineStr">
        <is>
          <t>First Lien</t>
        </is>
      </c>
      <c r="Z62" s="254" t="inlineStr">
        <is>
          <t>Term</t>
        </is>
      </c>
      <c r="AA62" s="531" t="inlineStr">
        <is>
          <t>Caa1</t>
        </is>
      </c>
      <c r="AB62" s="531" t="inlineStr">
        <is>
          <t xml:space="preserve"> B</t>
        </is>
      </c>
      <c r="AC62" s="532" t="n">
        <v>1.3</v>
      </c>
      <c r="AD62" s="532" t="n">
        <v>5.206082382597207</v>
      </c>
      <c r="AE62" s="532" t="n">
        <v>3.49167211964687</v>
      </c>
      <c r="AF62" s="257" t="n">
        <v>0.7433999999999999</v>
      </c>
      <c r="AG62" s="533" t="n">
        <v>3.99</v>
      </c>
      <c r="AH62" s="533" t="n">
        <v>5.2</v>
      </c>
      <c r="AI62" s="533" t="n">
        <v>3.491390467164662</v>
      </c>
      <c r="AJ62" s="533" t="n">
        <v>3.491390467164662</v>
      </c>
      <c r="AK62" s="534" t="n">
        <v>52980000</v>
      </c>
      <c r="AL62" s="534" t="n">
        <v>50331825</v>
      </c>
      <c r="AM62" s="276" t="n">
        <v>45838</v>
      </c>
      <c r="AN62" s="529">
        <f>IF(C62="","",(IF(AK62&gt;=50000000,"Tier 1",(IF(OR(AK62&gt;=20000000,AND(AK62&gt;5000000,AC62&gt;=1.25,AF62&lt;=0.65)),"Tier 2","Tier 3")))))</f>
        <v/>
      </c>
      <c r="AO62" s="244" t="n">
        <v>47087</v>
      </c>
      <c r="AP62" s="535" t="n">
        <v>3.333333333333333</v>
      </c>
      <c r="AQ62" s="535">
        <f>IF(C62="","",AP62)</f>
        <v/>
      </c>
      <c r="AR62" s="248" t="inlineStr">
        <is>
          <t>No</t>
        </is>
      </c>
      <c r="AS62" s="250" t="n">
        <v>0</v>
      </c>
      <c r="AT62" s="248" t="inlineStr">
        <is>
          <t>No</t>
        </is>
      </c>
      <c r="AU62" s="250" t="inlineStr"/>
      <c r="AV62" s="250" t="n">
        <v>0.0842826</v>
      </c>
      <c r="AW62" s="250" t="n">
        <v>0.0428504</v>
      </c>
      <c r="AX62" s="262">
        <f>IF(C62="","",MAX(AU62,AW62))</f>
        <v/>
      </c>
      <c r="AY62" s="250" t="n">
        <v>0</v>
      </c>
      <c r="AZ62" s="250" t="n">
        <v>0</v>
      </c>
      <c r="BA62" s="250" t="n">
        <v>0</v>
      </c>
      <c r="BB62" s="412">
        <f>IF(B62="","",IF(AR62="No",AV62-AZ62,""))</f>
        <v/>
      </c>
      <c r="BC62" s="412">
        <f>IF(B62="","",IF(AR62="Yes",AS62-BA62,""))</f>
        <v/>
      </c>
      <c r="BD62" s="254" t="inlineStr">
        <is>
          <t>Monthly</t>
        </is>
      </c>
      <c r="BE62" s="536" t="inlineStr">
        <is>
          <t>Professional Services</t>
        </is>
      </c>
      <c r="BF62" s="254" t="inlineStr">
        <is>
          <t>USD</t>
        </is>
      </c>
      <c r="BG62" s="254" t="inlineStr">
        <is>
          <t>United States</t>
        </is>
      </c>
      <c r="BH62" s="248" t="inlineStr">
        <is>
          <t>No</t>
        </is>
      </c>
      <c r="BI62" s="413">
        <f>IF(B62="","",IF(OR(AND(AZ62&gt;0,BB62&gt;=2.5%,BB62&lt;4%),AND(BA62&gt;0,BC62&gt;=6%,BC62&lt;8%)),"Yes","No"))</f>
        <v/>
      </c>
      <c r="BJ62" s="413">
        <f>IF(B62="","",IF(OR(AND(AZ62&gt;0,BB62&lt;2.5%),AND(BA62&gt;0,BC62&lt;6%)),"Yes","No"))</f>
        <v/>
      </c>
      <c r="BK62" s="248" t="inlineStr">
        <is>
          <t>No</t>
        </is>
      </c>
      <c r="BL62" s="248" t="inlineStr">
        <is>
          <t>No</t>
        </is>
      </c>
      <c r="BM62" s="248" t="inlineStr">
        <is>
          <t>No</t>
        </is>
      </c>
      <c r="BN62" s="248" t="inlineStr">
        <is>
          <t>No</t>
        </is>
      </c>
      <c r="BO62" s="248" t="inlineStr">
        <is>
          <t>No</t>
        </is>
      </c>
      <c r="BP62" s="248" t="inlineStr">
        <is>
          <t>No</t>
        </is>
      </c>
      <c r="BQ62" s="248" t="inlineStr">
        <is>
          <t>No</t>
        </is>
      </c>
      <c r="BR62" s="248" t="inlineStr">
        <is>
          <t>No</t>
        </is>
      </c>
      <c r="BS62" s="248" t="inlineStr">
        <is>
          <t>No</t>
        </is>
      </c>
      <c r="BT62" s="248" t="inlineStr">
        <is>
          <t>No</t>
        </is>
      </c>
      <c r="BU62" s="248" t="inlineStr">
        <is>
          <t>No</t>
        </is>
      </c>
      <c r="BV62" s="248" t="inlineStr">
        <is>
          <t>No</t>
        </is>
      </c>
      <c r="BW62" s="248" t="inlineStr">
        <is>
          <t>No</t>
        </is>
      </c>
      <c r="BX62" s="248" t="inlineStr">
        <is>
          <t>No</t>
        </is>
      </c>
      <c r="BY62" s="248" t="inlineStr">
        <is>
          <t>No</t>
        </is>
      </c>
      <c r="BZ62" s="248" t="inlineStr">
        <is>
          <t>No</t>
        </is>
      </c>
      <c r="CA62" s="248" t="inlineStr">
        <is>
          <t>Yes</t>
        </is>
      </c>
      <c r="CB62" s="537">
        <f>IF(B62="","",IF(AT62="No",((BB62+AW62)-$AZ$4),((BB62+AX62)-$AZ$4))*IF(DD62&gt;0,0,M62))</f>
        <v/>
      </c>
      <c r="CC62" s="537">
        <f>IF(B62="","",AY62*(L62-M62)*IF(DD62&gt;0,0,1))</f>
        <v/>
      </c>
      <c r="CD62" s="265" t="n"/>
      <c r="CE62" s="265">
        <f>IF(AND(B62&lt;&gt;"",R62&lt;=85%),1,0)</f>
        <v/>
      </c>
      <c r="CF62" s="265">
        <f>IF(B62="",0,(IF(OR(BF62="USD",BF62="CAD",BF62="GBP",BF62="AUD",BF62="EUR"),0,1)))</f>
        <v/>
      </c>
      <c r="CG62" s="265">
        <f>IF(B62="",0,(IF(OR(BG62="United States",BG62="Canada",BG62="United Kingdom",BG62="Australia",BG62="Netherlands Antilles",BG62="Bermuda",BG62="Cayman Islands",BG62="British Virgin Islands",BG62="Channel Islands",BG62="Isle of Man",BG62="Australia",BG62="Netherlands",BG62="Germany",BG62="Sweden",BG62="Switzerland",BG62="Austria",BG62="Belgium",BG62="Denmark",BG62="Finland",BG62="Iceland",BG62="Ireland",BG62="Lichtenstein",BG62="Luxemborg",BG62="Norway"),0,1)))</f>
        <v/>
      </c>
      <c r="CH62" s="265">
        <f>IF(BN62="Yes",1,0)</f>
        <v/>
      </c>
      <c r="CI62" s="265">
        <f>IF(BO62="Yes",1,0)</f>
        <v/>
      </c>
      <c r="CJ62" s="265">
        <f>IF(BP62="Yes",1,0)</f>
        <v/>
      </c>
      <c r="CK62" s="265">
        <f>IF(BQ62="Yes",1,0)</f>
        <v/>
      </c>
      <c r="CL62" s="265">
        <f>IF(BR62="Yes",1,0)</f>
        <v/>
      </c>
      <c r="CM62" s="265">
        <f>IF(BS62="Yes",1,0)</f>
        <v/>
      </c>
      <c r="CN62" s="265">
        <f>IF(OR(AND(BJ62="Yes",N62="No"),AND(BJ62="Yes",N62="Yes",P62&gt;=6)),1,0)</f>
        <v/>
      </c>
      <c r="CO62" s="265">
        <f>IF(BT62="Yes",1,0)</f>
        <v/>
      </c>
      <c r="CP62" s="265">
        <f>IF(AND(BU62="Yes",BV62="No"),1,0)</f>
        <v/>
      </c>
      <c r="CQ62" s="265">
        <f>IF(BW62="Yes",1,0)</f>
        <v/>
      </c>
      <c r="CR62" s="265">
        <f>IF(AP62="",0,IF(AP62&gt;7,1,0))</f>
        <v/>
      </c>
      <c r="CS62" s="265">
        <f>IF(OR(BD62&lt;&gt;"Monthly",BD62&lt;&gt;"Quarterly",BD62&lt;&gt;"Semi-Annually"),0,1)</f>
        <v/>
      </c>
      <c r="CT62" s="265">
        <f>IF(BX62="Yes",1,0)</f>
        <v/>
      </c>
      <c r="CU62" s="265">
        <f>IF(BY62="Yes",1,0)</f>
        <v/>
      </c>
      <c r="CV62" s="265">
        <f>IF(BZ62="Yes",1,0)</f>
        <v/>
      </c>
      <c r="CW62" s="265">
        <f>IF(CA62="No",1,0)</f>
        <v/>
      </c>
      <c r="CX62" s="265">
        <f>IF(B62="",0,IF(AK62&gt;=5000000,0,1))</f>
        <v/>
      </c>
      <c r="CY62" s="265">
        <f>IF(B62="",0,IF(AL62&gt;=5000000,0,1))</f>
        <v/>
      </c>
      <c r="CZ62" s="265">
        <f>IF(OR(DA62=1,DB62=1,DC62=1),0,IF(B62="",0,IF(OR(AND(AN62="Tier 1",X62="No",OR(AI62&gt;$AJ$3,AJ62&gt;$AJ$4)),(AND(AN62="Tier 1",X62="Yes",AJ62&gt;$AJ$5)),(AND(AN62="Tier 2",X62="No",OR(AI62&gt;$AK$3,AJ62&gt;$AK$4))),(AND(AN62="Tier 2",X62="Yes",AJ62&gt;$AK$5)),(AND(AN62="Tier 3",X62="No",OR(AI62&gt;$AL$3,AJ62&gt;$AL$4))),(AND(AN62="Tier 3",X62="Yes",AJ62&gt;$AL$5))),1,0)))</f>
        <v/>
      </c>
      <c r="DA62" s="265">
        <f>IF(OR(DB62=1,DC62=1),0,IF(B62="",0,IF(OR(AND(AN62="Tier 1",X62="No",OR(AI62&gt;$AM$3,AJ62&gt;$AM$4)),(AND(AN62="Tier 1",X62="Yes",AJ62&gt;$AM$5)),(AND(AN62="Tier 2",X62="No",OR(AI62&gt;$AN$3,AJ62&gt;$AN$4))),(AND(AN62="Tier 2",X62="Yes",AJ62&gt;$AN$5)),(AND(AN62="Tier 3",X62="No",OR(AI62&gt;$AO$3,AJ62&gt;$AO$4))),(AND(AN62="Tier 3",X62="Yes",AJ62&gt;$AO$5))),1,0)))</f>
        <v/>
      </c>
      <c r="DB62" s="265">
        <f>IF(DC62=1,0,IF(B62="",0,IF(OR(AND(AN62="Tier 1",X62="No",OR(AI62&gt;$AP$3,AJ62&gt;$AP$4)),(AND(AN62="Tier 1",X62="Yes",AJ62&gt;$AP$5)),(AND(AN62="Tier 2",X62="No",OR(AI62&gt;$AQ$3,AJ62&gt;$AQ$4))),(AND(AN62="Tier 2",X62="Yes",AJ62&gt;$AQ$5)),(AND(AN62="Tier 3",X62="No",OR(AI62&gt;$AR$3,AJ62&gt;$AR$4))),(AND(AN62="Tier 3",X62="Yes",AJ62&gt;$AR$5))),1,0)))</f>
        <v/>
      </c>
      <c r="DC62" s="265">
        <f>IF(B62="",0,IF(OR(AND(AN62="Tier 1",X62="No",OR(AI62&gt;$AS$3,AJ62&gt;$AS$4)),(AND(AN62="Tier 1",X62="Yes",AJ62&gt;$AS$5)),(AND(AN62="Tier 2",X62="No",OR(AI62&gt;$AT$3,AJ62&gt;$AT$4))),(AND(AN62="Tier 2",X62="Yes",AJ62&gt;$AT$5)),(AND(AN62="Tier 3",X62="No",OR(AI62&gt;$AU$3,AJ62&gt;$AU$4))),(AND(AN62="Tier 3",X62="Yes",AJ62&gt;$AU$5))),1,0))</f>
        <v/>
      </c>
      <c r="DD62" s="265">
        <f>IF((SUM(CE62:CX62)=0),0,W62)</f>
        <v/>
      </c>
      <c r="DE62" s="265">
        <f>IF(OR(B62="",DD62&gt;0),0,W62)</f>
        <v/>
      </c>
      <c r="DF62" s="265">
        <f>IF(B62="",0,IF(COUNTIF(CE62:CX62,1)&gt;0,0,L62-M62))</f>
        <v/>
      </c>
      <c r="DG62" s="265">
        <f>DE62+IF(DD62&gt;0,0,DF62)</f>
        <v/>
      </c>
      <c r="DH62" s="265">
        <f>IF(B62="","",M62+DF62)</f>
        <v/>
      </c>
      <c r="DI62" s="265">
        <f>IF(B62="",0,J62-K62)</f>
        <v/>
      </c>
      <c r="DJ62" s="265">
        <f>IF(OR(BF62="EUR",BF62="CAD",BF62="GBP",BF62="AUD"),(GA62*(1-V62))+(HG62)+IF(HX62="",0,HX62*(1-U62)),0)</f>
        <v/>
      </c>
      <c r="DK62" s="265">
        <f>IF(BF62="EUR",33%,IF(BF62="CAD",38%,IF(BF62="GBP",51%,IF(BF62="AUD",61%,0))))</f>
        <v/>
      </c>
      <c r="DL62" s="265">
        <f>DJ62*DK62</f>
        <v/>
      </c>
      <c r="DN62" s="538">
        <f>IF(OR(Y62="Second Lien",Y62="Tier 1 Split Lien",Y62="Tier 2 Split Lien"),DG62,0)</f>
        <v/>
      </c>
      <c r="DO62" s="539">
        <f>DN62*DN$6</f>
        <v/>
      </c>
      <c r="DP62" s="538">
        <f>DG62-DO62</f>
        <v/>
      </c>
      <c r="DQ62" s="538">
        <f>IF(Y62="Second Lien",DP62,0)</f>
        <v/>
      </c>
      <c r="DR62" s="539">
        <f>DQ62*DQ$6</f>
        <v/>
      </c>
      <c r="DS62" s="538">
        <f>DP62-DR62</f>
        <v/>
      </c>
      <c r="DT62" s="538">
        <f>IF(BH62="Yes",DS62,0)</f>
        <v/>
      </c>
      <c r="DU62" s="539">
        <f>DT62*DT$6</f>
        <v/>
      </c>
      <c r="DV62" s="538">
        <f>DS62-DU62</f>
        <v/>
      </c>
      <c r="DW62" s="538">
        <f>IF(OR(BG62="Canada",BG62="United Kingdom",BG62="Australia",BG62="Netherlands Antilles",BG62="Bermuda",BG62="Cayman Islands",BG62="British Virgin Islands",BG62="Channel Islands",BG62="Isle of Man",BG62="Australia",BG62="Netherlands",BG62="Germany",BG62="Sweden",BG62="Switzerland",BG62="Austria",BG62="Belgium",BG62="Denmark",BG62="Finland",BG62="Iceland",BG62="Ireland",BG62="Lichtenstein",BG62="Luxemborg",BG62="Norway"),DV62,0)</f>
        <v/>
      </c>
      <c r="DX62" s="539">
        <f>DW62*DW$6</f>
        <v/>
      </c>
      <c r="DY62" s="538">
        <f>DV62-DX62</f>
        <v/>
      </c>
      <c r="DZ62" s="538">
        <f>IF(BI62="Yes",DY62,0)</f>
        <v/>
      </c>
      <c r="EA62" s="539">
        <f>DZ62*DZ$6</f>
        <v/>
      </c>
      <c r="EB62" s="538">
        <f>DY62-EA62</f>
        <v/>
      </c>
      <c r="EC62" s="538">
        <f>IF(OR(Z62="Delayed Draw",Z62="Revolver"),EB62,0)</f>
        <v/>
      </c>
      <c r="ED62" s="539">
        <f>EC62*EC$6</f>
        <v/>
      </c>
      <c r="EE62" s="538">
        <f>EB62-ED62</f>
        <v/>
      </c>
      <c r="EF62" s="538">
        <f>IF(S62="Yes",EE62,0)</f>
        <v/>
      </c>
      <c r="EG62" s="539">
        <f>EF62*EF$6</f>
        <v/>
      </c>
      <c r="EH62" s="538">
        <f>EE62-EG62</f>
        <v/>
      </c>
      <c r="EI62" s="538">
        <f>IF(Q62="Yes",EH62,0)</f>
        <v/>
      </c>
      <c r="EJ62" s="539">
        <f>EI62*EI$6</f>
        <v/>
      </c>
      <c r="EK62" s="538">
        <f>EH62-EJ62</f>
        <v/>
      </c>
      <c r="EL62" s="538">
        <f>IF(BD62="Semi-Annually",EK62,0)</f>
        <v/>
      </c>
      <c r="EM62" s="539">
        <f>EL62*EL$6</f>
        <v/>
      </c>
      <c r="EN62" s="538">
        <f>EK62-EM62</f>
        <v/>
      </c>
      <c r="EO62" s="538">
        <f>IF(BK62="Yes",EN62,0)</f>
        <v/>
      </c>
      <c r="EP62" s="539">
        <f>EO62*EO$6</f>
        <v/>
      </c>
      <c r="EQ62" s="538">
        <f>EN62-EP62</f>
        <v/>
      </c>
      <c r="ER62" s="538">
        <f>IF(BL62="Yes",EQ62,0)</f>
        <v/>
      </c>
      <c r="ES62" s="539">
        <f>ER62*ER$6</f>
        <v/>
      </c>
      <c r="ET62" s="538">
        <f>EQ62-ES62</f>
        <v/>
      </c>
      <c r="EU62" s="538">
        <f>IF(BM62="Yes",ET62,0)</f>
        <v/>
      </c>
      <c r="EV62" s="539">
        <f>EU62*EU$6</f>
        <v/>
      </c>
      <c r="EW62" s="538">
        <f>ET62-EV62</f>
        <v/>
      </c>
      <c r="EX62" s="538">
        <f>IF(BV62="Yes",EW62,0)</f>
        <v/>
      </c>
      <c r="EY62" s="539">
        <f>EX62*EX$6</f>
        <v/>
      </c>
      <c r="EZ62" s="538">
        <f>EW62-EY62</f>
        <v/>
      </c>
      <c r="FA62" s="538">
        <f>IF(AR62="Yes",EZ62,0)</f>
        <v/>
      </c>
      <c r="FB62" s="539">
        <f>FA62*FA$6</f>
        <v/>
      </c>
      <c r="FC62" s="538">
        <f>EZ62-FB62</f>
        <v/>
      </c>
      <c r="FD62" s="538">
        <f>IF(OR(BF62="EUR",BF62="AUD",BF62="CAD",BF62="GBP"),FC62,0)</f>
        <v/>
      </c>
      <c r="FE62" s="539">
        <f>FD62*FD$6</f>
        <v/>
      </c>
      <c r="FF62" s="538">
        <f>FC62-FE62</f>
        <v/>
      </c>
      <c r="FG62" s="538">
        <f>FF62</f>
        <v/>
      </c>
      <c r="FH62" s="538">
        <f>IF(FF62=0,0,VLOOKUP(C62,$GU$10:$GV$406,2,FALSE)*FF62)</f>
        <v/>
      </c>
      <c r="FI62" s="538">
        <f>FF62-FH62</f>
        <v/>
      </c>
      <c r="FJ62" s="538">
        <f>FI62</f>
        <v/>
      </c>
      <c r="FK62" s="538">
        <f>IF(OR(IB62="",FI62&lt;0.01),,VLOOKUP(IB62,$GL$10:$GM$406,2,FALSE)*FI62)</f>
        <v/>
      </c>
      <c r="FL62" s="538">
        <f>FI62-FK62</f>
        <v/>
      </c>
      <c r="FM62" s="538">
        <f>FL62</f>
        <v/>
      </c>
      <c r="FN62" s="538">
        <f>IF(FL62=0,0,VLOOKUP(C62,$HD$10:$HE$406,2,FALSE)*FL62)</f>
        <v/>
      </c>
      <c r="FO62" s="538">
        <f>FL62-FN62</f>
        <v/>
      </c>
      <c r="FP62" s="538">
        <f>IF(SUM(CY62:DC62)&gt;0,0,IF(AND(AL62&gt;=5000000,AL62&lt;7500000),FO62,0))</f>
        <v/>
      </c>
      <c r="FQ62" s="539">
        <f>IF(B62="",0,FP62*FP$6*(1-$U62))</f>
        <v/>
      </c>
      <c r="FR62" s="538">
        <f>FO62-FQ62</f>
        <v/>
      </c>
      <c r="FS62" s="538">
        <f>IF(SUM(CY62:DC62)&gt;0,0,IF(AL62&lt;15000000,FR62,0))</f>
        <v/>
      </c>
      <c r="FT62" s="539">
        <f>IF(B62="",0,FS62*FS$6*(1-$U62))</f>
        <v/>
      </c>
      <c r="FU62" s="538">
        <f>FR62-FT62</f>
        <v/>
      </c>
      <c r="FV62" s="538">
        <f>IF(SUM(CY62:DC62)&gt;0,0,IF(OR(AND(X62="No",AN62="Tier 1",AI62&gt;$AG$3),AND(X62="No",AN62="Tier 2",AI62&gt;$AH$3),AND(X62="No",AN62="Tier 3",AI62&gt;$AI$3)),FU62,0))</f>
        <v/>
      </c>
      <c r="FW62" s="538">
        <f>IF(SUM(CY62:DC62)&gt;0,0,IF(OR(AND(X62="No",AN62="Tier 1",AJ62&gt;$AG$4),AND(X62="No",AN62="Tier 2",AJ62&gt;$AH$4),AND(X62="No",AN62="Tier 3",AJ62&gt;$AI$4)),FU62,0))</f>
        <v/>
      </c>
      <c r="FX62" s="538">
        <f>IF(SUM(CY62:DC62)&gt;0,0,IF(OR(AND(X62="Yes",AN62="Tier 1",AJ62&gt;$AG$5),AND(X62="Yes",AN62="Tier 2",AJ62&gt;$AH$5),AND(X62="Yes",AN62="Tier 3",AJ62&gt;$AI$5)),FU62,0))</f>
        <v/>
      </c>
      <c r="FY62" s="538">
        <f>IF(SUM(FV62:FX62)&gt;0,FU62,0)</f>
        <v/>
      </c>
      <c r="FZ62" s="539">
        <f>IF(B62="",0,FY62*FV$6*(1-MIN(90%,T62)))</f>
        <v/>
      </c>
      <c r="GA62" s="538">
        <f>FU62-FZ62</f>
        <v/>
      </c>
      <c r="GB62" s="538">
        <f>IF(AND(N62="No",DI62=0),GA62,IF(AND(N62="No",DI62&lt;&gt;0,K62=0),0,IF(AND(N62="No",DI62&lt;&gt;0,K62&gt;0,J62&lt;&gt;K62),MAX(0,M62-(DH62-GA62)),DG62)))</f>
        <v/>
      </c>
      <c r="GC62" s="540">
        <f>+GB62*V62</f>
        <v/>
      </c>
      <c r="GD62" s="138">
        <f>IFERROR(GC62/K62,"")</f>
        <v/>
      </c>
      <c r="GE62" s="541">
        <f>IF(IB62="","",IB62)</f>
        <v/>
      </c>
      <c r="GF62" s="538">
        <f t="array" ref="GF62">IF(SUM(IF(IB$9:IB61=IB62,1,0))&gt;0,0,SUMIF($IB$10:$IB$406,IB62,$FI$10:$FI$406))</f>
        <v/>
      </c>
      <c r="GG62" s="270">
        <f>GF62</f>
        <v/>
      </c>
      <c r="GH62" s="137">
        <f>GH61+1</f>
        <v/>
      </c>
      <c r="GI62" s="542">
        <f>LARGE($GG$10:$GG$406,GH62)</f>
        <v/>
      </c>
      <c r="GJ62" s="542">
        <f>IF(GH62&gt;GH$6,0,IF(GH62=$GH$2,$GJ$2,IF(GH62&lt;4,$GJ$3,$GJ$4)))</f>
        <v/>
      </c>
      <c r="GK62" s="489">
        <f>MAX(0,GI62-GJ62)</f>
        <v/>
      </c>
      <c r="GL62" s="137">
        <f t="array" ref="GL62">IF(GI62=0,0,LARGE(IF($GF$10:$GF$406=GI62,$GE$10:$GE$406,0),COUNTIF($GI$10:$GI$406,GI62)-COUNTIF(GI$9:GI61,GI62)))</f>
        <v/>
      </c>
      <c r="GM62" s="272">
        <f>IF(GI62=0,0,GK62/GI62)</f>
        <v/>
      </c>
      <c r="GO62" s="137">
        <f>IF(C62="","",IF(ISERROR(MATCH(C62,C$10:C61,0)),MAX(GO$10:GO61)+1,INDEX(GO$10:GO61,MATCH(C62,C$10:C61,0))))</f>
        <v/>
      </c>
      <c r="GP62" s="538">
        <f>IF(COUNTIF($A$10:A62,A62)&lt;=1,SUMIF($A$10:$A$406,A62,$FG$10:$FG$406),0)</f>
        <v/>
      </c>
      <c r="GQ62" s="137">
        <f>GQ61+1</f>
        <v/>
      </c>
      <c r="GR62" s="542">
        <f>LARGE($GP$10:$GP$406,GQ62)</f>
        <v/>
      </c>
      <c r="GS62" s="542">
        <f>IF(GQ62&gt;GQ$6,0,IF(GQ62&lt;=GQ$2,GS$2,IF(AND(GQ62&lt;=$GQ$3,GQ62&gt;$GQ$2),GS$3,GS$4)))</f>
        <v/>
      </c>
      <c r="GT62" s="489">
        <f>MAX(0,GR62-GS62)</f>
        <v/>
      </c>
      <c r="GU62" s="137">
        <f t="array" ref="GU62">IF(GR62=0,0,LARGE(IF($GP$10:$GP$406=GR62,$GO$10:$GO$406,0),COUNTIF($GR$10:$GR$406,GR62)-COUNTIF(GR$9:GR61,GR62)))</f>
        <v/>
      </c>
      <c r="GV62" s="272">
        <f>IF(GR62=0,0,GT62/GR62)</f>
        <v/>
      </c>
      <c r="GW62" s="272" t="n"/>
      <c r="GX62" s="137">
        <f>IF(C62="","",IF(ISERROR(MATCH(C62,C$10:C61,0)),MAX(GO$10:GO61)+1,INDEX(GO$10:GO61,MATCH(C62,C$10:C61,0))))</f>
        <v/>
      </c>
      <c r="GY62" s="538">
        <f>IF(COUNTIF($A$10:A62,A62)&lt;=1,SUMIF($A$10:$A$406,A62,$FG$10:$FG$406),0)</f>
        <v/>
      </c>
      <c r="GZ62" s="137">
        <f>GZ61+1</f>
        <v/>
      </c>
      <c r="HA62" s="542">
        <f>LARGE($GY$10:$GY$406,GZ62)</f>
        <v/>
      </c>
      <c r="HB62" s="543" t="inlineStr">
        <is>
          <t>-</t>
        </is>
      </c>
      <c r="HC62" s="489">
        <f>IF(GZ62&lt;6,MAX(0,$HC$2/5),0)</f>
        <v/>
      </c>
      <c r="HD62" s="137">
        <f t="array" ref="HD62">IF(HA62=0,0,LARGE(IF($GY$10:$GY$406=HA62,$GX$10:$GX$406,0),COUNTIF($HA$10:$HA$406,HA62)-COUNTIF(HA$9:HA61,HA62)))</f>
        <v/>
      </c>
      <c r="HE62" s="272">
        <f>IF(HA62=0,0,HC62/HA62)</f>
        <v/>
      </c>
      <c r="HF62" s="272" t="n"/>
      <c r="HG62" s="270">
        <f>DG62-GA62</f>
        <v/>
      </c>
      <c r="HH62" s="544" t="n">
        <v>0</v>
      </c>
      <c r="HI62" s="538">
        <f>MIN(HH62,DE62)</f>
        <v/>
      </c>
      <c r="HK62" s="137">
        <f>IF(COUNTIF($C$10:$C$406,HK61+1),HK61+1,"")</f>
        <v/>
      </c>
      <c r="HL62" s="538">
        <f>SUMIF($C$10:$C$406,HK62,$DG$10:$DG$406)</f>
        <v/>
      </c>
      <c r="HN62" s="521">
        <f>MIN(HO62:HS62)</f>
        <v/>
      </c>
      <c r="HO62" s="521">
        <f>IF(B62="","",$M62)</f>
        <v/>
      </c>
      <c r="HP62" s="521">
        <f>IF($N62="Yes",IF(P62&gt;=6,0,MIN($T62*$M62,$U62*$M62)),"")</f>
        <v/>
      </c>
      <c r="HQ62" s="521">
        <f>IF(AND(N62="Yes",P62&gt;=6),"",IF($S62="Yes",$R62*$M62,""))</f>
        <v/>
      </c>
      <c r="HR62" s="521">
        <f>IF($Q62="Yes",MIN($M62,$T62*$M62),"")</f>
        <v/>
      </c>
      <c r="HS62" s="521">
        <f>IF(AND($N62="Yes",$P62&gt;=6),"",IF(OR(CY62=1,DC62=1,),MIN($T62*$M62,$U62*$M62),IF(OR(CZ62=1,DA62=1,DB62=1),IF(AK62&gt;=5000000,MIN($T62*$M62,$IE62*$M62),MIN($T62*$M62,$U62*$M62)),"")))</f>
        <v/>
      </c>
      <c r="HT62" s="521">
        <f>IF(DD62&gt;0,DD62,"")</f>
        <v/>
      </c>
      <c r="HU62" s="522">
        <f>IF(B62="",0,$L62-$M62)</f>
        <v/>
      </c>
      <c r="HV62" s="274">
        <f>IF(OR(SUM(HP62:HT62)&gt;0,P62&gt;=6),"",IF($B62="","",1))</f>
        <v/>
      </c>
      <c r="HW62" s="522">
        <f>IF(AND($HT62&lt;&gt;0,OR(HT62&lt;=MIN(HP62:HS62),SUM(HP62:HS62)=0)),$HT62,0)</f>
        <v/>
      </c>
      <c r="HX62" s="522">
        <f>IF(AND($HS62&lt;&gt;0,OR(AND($HS62&lt;&gt;$HT62,$HS62&lt;&gt;$HR62,$HS62&lt;&gt;$HQ62,$HS62&lt;&gt;$HP62,$HS62&lt;MIN($HP62:$HR62),$HS62&lt;HT62),SUM($HP62:$HR62)+SUM(HT62)=0),IA62&lt;=0),$HS62,0)</f>
        <v/>
      </c>
      <c r="HY62" s="522">
        <f>IF(AND($HR62&lt;&gt;0,OR(AND($HR62&lt;&gt;$HT62,$HR62&lt;&gt;$HS62,$HR62&lt;&gt;$HQ62,$HR62&lt;&gt;$HP62),$HR62&lt;MIN($HP62:$HQ62),$HR62&lt;MIN($HS62:$HT62),SUM($HP62:$HQ62)+SUM($HS62:$HT62)=0)),$HR62,0)</f>
        <v/>
      </c>
      <c r="HZ62" s="522">
        <f>IF(AND($HQ62&lt;&gt;0,OR(AND($HQ62&lt;&gt;$HT62,HQ62&lt;&gt;HS62,HQ62&lt;&gt;HR62,HQ62&lt;&gt;HP62,HQ62&lt;MIN(HR62:HT62)),SUM(HP62)+SUM(HR62:HT62)=0)),$HQ62,0)</f>
        <v/>
      </c>
      <c r="IA62" s="522">
        <f>IF(AND($HP62&lt;&gt;0,OR(HP62&lt;=MIN(HQ62:HT62),SUM(HQ62:HT62)=0)),$HP62,0)</f>
        <v/>
      </c>
      <c r="IB62" s="545" t="n">
        <v>55</v>
      </c>
      <c r="IC62">
        <f>HU62=DF62</f>
        <v/>
      </c>
      <c r="IE62" s="351">
        <f>IF(B62="","",IF(AND(Y62="Second Lien",OR(CZ62=1,DA62=1,DB62=1)),50%,IF(CZ62=1,90%,IF(DA62=1,80%,IF(DB62=1,65%,"No Initial Haircut")))))</f>
        <v/>
      </c>
    </row>
    <row r="63" customFormat="1" s="406">
      <c r="A63" s="406" t="inlineStr">
        <is>
          <t>Output Services Group, Inc.</t>
        </is>
      </c>
      <c r="B63" s="242">
        <f>IF(D63="","",B62+1)</f>
        <v/>
      </c>
      <c r="C63" s="242">
        <f>IF(COUNTIF($A$10:A62,A63)&gt;0,C62,C62+1)</f>
        <v/>
      </c>
      <c r="D63" s="243" t="inlineStr">
        <is>
          <t>Harborview Industries, Inc.</t>
        </is>
      </c>
      <c r="E63" s="243" t="inlineStr">
        <is>
          <t>Harborview (TL2)</t>
        </is>
      </c>
      <c r="F63" s="244" t="n"/>
      <c r="G63" s="528" t="n">
        <v>1057680.25</v>
      </c>
      <c r="H63" s="528" t="n">
        <v>1057680.25</v>
      </c>
      <c r="I63" s="246" t="n">
        <v>1</v>
      </c>
      <c r="J63" s="529">
        <f>IF(B63="","",G63*I63)</f>
        <v/>
      </c>
      <c r="K63" s="529">
        <f>IF(B63="","",H63*I63)</f>
        <v/>
      </c>
      <c r="L63" s="529">
        <f>IF(B63="","",IF(COUNTIF($CE63:$CX63,1)&gt;0,0,J63))</f>
        <v/>
      </c>
      <c r="M63" s="529">
        <f>IF(B63="","",IF(COUNTIF($CE63:$CX63,1)&gt;0,0,K63))</f>
        <v/>
      </c>
      <c r="N63" s="248" t="inlineStr">
        <is>
          <t>No</t>
        </is>
      </c>
      <c r="O63" s="248" t="inlineStr">
        <is>
          <t>N/A</t>
        </is>
      </c>
      <c r="P63" s="249">
        <f>IF(B63="","",IF(OR(O63="N/A",O63=""),0,YEARFRAC('Borrowing Base'!$J$4,'Loan List'!O63)*12))</f>
        <v/>
      </c>
      <c r="Q63" s="248" t="inlineStr">
        <is>
          <t>No</t>
        </is>
      </c>
      <c r="R63" s="250" t="n">
        <v>1</v>
      </c>
      <c r="S63" s="251">
        <f>IF(B63="","",IF(R63&lt;95%,"Yes","No"))</f>
        <v/>
      </c>
      <c r="T63" s="250" t="n">
        <v>1</v>
      </c>
      <c r="U63" s="252">
        <f>IF(B63="","",IF(OR(Y63="First Lien",Y63="Split First Lien",Y63="Tier 1 Split Lien",Y63="Tier 2 Split Lien"),50%,30%))</f>
        <v/>
      </c>
      <c r="V63" s="252">
        <f>IF(B63="",0,IF(AND(Y63="First Lien",AN63="Tier 1"),IF(AND(X63="Yes",MIN(AH63,$AJ$5)&gt;4.5),(((4.5/MIN(AH63,$AJ$5))*72.5%)+(((MIN(AH63,$AJ$5)-4.5)/MIN(AH63,$AJ$5))*35%)),72.5%),IF(AND(Y63="First Lien",AN63="Tier 2"),IF(AND(X63="Yes",MIN(AH63,$AK$5)&gt;4.5),(((4.5/MIN(AH63,$AK$5))*72.5%)+(((MIN(AH63,$AK$5)-4.5)/MIN(AH63,$AK$5))*35%)),72.5%),IF(AND(X63="Yes",MIN(AH63,$AL$5)&gt;4),(((4/MIN(AH63,$AL$5))*72.5%)+(((MIN(AH63,$AL$5)-4)/MIN(AH63,$AL$5))*35%)),IF(OR(Y63="First Lien",Y63="Split First Lien"),72.5%,IF(Y63="Split Lien", 53%,35%))))))</f>
        <v/>
      </c>
      <c r="W63" s="530">
        <f>IF($C63="","",MIN($HO63:$HS63))</f>
        <v/>
      </c>
      <c r="X63" s="248" t="inlineStr">
        <is>
          <t>No</t>
        </is>
      </c>
      <c r="Y63" s="254" t="inlineStr">
        <is>
          <t>First Lien</t>
        </is>
      </c>
      <c r="Z63" s="254" t="inlineStr">
        <is>
          <t>Term</t>
        </is>
      </c>
      <c r="AA63" s="531" t="inlineStr">
        <is>
          <t>Caa1</t>
        </is>
      </c>
      <c r="AB63" s="531" t="inlineStr">
        <is>
          <t xml:space="preserve"> B</t>
        </is>
      </c>
      <c r="AC63" s="532" t="n">
        <v>1.3</v>
      </c>
      <c r="AD63" s="532" t="n">
        <v>5.206082382597207</v>
      </c>
      <c r="AE63" s="532" t="n">
        <v>3.49167211964687</v>
      </c>
      <c r="AF63" s="257" t="n">
        <v>0.7433999999999999</v>
      </c>
      <c r="AG63" s="533" t="n">
        <v>3.99</v>
      </c>
      <c r="AH63" s="533" t="n">
        <v>5.2</v>
      </c>
      <c r="AI63" s="533" t="n">
        <v>3.491390467164662</v>
      </c>
      <c r="AJ63" s="533" t="n">
        <v>3.491390467164662</v>
      </c>
      <c r="AK63" s="534" t="n">
        <v>52980000</v>
      </c>
      <c r="AL63" s="534" t="n">
        <v>50331825</v>
      </c>
      <c r="AM63" s="276" t="n">
        <v>45838</v>
      </c>
      <c r="AN63" s="529">
        <f>IF(C63="","",(IF(AK63&gt;=50000000,"Tier 1",(IF(OR(AK63&gt;=20000000,AND(AK63&gt;5000000,AC63&gt;=1.25,AF63&lt;=0.65)),"Tier 2","Tier 3")))))</f>
        <v/>
      </c>
      <c r="AO63" s="244" t="n">
        <v>46903</v>
      </c>
      <c r="AP63" s="535" t="n">
        <v>2.833333333333333</v>
      </c>
      <c r="AQ63" s="535">
        <f>IF(C63="","",AP63)</f>
        <v/>
      </c>
      <c r="AR63" s="248" t="inlineStr">
        <is>
          <t>No</t>
        </is>
      </c>
      <c r="AS63" s="250" t="n">
        <v>0</v>
      </c>
      <c r="AT63" s="248" t="inlineStr">
        <is>
          <t>No</t>
        </is>
      </c>
      <c r="AU63" s="250" t="inlineStr"/>
      <c r="AV63" s="250" t="n">
        <v>0.0667826</v>
      </c>
      <c r="AW63" s="250" t="n">
        <v>0.04285040000000001</v>
      </c>
      <c r="AX63" s="262">
        <f>IF(C63="","",MAX(AU63,AW63))</f>
        <v/>
      </c>
      <c r="AY63" s="250" t="n">
        <v>0</v>
      </c>
      <c r="AZ63" s="250" t="n">
        <v>0</v>
      </c>
      <c r="BA63" s="250" t="n">
        <v>0</v>
      </c>
      <c r="BB63" s="412">
        <f>IF(B63="","",IF(AR63="No",AV63-AZ63,""))</f>
        <v/>
      </c>
      <c r="BC63" s="412">
        <f>IF(B63="","",IF(AR63="Yes",AS63-BA63,""))</f>
        <v/>
      </c>
      <c r="BD63" s="254" t="inlineStr">
        <is>
          <t>Monthly</t>
        </is>
      </c>
      <c r="BE63" s="536" t="inlineStr">
        <is>
          <t>Professional Services</t>
        </is>
      </c>
      <c r="BF63" s="254" t="inlineStr">
        <is>
          <t>USD</t>
        </is>
      </c>
      <c r="BG63" s="254" t="inlineStr">
        <is>
          <t>United States</t>
        </is>
      </c>
      <c r="BH63" s="248" t="inlineStr">
        <is>
          <t>No</t>
        </is>
      </c>
      <c r="BI63" s="413">
        <f>IF(B63="","",IF(OR(AND(AZ63&gt;0,BB63&gt;=2.5%,BB63&lt;4%),AND(BA63&gt;0,BC63&gt;=6%,BC63&lt;8%)),"Yes","No"))</f>
        <v/>
      </c>
      <c r="BJ63" s="413">
        <f>IF(B63="","",IF(OR(AND(AZ63&gt;0,BB63&lt;2.5%),AND(BA63&gt;0,BC63&lt;6%)),"Yes","No"))</f>
        <v/>
      </c>
      <c r="BK63" s="248" t="inlineStr">
        <is>
          <t>No</t>
        </is>
      </c>
      <c r="BL63" s="248" t="inlineStr">
        <is>
          <t>No</t>
        </is>
      </c>
      <c r="BM63" s="248" t="inlineStr">
        <is>
          <t>No</t>
        </is>
      </c>
      <c r="BN63" s="248" t="inlineStr">
        <is>
          <t>No</t>
        </is>
      </c>
      <c r="BO63" s="248" t="inlineStr">
        <is>
          <t>No</t>
        </is>
      </c>
      <c r="BP63" s="248" t="inlineStr">
        <is>
          <t>No</t>
        </is>
      </c>
      <c r="BQ63" s="248" t="inlineStr">
        <is>
          <t>No</t>
        </is>
      </c>
      <c r="BR63" s="248" t="inlineStr">
        <is>
          <t>No</t>
        </is>
      </c>
      <c r="BS63" s="248" t="inlineStr">
        <is>
          <t>No</t>
        </is>
      </c>
      <c r="BT63" s="248" t="inlineStr">
        <is>
          <t>No</t>
        </is>
      </c>
      <c r="BU63" s="248" t="inlineStr">
        <is>
          <t>No</t>
        </is>
      </c>
      <c r="BV63" s="248" t="inlineStr">
        <is>
          <t>No</t>
        </is>
      </c>
      <c r="BW63" s="248" t="inlineStr">
        <is>
          <t>No</t>
        </is>
      </c>
      <c r="BX63" s="248" t="inlineStr">
        <is>
          <t>No</t>
        </is>
      </c>
      <c r="BY63" s="248" t="inlineStr">
        <is>
          <t>No</t>
        </is>
      </c>
      <c r="BZ63" s="248" t="inlineStr">
        <is>
          <t>No</t>
        </is>
      </c>
      <c r="CA63" s="248" t="inlineStr">
        <is>
          <t>Yes</t>
        </is>
      </c>
      <c r="CB63" s="537">
        <f>IF(B63="","",IF(AT63="No",((BB63+AW63)-$AZ$4),((BB63+AX63)-$AZ$4))*IF(DD63&gt;0,0,M63))</f>
        <v/>
      </c>
      <c r="CC63" s="537">
        <f>IF(B63="","",AY63*(L63-M63)*IF(DD63&gt;0,0,1))</f>
        <v/>
      </c>
      <c r="CD63" s="265" t="n"/>
      <c r="CE63" s="265">
        <f>IF(AND(B63&lt;&gt;"",R63&lt;=85%),1,0)</f>
        <v/>
      </c>
      <c r="CF63" s="265">
        <f>IF(B63="",0,(IF(OR(BF63="USD",BF63="CAD",BF63="GBP",BF63="AUD",BF63="EUR"),0,1)))</f>
        <v/>
      </c>
      <c r="CG63" s="265">
        <f>IF(B63="",0,(IF(OR(BG63="United States",BG63="Canada",BG63="United Kingdom",BG63="Australia",BG63="Netherlands Antilles",BG63="Bermuda",BG63="Cayman Islands",BG63="British Virgin Islands",BG63="Channel Islands",BG63="Isle of Man",BG63="Australia",BG63="Netherlands",BG63="Germany",BG63="Sweden",BG63="Switzerland",BG63="Austria",BG63="Belgium",BG63="Denmark",BG63="Finland",BG63="Iceland",BG63="Ireland",BG63="Lichtenstein",BG63="Luxemborg",BG63="Norway"),0,1)))</f>
        <v/>
      </c>
      <c r="CH63" s="265">
        <f>IF(BN63="Yes",1,0)</f>
        <v/>
      </c>
      <c r="CI63" s="265">
        <f>IF(BO63="Yes",1,0)</f>
        <v/>
      </c>
      <c r="CJ63" s="265">
        <f>IF(BP63="Yes",1,0)</f>
        <v/>
      </c>
      <c r="CK63" s="265">
        <f>IF(BQ63="Yes",1,0)</f>
        <v/>
      </c>
      <c r="CL63" s="265">
        <f>IF(BR63="Yes",1,0)</f>
        <v/>
      </c>
      <c r="CM63" s="265">
        <f>IF(BS63="Yes",1,0)</f>
        <v/>
      </c>
      <c r="CN63" s="265">
        <f>IF(OR(AND(BJ63="Yes",N63="No"),AND(BJ63="Yes",N63="Yes",P63&gt;=6)),1,0)</f>
        <v/>
      </c>
      <c r="CO63" s="265">
        <f>IF(BT63="Yes",1,0)</f>
        <v/>
      </c>
      <c r="CP63" s="265">
        <f>IF(AND(BU63="Yes",BV63="No"),1,0)</f>
        <v/>
      </c>
      <c r="CQ63" s="265">
        <f>IF(BW63="Yes",1,0)</f>
        <v/>
      </c>
      <c r="CR63" s="265">
        <f>IF(AP63="",0,IF(AP63&gt;7,1,0))</f>
        <v/>
      </c>
      <c r="CS63" s="265">
        <f>IF(OR(BD63&lt;&gt;"Monthly",BD63&lt;&gt;"Quarterly",BD63&lt;&gt;"Semi-Annually"),0,1)</f>
        <v/>
      </c>
      <c r="CT63" s="265">
        <f>IF(BX63="Yes",1,0)</f>
        <v/>
      </c>
      <c r="CU63" s="265">
        <f>IF(BY63="Yes",1,0)</f>
        <v/>
      </c>
      <c r="CV63" s="265">
        <f>IF(BZ63="Yes",1,0)</f>
        <v/>
      </c>
      <c r="CW63" s="265">
        <f>IF(CA63="No",1,0)</f>
        <v/>
      </c>
      <c r="CX63" s="265">
        <f>IF(B63="",0,IF(AK63&gt;=5000000,0,1))</f>
        <v/>
      </c>
      <c r="CY63" s="265">
        <f>IF(B63="",0,IF(AL63&gt;=5000000,0,1))</f>
        <v/>
      </c>
      <c r="CZ63" s="265">
        <f>IF(OR(DA63=1,DB63=1,DC63=1),0,IF(B63="",0,IF(OR(AND(AN63="Tier 1",X63="No",OR(AI63&gt;$AJ$3,AJ63&gt;$AJ$4)),(AND(AN63="Tier 1",X63="Yes",AJ63&gt;$AJ$5)),(AND(AN63="Tier 2",X63="No",OR(AI63&gt;$AK$3,AJ63&gt;$AK$4))),(AND(AN63="Tier 2",X63="Yes",AJ63&gt;$AK$5)),(AND(AN63="Tier 3",X63="No",OR(AI63&gt;$AL$3,AJ63&gt;$AL$4))),(AND(AN63="Tier 3",X63="Yes",AJ63&gt;$AL$5))),1,0)))</f>
        <v/>
      </c>
      <c r="DA63" s="265">
        <f>IF(OR(DB63=1,DC63=1),0,IF(B63="",0,IF(OR(AND(AN63="Tier 1",X63="No",OR(AI63&gt;$AM$3,AJ63&gt;$AM$4)),(AND(AN63="Tier 1",X63="Yes",AJ63&gt;$AM$5)),(AND(AN63="Tier 2",X63="No",OR(AI63&gt;$AN$3,AJ63&gt;$AN$4))),(AND(AN63="Tier 2",X63="Yes",AJ63&gt;$AN$5)),(AND(AN63="Tier 3",X63="No",OR(AI63&gt;$AO$3,AJ63&gt;$AO$4))),(AND(AN63="Tier 3",X63="Yes",AJ63&gt;$AO$5))),1,0)))</f>
        <v/>
      </c>
      <c r="DB63" s="265">
        <f>IF(DC63=1,0,IF(B63="",0,IF(OR(AND(AN63="Tier 1",X63="No",OR(AI63&gt;$AP$3,AJ63&gt;$AP$4)),(AND(AN63="Tier 1",X63="Yes",AJ63&gt;$AP$5)),(AND(AN63="Tier 2",X63="No",OR(AI63&gt;$AQ$3,AJ63&gt;$AQ$4))),(AND(AN63="Tier 2",X63="Yes",AJ63&gt;$AQ$5)),(AND(AN63="Tier 3",X63="No",OR(AI63&gt;$AR$3,AJ63&gt;$AR$4))),(AND(AN63="Tier 3",X63="Yes",AJ63&gt;$AR$5))),1,0)))</f>
        <v/>
      </c>
      <c r="DC63" s="265">
        <f>IF(B63="",0,IF(OR(AND(AN63="Tier 1",X63="No",OR(AI63&gt;$AS$3,AJ63&gt;$AS$4)),(AND(AN63="Tier 1",X63="Yes",AJ63&gt;$AS$5)),(AND(AN63="Tier 2",X63="No",OR(AI63&gt;$AT$3,AJ63&gt;$AT$4))),(AND(AN63="Tier 2",X63="Yes",AJ63&gt;$AT$5)),(AND(AN63="Tier 3",X63="No",OR(AI63&gt;$AU$3,AJ63&gt;$AU$4))),(AND(AN63="Tier 3",X63="Yes",AJ63&gt;$AU$5))),1,0))</f>
        <v/>
      </c>
      <c r="DD63" s="265">
        <f>IF((SUM(CE63:CX63)=0),0,W63)</f>
        <v/>
      </c>
      <c r="DE63" s="265">
        <f>IF(OR(B63="",DD63&gt;0),0,W63)</f>
        <v/>
      </c>
      <c r="DF63" s="265">
        <f>IF(B63="",0,IF(COUNTIF(CE63:CX63,1)&gt;0,0,L63-M63))</f>
        <v/>
      </c>
      <c r="DG63" s="265">
        <f>DE63+IF(DD63&gt;0,0,DF63)</f>
        <v/>
      </c>
      <c r="DH63" s="265">
        <f>IF(B63="","",M63+DF63)</f>
        <v/>
      </c>
      <c r="DI63" s="265">
        <f>IF(B63="",0,J63-K63)</f>
        <v/>
      </c>
      <c r="DJ63" s="265">
        <f>IF(OR(BF63="EUR",BF63="CAD",BF63="GBP",BF63="AUD"),(GA63*(1-V63))+(HG63)+IF(HX63="",0,HX63*(1-U63)),0)</f>
        <v/>
      </c>
      <c r="DK63" s="265">
        <f>IF(BF63="EUR",33%,IF(BF63="CAD",38%,IF(BF63="GBP",51%,IF(BF63="AUD",61%,0))))</f>
        <v/>
      </c>
      <c r="DL63" s="265">
        <f>DJ63*DK63</f>
        <v/>
      </c>
      <c r="DM63" s="133" t="n"/>
      <c r="DN63" s="538">
        <f>IF(OR(Y63="Second Lien",Y63="Tier 1 Split Lien",Y63="Tier 2 Split Lien"),DG63,0)</f>
        <v/>
      </c>
      <c r="DO63" s="539">
        <f>DN63*DN$6</f>
        <v/>
      </c>
      <c r="DP63" s="538">
        <f>DG63-DO63</f>
        <v/>
      </c>
      <c r="DQ63" s="538">
        <f>IF(Y63="Second Lien",DP63,0)</f>
        <v/>
      </c>
      <c r="DR63" s="539">
        <f>DQ63*DQ$6</f>
        <v/>
      </c>
      <c r="DS63" s="538">
        <f>DP63-DR63</f>
        <v/>
      </c>
      <c r="DT63" s="538">
        <f>IF(BH63="Yes",DS63,0)</f>
        <v/>
      </c>
      <c r="DU63" s="539">
        <f>DT63*DT$6</f>
        <v/>
      </c>
      <c r="DV63" s="538">
        <f>DS63-DU63</f>
        <v/>
      </c>
      <c r="DW63" s="538">
        <f>IF(OR(BG63="Canada",BG63="United Kingdom",BG63="Australia",BG63="Netherlands Antilles",BG63="Bermuda",BG63="Cayman Islands",BG63="British Virgin Islands",BG63="Channel Islands",BG63="Isle of Man",BG63="Australia",BG63="Netherlands",BG63="Germany",BG63="Sweden",BG63="Switzerland",BG63="Austria",BG63="Belgium",BG63="Denmark",BG63="Finland",BG63="Iceland",BG63="Ireland",BG63="Lichtenstein",BG63="Luxemborg",BG63="Norway"),DV63,0)</f>
        <v/>
      </c>
      <c r="DX63" s="539">
        <f>DW63*DW$6</f>
        <v/>
      </c>
      <c r="DY63" s="538">
        <f>DV63-DX63</f>
        <v/>
      </c>
      <c r="DZ63" s="538">
        <f>IF(BI63="Yes",DY63,0)</f>
        <v/>
      </c>
      <c r="EA63" s="539">
        <f>DZ63*DZ$6</f>
        <v/>
      </c>
      <c r="EB63" s="538">
        <f>DY63-EA63</f>
        <v/>
      </c>
      <c r="EC63" s="538">
        <f>IF(OR(Z63="Delayed Draw",Z63="Revolver"),EB63,0)</f>
        <v/>
      </c>
      <c r="ED63" s="539">
        <f>EC63*EC$6</f>
        <v/>
      </c>
      <c r="EE63" s="538">
        <f>EB63-ED63</f>
        <v/>
      </c>
      <c r="EF63" s="538">
        <f>IF(S63="Yes",EE63,0)</f>
        <v/>
      </c>
      <c r="EG63" s="539">
        <f>EF63*EF$6</f>
        <v/>
      </c>
      <c r="EH63" s="538">
        <f>EE63-EG63</f>
        <v/>
      </c>
      <c r="EI63" s="538">
        <f>IF(Q63="Yes",EH63,0)</f>
        <v/>
      </c>
      <c r="EJ63" s="539">
        <f>EI63*EI$6</f>
        <v/>
      </c>
      <c r="EK63" s="538">
        <f>EH63-EJ63</f>
        <v/>
      </c>
      <c r="EL63" s="538">
        <f>IF(BD63="Semi-Annually",EK63,0)</f>
        <v/>
      </c>
      <c r="EM63" s="539">
        <f>EL63*EL$6</f>
        <v/>
      </c>
      <c r="EN63" s="538">
        <f>EK63-EM63</f>
        <v/>
      </c>
      <c r="EO63" s="538">
        <f>IF(BK63="Yes",EN63,0)</f>
        <v/>
      </c>
      <c r="EP63" s="539">
        <f>EO63*EO$6</f>
        <v/>
      </c>
      <c r="EQ63" s="538">
        <f>EN63-EP63</f>
        <v/>
      </c>
      <c r="ER63" s="538">
        <f>IF(BL63="Yes",EQ63,0)</f>
        <v/>
      </c>
      <c r="ES63" s="539">
        <f>ER63*ER$6</f>
        <v/>
      </c>
      <c r="ET63" s="538">
        <f>EQ63-ES63</f>
        <v/>
      </c>
      <c r="EU63" s="538">
        <f>IF(BM63="Yes",ET63,0)</f>
        <v/>
      </c>
      <c r="EV63" s="539">
        <f>EU63*EU$6</f>
        <v/>
      </c>
      <c r="EW63" s="538">
        <f>ET63-EV63</f>
        <v/>
      </c>
      <c r="EX63" s="538">
        <f>IF(BV63="Yes",EW63,0)</f>
        <v/>
      </c>
      <c r="EY63" s="539">
        <f>EX63*EX$6</f>
        <v/>
      </c>
      <c r="EZ63" s="538">
        <f>EW63-EY63</f>
        <v/>
      </c>
      <c r="FA63" s="538">
        <f>IF(AR63="Yes",EZ63,0)</f>
        <v/>
      </c>
      <c r="FB63" s="539">
        <f>FA63*FA$6</f>
        <v/>
      </c>
      <c r="FC63" s="538">
        <f>EZ63-FB63</f>
        <v/>
      </c>
      <c r="FD63" s="538">
        <f>IF(OR(BF63="EUR",BF63="AUD",BF63="CAD",BF63="GBP"),FC63,0)</f>
        <v/>
      </c>
      <c r="FE63" s="539">
        <f>FD63*FD$6</f>
        <v/>
      </c>
      <c r="FF63" s="538">
        <f>FC63-FE63</f>
        <v/>
      </c>
      <c r="FG63" s="538">
        <f>FF63</f>
        <v/>
      </c>
      <c r="FH63" s="538">
        <f>IF(FF63=0,0,VLOOKUP(C63,$GU$10:$GV$406,2,FALSE)*FF63)</f>
        <v/>
      </c>
      <c r="FI63" s="538">
        <f>FF63-FH63</f>
        <v/>
      </c>
      <c r="FJ63" s="538">
        <f>FI63</f>
        <v/>
      </c>
      <c r="FK63" s="538">
        <f>IF(OR(IB63="",FI63&lt;0.01),,VLOOKUP(IB63,$GL$10:$GM$406,2,FALSE)*FI63)</f>
        <v/>
      </c>
      <c r="FL63" s="538">
        <f>FI63-FK63</f>
        <v/>
      </c>
      <c r="FM63" s="538">
        <f>FL63</f>
        <v/>
      </c>
      <c r="FN63" s="538">
        <f>IF(FL63=0,0,VLOOKUP(C63,$HD$10:$HE$406,2,FALSE)*FL63)</f>
        <v/>
      </c>
      <c r="FO63" s="538">
        <f>FL63-FN63</f>
        <v/>
      </c>
      <c r="FP63" s="538">
        <f>IF(SUM(CY63:DC63)&gt;0,0,IF(AND(AL63&gt;=5000000,AL63&lt;7500000),FO63,0))</f>
        <v/>
      </c>
      <c r="FQ63" s="539">
        <f>IF(B63="",0,FP63*FP$6*(1-$U63))</f>
        <v/>
      </c>
      <c r="FR63" s="538">
        <f>FO63-FQ63</f>
        <v/>
      </c>
      <c r="FS63" s="538">
        <f>IF(SUM(CY63:DC63)&gt;0,0,IF(AL63&lt;15000000,FR63,0))</f>
        <v/>
      </c>
      <c r="FT63" s="539">
        <f>IF(B63="",0,FS63*FS$6*(1-$U63))</f>
        <v/>
      </c>
      <c r="FU63" s="538">
        <f>FR63-FT63</f>
        <v/>
      </c>
      <c r="FV63" s="538">
        <f>IF(SUM(CY63:DC63)&gt;0,0,IF(OR(AND(X63="No",AN63="Tier 1",AI63&gt;$AG$3),AND(X63="No",AN63="Tier 2",AI63&gt;$AH$3),AND(X63="No",AN63="Tier 3",AI63&gt;$AI$3)),FU63,0))</f>
        <v/>
      </c>
      <c r="FW63" s="538">
        <f>IF(SUM(CY63:DC63)&gt;0,0,IF(OR(AND(X63="No",AN63="Tier 1",AJ63&gt;$AG$4),AND(X63="No",AN63="Tier 2",AJ63&gt;$AH$4),AND(X63="No",AN63="Tier 3",AJ63&gt;$AI$4)),FU63,0))</f>
        <v/>
      </c>
      <c r="FX63" s="538">
        <f>IF(SUM(CY63:DC63)&gt;0,0,IF(OR(AND(X63="Yes",AN63="Tier 1",AJ63&gt;$AG$5),AND(X63="Yes",AN63="Tier 2",AJ63&gt;$AH$5),AND(X63="Yes",AN63="Tier 3",AJ63&gt;$AI$5)),FU63,0))</f>
        <v/>
      </c>
      <c r="FY63" s="538">
        <f>IF(SUM(FV63:FX63)&gt;0,FU63,0)</f>
        <v/>
      </c>
      <c r="FZ63" s="539">
        <f>IF(B63="",0,FY63*FV$6*(1-MIN(90%,T63)))</f>
        <v/>
      </c>
      <c r="GA63" s="538">
        <f>FU63-FZ63</f>
        <v/>
      </c>
      <c r="GB63" s="538">
        <f>IF(AND(N63="No",DI63=0),GA63,IF(AND(N63="No",DI63&lt;&gt;0,K63=0),0,IF(AND(N63="No",DI63&lt;&gt;0,K63&gt;0,J63&lt;&gt;K63),MAX(0,M63-(DH63-GA63)),DG63)))</f>
        <v/>
      </c>
      <c r="GC63" s="540">
        <f>+GB63*V63</f>
        <v/>
      </c>
      <c r="GD63" s="138">
        <f>IFERROR(GC63/K63,"")</f>
        <v/>
      </c>
      <c r="GE63" s="541">
        <f>IF(IB63="","",IB63)</f>
        <v/>
      </c>
      <c r="GF63" s="538">
        <f t="array" ref="GF63">IF(SUM(IF(IB$9:IB62=IB63,1,0))&gt;0,0,SUMIF($IB$10:$IB$406,IB63,$FI$10:$FI$406))</f>
        <v/>
      </c>
      <c r="GG63" s="270">
        <f>GF63</f>
        <v/>
      </c>
      <c r="GH63" s="137">
        <f>GH62+1</f>
        <v/>
      </c>
      <c r="GI63" s="542">
        <f>LARGE($GG$10:$GG$406,GH63)</f>
        <v/>
      </c>
      <c r="GJ63" s="542">
        <f>IF(GH63&gt;GH$6,0,IF(GH63=$GH$2,$GJ$2,IF(GH63&lt;4,$GJ$3,$GJ$4)))</f>
        <v/>
      </c>
      <c r="GK63" s="489">
        <f>MAX(0,GI63-GJ63)</f>
        <v/>
      </c>
      <c r="GL63" s="137">
        <f t="array" ref="GL63">IF(GI63=0,0,LARGE(IF($GF$10:$GF$406=GI63,$GE$10:$GE$406,0),COUNTIF($GI$10:$GI$406,GI63)-COUNTIF(GI$9:GI62,GI63)))</f>
        <v/>
      </c>
      <c r="GM63" s="272">
        <f>IF(GI63=0,0,GK63/GI63)</f>
        <v/>
      </c>
      <c r="GO63" s="137">
        <f>IF(C63="","",IF(ISERROR(MATCH(C63,C$10:C62,0)),MAX(GO$10:GO62)+1,INDEX(GO$10:GO62,MATCH(C63,C$10:C62,0))))</f>
        <v/>
      </c>
      <c r="GP63" s="538">
        <f>IF(COUNTIF($A$10:A63,A63)&lt;=1,SUMIF($A$10:$A$406,A63,$FG$10:$FG$406),0)</f>
        <v/>
      </c>
      <c r="GQ63" s="137">
        <f>GQ62+1</f>
        <v/>
      </c>
      <c r="GR63" s="542">
        <f>LARGE($GP$10:$GP$406,GQ63)</f>
        <v/>
      </c>
      <c r="GS63" s="542">
        <f>IF(GQ63&gt;GQ$6,0,IF(GQ63&lt;=GQ$2,GS$2,IF(AND(GQ63&lt;=$GQ$3,GQ63&gt;$GQ$2),GS$3,GS$4)))</f>
        <v/>
      </c>
      <c r="GT63" s="489">
        <f>MAX(0,GR63-GS63)</f>
        <v/>
      </c>
      <c r="GU63" s="137">
        <f t="array" ref="GU63">IF(GR63=0,0,LARGE(IF($GP$10:$GP$406=GR63,$GO$10:$GO$406,0),COUNTIF($GR$10:$GR$406,GR63)-COUNTIF(GR$9:GR62,GR63)))</f>
        <v/>
      </c>
      <c r="GV63" s="272">
        <f>IF(GR63=0,0,GT63/GR63)</f>
        <v/>
      </c>
      <c r="GW63" s="272" t="n"/>
      <c r="GX63" s="137">
        <f>IF(C63="","",IF(ISERROR(MATCH(C63,C$10:C62,0)),MAX(GO$10:GO62)+1,INDEX(GO$10:GO62,MATCH(C63,C$10:C62,0))))</f>
        <v/>
      </c>
      <c r="GY63" s="538">
        <f>IF(COUNTIF($A$10:A63,A63)&lt;=1,SUMIF($A$10:$A$406,A63,$FG$10:$FG$406),0)</f>
        <v/>
      </c>
      <c r="GZ63" s="137">
        <f>GZ62+1</f>
        <v/>
      </c>
      <c r="HA63" s="542">
        <f>LARGE($GY$10:$GY$406,GZ63)</f>
        <v/>
      </c>
      <c r="HB63" s="543" t="inlineStr">
        <is>
          <t>-</t>
        </is>
      </c>
      <c r="HC63" s="489">
        <f>IF(GZ63&lt;6,MAX(0,$HC$2/5),0)</f>
        <v/>
      </c>
      <c r="HD63" s="137">
        <f t="array" ref="HD63">IF(HA63=0,0,LARGE(IF($GY$10:$GY$406=HA63,$GX$10:$GX$406,0),COUNTIF($HA$10:$HA$406,HA63)-COUNTIF(HA$9:HA62,HA63)))</f>
        <v/>
      </c>
      <c r="HE63" s="272">
        <f>IF(HA63=0,0,HC63/HA63)</f>
        <v/>
      </c>
      <c r="HF63" s="272" t="n"/>
      <c r="HG63" s="270">
        <f>DG63-GA63</f>
        <v/>
      </c>
      <c r="HH63" s="544" t="n">
        <v>0</v>
      </c>
      <c r="HI63" s="538">
        <f>MIN(HH63,DE63)</f>
        <v/>
      </c>
      <c r="HJ63" s="140" t="n"/>
      <c r="HK63" s="137">
        <f>IF(COUNTIF($C$10:$C$406,HK62+1),HK62+1,"")</f>
        <v/>
      </c>
      <c r="HL63" s="538">
        <f>SUMIF($C$10:$C$406,HK63,$DG$10:$DG$406)</f>
        <v/>
      </c>
      <c r="HN63" s="521">
        <f>MIN(HO63:HS63)</f>
        <v/>
      </c>
      <c r="HO63" s="521">
        <f>IF(B63="","",$M63)</f>
        <v/>
      </c>
      <c r="HP63" s="521">
        <f>IF($N63="Yes",IF(P63&gt;=6,0,MIN($T63*$M63,$U63*$M63)),"")</f>
        <v/>
      </c>
      <c r="HQ63" s="521">
        <f>IF(AND(N63="Yes",P63&gt;=6),"",IF($S63="Yes",$R63*$M63,""))</f>
        <v/>
      </c>
      <c r="HR63" s="521">
        <f>IF($Q63="Yes",MIN($M63,$T63*$M63),"")</f>
        <v/>
      </c>
      <c r="HS63" s="521">
        <f>IF(AND($N63="Yes",$P63&gt;=6),"",IF(OR(CY63=1,DC63=1,),MIN($T63*$M63,$U63*$M63),IF(OR(CZ63=1,DA63=1,DB63=1),IF(AK63&gt;=5000000,MIN($T63*$M63,$IE63*$M63),MIN($T63*$M63,$U63*$M63)),"")))</f>
        <v/>
      </c>
      <c r="HT63" s="521">
        <f>IF(DD63&gt;0,DD63,"")</f>
        <v/>
      </c>
      <c r="HU63" s="522">
        <f>IF(B63="",0,$L63-$M63)</f>
        <v/>
      </c>
      <c r="HV63" s="274">
        <f>IF(OR(SUM(HP63:HT63)&gt;0,P63&gt;=6),"",IF($B63="","",1))</f>
        <v/>
      </c>
      <c r="HW63" s="522">
        <f>IF(AND($HT63&lt;&gt;0,OR(HT63&lt;=MIN(HP63:HS63),SUM(HP63:HS63)=0)),$HT63,0)</f>
        <v/>
      </c>
      <c r="HX63" s="522">
        <f>IF(AND($HS63&lt;&gt;0,OR(AND($HS63&lt;&gt;$HT63,$HS63&lt;&gt;$HR63,$HS63&lt;&gt;$HQ63,$HS63&lt;&gt;$HP63,$HS63&lt;MIN($HP63:$HR63),$HS63&lt;HT63),SUM($HP63:$HR63)+SUM(HT63)=0),IA63&lt;=0),$HS63,0)</f>
        <v/>
      </c>
      <c r="HY63" s="522">
        <f>IF(AND($HR63&lt;&gt;0,OR(AND($HR63&lt;&gt;$HT63,$HR63&lt;&gt;$HS63,$HR63&lt;&gt;$HQ63,$HR63&lt;&gt;$HP63),$HR63&lt;MIN($HP63:$HQ63),$HR63&lt;MIN($HS63:$HT63),SUM($HP63:$HQ63)+SUM($HS63:$HT63)=0)),$HR63,0)</f>
        <v/>
      </c>
      <c r="HZ63" s="522">
        <f>IF(AND($HQ63&lt;&gt;0,OR(AND($HQ63&lt;&gt;$HT63,HQ63&lt;&gt;HS63,HQ63&lt;&gt;HR63,HQ63&lt;&gt;HP63,HQ63&lt;MIN(HR63:HT63)),SUM(HP63)+SUM(HR63:HT63)=0)),$HQ63,0)</f>
        <v/>
      </c>
      <c r="IA63" s="522">
        <f>IF(AND($HP63&lt;&gt;0,OR(HP63&lt;=MIN(HQ63:HT63),SUM(HQ63:HT63)=0)),$HP63,0)</f>
        <v/>
      </c>
      <c r="IB63" s="545" t="n">
        <v>55</v>
      </c>
      <c r="IC63">
        <f>HU63=DF63</f>
        <v/>
      </c>
      <c r="IE63" s="351">
        <f>IF(B63="","",IF(AND(Y63="Second Lien",OR(CZ63=1,DA63=1,DB63=1)),50%,IF(CZ63=1,90%,IF(DA63=1,80%,IF(DB63=1,65%,"No Initial Haircut")))))</f>
        <v/>
      </c>
    </row>
    <row r="64" ht="15" customHeight="1">
      <c r="A64">
        <f>D64</f>
        <v/>
      </c>
      <c r="B64" s="242">
        <f>IF(D64="","",B63+1)</f>
        <v/>
      </c>
      <c r="C64" s="242">
        <f>IF(COUNTIF($A$10:A63,A64)&gt;0,C63,C63+1)</f>
        <v/>
      </c>
      <c r="D64" s="243" t="inlineStr">
        <is>
          <t>Meridian Industries, Inc.</t>
        </is>
      </c>
      <c r="E64" s="243" t="inlineStr">
        <is>
          <t>Meridian (Term Loan)</t>
        </is>
      </c>
      <c r="F64" s="244" t="n"/>
      <c r="G64" s="528" t="n">
        <v>7082250</v>
      </c>
      <c r="H64" s="528" t="n">
        <v>7082250</v>
      </c>
      <c r="I64" s="246" t="n">
        <v>1</v>
      </c>
      <c r="J64" s="529">
        <f>IF(B64="","",G64*I64)</f>
        <v/>
      </c>
      <c r="K64" s="529">
        <f>IF(B64="","",H64*I64)</f>
        <v/>
      </c>
      <c r="L64" s="529">
        <f>IF(B64="","",IF(COUNTIF($CE64:$CX64,1)&gt;0,0,J64))</f>
        <v/>
      </c>
      <c r="M64" s="529">
        <f>IF(B64="","",IF(COUNTIF($CE64:$CX64,1)&gt;0,0,K64))</f>
        <v/>
      </c>
      <c r="N64" s="248" t="inlineStr">
        <is>
          <t>No</t>
        </is>
      </c>
      <c r="O64" s="248" t="inlineStr">
        <is>
          <t>N/A</t>
        </is>
      </c>
      <c r="P64" s="249">
        <f>IF(B64="","",IF(OR(O64="N/A",O64=""),0,YEARFRAC('Borrowing Base'!$J$4,'Loan List'!O64)*12))</f>
        <v/>
      </c>
      <c r="Q64" s="248" t="inlineStr">
        <is>
          <t>No</t>
        </is>
      </c>
      <c r="R64" s="250" t="n">
        <v>0.99</v>
      </c>
      <c r="S64" s="251">
        <f>IF(B64="","",IF(R64&lt;95%,"Yes","No"))</f>
        <v/>
      </c>
      <c r="T64" s="250" t="n">
        <v>0.99</v>
      </c>
      <c r="U64" s="252">
        <f>IF(B64="","",IF(OR(Y64="First Lien",Y64="Split First Lien",Y64="Tier 1 Split Lien",Y64="Tier 2 Split Lien"),50%,30%))</f>
        <v/>
      </c>
      <c r="V64" s="252">
        <f>IF(B64="",0,IF(AND(Y64="First Lien",AN64="Tier 1"),IF(AND(X64="Yes",MIN(AH64,$AJ$5)&gt;4.5),(((4.5/MIN(AH64,$AJ$5))*72.5%)+(((MIN(AH64,$AJ$5)-4.5)/MIN(AH64,$AJ$5))*35%)),72.5%),IF(AND(Y64="First Lien",AN64="Tier 2"),IF(AND(X64="Yes",MIN(AH64,$AK$5)&gt;4.5),(((4.5/MIN(AH64,$AK$5))*72.5%)+(((MIN(AH64,$AK$5)-4.5)/MIN(AH64,$AK$5))*35%)),72.5%),IF(AND(X64="Yes",MIN(AH64,$AL$5)&gt;4),(((4/MIN(AH64,$AL$5))*72.5%)+(((MIN(AH64,$AL$5)-4)/MIN(AH64,$AL$5))*35%)),IF(OR(Y64="First Lien",Y64="Split First Lien"),72.5%,IF(Y64="Split Lien", 53%,35%))))))</f>
        <v/>
      </c>
      <c r="W64" s="530">
        <f>IF($C64="","",MIN($HO64:$HS64))</f>
        <v/>
      </c>
      <c r="X64" s="248" t="inlineStr">
        <is>
          <t>No</t>
        </is>
      </c>
      <c r="Y64" s="254" t="inlineStr">
        <is>
          <t>First Lien</t>
        </is>
      </c>
      <c r="Z64" s="254" t="inlineStr">
        <is>
          <t>Term</t>
        </is>
      </c>
      <c r="AA64" s="531" t="inlineStr">
        <is>
          <t>NR</t>
        </is>
      </c>
      <c r="AB64" s="531" t="inlineStr">
        <is>
          <t xml:space="preserve"> NR</t>
        </is>
      </c>
      <c r="AC64" s="532" t="n">
        <v>1.948383561643835</v>
      </c>
      <c r="AD64" s="532" t="n">
        <v>3.301648011699196</v>
      </c>
      <c r="AE64" s="532" t="n">
        <v>4.554667448852387</v>
      </c>
      <c r="AF64" s="257" t="n">
        <v>0.278808734225258</v>
      </c>
      <c r="AG64" s="533" t="n">
        <v>3.301648011699196</v>
      </c>
      <c r="AH64" s="533" t="n">
        <v>3.301648011699196</v>
      </c>
      <c r="AI64" s="533" t="n">
        <v>4.554667448852387</v>
      </c>
      <c r="AJ64" s="533" t="n">
        <v>4.554667448852387</v>
      </c>
      <c r="AK64" s="534" t="n">
        <v>17779000</v>
      </c>
      <c r="AL64" s="534" t="n">
        <v>34092500</v>
      </c>
      <c r="AM64" s="276" t="n">
        <v>45838</v>
      </c>
      <c r="AN64" s="529">
        <f>IF(C64="","",(IF(AK64&gt;=50000000,"Tier 1",(IF(OR(AK64&gt;=20000000,AND(AK64&gt;5000000,AC64&gt;=1.25,AF64&lt;=0.65)),"Tier 2","Tier 3")))))</f>
        <v/>
      </c>
      <c r="AO64" s="244" t="n">
        <v>47729</v>
      </c>
      <c r="AP64" s="535" t="n">
        <v>5.091666666666667</v>
      </c>
      <c r="AQ64" s="535">
        <f>IF(C64="","",AP64)</f>
        <v/>
      </c>
      <c r="AR64" s="248" t="inlineStr">
        <is>
          <t>No</t>
        </is>
      </c>
      <c r="AS64" s="250" t="n">
        <v>0</v>
      </c>
      <c r="AT64" s="248" t="inlineStr">
        <is>
          <t>No</t>
        </is>
      </c>
      <c r="AU64" s="250" t="inlineStr"/>
      <c r="AV64" s="250" t="n">
        <v>0.05003265</v>
      </c>
      <c r="AW64" s="250" t="n">
        <v>0.04306635</v>
      </c>
      <c r="AX64" s="262">
        <f>IF(C64="","",MAX(AU64,AW64))</f>
        <v/>
      </c>
      <c r="AY64" s="250" t="n">
        <v>0</v>
      </c>
      <c r="AZ64" s="250" t="n">
        <v>0</v>
      </c>
      <c r="BA64" s="250" t="n">
        <v>0</v>
      </c>
      <c r="BB64" s="412">
        <f>IF(B64="","",IF(AR64="No",AV64-AZ64,""))</f>
        <v/>
      </c>
      <c r="BC64" s="412">
        <f>IF(B64="","",IF(AR64="Yes",AS64-BA64,""))</f>
        <v/>
      </c>
      <c r="BD64" s="254" t="inlineStr">
        <is>
          <t>Monthly</t>
        </is>
      </c>
      <c r="BE64" s="536" t="inlineStr">
        <is>
          <t>Health Care Technology</t>
        </is>
      </c>
      <c r="BF64" s="254" t="inlineStr">
        <is>
          <t>USD</t>
        </is>
      </c>
      <c r="BG64" s="254" t="inlineStr">
        <is>
          <t>United States</t>
        </is>
      </c>
      <c r="BH64" s="248" t="inlineStr">
        <is>
          <t>No</t>
        </is>
      </c>
      <c r="BI64" s="413">
        <f>IF(B64="","",IF(OR(AND(AZ64&gt;0,BB64&gt;=2.5%,BB64&lt;4%),AND(BA64&gt;0,BC64&gt;=6%,BC64&lt;8%)),"Yes","No"))</f>
        <v/>
      </c>
      <c r="BJ64" s="413">
        <f>IF(B64="","",IF(OR(AND(AZ64&gt;0,BB64&lt;2.5%),AND(BA64&gt;0,BC64&lt;6%)),"Yes","No"))</f>
        <v/>
      </c>
      <c r="BK64" s="248" t="inlineStr">
        <is>
          <t>No</t>
        </is>
      </c>
      <c r="BL64" s="248" t="inlineStr">
        <is>
          <t>No</t>
        </is>
      </c>
      <c r="BM64" s="248" t="inlineStr">
        <is>
          <t>No</t>
        </is>
      </c>
      <c r="BN64" s="248" t="inlineStr">
        <is>
          <t>No</t>
        </is>
      </c>
      <c r="BO64" s="248" t="inlineStr">
        <is>
          <t>No</t>
        </is>
      </c>
      <c r="BP64" s="248" t="inlineStr">
        <is>
          <t>No</t>
        </is>
      </c>
      <c r="BQ64" s="248" t="inlineStr">
        <is>
          <t>No</t>
        </is>
      </c>
      <c r="BR64" s="248" t="inlineStr">
        <is>
          <t>No</t>
        </is>
      </c>
      <c r="BS64" s="248" t="inlineStr">
        <is>
          <t>No</t>
        </is>
      </c>
      <c r="BT64" s="248" t="inlineStr">
        <is>
          <t>No</t>
        </is>
      </c>
      <c r="BU64" s="248" t="inlineStr">
        <is>
          <t>No</t>
        </is>
      </c>
      <c r="BV64" s="248" t="inlineStr">
        <is>
          <t>No</t>
        </is>
      </c>
      <c r="BW64" s="248" t="inlineStr">
        <is>
          <t>No</t>
        </is>
      </c>
      <c r="BX64" s="248" t="inlineStr">
        <is>
          <t>No</t>
        </is>
      </c>
      <c r="BY64" s="248" t="inlineStr">
        <is>
          <t>No</t>
        </is>
      </c>
      <c r="BZ64" s="248" t="inlineStr">
        <is>
          <t>No</t>
        </is>
      </c>
      <c r="CA64" s="248" t="inlineStr">
        <is>
          <t>Yes</t>
        </is>
      </c>
      <c r="CB64" s="537">
        <f>IF(B64="","",IF(AT64="No",((BB64+AW64)-$AZ$4),((BB64+AX64)-$AZ$4))*IF(DD64&gt;0,0,M64))</f>
        <v/>
      </c>
      <c r="CC64" s="537">
        <f>IF(B64="","",AY64*(L64-M64)*IF(DD64&gt;0,0,1))</f>
        <v/>
      </c>
      <c r="CD64" s="265" t="n"/>
      <c r="CE64" s="265">
        <f>IF(AND(B64&lt;&gt;"",R64&lt;=85%),1,0)</f>
        <v/>
      </c>
      <c r="CF64" s="265">
        <f>IF(B64="",0,(IF(OR(BF64="USD",BF64="CAD",BF64="GBP",BF64="AUD",BF64="EUR"),0,1)))</f>
        <v/>
      </c>
      <c r="CG64" s="265">
        <f>IF(B64="",0,(IF(OR(BG64="United States",BG64="Canada",BG64="United Kingdom",BG64="Australia",BG64="Netherlands Antilles",BG64="Bermuda",BG64="Cayman Islands",BG64="British Virgin Islands",BG64="Channel Islands",BG64="Isle of Man",BG64="Australia",BG64="Netherlands",BG64="Germany",BG64="Sweden",BG64="Switzerland",BG64="Austria",BG64="Belgium",BG64="Denmark",BG64="Finland",BG64="Iceland",BG64="Ireland",BG64="Lichtenstein",BG64="Luxemborg",BG64="Norway"),0,1)))</f>
        <v/>
      </c>
      <c r="CH64" s="265">
        <f>IF(BN64="Yes",1,0)</f>
        <v/>
      </c>
      <c r="CI64" s="265">
        <f>IF(BO64="Yes",1,0)</f>
        <v/>
      </c>
      <c r="CJ64" s="265">
        <f>IF(BP64="Yes",1,0)</f>
        <v/>
      </c>
      <c r="CK64" s="265">
        <f>IF(BQ64="Yes",1,0)</f>
        <v/>
      </c>
      <c r="CL64" s="265">
        <f>IF(BR64="Yes",1,0)</f>
        <v/>
      </c>
      <c r="CM64" s="265">
        <f>IF(BS64="Yes",1,0)</f>
        <v/>
      </c>
      <c r="CN64" s="265">
        <f>IF(OR(AND(BJ64="Yes",N64="No"),AND(BJ64="Yes",N64="Yes",P64&gt;=6)),1,0)</f>
        <v/>
      </c>
      <c r="CO64" s="265">
        <f>IF(BT64="Yes",1,0)</f>
        <v/>
      </c>
      <c r="CP64" s="265">
        <f>IF(AND(BU64="Yes",BV64="No"),1,0)</f>
        <v/>
      </c>
      <c r="CQ64" s="265">
        <f>IF(BW64="Yes",1,0)</f>
        <v/>
      </c>
      <c r="CR64" s="265">
        <f>IF(AP64="",0,IF(AP64&gt;7,1,0))</f>
        <v/>
      </c>
      <c r="CS64" s="265">
        <f>IF(OR(BD64&lt;&gt;"Monthly",BD64&lt;&gt;"Quarterly",BD64&lt;&gt;"Semi-Annually"),0,1)</f>
        <v/>
      </c>
      <c r="CT64" s="265">
        <f>IF(BX64="Yes",1,0)</f>
        <v/>
      </c>
      <c r="CU64" s="265">
        <f>IF(BY64="Yes",1,0)</f>
        <v/>
      </c>
      <c r="CV64" s="265">
        <f>IF(BZ64="Yes",1,0)</f>
        <v/>
      </c>
      <c r="CW64" s="265">
        <f>IF(CA64="No",1,0)</f>
        <v/>
      </c>
      <c r="CX64" s="265">
        <f>IF(B64="",0,IF(AK64&gt;=5000000,0,1))</f>
        <v/>
      </c>
      <c r="CY64" s="265">
        <f>IF(B64="",0,IF(AL64&gt;=5000000,0,1))</f>
        <v/>
      </c>
      <c r="CZ64" s="265">
        <f>IF(OR(DA64=1,DB64=1,DC64=1),0,IF(B64="",0,IF(OR(AND(AN64="Tier 1",X64="No",OR(AI64&gt;$AJ$3,AJ64&gt;$AJ$4)),(AND(AN64="Tier 1",X64="Yes",AJ64&gt;$AJ$5)),(AND(AN64="Tier 2",X64="No",OR(AI64&gt;$AK$3,AJ64&gt;$AK$4))),(AND(AN64="Tier 2",X64="Yes",AJ64&gt;$AK$5)),(AND(AN64="Tier 3",X64="No",OR(AI64&gt;$AL$3,AJ64&gt;$AL$4))),(AND(AN64="Tier 3",X64="Yes",AJ64&gt;$AL$5))),1,0)))</f>
        <v/>
      </c>
      <c r="DA64" s="265">
        <f>IF(OR(DB64=1,DC64=1),0,IF(B64="",0,IF(OR(AND(AN64="Tier 1",X64="No",OR(AI64&gt;$AM$3,AJ64&gt;$AM$4)),(AND(AN64="Tier 1",X64="Yes",AJ64&gt;$AM$5)),(AND(AN64="Tier 2",X64="No",OR(AI64&gt;$AN$3,AJ64&gt;$AN$4))),(AND(AN64="Tier 2",X64="Yes",AJ64&gt;$AN$5)),(AND(AN64="Tier 3",X64="No",OR(AI64&gt;$AO$3,AJ64&gt;$AO$4))),(AND(AN64="Tier 3",X64="Yes",AJ64&gt;$AO$5))),1,0)))</f>
        <v/>
      </c>
      <c r="DB64" s="265">
        <f>IF(DC64=1,0,IF(B64="",0,IF(OR(AND(AN64="Tier 1",X64="No",OR(AI64&gt;$AP$3,AJ64&gt;$AP$4)),(AND(AN64="Tier 1",X64="Yes",AJ64&gt;$AP$5)),(AND(AN64="Tier 2",X64="No",OR(AI64&gt;$AQ$3,AJ64&gt;$AQ$4))),(AND(AN64="Tier 2",X64="Yes",AJ64&gt;$AQ$5)),(AND(AN64="Tier 3",X64="No",OR(AI64&gt;$AR$3,AJ64&gt;$AR$4))),(AND(AN64="Tier 3",X64="Yes",AJ64&gt;$AR$5))),1,0)))</f>
        <v/>
      </c>
      <c r="DC64" s="265">
        <f>IF(B64="",0,IF(OR(AND(AN64="Tier 1",X64="No",OR(AI64&gt;$AS$3,AJ64&gt;$AS$4)),(AND(AN64="Tier 1",X64="Yes",AJ64&gt;$AS$5)),(AND(AN64="Tier 2",X64="No",OR(AI64&gt;$AT$3,AJ64&gt;$AT$4))),(AND(AN64="Tier 2",X64="Yes",AJ64&gt;$AT$5)),(AND(AN64="Tier 3",X64="No",OR(AI64&gt;$AU$3,AJ64&gt;$AU$4))),(AND(AN64="Tier 3",X64="Yes",AJ64&gt;$AU$5))),1,0))</f>
        <v/>
      </c>
      <c r="DD64" s="265">
        <f>IF((SUM(CE64:CX64)=0),0,W64)</f>
        <v/>
      </c>
      <c r="DE64" s="265">
        <f>IF(OR(B64="",DD64&gt;0),0,W64)</f>
        <v/>
      </c>
      <c r="DF64" s="265">
        <f>IF(B64="",0,IF(COUNTIF(CE64:CX64,1)&gt;0,0,L64-M64))</f>
        <v/>
      </c>
      <c r="DG64" s="265">
        <f>DE64+IF(DD64&gt;0,0,DF64)</f>
        <v/>
      </c>
      <c r="DH64" s="265">
        <f>IF(B64="","",M64+DF64)</f>
        <v/>
      </c>
      <c r="DI64" s="265">
        <f>IF(B64="",0,J64-K64)</f>
        <v/>
      </c>
      <c r="DJ64" s="265">
        <f>IF(OR(BF64="EUR",BF64="CAD",BF64="GBP",BF64="AUD"),(GA64*(1-V64))+(HG64)+IF(HX64="",0,HX64*(1-U64)),0)</f>
        <v/>
      </c>
      <c r="DK64" s="265">
        <f>IF(BF64="EUR",33%,IF(BF64="CAD",38%,IF(BF64="GBP",51%,IF(BF64="AUD",61%,0))))</f>
        <v/>
      </c>
      <c r="DL64" s="265">
        <f>DJ64*DK64</f>
        <v/>
      </c>
      <c r="DN64" s="538">
        <f>IF(OR(Y64="Second Lien",Y64="Tier 1 Split Lien",Y64="Tier 2 Split Lien"),DG64,0)</f>
        <v/>
      </c>
      <c r="DO64" s="539">
        <f>DN64*DN$6</f>
        <v/>
      </c>
      <c r="DP64" s="538">
        <f>DG64-DO64</f>
        <v/>
      </c>
      <c r="DQ64" s="538">
        <f>IF(Y64="Second Lien",DP64,0)</f>
        <v/>
      </c>
      <c r="DR64" s="539">
        <f>DQ64*DQ$6</f>
        <v/>
      </c>
      <c r="DS64" s="538">
        <f>DP64-DR64</f>
        <v/>
      </c>
      <c r="DT64" s="538">
        <f>IF(BH64="Yes",DS64,0)</f>
        <v/>
      </c>
      <c r="DU64" s="539">
        <f>DT64*DT$6</f>
        <v/>
      </c>
      <c r="DV64" s="538">
        <f>DS64-DU64</f>
        <v/>
      </c>
      <c r="DW64" s="538">
        <f>IF(OR(BG64="Canada",BG64="United Kingdom",BG64="Australia",BG64="Netherlands Antilles",BG64="Bermuda",BG64="Cayman Islands",BG64="British Virgin Islands",BG64="Channel Islands",BG64="Isle of Man",BG64="Australia",BG64="Netherlands",BG64="Germany",BG64="Sweden",BG64="Switzerland",BG64="Austria",BG64="Belgium",BG64="Denmark",BG64="Finland",BG64="Iceland",BG64="Ireland",BG64="Lichtenstein",BG64="Luxemborg",BG64="Norway"),DV64,0)</f>
        <v/>
      </c>
      <c r="DX64" s="539">
        <f>DW64*DW$6</f>
        <v/>
      </c>
      <c r="DY64" s="538">
        <f>DV64-DX64</f>
        <v/>
      </c>
      <c r="DZ64" s="538">
        <f>IF(BI64="Yes",DY64,0)</f>
        <v/>
      </c>
      <c r="EA64" s="539">
        <f>DZ64*DZ$6</f>
        <v/>
      </c>
      <c r="EB64" s="538">
        <f>DY64-EA64</f>
        <v/>
      </c>
      <c r="EC64" s="538">
        <f>IF(OR(Z64="Delayed Draw",Z64="Revolver"),EB64,0)</f>
        <v/>
      </c>
      <c r="ED64" s="539">
        <f>EC64*EC$6</f>
        <v/>
      </c>
      <c r="EE64" s="538">
        <f>EB64-ED64</f>
        <v/>
      </c>
      <c r="EF64" s="538">
        <f>IF(S64="Yes",EE64,0)</f>
        <v/>
      </c>
      <c r="EG64" s="539">
        <f>EF64*EF$6</f>
        <v/>
      </c>
      <c r="EH64" s="538">
        <f>EE64-EG64</f>
        <v/>
      </c>
      <c r="EI64" s="538">
        <f>IF(Q64="Yes",EH64,0)</f>
        <v/>
      </c>
      <c r="EJ64" s="539">
        <f>EI64*EI$6</f>
        <v/>
      </c>
      <c r="EK64" s="538">
        <f>EH64-EJ64</f>
        <v/>
      </c>
      <c r="EL64" s="538">
        <f>IF(BD64="Semi-Annually",EK64,0)</f>
        <v/>
      </c>
      <c r="EM64" s="539">
        <f>EL64*EL$6</f>
        <v/>
      </c>
      <c r="EN64" s="538">
        <f>EK64-EM64</f>
        <v/>
      </c>
      <c r="EO64" s="538">
        <f>IF(BK64="Yes",EN64,0)</f>
        <v/>
      </c>
      <c r="EP64" s="539">
        <f>EO64*EO$6</f>
        <v/>
      </c>
      <c r="EQ64" s="538">
        <f>EN64-EP64</f>
        <v/>
      </c>
      <c r="ER64" s="538">
        <f>IF(BL64="Yes",EQ64,0)</f>
        <v/>
      </c>
      <c r="ES64" s="539">
        <f>ER64*ER$6</f>
        <v/>
      </c>
      <c r="ET64" s="538">
        <f>EQ64-ES64</f>
        <v/>
      </c>
      <c r="EU64" s="538">
        <f>IF(BM64="Yes",ET64,0)</f>
        <v/>
      </c>
      <c r="EV64" s="539">
        <f>EU64*EU$6</f>
        <v/>
      </c>
      <c r="EW64" s="538">
        <f>ET64-EV64</f>
        <v/>
      </c>
      <c r="EX64" s="538">
        <f>IF(BV64="Yes",EW64,0)</f>
        <v/>
      </c>
      <c r="EY64" s="539">
        <f>EX64*EX$6</f>
        <v/>
      </c>
      <c r="EZ64" s="538">
        <f>EW64-EY64</f>
        <v/>
      </c>
      <c r="FA64" s="538">
        <f>IF(AR64="Yes",EZ64,0)</f>
        <v/>
      </c>
      <c r="FB64" s="539">
        <f>FA64*FA$6</f>
        <v/>
      </c>
      <c r="FC64" s="538">
        <f>EZ64-FB64</f>
        <v/>
      </c>
      <c r="FD64" s="538">
        <f>IF(OR(BF64="EUR",BF64="AUD",BF64="CAD",BF64="GBP"),FC64,0)</f>
        <v/>
      </c>
      <c r="FE64" s="539">
        <f>FD64*FD$6</f>
        <v/>
      </c>
      <c r="FF64" s="538">
        <f>FC64-FE64</f>
        <v/>
      </c>
      <c r="FG64" s="538">
        <f>FF64</f>
        <v/>
      </c>
      <c r="FH64" s="538">
        <f>IF(FF64=0,0,VLOOKUP(C64,$GU$10:$GV$406,2,FALSE)*FF64)</f>
        <v/>
      </c>
      <c r="FI64" s="538">
        <f>FF64-FH64</f>
        <v/>
      </c>
      <c r="FJ64" s="538">
        <f>FI64</f>
        <v/>
      </c>
      <c r="FK64" s="538">
        <f>IF(OR(IB64="",FI64&lt;0.01),,VLOOKUP(IB64,$GL$10:$GM$406,2,FALSE)*FI64)</f>
        <v/>
      </c>
      <c r="FL64" s="538">
        <f>FI64-FK64</f>
        <v/>
      </c>
      <c r="FM64" s="538">
        <f>FL64</f>
        <v/>
      </c>
      <c r="FN64" s="538">
        <f>IF(FL64=0,0,VLOOKUP(C64,$HD$10:$HE$406,2,FALSE)*FL64)</f>
        <v/>
      </c>
      <c r="FO64" s="538">
        <f>FL64-FN64</f>
        <v/>
      </c>
      <c r="FP64" s="538">
        <f>IF(SUM(CY64:DC64)&gt;0,0,IF(AND(AL64&gt;=5000000,AL64&lt;7500000),FO64,0))</f>
        <v/>
      </c>
      <c r="FQ64" s="539">
        <f>IF(B64="",0,FP64*FP$6*(1-$U64))</f>
        <v/>
      </c>
      <c r="FR64" s="538">
        <f>FO64-FQ64</f>
        <v/>
      </c>
      <c r="FS64" s="538">
        <f>IF(SUM(CY64:DC64)&gt;0,0,IF(AL64&lt;15000000,FR64,0))</f>
        <v/>
      </c>
      <c r="FT64" s="539">
        <f>IF(B64="",0,FS64*FS$6*(1-$U64))</f>
        <v/>
      </c>
      <c r="FU64" s="538">
        <f>FR64-FT64</f>
        <v/>
      </c>
      <c r="FV64" s="538">
        <f>IF(SUM(CY64:DC64)&gt;0,0,IF(OR(AND(X64="No",AN64="Tier 1",AI64&gt;$AG$3),AND(X64="No",AN64="Tier 2",AI64&gt;$AH$3),AND(X64="No",AN64="Tier 3",AI64&gt;$AI$3)),FU64,0))</f>
        <v/>
      </c>
      <c r="FW64" s="538">
        <f>IF(SUM(CY64:DC64)&gt;0,0,IF(OR(AND(X64="No",AN64="Tier 1",AJ64&gt;$AG$4),AND(X64="No",AN64="Tier 2",AJ64&gt;$AH$4),AND(X64="No",AN64="Tier 3",AJ64&gt;$AI$4)),FU64,0))</f>
        <v/>
      </c>
      <c r="FX64" s="538">
        <f>IF(SUM(CY64:DC64)&gt;0,0,IF(OR(AND(X64="Yes",AN64="Tier 1",AJ64&gt;$AG$5),AND(X64="Yes",AN64="Tier 2",AJ64&gt;$AH$5),AND(X64="Yes",AN64="Tier 3",AJ64&gt;$AI$5)),FU64,0))</f>
        <v/>
      </c>
      <c r="FY64" s="538">
        <f>IF(SUM(FV64:FX64)&gt;0,FU64,0)</f>
        <v/>
      </c>
      <c r="FZ64" s="539">
        <f>IF(B64="",0,FY64*FV$6*(1-MIN(90%,T64)))</f>
        <v/>
      </c>
      <c r="GA64" s="538">
        <f>FU64-FZ64</f>
        <v/>
      </c>
      <c r="GB64" s="538">
        <f>IF(AND(N64="No",DI64=0),GA64,IF(AND(N64="No",DI64&lt;&gt;0,K64=0),0,IF(AND(N64="No",DI64&lt;&gt;0,K64&gt;0,J64&lt;&gt;K64),MAX(0,M64-(DH64-GA64)),DG64)))</f>
        <v/>
      </c>
      <c r="GC64" s="540">
        <f>+GB64*V64</f>
        <v/>
      </c>
      <c r="GD64" s="138">
        <f>IFERROR(GC64/K64,"")</f>
        <v/>
      </c>
      <c r="GE64" s="541">
        <f>IF(IB64="","",IB64)</f>
        <v/>
      </c>
      <c r="GF64" s="538">
        <f t="array" ref="GF64">IF(SUM(IF(IB$9:IB63=IB64,1,0))&gt;0,0,SUMIF($IB$10:$IB$406,IB64,$FI$10:$FI$406))</f>
        <v/>
      </c>
      <c r="GG64" s="270">
        <f>GF64</f>
        <v/>
      </c>
      <c r="GH64" s="137">
        <f>GH63+1</f>
        <v/>
      </c>
      <c r="GI64" s="542">
        <f>LARGE($GG$10:$GG$406,GH64)</f>
        <v/>
      </c>
      <c r="GJ64" s="542">
        <f>IF(GH64&gt;GH$6,0,IF(GH64=$GH$2,$GJ$2,IF(GH64&lt;4,$GJ$3,$GJ$4)))</f>
        <v/>
      </c>
      <c r="GK64" s="489">
        <f>MAX(0,GI64-GJ64)</f>
        <v/>
      </c>
      <c r="GL64" s="137">
        <f t="array" ref="GL64">IF(GI64=0,0,LARGE(IF($GF$10:$GF$406=GI64,$GE$10:$GE$406,0),COUNTIF($GI$10:$GI$406,GI64)-COUNTIF(GI$9:GI63,GI64)))</f>
        <v/>
      </c>
      <c r="GM64" s="272">
        <f>IF(GI64=0,0,GK64/GI64)</f>
        <v/>
      </c>
      <c r="GO64" s="137">
        <f>IF(C64="","",IF(ISERROR(MATCH(C64,C$10:C63,0)),MAX(GO$10:GO63)+1,INDEX(GO$10:GO63,MATCH(C64,C$10:C63,0))))</f>
        <v/>
      </c>
      <c r="GP64" s="538">
        <f>IF(COUNTIF($A$10:A64,A64)&lt;=1,SUMIF($A$10:$A$406,A64,$FG$10:$FG$406),0)</f>
        <v/>
      </c>
      <c r="GQ64" s="137">
        <f>GQ63+1</f>
        <v/>
      </c>
      <c r="GR64" s="542">
        <f>LARGE($GP$10:$GP$406,GQ64)</f>
        <v/>
      </c>
      <c r="GS64" s="542">
        <f>IF(GQ64&gt;GQ$6,0,IF(GQ64&lt;=GQ$2,GS$2,IF(AND(GQ64&lt;=$GQ$3,GQ64&gt;$GQ$2),GS$3,GS$4)))</f>
        <v/>
      </c>
      <c r="GT64" s="489">
        <f>MAX(0,GR64-GS64)</f>
        <v/>
      </c>
      <c r="GU64" s="137">
        <f t="array" ref="GU64">IF(GR64=0,0,LARGE(IF($GP$10:$GP$406=GR64,$GO$10:$GO$406,0),COUNTIF($GR$10:$GR$406,GR64)-COUNTIF(GR$9:GR63,GR64)))</f>
        <v/>
      </c>
      <c r="GV64" s="272">
        <f>IF(GR64=0,0,GT64/GR64)</f>
        <v/>
      </c>
      <c r="GW64" s="272" t="n"/>
      <c r="GX64" s="137">
        <f>IF(C64="","",IF(ISERROR(MATCH(C64,C$10:C63,0)),MAX(GO$10:GO63)+1,INDEX(GO$10:GO63,MATCH(C64,C$10:C63,0))))</f>
        <v/>
      </c>
      <c r="GY64" s="538">
        <f>IF(COUNTIF($A$10:A64,A64)&lt;=1,SUMIF($A$10:$A$406,A64,$FG$10:$FG$406),0)</f>
        <v/>
      </c>
      <c r="GZ64" s="137">
        <f>GZ63+1</f>
        <v/>
      </c>
      <c r="HA64" s="542">
        <f>LARGE($GY$10:$GY$406,GZ64)</f>
        <v/>
      </c>
      <c r="HB64" s="543" t="inlineStr">
        <is>
          <t>-</t>
        </is>
      </c>
      <c r="HC64" s="489">
        <f>IF(GZ64&lt;6,MAX(0,$HC$2/5),0)</f>
        <v/>
      </c>
      <c r="HD64" s="137">
        <f t="array" ref="HD64">IF(HA64=0,0,LARGE(IF($GY$10:$GY$406=HA64,$GX$10:$GX$406,0),COUNTIF($HA$10:$HA$406,HA64)-COUNTIF(HA$9:HA63,HA64)))</f>
        <v/>
      </c>
      <c r="HE64" s="272">
        <f>IF(HA64=0,0,HC64/HA64)</f>
        <v/>
      </c>
      <c r="HF64" s="272" t="n"/>
      <c r="HG64" s="270">
        <f>DG64-GA64</f>
        <v/>
      </c>
      <c r="HH64" s="544" t="n">
        <v>0</v>
      </c>
      <c r="HI64" s="538">
        <f>MIN(HH64,DE64)</f>
        <v/>
      </c>
      <c r="HK64" s="137">
        <f>IF(COUNTIF($C$10:$C$406,HK63+1),HK63+1,"")</f>
        <v/>
      </c>
      <c r="HL64" s="538">
        <f>SUMIF($C$10:$C$406,HK64,$DG$10:$DG$406)</f>
        <v/>
      </c>
      <c r="HN64" s="521">
        <f>MIN(HO64:HS64)</f>
        <v/>
      </c>
      <c r="HO64" s="521">
        <f>IF(B64="","",$M64)</f>
        <v/>
      </c>
      <c r="HP64" s="521">
        <f>IF($N64="Yes",IF(P64&gt;=6,0,MIN($T64*$M64,$U64*$M64)),"")</f>
        <v/>
      </c>
      <c r="HQ64" s="521">
        <f>IF(AND(N64="Yes",P64&gt;=6),"",IF($S64="Yes",$R64*$M64,""))</f>
        <v/>
      </c>
      <c r="HR64" s="521">
        <f>IF($Q64="Yes",MIN($M64,$T64*$M64),"")</f>
        <v/>
      </c>
      <c r="HS64" s="521">
        <f>IF(AND($N64="Yes",$P64&gt;=6),"",IF(OR(CY64=1,DC64=1,),MIN($T64*$M64,$U64*$M64),IF(OR(CZ64=1,DA64=1,DB64=1),IF(AK64&gt;=5000000,MIN($T64*$M64,$IE64*$M64),MIN($T64*$M64,$U64*$M64)),"")))</f>
        <v/>
      </c>
      <c r="HT64" s="521">
        <f>IF(DD64&gt;0,DD64,"")</f>
        <v/>
      </c>
      <c r="HU64" s="522">
        <f>IF(B64="",0,$L64-$M64)</f>
        <v/>
      </c>
      <c r="HV64" s="274">
        <f>IF(OR(SUM(HP64:HT64)&gt;0,P64&gt;=6),"",IF($B64="","",1))</f>
        <v/>
      </c>
      <c r="HW64" s="522">
        <f>IF(AND($HT64&lt;&gt;0,OR(HT64&lt;=MIN(HP64:HS64),SUM(HP64:HS64)=0)),$HT64,0)</f>
        <v/>
      </c>
      <c r="HX64" s="522">
        <f>IF(AND($HS64&lt;&gt;0,OR(AND($HS64&lt;&gt;$HT64,$HS64&lt;&gt;$HR64,$HS64&lt;&gt;$HQ64,$HS64&lt;&gt;$HP64,$HS64&lt;MIN($HP64:$HR64),$HS64&lt;HT64),SUM($HP64:$HR64)+SUM(HT64)=0),IA64&lt;=0),$HS64,0)</f>
        <v/>
      </c>
      <c r="HY64" s="522">
        <f>IF(AND($HR64&lt;&gt;0,OR(AND($HR64&lt;&gt;$HT64,$HR64&lt;&gt;$HS64,$HR64&lt;&gt;$HQ64,$HR64&lt;&gt;$HP64),$HR64&lt;MIN($HP64:$HQ64),$HR64&lt;MIN($HS64:$HT64),SUM($HP64:$HQ64)+SUM($HS64:$HT64)=0)),$HR64,0)</f>
        <v/>
      </c>
      <c r="HZ64" s="522">
        <f>IF(AND($HQ64&lt;&gt;0,OR(AND($HQ64&lt;&gt;$HT64,HQ64&lt;&gt;HS64,HQ64&lt;&gt;HR64,HQ64&lt;&gt;HP64,HQ64&lt;MIN(HR64:HT64)),SUM(HP64)+SUM(HR64:HT64)=0)),$HQ64,0)</f>
        <v/>
      </c>
      <c r="IA64" s="522">
        <f>IF(AND($HP64&lt;&gt;0,OR(HP64&lt;=MIN(HQ64:HT64),SUM(HQ64:HT64)=0)),$HP64,0)</f>
        <v/>
      </c>
      <c r="IB64" s="545" t="n">
        <v>32</v>
      </c>
      <c r="IC64">
        <f>HU64=DF64</f>
        <v/>
      </c>
      <c r="IE64" s="351">
        <f>IF(B64="","",IF(AND(Y64="Second Lien",OR(CZ64=1,DA64=1,DB64=1)),50%,IF(CZ64=1,90%,IF(DA64=1,80%,IF(DB64=1,65%,"No Initial Haircut")))))</f>
        <v/>
      </c>
    </row>
    <row r="65">
      <c r="A65">
        <f>D65</f>
        <v/>
      </c>
      <c r="B65" s="242">
        <f>IF(D65="","",B64+1)</f>
        <v/>
      </c>
      <c r="C65" s="242">
        <f>IF(COUNTIF($A$10:A64,A65)&gt;0,C64,C64+1)</f>
        <v/>
      </c>
      <c r="D65" s="243" t="inlineStr">
        <is>
          <t>Crestline Industries, Inc.</t>
        </is>
      </c>
      <c r="E65" s="243" t="inlineStr">
        <is>
          <t>Crestline (Term Loan)</t>
        </is>
      </c>
      <c r="F65" s="244" t="n"/>
      <c r="G65" s="528" t="n">
        <v>5547119.4198</v>
      </c>
      <c r="H65" s="528" t="n">
        <v>5547119.4198</v>
      </c>
      <c r="I65" s="246" t="n">
        <v>1</v>
      </c>
      <c r="J65" s="529">
        <f>IF(B65="","",G65*I65)</f>
        <v/>
      </c>
      <c r="K65" s="529">
        <f>IF(B65="","",H65*I65)</f>
        <v/>
      </c>
      <c r="L65" s="529">
        <f>IF(B65="","",IF(COUNTIF($CE65:$CX65,1)&gt;0,0,J65))</f>
        <v/>
      </c>
      <c r="M65" s="529">
        <f>IF(B65="","",IF(COUNTIF($CE65:$CX65,1)&gt;0,0,K65))</f>
        <v/>
      </c>
      <c r="N65" s="248" t="inlineStr">
        <is>
          <t>No</t>
        </is>
      </c>
      <c r="O65" s="248" t="inlineStr">
        <is>
          <t>N/A</t>
        </is>
      </c>
      <c r="P65" s="249">
        <f>IF(B65="","",IF(OR(O65="N/A",O65=""),0,YEARFRAC('Borrowing Base'!$J$4,'Loan List'!O65)*12))</f>
        <v/>
      </c>
      <c r="Q65" s="248" t="inlineStr">
        <is>
          <t>No</t>
        </is>
      </c>
      <c r="R65" s="250" t="n">
        <v>0.9799999999999999</v>
      </c>
      <c r="S65" s="251">
        <f>IF(B65="","",IF(R65&lt;95%,"Yes","No"))</f>
        <v/>
      </c>
      <c r="T65" s="250" t="n">
        <v>0.6199999973408528</v>
      </c>
      <c r="U65" s="252">
        <f>IF(B65="","",IF(OR(Y65="First Lien",Y65="Split First Lien",Y65="Tier 1 Split Lien",Y65="Tier 2 Split Lien"),50%,30%))</f>
        <v/>
      </c>
      <c r="V65" s="252">
        <f>IF(B65="",0,IF(AND(Y65="First Lien",AN65="Tier 1"),IF(AND(X65="Yes",MIN(AH65,$AJ$5)&gt;4.5),(((4.5/MIN(AH65,$AJ$5))*72.5%)+(((MIN(AH65,$AJ$5)-4.5)/MIN(AH65,$AJ$5))*35%)),72.5%),IF(AND(Y65="First Lien",AN65="Tier 2"),IF(AND(X65="Yes",MIN(AH65,$AK$5)&gt;4.5),(((4.5/MIN(AH65,$AK$5))*72.5%)+(((MIN(AH65,$AK$5)-4.5)/MIN(AH65,$AK$5))*35%)),72.5%),IF(AND(X65="Yes",MIN(AH65,$AL$5)&gt;4),(((4/MIN(AH65,$AL$5))*72.5%)+(((MIN(AH65,$AL$5)-4)/MIN(AH65,$AL$5))*35%)),IF(OR(Y65="First Lien",Y65="Split First Lien"),72.5%,IF(Y65="Split Lien", 53%,35%))))))</f>
        <v/>
      </c>
      <c r="W65" s="530">
        <f>IF($C65="","",MIN($HO65:$HS65))</f>
        <v/>
      </c>
      <c r="X65" s="248" t="inlineStr">
        <is>
          <t>Yes</t>
        </is>
      </c>
      <c r="Y65" s="254" t="inlineStr">
        <is>
          <t>First Lien</t>
        </is>
      </c>
      <c r="Z65" s="254" t="inlineStr">
        <is>
          <t>Term</t>
        </is>
      </c>
      <c r="AA65" s="531" t="inlineStr">
        <is>
          <t>NR</t>
        </is>
      </c>
      <c r="AB65" s="531" t="inlineStr">
        <is>
          <t xml:space="preserve"> NR</t>
        </is>
      </c>
      <c r="AC65" s="532" t="n">
        <v>3.22</v>
      </c>
      <c r="AD65" s="532" t="n">
        <v>3.42</v>
      </c>
      <c r="AE65" s="532" t="inlineStr">
        <is>
          <t>NM</t>
        </is>
      </c>
      <c r="AF65" s="257" t="n">
        <v>0.2076978021978022</v>
      </c>
      <c r="AG65" s="533" t="n">
        <v>3.42</v>
      </c>
      <c r="AH65" s="533" t="n">
        <v>3.42</v>
      </c>
      <c r="AI65" s="533" t="n">
        <v>-11.04831227003679</v>
      </c>
      <c r="AJ65" s="533" t="n">
        <v>-11.04831227003679</v>
      </c>
      <c r="AK65" s="534" t="n">
        <v>22128888</v>
      </c>
      <c r="AL65" s="534" t="n">
        <v>-6251000</v>
      </c>
      <c r="AM65" s="276" t="n">
        <v>45808</v>
      </c>
      <c r="AN65" s="529">
        <f>IF(C65="","",(IF(AK65&gt;=50000000,"Tier 1",(IF(OR(AK65&gt;=20000000,AND(AK65&gt;5000000,AC65&gt;=1.25,AF65&lt;=0.65)),"Tier 2","Tier 3")))))</f>
        <v/>
      </c>
      <c r="AO65" s="244" t="n">
        <v>46700</v>
      </c>
      <c r="AP65" s="535" t="n">
        <v>2.275</v>
      </c>
      <c r="AQ65" s="535">
        <f>IF(C65="","",AP65)</f>
        <v/>
      </c>
      <c r="AR65" s="248" t="inlineStr">
        <is>
          <t>No</t>
        </is>
      </c>
      <c r="AS65" s="250" t="n">
        <v>0</v>
      </c>
      <c r="AT65" s="248" t="inlineStr">
        <is>
          <t>Yes</t>
        </is>
      </c>
      <c r="AU65" s="250" t="n">
        <v>0.01</v>
      </c>
      <c r="AV65" s="250" t="n">
        <v>0.0725</v>
      </c>
      <c r="AW65" s="250" t="n">
        <v>0.042516</v>
      </c>
      <c r="AX65" s="262">
        <f>IF(C65="","",MAX(AU65,AW65))</f>
        <v/>
      </c>
      <c r="AY65" s="250" t="n">
        <v>0</v>
      </c>
      <c r="AZ65" s="250" t="n">
        <v>0.035</v>
      </c>
      <c r="BA65" s="250" t="n">
        <v>0</v>
      </c>
      <c r="BB65" s="412">
        <f>IF(B65="","",IF(AR65="No",AV65-AZ65,""))</f>
        <v/>
      </c>
      <c r="BC65" s="412">
        <f>IF(B65="","",IF(AR65="Yes",AS65-BA65,""))</f>
        <v/>
      </c>
      <c r="BD65" s="254" t="inlineStr">
        <is>
          <t>Quarterly</t>
        </is>
      </c>
      <c r="BE65" s="536" t="inlineStr">
        <is>
          <t>Textiles, Apparel &amp; Luxury Goods</t>
        </is>
      </c>
      <c r="BF65" s="254" t="inlineStr">
        <is>
          <t>USD</t>
        </is>
      </c>
      <c r="BG65" s="254" t="inlineStr">
        <is>
          <t>United States</t>
        </is>
      </c>
      <c r="BH65" s="248" t="inlineStr">
        <is>
          <t>No</t>
        </is>
      </c>
      <c r="BI65" s="413">
        <f>IF(B65="","",IF(OR(AND(AZ65&gt;0,BB65&gt;=2.5%,BB65&lt;4%),AND(BA65&gt;0,BC65&gt;=6%,BC65&lt;8%)),"Yes","No"))</f>
        <v/>
      </c>
      <c r="BJ65" s="413">
        <f>IF(B65="","",IF(OR(AND(AZ65&gt;0,BB65&lt;2.5%),AND(BA65&gt;0,BC65&lt;6%)),"Yes","No"))</f>
        <v/>
      </c>
      <c r="BK65" s="248" t="inlineStr">
        <is>
          <t>No</t>
        </is>
      </c>
      <c r="BL65" s="248" t="inlineStr">
        <is>
          <t>No</t>
        </is>
      </c>
      <c r="BM65" s="248" t="inlineStr">
        <is>
          <t>No</t>
        </is>
      </c>
      <c r="BN65" s="248" t="inlineStr">
        <is>
          <t>No</t>
        </is>
      </c>
      <c r="BO65" s="248" t="inlineStr">
        <is>
          <t>No</t>
        </is>
      </c>
      <c r="BP65" s="248" t="inlineStr">
        <is>
          <t>No</t>
        </is>
      </c>
      <c r="BQ65" s="248" t="inlineStr">
        <is>
          <t>No</t>
        </is>
      </c>
      <c r="BR65" s="248" t="inlineStr">
        <is>
          <t>No</t>
        </is>
      </c>
      <c r="BS65" s="248" t="inlineStr">
        <is>
          <t>No</t>
        </is>
      </c>
      <c r="BT65" s="248" t="inlineStr">
        <is>
          <t>No</t>
        </is>
      </c>
      <c r="BU65" s="248" t="inlineStr">
        <is>
          <t>No</t>
        </is>
      </c>
      <c r="BV65" s="248" t="inlineStr">
        <is>
          <t>No</t>
        </is>
      </c>
      <c r="BW65" s="248" t="inlineStr">
        <is>
          <t>No</t>
        </is>
      </c>
      <c r="BX65" s="248" t="inlineStr">
        <is>
          <t>No</t>
        </is>
      </c>
      <c r="BY65" s="248" t="inlineStr">
        <is>
          <t>No</t>
        </is>
      </c>
      <c r="BZ65" s="248" t="inlineStr">
        <is>
          <t>No</t>
        </is>
      </c>
      <c r="CA65" s="248" t="inlineStr">
        <is>
          <t>Yes</t>
        </is>
      </c>
      <c r="CB65" s="537">
        <f>IF(B65="","",IF(AT65="No",((BB65+AW65)-$AZ$4),((BB65+AX65)-$AZ$4))*IF(DD65&gt;0,0,M65))</f>
        <v/>
      </c>
      <c r="CC65" s="537">
        <f>IF(B65="","",AY65*(L65-M65)*IF(DD65&gt;0,0,1))</f>
        <v/>
      </c>
      <c r="CD65" s="265" t="n"/>
      <c r="CE65" s="265">
        <f>IF(AND(B65&lt;&gt;"",R65&lt;=85%),1,0)</f>
        <v/>
      </c>
      <c r="CF65" s="265">
        <f>IF(B65="",0,(IF(OR(BF65="USD",BF65="CAD",BF65="GBP",BF65="AUD",BF65="EUR"),0,1)))</f>
        <v/>
      </c>
      <c r="CG65" s="265">
        <f>IF(B65="",0,(IF(OR(BG65="United States",BG65="Canada",BG65="United Kingdom",BG65="Australia",BG65="Netherlands Antilles",BG65="Bermuda",BG65="Cayman Islands",BG65="British Virgin Islands",BG65="Channel Islands",BG65="Isle of Man",BG65="Australia",BG65="Netherlands",BG65="Germany",BG65="Sweden",BG65="Switzerland",BG65="Austria",BG65="Belgium",BG65="Denmark",BG65="Finland",BG65="Iceland",BG65="Ireland",BG65="Lichtenstein",BG65="Luxemborg",BG65="Norway"),0,1)))</f>
        <v/>
      </c>
      <c r="CH65" s="265">
        <f>IF(BN65="Yes",1,0)</f>
        <v/>
      </c>
      <c r="CI65" s="265">
        <f>IF(BO65="Yes",1,0)</f>
        <v/>
      </c>
      <c r="CJ65" s="265">
        <f>IF(BP65="Yes",1,0)</f>
        <v/>
      </c>
      <c r="CK65" s="265">
        <f>IF(BQ65="Yes",1,0)</f>
        <v/>
      </c>
      <c r="CL65" s="265">
        <f>IF(BR65="Yes",1,0)</f>
        <v/>
      </c>
      <c r="CM65" s="265">
        <f>IF(BS65="Yes",1,0)</f>
        <v/>
      </c>
      <c r="CN65" s="265">
        <f>IF(OR(AND(BJ65="Yes",N65="No"),AND(BJ65="Yes",N65="Yes",P65&gt;=6)),1,0)</f>
        <v/>
      </c>
      <c r="CO65" s="265">
        <f>IF(BT65="Yes",1,0)</f>
        <v/>
      </c>
      <c r="CP65" s="265">
        <f>IF(AND(BU65="Yes",BV65="No"),1,0)</f>
        <v/>
      </c>
      <c r="CQ65" s="265">
        <f>IF(BW65="Yes",1,0)</f>
        <v/>
      </c>
      <c r="CR65" s="265">
        <f>IF(AP65="",0,IF(AP65&gt;7,1,0))</f>
        <v/>
      </c>
      <c r="CS65" s="265">
        <f>IF(OR(BD65&lt;&gt;"Monthly",BD65&lt;&gt;"Quarterly",BD65&lt;&gt;"Semi-Annually"),0,1)</f>
        <v/>
      </c>
      <c r="CT65" s="265">
        <f>IF(BX65="Yes",1,0)</f>
        <v/>
      </c>
      <c r="CU65" s="265">
        <f>IF(BY65="Yes",1,0)</f>
        <v/>
      </c>
      <c r="CV65" s="265">
        <f>IF(BZ65="Yes",1,0)</f>
        <v/>
      </c>
      <c r="CW65" s="265">
        <f>IF(CA65="No",1,0)</f>
        <v/>
      </c>
      <c r="CX65" s="265">
        <f>IF(B65="",0,IF(AK65&gt;=5000000,0,1))</f>
        <v/>
      </c>
      <c r="CY65" s="265">
        <f>IF(B65="",0,IF(AL65&gt;=5000000,0,1))</f>
        <v/>
      </c>
      <c r="CZ65" s="265">
        <f>IF(OR(DA65=1,DB65=1,DC65=1),0,IF(B65="",0,IF(OR(AND(AN65="Tier 1",X65="No",OR(AI65&gt;$AJ$3,AJ65&gt;$AJ$4)),(AND(AN65="Tier 1",X65="Yes",AJ65&gt;$AJ$5)),(AND(AN65="Tier 2",X65="No",OR(AI65&gt;$AK$3,AJ65&gt;$AK$4))),(AND(AN65="Tier 2",X65="Yes",AJ65&gt;$AK$5)),(AND(AN65="Tier 3",X65="No",OR(AI65&gt;$AL$3,AJ65&gt;$AL$4))),(AND(AN65="Tier 3",X65="Yes",AJ65&gt;$AL$5))),1,0)))</f>
        <v/>
      </c>
      <c r="DA65" s="265">
        <f>IF(OR(DB65=1,DC65=1),0,IF(B65="",0,IF(OR(AND(AN65="Tier 1",X65="No",OR(AI65&gt;$AM$3,AJ65&gt;$AM$4)),(AND(AN65="Tier 1",X65="Yes",AJ65&gt;$AM$5)),(AND(AN65="Tier 2",X65="No",OR(AI65&gt;$AN$3,AJ65&gt;$AN$4))),(AND(AN65="Tier 2",X65="Yes",AJ65&gt;$AN$5)),(AND(AN65="Tier 3",X65="No",OR(AI65&gt;$AO$3,AJ65&gt;$AO$4))),(AND(AN65="Tier 3",X65="Yes",AJ65&gt;$AO$5))),1,0)))</f>
        <v/>
      </c>
      <c r="DB65" s="265">
        <f>IF(DC65=1,0,IF(B65="",0,IF(OR(AND(AN65="Tier 1",X65="No",OR(AI65&gt;$AP$3,AJ65&gt;$AP$4)),(AND(AN65="Tier 1",X65="Yes",AJ65&gt;$AP$5)),(AND(AN65="Tier 2",X65="No",OR(AI65&gt;$AQ$3,AJ65&gt;$AQ$4))),(AND(AN65="Tier 2",X65="Yes",AJ65&gt;$AQ$5)),(AND(AN65="Tier 3",X65="No",OR(AI65&gt;$AR$3,AJ65&gt;$AR$4))),(AND(AN65="Tier 3",X65="Yes",AJ65&gt;$AR$5))),1,0)))</f>
        <v/>
      </c>
      <c r="DC65" s="265">
        <f>IF(B65="",0,IF(OR(AND(AN65="Tier 1",X65="No",OR(AI65&gt;$AS$3,AJ65&gt;$AS$4)),(AND(AN65="Tier 1",X65="Yes",AJ65&gt;$AS$5)),(AND(AN65="Tier 2",X65="No",OR(AI65&gt;$AT$3,AJ65&gt;$AT$4))),(AND(AN65="Tier 2",X65="Yes",AJ65&gt;$AT$5)),(AND(AN65="Tier 3",X65="No",OR(AI65&gt;$AU$3,AJ65&gt;$AU$4))),(AND(AN65="Tier 3",X65="Yes",AJ65&gt;$AU$5))),1,0))</f>
        <v/>
      </c>
      <c r="DD65" s="265">
        <f>IF((SUM(CE65:CX65)=0),0,W65)</f>
        <v/>
      </c>
      <c r="DE65" s="265">
        <f>IF(OR(B65="",DD65&gt;0),0,W65)</f>
        <v/>
      </c>
      <c r="DF65" s="265">
        <f>IF(B65="",0,IF(COUNTIF(CE65:CX65,1)&gt;0,0,L65-M65))</f>
        <v/>
      </c>
      <c r="DG65" s="265">
        <f>DE65+IF(DD65&gt;0,0,DF65)</f>
        <v/>
      </c>
      <c r="DH65" s="265">
        <f>IF(B65="","",M65+DF65)</f>
        <v/>
      </c>
      <c r="DI65" s="265">
        <f>IF(B65="",0,J65-K65)</f>
        <v/>
      </c>
      <c r="DJ65" s="265">
        <f>IF(OR(BF65="EUR",BF65="CAD",BF65="GBP",BF65="AUD"),(GA65*(1-V65))+(HG65)+IF(HX65="",0,HX65*(1-U65)),0)</f>
        <v/>
      </c>
      <c r="DK65" s="265">
        <f>IF(BF65="EUR",33%,IF(BF65="CAD",38%,IF(BF65="GBP",51%,IF(BF65="AUD",61%,0))))</f>
        <v/>
      </c>
      <c r="DL65" s="265">
        <f>DJ65*DK65</f>
        <v/>
      </c>
      <c r="DN65" s="538">
        <f>IF(OR(Y65="Second Lien",Y65="Tier 1 Split Lien",Y65="Tier 2 Split Lien"),DG65,0)</f>
        <v/>
      </c>
      <c r="DO65" s="539">
        <f>DN65*DN$6</f>
        <v/>
      </c>
      <c r="DP65" s="538">
        <f>DG65-DO65</f>
        <v/>
      </c>
      <c r="DQ65" s="538">
        <f>IF(Y65="Second Lien",DP65,0)</f>
        <v/>
      </c>
      <c r="DR65" s="539">
        <f>DQ65*DQ$6</f>
        <v/>
      </c>
      <c r="DS65" s="538">
        <f>DP65-DR65</f>
        <v/>
      </c>
      <c r="DT65" s="538">
        <f>IF(BH65="Yes",DS65,0)</f>
        <v/>
      </c>
      <c r="DU65" s="539">
        <f>DT65*DT$6</f>
        <v/>
      </c>
      <c r="DV65" s="538">
        <f>DS65-DU65</f>
        <v/>
      </c>
      <c r="DW65" s="538">
        <f>IF(OR(BG65="Canada",BG65="United Kingdom",BG65="Australia",BG65="Netherlands Antilles",BG65="Bermuda",BG65="Cayman Islands",BG65="British Virgin Islands",BG65="Channel Islands",BG65="Isle of Man",BG65="Australia",BG65="Netherlands",BG65="Germany",BG65="Sweden",BG65="Switzerland",BG65="Austria",BG65="Belgium",BG65="Denmark",BG65="Finland",BG65="Iceland",BG65="Ireland",BG65="Lichtenstein",BG65="Luxemborg",BG65="Norway"),DV65,0)</f>
        <v/>
      </c>
      <c r="DX65" s="539">
        <f>DW65*DW$6</f>
        <v/>
      </c>
      <c r="DY65" s="538">
        <f>DV65-DX65</f>
        <v/>
      </c>
      <c r="DZ65" s="538">
        <f>IF(BI65="Yes",DY65,0)</f>
        <v/>
      </c>
      <c r="EA65" s="539">
        <f>DZ65*DZ$6</f>
        <v/>
      </c>
      <c r="EB65" s="538">
        <f>DY65-EA65</f>
        <v/>
      </c>
      <c r="EC65" s="538">
        <f>IF(OR(Z65="Delayed Draw",Z65="Revolver"),EB65,0)</f>
        <v/>
      </c>
      <c r="ED65" s="539">
        <f>EC65*EC$6</f>
        <v/>
      </c>
      <c r="EE65" s="538">
        <f>EB65-ED65</f>
        <v/>
      </c>
      <c r="EF65" s="538">
        <f>IF(S65="Yes",EE65,0)</f>
        <v/>
      </c>
      <c r="EG65" s="539">
        <f>EF65*EF$6</f>
        <v/>
      </c>
      <c r="EH65" s="538">
        <f>EE65-EG65</f>
        <v/>
      </c>
      <c r="EI65" s="538">
        <f>IF(Q65="Yes",EH65,0)</f>
        <v/>
      </c>
      <c r="EJ65" s="539">
        <f>EI65*EI$6</f>
        <v/>
      </c>
      <c r="EK65" s="538">
        <f>EH65-EJ65</f>
        <v/>
      </c>
      <c r="EL65" s="538">
        <f>IF(BD65="Semi-Annually",EK65,0)</f>
        <v/>
      </c>
      <c r="EM65" s="539">
        <f>EL65*EL$6</f>
        <v/>
      </c>
      <c r="EN65" s="538">
        <f>EK65-EM65</f>
        <v/>
      </c>
      <c r="EO65" s="538">
        <f>IF(BK65="Yes",EN65,0)</f>
        <v/>
      </c>
      <c r="EP65" s="539">
        <f>EO65*EO$6</f>
        <v/>
      </c>
      <c r="EQ65" s="538">
        <f>EN65-EP65</f>
        <v/>
      </c>
      <c r="ER65" s="538">
        <f>IF(BL65="Yes",EQ65,0)</f>
        <v/>
      </c>
      <c r="ES65" s="539">
        <f>ER65*ER$6</f>
        <v/>
      </c>
      <c r="ET65" s="538">
        <f>EQ65-ES65</f>
        <v/>
      </c>
      <c r="EU65" s="538">
        <f>IF(BM65="Yes",ET65,0)</f>
        <v/>
      </c>
      <c r="EV65" s="539">
        <f>EU65*EU$6</f>
        <v/>
      </c>
      <c r="EW65" s="538">
        <f>ET65-EV65</f>
        <v/>
      </c>
      <c r="EX65" s="538">
        <f>IF(BV65="Yes",EW65,0)</f>
        <v/>
      </c>
      <c r="EY65" s="539">
        <f>EX65*EX$6</f>
        <v/>
      </c>
      <c r="EZ65" s="538">
        <f>EW65-EY65</f>
        <v/>
      </c>
      <c r="FA65" s="538">
        <f>IF(AR65="Yes",EZ65,0)</f>
        <v/>
      </c>
      <c r="FB65" s="539">
        <f>FA65*FA$6</f>
        <v/>
      </c>
      <c r="FC65" s="538">
        <f>EZ65-FB65</f>
        <v/>
      </c>
      <c r="FD65" s="538">
        <f>IF(OR(BF65="EUR",BF65="AUD",BF65="CAD",BF65="GBP"),FC65,0)</f>
        <v/>
      </c>
      <c r="FE65" s="539">
        <f>FD65*FD$6</f>
        <v/>
      </c>
      <c r="FF65" s="538">
        <f>FC65-FE65</f>
        <v/>
      </c>
      <c r="FG65" s="538">
        <f>FF65</f>
        <v/>
      </c>
      <c r="FH65" s="538">
        <f>IF(FF65=0,0,VLOOKUP(C65,$GU$10:$GV$406,2,FALSE)*FF65)</f>
        <v/>
      </c>
      <c r="FI65" s="538">
        <f>FF65-FH65</f>
        <v/>
      </c>
      <c r="FJ65" s="538">
        <f>FI65</f>
        <v/>
      </c>
      <c r="FK65" s="538">
        <f>IF(OR(IB65="",FI65&lt;0.01),,VLOOKUP(IB65,$GL$10:$GM$406,2,FALSE)*FI65)</f>
        <v/>
      </c>
      <c r="FL65" s="538">
        <f>FI65-FK65</f>
        <v/>
      </c>
      <c r="FM65" s="538">
        <f>FL65</f>
        <v/>
      </c>
      <c r="FN65" s="538">
        <f>IF(FL65=0,0,VLOOKUP(C65,$HD$10:$HE$406,2,FALSE)*FL65)</f>
        <v/>
      </c>
      <c r="FO65" s="538">
        <f>FL65-FN65</f>
        <v/>
      </c>
      <c r="FP65" s="538">
        <f>IF(SUM(CY65:DC65)&gt;0,0,IF(AND(AL65&gt;=5000000,AL65&lt;7500000),FO65,0))</f>
        <v/>
      </c>
      <c r="FQ65" s="539">
        <f>IF(B65="",0,FP65*FP$6*(1-$U65))</f>
        <v/>
      </c>
      <c r="FR65" s="538">
        <f>FO65-FQ65</f>
        <v/>
      </c>
      <c r="FS65" s="538">
        <f>IF(SUM(CY65:DC65)&gt;0,0,IF(AL65&lt;15000000,FR65,0))</f>
        <v/>
      </c>
      <c r="FT65" s="539">
        <f>IF(B65="",0,FS65*FS$6*(1-$U65))</f>
        <v/>
      </c>
      <c r="FU65" s="538">
        <f>FR65-FT65</f>
        <v/>
      </c>
      <c r="FV65" s="538">
        <f>IF(SUM(CY65:DC65)&gt;0,0,IF(OR(AND(X65="No",AN65="Tier 1",AI65&gt;$AG$3),AND(X65="No",AN65="Tier 2",AI65&gt;$AH$3),AND(X65="No",AN65="Tier 3",AI65&gt;$AI$3)),FU65,0))</f>
        <v/>
      </c>
      <c r="FW65" s="538">
        <f>IF(SUM(CY65:DC65)&gt;0,0,IF(OR(AND(X65="No",AN65="Tier 1",AJ65&gt;$AG$4),AND(X65="No",AN65="Tier 2",AJ65&gt;$AH$4),AND(X65="No",AN65="Tier 3",AJ65&gt;$AI$4)),FU65,0))</f>
        <v/>
      </c>
      <c r="FX65" s="538">
        <f>IF(SUM(CY65:DC65)&gt;0,0,IF(OR(AND(X65="Yes",AN65="Tier 1",AJ65&gt;$AG$5),AND(X65="Yes",AN65="Tier 2",AJ65&gt;$AH$5),AND(X65="Yes",AN65="Tier 3",AJ65&gt;$AI$5)),FU65,0))</f>
        <v/>
      </c>
      <c r="FY65" s="538">
        <f>IF(SUM(FV65:FX65)&gt;0,FU65,0)</f>
        <v/>
      </c>
      <c r="FZ65" s="539">
        <f>IF(B65="",0,FY65*FV$6*(1-MIN(90%,T65)))</f>
        <v/>
      </c>
      <c r="GA65" s="538">
        <f>FU65-FZ65</f>
        <v/>
      </c>
      <c r="GB65" s="538">
        <f>IF(AND(N65="No",DI65=0),GA65,IF(AND(N65="No",DI65&lt;&gt;0,K65=0),0,IF(AND(N65="No",DI65&lt;&gt;0,K65&gt;0,J65&lt;&gt;K65),MAX(0,M65-(DH65-GA65)),DG65)))</f>
        <v/>
      </c>
      <c r="GC65" s="540">
        <f>+GB65*V65</f>
        <v/>
      </c>
      <c r="GD65" s="138">
        <f>IFERROR(GC65/K65,"")</f>
        <v/>
      </c>
      <c r="GE65" s="541">
        <f>IF(IB65="","",IB65)</f>
        <v/>
      </c>
      <c r="GF65" s="538">
        <f t="array" ref="GF65">IF(SUM(IF(IB$9:IB64=IB65,1,0))&gt;0,0,SUMIF($IB$10:$IB$406,IB65,$FI$10:$FI$406))</f>
        <v/>
      </c>
      <c r="GG65" s="270">
        <f>GF65</f>
        <v/>
      </c>
      <c r="GH65" s="137">
        <f>GH64+1</f>
        <v/>
      </c>
      <c r="GI65" s="542">
        <f>LARGE($GG$10:$GG$406,GH65)</f>
        <v/>
      </c>
      <c r="GJ65" s="542">
        <f>IF(GH65&gt;GH$6,0,IF(GH65=$GH$2,$GJ$2,IF(GH65&lt;4,$GJ$3,$GJ$4)))</f>
        <v/>
      </c>
      <c r="GK65" s="489">
        <f>MAX(0,GI65-GJ65)</f>
        <v/>
      </c>
      <c r="GL65" s="137">
        <f t="array" ref="GL65">IF(GI65=0,0,LARGE(IF($GF$10:$GF$406=GI65,$GE$10:$GE$406,0),COUNTIF($GI$10:$GI$406,GI65)-COUNTIF(GI$9:GI64,GI65)))</f>
        <v/>
      </c>
      <c r="GM65" s="272">
        <f>IF(GI65=0,0,GK65/GI65)</f>
        <v/>
      </c>
      <c r="GO65" s="137">
        <f>IF(C65="","",IF(ISERROR(MATCH(C65,C$10:C64,0)),MAX(GO$10:GO64)+1,INDEX(GO$10:GO64,MATCH(C65,C$10:C64,0))))</f>
        <v/>
      </c>
      <c r="GP65" s="538">
        <f>IF(COUNTIF($A$10:A65,A65)&lt;=1,SUMIF($A$10:$A$406,A65,$FG$10:$FG$406),0)</f>
        <v/>
      </c>
      <c r="GQ65" s="137">
        <f>GQ64+1</f>
        <v/>
      </c>
      <c r="GR65" s="542">
        <f>LARGE($GP$10:$GP$406,GQ65)</f>
        <v/>
      </c>
      <c r="GS65" s="542">
        <f>IF(GQ65&gt;GQ$6,0,IF(GQ65&lt;=GQ$2,GS$2,IF(AND(GQ65&lt;=$GQ$3,GQ65&gt;$GQ$2),GS$3,GS$4)))</f>
        <v/>
      </c>
      <c r="GT65" s="489">
        <f>MAX(0,GR65-GS65)</f>
        <v/>
      </c>
      <c r="GU65" s="137">
        <f t="array" ref="GU65">IF(GR65=0,0,LARGE(IF($GP$10:$GP$406=GR65,$GO$10:$GO$406,0),COUNTIF($GR$10:$GR$406,GR65)-COUNTIF(GR$9:GR64,GR65)))</f>
        <v/>
      </c>
      <c r="GV65" s="272">
        <f>IF(GR65=0,0,GT65/GR65)</f>
        <v/>
      </c>
      <c r="GW65" s="272" t="n"/>
      <c r="GX65" s="137">
        <f>IF(C65="","",IF(ISERROR(MATCH(C65,C$10:C64,0)),MAX(GO$10:GO64)+1,INDEX(GO$10:GO64,MATCH(C65,C$10:C64,0))))</f>
        <v/>
      </c>
      <c r="GY65" s="538">
        <f>IF(COUNTIF($A$10:A65,A65)&lt;=1,SUMIF($A$10:$A$406,A65,$FG$10:$FG$406),0)</f>
        <v/>
      </c>
      <c r="GZ65" s="137">
        <f>GZ64+1</f>
        <v/>
      </c>
      <c r="HA65" s="542">
        <f>LARGE($GY$10:$GY$406,GZ65)</f>
        <v/>
      </c>
      <c r="HB65" s="543" t="inlineStr">
        <is>
          <t>-</t>
        </is>
      </c>
      <c r="HC65" s="489">
        <f>IF(GZ65&lt;6,MAX(0,$HC$2/5),0)</f>
        <v/>
      </c>
      <c r="HD65" s="137">
        <f t="array" ref="HD65">IF(HA65=0,0,LARGE(IF($GY$10:$GY$406=HA65,$GX$10:$GX$406,0),COUNTIF($HA$10:$HA$406,HA65)-COUNTIF(HA$9:HA64,HA65)))</f>
        <v/>
      </c>
      <c r="HE65" s="272">
        <f>IF(HA65=0,0,HC65/HA65)</f>
        <v/>
      </c>
      <c r="HF65" s="272" t="n"/>
      <c r="HG65" s="270">
        <f>DG65-GA65</f>
        <v/>
      </c>
      <c r="HH65" s="544" t="n">
        <v>0</v>
      </c>
      <c r="HI65" s="538">
        <f>MIN(HH65,DE65)</f>
        <v/>
      </c>
      <c r="HK65" s="137">
        <f>IF(COUNTIF($C$10:$C$406,HK64+1),HK64+1,"")</f>
        <v/>
      </c>
      <c r="HL65" s="538">
        <f>SUMIF($C$10:$C$406,HK65,$DG$10:$DG$406)</f>
        <v/>
      </c>
      <c r="HN65" s="521">
        <f>MIN(HO65:HS65)</f>
        <v/>
      </c>
      <c r="HO65" s="521">
        <f>IF(B65="","",$M65)</f>
        <v/>
      </c>
      <c r="HP65" s="521">
        <f>IF($N65="Yes",IF(P65&gt;=6,0,MIN($T65*$M65,$U65*$M65)),"")</f>
        <v/>
      </c>
      <c r="HQ65" s="521">
        <f>IF(AND(N65="Yes",P65&gt;=6),"",IF($S65="Yes",$R65*$M65,""))</f>
        <v/>
      </c>
      <c r="HR65" s="521">
        <f>IF($Q65="Yes",MIN($M65,$T65*$M65),"")</f>
        <v/>
      </c>
      <c r="HS65" s="521">
        <f>IF(AND($N65="Yes",$P65&gt;=6),"",IF(OR(CY65=1,DC65=1,),MIN($T65*$M65,$U65*$M65),IF(OR(CZ65=1,DA65=1,DB65=1),IF(AK65&gt;=5000000,MIN($T65*$M65,$IE65*$M65),MIN($T65*$M65,$U65*$M65)),"")))</f>
        <v/>
      </c>
      <c r="HT65" s="521">
        <f>IF(DD65&gt;0,DD65,"")</f>
        <v/>
      </c>
      <c r="HU65" s="522">
        <f>IF(B65="",0,$L65-$M65)</f>
        <v/>
      </c>
      <c r="HV65" s="274">
        <f>IF(OR(SUM(HP65:HT65)&gt;0,P65&gt;=6),"",IF($B65="","",1))</f>
        <v/>
      </c>
      <c r="HW65" s="522">
        <f>IF(AND($HT65&lt;&gt;0,OR(HT65&lt;=MIN(HP65:HS65),SUM(HP65:HS65)=0)),$HT65,0)</f>
        <v/>
      </c>
      <c r="HX65" s="522">
        <f>IF(AND($HS65&lt;&gt;0,OR(AND($HS65&lt;&gt;$HT65,$HS65&lt;&gt;$HR65,$HS65&lt;&gt;$HQ65,$HS65&lt;&gt;$HP65,$HS65&lt;MIN($HP65:$HR65),$HS65&lt;HT65),SUM($HP65:$HR65)+SUM(HT65)=0),IA65&lt;=0),$HS65,0)</f>
        <v/>
      </c>
      <c r="HY65" s="522">
        <f>IF(AND($HR65&lt;&gt;0,OR(AND($HR65&lt;&gt;$HT65,$HR65&lt;&gt;$HS65,$HR65&lt;&gt;$HQ65,$HR65&lt;&gt;$HP65),$HR65&lt;MIN($HP65:$HQ65),$HR65&lt;MIN($HS65:$HT65),SUM($HP65:$HQ65)+SUM($HS65:$HT65)=0)),$HR65,0)</f>
        <v/>
      </c>
      <c r="HZ65" s="522">
        <f>IF(AND($HQ65&lt;&gt;0,OR(AND($HQ65&lt;&gt;$HT65,HQ65&lt;&gt;HS65,HQ65&lt;&gt;HR65,HQ65&lt;&gt;HP65,HQ65&lt;MIN(HR65:HT65)),SUM(HP65)+SUM(HR65:HT65)=0)),$HQ65,0)</f>
        <v/>
      </c>
      <c r="IA65" s="522">
        <f>IF(AND($HP65&lt;&gt;0,OR(HP65&lt;=MIN(HQ65:HT65),SUM(HQ65:HT65)=0)),$HP65,0)</f>
        <v/>
      </c>
      <c r="IB65" s="545" t="n">
        <v>62</v>
      </c>
      <c r="IC65">
        <f>HU65=DF65</f>
        <v/>
      </c>
      <c r="IE65" s="351">
        <f>IF(B65="","",IF(AND(Y65="Second Lien",OR(CZ65=1,DA65=1,DB65=1)),50%,IF(CZ65=1,90%,IF(DA65=1,80%,IF(DB65=1,65%,"No Initial Haircut")))))</f>
        <v/>
      </c>
    </row>
    <row r="66">
      <c r="A66">
        <f>D66</f>
        <v/>
      </c>
      <c r="B66" s="242">
        <f>IF(D66="","",B65+1)</f>
        <v/>
      </c>
      <c r="C66" s="242">
        <f>IF(COUNTIF($A$10:A65,A66)&gt;0,C65,C65+1)</f>
        <v/>
      </c>
      <c r="D66" s="243" t="inlineStr">
        <is>
          <t>Fieldstone Industries, Inc.</t>
        </is>
      </c>
      <c r="E66" s="243" t="inlineStr">
        <is>
          <t>Fieldstone (Term Loan)</t>
        </is>
      </c>
      <c r="F66" s="244" t="n"/>
      <c r="G66" s="528" t="n">
        <v>19189335.85</v>
      </c>
      <c r="H66" s="528" t="n">
        <v>19189335.85</v>
      </c>
      <c r="I66" s="246" t="n">
        <v>1</v>
      </c>
      <c r="J66" s="529">
        <f>IF(B66="","",G66*I66)</f>
        <v/>
      </c>
      <c r="K66" s="529">
        <f>IF(B66="","",H66*I66)</f>
        <v/>
      </c>
      <c r="L66" s="529">
        <f>IF(B66="","",IF(COUNTIF($CE66:$CX66,1)&gt;0,0,J66))</f>
        <v/>
      </c>
      <c r="M66" s="529">
        <f>IF(B66="","",IF(COUNTIF($CE66:$CX66,1)&gt;0,0,K66))</f>
        <v/>
      </c>
      <c r="N66" s="248" t="inlineStr">
        <is>
          <t>No</t>
        </is>
      </c>
      <c r="O66" s="248" t="inlineStr">
        <is>
          <t>N/A</t>
        </is>
      </c>
      <c r="P66" s="249">
        <f>IF(B66="","",IF(OR(O66="N/A",O66=""),0,YEARFRAC('Borrowing Base'!$J$4,'Loan List'!O66)*12))</f>
        <v/>
      </c>
      <c r="Q66" s="248" t="inlineStr">
        <is>
          <t>No</t>
        </is>
      </c>
      <c r="R66" s="250" t="n">
        <v>0.9925661343549619</v>
      </c>
      <c r="S66" s="251">
        <f>IF(B66="","",IF(R66&lt;95%,"Yes","No"))</f>
        <v/>
      </c>
      <c r="T66" s="250" t="n">
        <v>0.9899999999218313</v>
      </c>
      <c r="U66" s="252">
        <f>IF(B66="","",IF(OR(Y66="First Lien",Y66="Split First Lien",Y66="Tier 1 Split Lien",Y66="Tier 2 Split Lien"),50%,30%))</f>
        <v/>
      </c>
      <c r="V66" s="252">
        <f>IF(B66="",0,IF(AND(Y66="First Lien",AN66="Tier 1"),IF(AND(X66="Yes",MIN(AH66,$AJ$5)&gt;4.5),(((4.5/MIN(AH66,$AJ$5))*72.5%)+(((MIN(AH66,$AJ$5)-4.5)/MIN(AH66,$AJ$5))*35%)),72.5%),IF(AND(Y66="First Lien",AN66="Tier 2"),IF(AND(X66="Yes",MIN(AH66,$AK$5)&gt;4.5),(((4.5/MIN(AH66,$AK$5))*72.5%)+(((MIN(AH66,$AK$5)-4.5)/MIN(AH66,$AK$5))*35%)),72.5%),IF(AND(X66="Yes",MIN(AH66,$AL$5)&gt;4),(((4/MIN(AH66,$AL$5))*72.5%)+(((MIN(AH66,$AL$5)-4)/MIN(AH66,$AL$5))*35%)),IF(OR(Y66="First Lien",Y66="Split First Lien"),72.5%,IF(Y66="Split Lien", 53%,35%))))))</f>
        <v/>
      </c>
      <c r="W66" s="530">
        <f>IF($C66="","",MIN($HO66:$HS66))</f>
        <v/>
      </c>
      <c r="X66" s="248" t="inlineStr">
        <is>
          <t>Yes</t>
        </is>
      </c>
      <c r="Y66" s="254" t="inlineStr">
        <is>
          <t>First Lien</t>
        </is>
      </c>
      <c r="Z66" s="254" t="inlineStr">
        <is>
          <t>Term</t>
        </is>
      </c>
      <c r="AA66" s="531" t="inlineStr">
        <is>
          <t>B3</t>
        </is>
      </c>
      <c r="AB66" s="531" t="inlineStr">
        <is>
          <t xml:space="preserve"> B</t>
        </is>
      </c>
      <c r="AC66" s="532" t="n">
        <v>1.658848614072495</v>
      </c>
      <c r="AD66" s="532" t="n">
        <v>4.500578034682081</v>
      </c>
      <c r="AE66" s="532" t="n">
        <v>4.618063155780913</v>
      </c>
      <c r="AF66" s="257" t="n">
        <v>0.862</v>
      </c>
      <c r="AG66" s="533" t="n">
        <v>4.500578034682081</v>
      </c>
      <c r="AH66" s="533" t="n">
        <v>4.500578034682081</v>
      </c>
      <c r="AI66" s="533" t="n">
        <v>4.413201491716573</v>
      </c>
      <c r="AJ66" s="533" t="n">
        <v>4.413201491716573</v>
      </c>
      <c r="AK66" s="534" t="n">
        <v>86500000</v>
      </c>
      <c r="AL66" s="534" t="n">
        <v>100019000</v>
      </c>
      <c r="AM66" s="276" t="n">
        <v>45838</v>
      </c>
      <c r="AN66" s="529">
        <f>IF(C66="","",(IF(AK66&gt;=50000000,"Tier 1",(IF(OR(AK66&gt;=20000000,AND(AK66&gt;5000000,AC66&gt;=1.25,AF66&lt;=0.65)),"Tier 2","Tier 3")))))</f>
        <v/>
      </c>
      <c r="AO66" s="244" t="n">
        <v>47723</v>
      </c>
      <c r="AP66" s="535" t="n">
        <v>5.077777777777778</v>
      </c>
      <c r="AQ66" s="535">
        <f>IF(C66="","",AP66)</f>
        <v/>
      </c>
      <c r="AR66" s="248" t="inlineStr">
        <is>
          <t>No</t>
        </is>
      </c>
      <c r="AS66" s="250" t="n">
        <v>0</v>
      </c>
      <c r="AT66" s="248" t="inlineStr">
        <is>
          <t>Yes</t>
        </is>
      </c>
      <c r="AU66" s="250" t="n">
        <v>0.01</v>
      </c>
      <c r="AV66" s="250" t="n">
        <v>0.0525</v>
      </c>
      <c r="AW66" s="250" t="n">
        <v>0.042956</v>
      </c>
      <c r="AX66" s="262">
        <f>IF(C66="","",MAX(AU66,AW66))</f>
        <v/>
      </c>
      <c r="AY66" s="250" t="n">
        <v>0.005</v>
      </c>
      <c r="AZ66" s="250" t="n">
        <v>0</v>
      </c>
      <c r="BA66" s="250" t="n">
        <v>0</v>
      </c>
      <c r="BB66" s="412">
        <f>IF(B66="","",IF(AR66="No",AV66-AZ66,""))</f>
        <v/>
      </c>
      <c r="BC66" s="412">
        <f>IF(B66="","",IF(AR66="Yes",AS66-BA66,""))</f>
        <v/>
      </c>
      <c r="BD66" s="254" t="inlineStr">
        <is>
          <t>Quarterly</t>
        </is>
      </c>
      <c r="BE66" s="536" t="inlineStr">
        <is>
          <t>Leisure Products</t>
        </is>
      </c>
      <c r="BF66" s="254" t="inlineStr">
        <is>
          <t>USD</t>
        </is>
      </c>
      <c r="BG66" s="254" t="inlineStr">
        <is>
          <t>United States</t>
        </is>
      </c>
      <c r="BH66" s="248" t="inlineStr">
        <is>
          <t>No</t>
        </is>
      </c>
      <c r="BI66" s="413">
        <f>IF(B66="","",IF(OR(AND(AZ66&gt;0,BB66&gt;=2.5%,BB66&lt;4%),AND(BA66&gt;0,BC66&gt;=6%,BC66&lt;8%)),"Yes","No"))</f>
        <v/>
      </c>
      <c r="BJ66" s="413">
        <f>IF(B66="","",IF(OR(AND(AZ66&gt;0,BB66&lt;2.5%),AND(BA66&gt;0,BC66&lt;6%)),"Yes","No"))</f>
        <v/>
      </c>
      <c r="BK66" s="248" t="inlineStr">
        <is>
          <t>No</t>
        </is>
      </c>
      <c r="BL66" s="248" t="inlineStr">
        <is>
          <t>No</t>
        </is>
      </c>
      <c r="BM66" s="248" t="inlineStr">
        <is>
          <t>No</t>
        </is>
      </c>
      <c r="BN66" s="248" t="inlineStr">
        <is>
          <t>No</t>
        </is>
      </c>
      <c r="BO66" s="248" t="inlineStr">
        <is>
          <t>No</t>
        </is>
      </c>
      <c r="BP66" s="248" t="inlineStr">
        <is>
          <t>No</t>
        </is>
      </c>
      <c r="BQ66" s="248" t="inlineStr">
        <is>
          <t>No</t>
        </is>
      </c>
      <c r="BR66" s="248" t="inlineStr">
        <is>
          <t>No</t>
        </is>
      </c>
      <c r="BS66" s="248" t="inlineStr">
        <is>
          <t>No</t>
        </is>
      </c>
      <c r="BT66" s="248" t="inlineStr">
        <is>
          <t>No</t>
        </is>
      </c>
      <c r="BU66" s="248" t="inlineStr">
        <is>
          <t>No</t>
        </is>
      </c>
      <c r="BV66" s="248" t="inlineStr">
        <is>
          <t>No</t>
        </is>
      </c>
      <c r="BW66" s="248" t="inlineStr">
        <is>
          <t>No</t>
        </is>
      </c>
      <c r="BX66" s="248" t="inlineStr">
        <is>
          <t>No</t>
        </is>
      </c>
      <c r="BY66" s="248" t="inlineStr">
        <is>
          <t>No</t>
        </is>
      </c>
      <c r="BZ66" s="248" t="inlineStr">
        <is>
          <t>No</t>
        </is>
      </c>
      <c r="CA66" s="248" t="inlineStr">
        <is>
          <t>Yes</t>
        </is>
      </c>
      <c r="CB66" s="537">
        <f>IF(B66="","",IF(AT66="No",((BB66+AW66)-$AZ$4),((BB66+AX66)-$AZ$4))*IF(DD66&gt;0,0,M66))</f>
        <v/>
      </c>
      <c r="CC66" s="537">
        <f>IF(B66="","",AY66*(L66-M66)*IF(DD66&gt;0,0,1))</f>
        <v/>
      </c>
      <c r="CD66" s="265" t="n"/>
      <c r="CE66" s="265">
        <f>IF(AND(B66&lt;&gt;"",R66&lt;=85%),1,0)</f>
        <v/>
      </c>
      <c r="CF66" s="265">
        <f>IF(B66="",0,(IF(OR(BF66="USD",BF66="CAD",BF66="GBP",BF66="AUD",BF66="EUR"),0,1)))</f>
        <v/>
      </c>
      <c r="CG66" s="265">
        <f>IF(B66="",0,(IF(OR(BG66="United States",BG66="Canada",BG66="United Kingdom",BG66="Australia",BG66="Netherlands Antilles",BG66="Bermuda",BG66="Cayman Islands",BG66="British Virgin Islands",BG66="Channel Islands",BG66="Isle of Man",BG66="Australia",BG66="Netherlands",BG66="Germany",BG66="Sweden",BG66="Switzerland",BG66="Austria",BG66="Belgium",BG66="Denmark",BG66="Finland",BG66="Iceland",BG66="Ireland",BG66="Lichtenstein",BG66="Luxemborg",BG66="Norway"),0,1)))</f>
        <v/>
      </c>
      <c r="CH66" s="265">
        <f>IF(BN66="Yes",1,0)</f>
        <v/>
      </c>
      <c r="CI66" s="265">
        <f>IF(BO66="Yes",1,0)</f>
        <v/>
      </c>
      <c r="CJ66" s="265">
        <f>IF(BP66="Yes",1,0)</f>
        <v/>
      </c>
      <c r="CK66" s="265">
        <f>IF(BQ66="Yes",1,0)</f>
        <v/>
      </c>
      <c r="CL66" s="265">
        <f>IF(BR66="Yes",1,0)</f>
        <v/>
      </c>
      <c r="CM66" s="265">
        <f>IF(BS66="Yes",1,0)</f>
        <v/>
      </c>
      <c r="CN66" s="265">
        <f>IF(OR(AND(BJ66="Yes",N66="No"),AND(BJ66="Yes",N66="Yes",P66&gt;=6)),1,0)</f>
        <v/>
      </c>
      <c r="CO66" s="265">
        <f>IF(BT66="Yes",1,0)</f>
        <v/>
      </c>
      <c r="CP66" s="265">
        <f>IF(AND(BU66="Yes",BV66="No"),1,0)</f>
        <v/>
      </c>
      <c r="CQ66" s="265">
        <f>IF(BW66="Yes",1,0)</f>
        <v/>
      </c>
      <c r="CR66" s="265">
        <f>IF(AP66="",0,IF(AP66&gt;7,1,0))</f>
        <v/>
      </c>
      <c r="CS66" s="265">
        <f>IF(OR(BD66&lt;&gt;"Monthly",BD66&lt;&gt;"Quarterly",BD66&lt;&gt;"Semi-Annually"),0,1)</f>
        <v/>
      </c>
      <c r="CT66" s="265">
        <f>IF(BX66="Yes",1,0)</f>
        <v/>
      </c>
      <c r="CU66" s="265">
        <f>IF(BY66="Yes",1,0)</f>
        <v/>
      </c>
      <c r="CV66" s="265">
        <f>IF(BZ66="Yes",1,0)</f>
        <v/>
      </c>
      <c r="CW66" s="265">
        <f>IF(CA66="No",1,0)</f>
        <v/>
      </c>
      <c r="CX66" s="265">
        <f>IF(B66="",0,IF(AK66&gt;=5000000,0,1))</f>
        <v/>
      </c>
      <c r="CY66" s="265">
        <f>IF(B66="",0,IF(AL66&gt;=5000000,0,1))</f>
        <v/>
      </c>
      <c r="CZ66" s="265">
        <f>IF(OR(DA66=1,DB66=1,DC66=1),0,IF(B66="",0,IF(OR(AND(AN66="Tier 1",X66="No",OR(AI66&gt;$AJ$3,AJ66&gt;$AJ$4)),(AND(AN66="Tier 1",X66="Yes",AJ66&gt;$AJ$5)),(AND(AN66="Tier 2",X66="No",OR(AI66&gt;$AK$3,AJ66&gt;$AK$4))),(AND(AN66="Tier 2",X66="Yes",AJ66&gt;$AK$5)),(AND(AN66="Tier 3",X66="No",OR(AI66&gt;$AL$3,AJ66&gt;$AL$4))),(AND(AN66="Tier 3",X66="Yes",AJ66&gt;$AL$5))),1,0)))</f>
        <v/>
      </c>
      <c r="DA66" s="265">
        <f>IF(OR(DB66=1,DC66=1),0,IF(B66="",0,IF(OR(AND(AN66="Tier 1",X66="No",OR(AI66&gt;$AM$3,AJ66&gt;$AM$4)),(AND(AN66="Tier 1",X66="Yes",AJ66&gt;$AM$5)),(AND(AN66="Tier 2",X66="No",OR(AI66&gt;$AN$3,AJ66&gt;$AN$4))),(AND(AN66="Tier 2",X66="Yes",AJ66&gt;$AN$5)),(AND(AN66="Tier 3",X66="No",OR(AI66&gt;$AO$3,AJ66&gt;$AO$4))),(AND(AN66="Tier 3",X66="Yes",AJ66&gt;$AO$5))),1,0)))</f>
        <v/>
      </c>
      <c r="DB66" s="265">
        <f>IF(DC66=1,0,IF(B66="",0,IF(OR(AND(AN66="Tier 1",X66="No",OR(AI66&gt;$AP$3,AJ66&gt;$AP$4)),(AND(AN66="Tier 1",X66="Yes",AJ66&gt;$AP$5)),(AND(AN66="Tier 2",X66="No",OR(AI66&gt;$AQ$3,AJ66&gt;$AQ$4))),(AND(AN66="Tier 2",X66="Yes",AJ66&gt;$AQ$5)),(AND(AN66="Tier 3",X66="No",OR(AI66&gt;$AR$3,AJ66&gt;$AR$4))),(AND(AN66="Tier 3",X66="Yes",AJ66&gt;$AR$5))),1,0)))</f>
        <v/>
      </c>
      <c r="DC66" s="265">
        <f>IF(B66="",0,IF(OR(AND(AN66="Tier 1",X66="No",OR(AI66&gt;$AS$3,AJ66&gt;$AS$4)),(AND(AN66="Tier 1",X66="Yes",AJ66&gt;$AS$5)),(AND(AN66="Tier 2",X66="No",OR(AI66&gt;$AT$3,AJ66&gt;$AT$4))),(AND(AN66="Tier 2",X66="Yes",AJ66&gt;$AT$5)),(AND(AN66="Tier 3",X66="No",OR(AI66&gt;$AU$3,AJ66&gt;$AU$4))),(AND(AN66="Tier 3",X66="Yes",AJ66&gt;$AU$5))),1,0))</f>
        <v/>
      </c>
      <c r="DD66" s="265">
        <f>IF((SUM(CE66:CX66)=0),0,W66)</f>
        <v/>
      </c>
      <c r="DE66" s="265">
        <f>IF(OR(B66="",DD66&gt;0),0,W66)</f>
        <v/>
      </c>
      <c r="DF66" s="265">
        <f>IF(B66="",0,IF(COUNTIF(CE66:CX66,1)&gt;0,0,L66-M66))</f>
        <v/>
      </c>
      <c r="DG66" s="265">
        <f>DE66+IF(DD66&gt;0,0,DF66)</f>
        <v/>
      </c>
      <c r="DH66" s="265">
        <f>IF(B66="","",M66+DF66)</f>
        <v/>
      </c>
      <c r="DI66" s="265">
        <f>IF(B66="",0,J66-K66)</f>
        <v/>
      </c>
      <c r="DJ66" s="265">
        <f>IF(OR(BF66="EUR",BF66="CAD",BF66="GBP",BF66="AUD"),(GA66*(1-V66))+(HG66)+IF(HX66="",0,HX66*(1-U66)),0)</f>
        <v/>
      </c>
      <c r="DK66" s="265">
        <f>IF(BF66="EUR",33%,IF(BF66="CAD",38%,IF(BF66="GBP",51%,IF(BF66="AUD",61%,0))))</f>
        <v/>
      </c>
      <c r="DL66" s="265">
        <f>DJ66*DK66</f>
        <v/>
      </c>
      <c r="DN66" s="538">
        <f>IF(OR(Y66="Second Lien",Y66="Tier 1 Split Lien",Y66="Tier 2 Split Lien"),DG66,0)</f>
        <v/>
      </c>
      <c r="DO66" s="539">
        <f>DN66*DN$6</f>
        <v/>
      </c>
      <c r="DP66" s="538">
        <f>DG66-DO66</f>
        <v/>
      </c>
      <c r="DQ66" s="538">
        <f>IF(Y66="Second Lien",DP66,0)</f>
        <v/>
      </c>
      <c r="DR66" s="539">
        <f>DQ66*DQ$6</f>
        <v/>
      </c>
      <c r="DS66" s="538">
        <f>DP66-DR66</f>
        <v/>
      </c>
      <c r="DT66" s="538">
        <f>IF(BH66="Yes",DS66,0)</f>
        <v/>
      </c>
      <c r="DU66" s="539">
        <f>DT66*DT$6</f>
        <v/>
      </c>
      <c r="DV66" s="538">
        <f>DS66-DU66</f>
        <v/>
      </c>
      <c r="DW66" s="538">
        <f>IF(OR(BG66="Canada",BG66="United Kingdom",BG66="Australia",BG66="Netherlands Antilles",BG66="Bermuda",BG66="Cayman Islands",BG66="British Virgin Islands",BG66="Channel Islands",BG66="Isle of Man",BG66="Australia",BG66="Netherlands",BG66="Germany",BG66="Sweden",BG66="Switzerland",BG66="Austria",BG66="Belgium",BG66="Denmark",BG66="Finland",BG66="Iceland",BG66="Ireland",BG66="Lichtenstein",BG66="Luxemborg",BG66="Norway"),DV66,0)</f>
        <v/>
      </c>
      <c r="DX66" s="539">
        <f>DW66*DW$6</f>
        <v/>
      </c>
      <c r="DY66" s="538">
        <f>DV66-DX66</f>
        <v/>
      </c>
      <c r="DZ66" s="538">
        <f>IF(BI66="Yes",DY66,0)</f>
        <v/>
      </c>
      <c r="EA66" s="539">
        <f>DZ66*DZ$6</f>
        <v/>
      </c>
      <c r="EB66" s="538">
        <f>DY66-EA66</f>
        <v/>
      </c>
      <c r="EC66" s="538">
        <f>IF(OR(Z66="Delayed Draw",Z66="Revolver"),EB66,0)</f>
        <v/>
      </c>
      <c r="ED66" s="539">
        <f>EC66*EC$6</f>
        <v/>
      </c>
      <c r="EE66" s="538">
        <f>EB66-ED66</f>
        <v/>
      </c>
      <c r="EF66" s="538">
        <f>IF(S66="Yes",EE66,0)</f>
        <v/>
      </c>
      <c r="EG66" s="539">
        <f>EF66*EF$6</f>
        <v/>
      </c>
      <c r="EH66" s="538">
        <f>EE66-EG66</f>
        <v/>
      </c>
      <c r="EI66" s="538">
        <f>IF(Q66="Yes",EH66,0)</f>
        <v/>
      </c>
      <c r="EJ66" s="539">
        <f>EI66*EI$6</f>
        <v/>
      </c>
      <c r="EK66" s="538">
        <f>EH66-EJ66</f>
        <v/>
      </c>
      <c r="EL66" s="538">
        <f>IF(BD66="Semi-Annually",EK66,0)</f>
        <v/>
      </c>
      <c r="EM66" s="539">
        <f>EL66*EL$6</f>
        <v/>
      </c>
      <c r="EN66" s="538">
        <f>EK66-EM66</f>
        <v/>
      </c>
      <c r="EO66" s="538">
        <f>IF(BK66="Yes",EN66,0)</f>
        <v/>
      </c>
      <c r="EP66" s="539">
        <f>EO66*EO$6</f>
        <v/>
      </c>
      <c r="EQ66" s="538">
        <f>EN66-EP66</f>
        <v/>
      </c>
      <c r="ER66" s="538">
        <f>IF(BL66="Yes",EQ66,0)</f>
        <v/>
      </c>
      <c r="ES66" s="539">
        <f>ER66*ER$6</f>
        <v/>
      </c>
      <c r="ET66" s="538">
        <f>EQ66-ES66</f>
        <v/>
      </c>
      <c r="EU66" s="538">
        <f>IF(BM66="Yes",ET66,0)</f>
        <v/>
      </c>
      <c r="EV66" s="539">
        <f>EU66*EU$6</f>
        <v/>
      </c>
      <c r="EW66" s="538">
        <f>ET66-EV66</f>
        <v/>
      </c>
      <c r="EX66" s="538">
        <f>IF(BV66="Yes",EW66,0)</f>
        <v/>
      </c>
      <c r="EY66" s="539">
        <f>EX66*EX$6</f>
        <v/>
      </c>
      <c r="EZ66" s="538">
        <f>EW66-EY66</f>
        <v/>
      </c>
      <c r="FA66" s="538">
        <f>IF(AR66="Yes",EZ66,0)</f>
        <v/>
      </c>
      <c r="FB66" s="539">
        <f>FA66*FA$6</f>
        <v/>
      </c>
      <c r="FC66" s="538">
        <f>EZ66-FB66</f>
        <v/>
      </c>
      <c r="FD66" s="538">
        <f>IF(OR(BF66="EUR",BF66="AUD",BF66="CAD",BF66="GBP"),FC66,0)</f>
        <v/>
      </c>
      <c r="FE66" s="539">
        <f>FD66*FD$6</f>
        <v/>
      </c>
      <c r="FF66" s="538">
        <f>FC66-FE66</f>
        <v/>
      </c>
      <c r="FG66" s="538">
        <f>FF66</f>
        <v/>
      </c>
      <c r="FH66" s="538">
        <f>IF(FF66=0,0,VLOOKUP(C66,$GU$10:$GV$406,2,FALSE)*FF66)</f>
        <v/>
      </c>
      <c r="FI66" s="538">
        <f>FF66-FH66</f>
        <v/>
      </c>
      <c r="FJ66" s="538">
        <f>FI66</f>
        <v/>
      </c>
      <c r="FK66" s="538">
        <f>IF(OR(IB66="",FI66&lt;0.01),,VLOOKUP(IB66,$GL$10:$GM$406,2,FALSE)*FI66)</f>
        <v/>
      </c>
      <c r="FL66" s="538">
        <f>FI66-FK66</f>
        <v/>
      </c>
      <c r="FM66" s="538">
        <f>FL66</f>
        <v/>
      </c>
      <c r="FN66" s="538">
        <f>IF(FL66=0,0,VLOOKUP(C66,$HD$10:$HE$406,2,FALSE)*FL66)</f>
        <v/>
      </c>
      <c r="FO66" s="538">
        <f>FL66-FN66</f>
        <v/>
      </c>
      <c r="FP66" s="538">
        <f>IF(SUM(CY66:DC66)&gt;0,0,IF(AND(AL66&gt;=5000000,AL66&lt;7500000),FO66,0))</f>
        <v/>
      </c>
      <c r="FQ66" s="539">
        <f>IF(B66="",0,FP66*FP$6*(1-$U66))</f>
        <v/>
      </c>
      <c r="FR66" s="538">
        <f>FO66-FQ66</f>
        <v/>
      </c>
      <c r="FS66" s="538">
        <f>IF(SUM(CY66:DC66)&gt;0,0,IF(AL66&lt;15000000,FR66,0))</f>
        <v/>
      </c>
      <c r="FT66" s="539">
        <f>IF(B66="",0,FS66*FS$6*(1-$U66))</f>
        <v/>
      </c>
      <c r="FU66" s="538">
        <f>FR66-FT66</f>
        <v/>
      </c>
      <c r="FV66" s="538">
        <f>IF(SUM(CY66:DC66)&gt;0,0,IF(OR(AND(X66="No",AN66="Tier 1",AI66&gt;$AG$3),AND(X66="No",AN66="Tier 2",AI66&gt;$AH$3),AND(X66="No",AN66="Tier 3",AI66&gt;$AI$3)),FU66,0))</f>
        <v/>
      </c>
      <c r="FW66" s="538">
        <f>IF(SUM(CY66:DC66)&gt;0,0,IF(OR(AND(X66="No",AN66="Tier 1",AJ66&gt;$AG$4),AND(X66="No",AN66="Tier 2",AJ66&gt;$AH$4),AND(X66="No",AN66="Tier 3",AJ66&gt;$AI$4)),FU66,0))</f>
        <v/>
      </c>
      <c r="FX66" s="538">
        <f>IF(SUM(CY66:DC66)&gt;0,0,IF(OR(AND(X66="Yes",AN66="Tier 1",AJ66&gt;$AG$5),AND(X66="Yes",AN66="Tier 2",AJ66&gt;$AH$5),AND(X66="Yes",AN66="Tier 3",AJ66&gt;$AI$5)),FU66,0))</f>
        <v/>
      </c>
      <c r="FY66" s="538">
        <f>IF(SUM(FV66:FX66)&gt;0,FU66,0)</f>
        <v/>
      </c>
      <c r="FZ66" s="539">
        <f>IF(B66="",0,FY66*FV$6*(1-MIN(90%,T66)))</f>
        <v/>
      </c>
      <c r="GA66" s="538">
        <f>FU66-FZ66</f>
        <v/>
      </c>
      <c r="GB66" s="538">
        <f>IF(AND(N66="No",DI66=0),GA66,IF(AND(N66="No",DI66&lt;&gt;0,K66=0),0,IF(AND(N66="No",DI66&lt;&gt;0,K66&gt;0,J66&lt;&gt;K66),MAX(0,M66-(DH66-GA66)),DG66)))</f>
        <v/>
      </c>
      <c r="GC66" s="540">
        <f>+GB66*V66</f>
        <v/>
      </c>
      <c r="GD66" s="138">
        <f>IFERROR(GC66/K66,"")</f>
        <v/>
      </c>
      <c r="GE66" s="541">
        <f>IF(IB66="","",IB66)</f>
        <v/>
      </c>
      <c r="GF66" s="538">
        <f t="array" ref="GF66">IF(SUM(IF(IB$9:IB65=IB66,1,0))&gt;0,0,SUMIF($IB$10:$IB$406,IB66,$FI$10:$FI$406))</f>
        <v/>
      </c>
      <c r="GG66" s="270">
        <f>GF66</f>
        <v/>
      </c>
      <c r="GH66" s="137">
        <f>GH65+1</f>
        <v/>
      </c>
      <c r="GI66" s="542">
        <f>LARGE($GG$10:$GG$406,GH66)</f>
        <v/>
      </c>
      <c r="GJ66" s="542">
        <f>IF(GH66&gt;GH$6,0,IF(GH66=$GH$2,$GJ$2,IF(GH66&lt;4,$GJ$3,$GJ$4)))</f>
        <v/>
      </c>
      <c r="GK66" s="489">
        <f>MAX(0,GI66-GJ66)</f>
        <v/>
      </c>
      <c r="GL66" s="137">
        <f t="array" ref="GL66">IF(GI66=0,0,LARGE(IF($GF$10:$GF$406=GI66,$GE$10:$GE$406,0),COUNTIF($GI$10:$GI$406,GI66)-COUNTIF(GI$9:GI65,GI66)))</f>
        <v/>
      </c>
      <c r="GM66" s="272">
        <f>IF(GI66=0,0,GK66/GI66)</f>
        <v/>
      </c>
      <c r="GO66" s="137">
        <f>IF(C66="","",IF(ISERROR(MATCH(C66,C$10:C65,0)),MAX(GO$10:GO65)+1,INDEX(GO$10:GO65,MATCH(C66,C$10:C65,0))))</f>
        <v/>
      </c>
      <c r="GP66" s="538">
        <f>IF(COUNTIF($A$10:A66,A66)&lt;=1,SUMIF($A$10:$A$406,A66,$FG$10:$FG$406),0)</f>
        <v/>
      </c>
      <c r="GQ66" s="137">
        <f>GQ65+1</f>
        <v/>
      </c>
      <c r="GR66" s="542">
        <f>LARGE($GP$10:$GP$406,GQ66)</f>
        <v/>
      </c>
      <c r="GS66" s="542">
        <f>IF(GQ66&gt;GQ$6,0,IF(GQ66&lt;=GQ$2,GS$2,IF(AND(GQ66&lt;=$GQ$3,GQ66&gt;$GQ$2),GS$3,GS$4)))</f>
        <v/>
      </c>
      <c r="GT66" s="489">
        <f>MAX(0,GR66-GS66)</f>
        <v/>
      </c>
      <c r="GU66" s="137">
        <f t="array" ref="GU66">IF(GR66=0,0,LARGE(IF($GP$10:$GP$406=GR66,$GO$10:$GO$406,0),COUNTIF($GR$10:$GR$406,GR66)-COUNTIF(GR$9:GR65,GR66)))</f>
        <v/>
      </c>
      <c r="GV66" s="272">
        <f>IF(GR66=0,0,GT66/GR66)</f>
        <v/>
      </c>
      <c r="GW66" s="272" t="n"/>
      <c r="GX66" s="137">
        <f>IF(C66="","",IF(ISERROR(MATCH(C66,C$10:C65,0)),MAX(GO$10:GO65)+1,INDEX(GO$10:GO65,MATCH(C66,C$10:C65,0))))</f>
        <v/>
      </c>
      <c r="GY66" s="538">
        <f>IF(COUNTIF($A$10:A66,A66)&lt;=1,SUMIF($A$10:$A$406,A66,$FG$10:$FG$406),0)</f>
        <v/>
      </c>
      <c r="GZ66" s="137">
        <f>GZ65+1</f>
        <v/>
      </c>
      <c r="HA66" s="542">
        <f>LARGE($GY$10:$GY$406,GZ66)</f>
        <v/>
      </c>
      <c r="HB66" s="543" t="inlineStr">
        <is>
          <t>-</t>
        </is>
      </c>
      <c r="HC66" s="489">
        <f>IF(GZ66&lt;6,MAX(0,$HC$2/5),0)</f>
        <v/>
      </c>
      <c r="HD66" s="137">
        <f t="array" ref="HD66">IF(HA66=0,0,LARGE(IF($GY$10:$GY$406=HA66,$GX$10:$GX$406,0),COUNTIF($HA$10:$HA$406,HA66)-COUNTIF(HA$9:HA65,HA66)))</f>
        <v/>
      </c>
      <c r="HE66" s="272">
        <f>IF(HA66=0,0,HC66/HA66)</f>
        <v/>
      </c>
      <c r="HG66" s="270">
        <f>DG66-GA66</f>
        <v/>
      </c>
      <c r="HH66" s="544" t="n">
        <v>0</v>
      </c>
      <c r="HI66" s="538">
        <f>MIN(HH66,DE66)</f>
        <v/>
      </c>
      <c r="HK66" s="137">
        <f>IF(COUNTIF($C$10:$C$406,HK65+1),HK65+1,"")</f>
        <v/>
      </c>
      <c r="HL66" s="538">
        <f>SUMIF($C$10:$C$406,HK66,$DG$10:$DG$406)</f>
        <v/>
      </c>
      <c r="HN66" s="521">
        <f>MIN(HO66:HS66)</f>
        <v/>
      </c>
      <c r="HO66" s="521">
        <f>IF(B66="","",$M66)</f>
        <v/>
      </c>
      <c r="HP66" s="521">
        <f>IF($N66="Yes",IF(P66&gt;=6,0,MIN($T66*$M66,$U66*$M66)),"")</f>
        <v/>
      </c>
      <c r="HQ66" s="521">
        <f>IF(AND(N66="Yes",P66&gt;=6),"",IF($S66="Yes",$R66*$M66,""))</f>
        <v/>
      </c>
      <c r="HR66" s="521">
        <f>IF($Q66="Yes",MIN($M66,$T66*$M66),"")</f>
        <v/>
      </c>
      <c r="HS66" s="521">
        <f>IF(AND($N66="Yes",$P66&gt;=6),"",IF(OR(CY66=1,DC66=1,),MIN($T66*$M66,$U66*$M66),IF(OR(CZ66=1,DA66=1,DB66=1),IF(AK66&gt;=5000000,MIN($T66*$M66,$IE66*$M66),MIN($T66*$M66,$U66*$M66)),"")))</f>
        <v/>
      </c>
      <c r="HT66" s="521">
        <f>IF(DD66&gt;0,DD66,"")</f>
        <v/>
      </c>
      <c r="HU66" s="522">
        <f>IF(B66="",0,$L66-$M66)</f>
        <v/>
      </c>
      <c r="HV66" s="274">
        <f>IF(OR(SUM(HP66:HT66)&gt;0,P66&gt;=6),"",IF($B66="","",1))</f>
        <v/>
      </c>
      <c r="HW66" s="522">
        <f>IF(AND($HT66&lt;&gt;0,OR(HT66&lt;=MIN(HP66:HS66),SUM(HP66:HS66)=0)),$HT66,0)</f>
        <v/>
      </c>
      <c r="HX66" s="522">
        <f>IF(AND($HS66&lt;&gt;0,OR(AND($HS66&lt;&gt;$HT66,$HS66&lt;&gt;$HR66,$HS66&lt;&gt;$HQ66,$HS66&lt;&gt;$HP66,$HS66&lt;MIN($HP66:$HR66),$HS66&lt;HT66),SUM($HP66:$HR66)+SUM(HT66)=0),IA66&lt;=0),$HS66,0)</f>
        <v/>
      </c>
      <c r="HY66" s="522">
        <f>IF(AND($HR66&lt;&gt;0,OR(AND($HR66&lt;&gt;$HT66,$HR66&lt;&gt;$HS66,$HR66&lt;&gt;$HQ66,$HR66&lt;&gt;$HP66),$HR66&lt;MIN($HP66:$HQ66),$HR66&lt;MIN($HS66:$HT66),SUM($HP66:$HQ66)+SUM($HS66:$HT66)=0)),$HR66,0)</f>
        <v/>
      </c>
      <c r="HZ66" s="522">
        <f>IF(AND($HQ66&lt;&gt;0,OR(AND($HQ66&lt;&gt;$HT66,HQ66&lt;&gt;HS66,HQ66&lt;&gt;HR66,HQ66&lt;&gt;HP66,HQ66&lt;MIN(HR66:HT66)),SUM(HP66)+SUM(HR66:HT66)=0)),$HQ66,0)</f>
        <v/>
      </c>
      <c r="IA66" s="522">
        <f>IF(AND($HP66&lt;&gt;0,OR(HP66&lt;=MIN(HQ66:HT66),SUM(HQ66:HT66)=0)),$HP66,0)</f>
        <v/>
      </c>
      <c r="IB66" s="545" t="n">
        <v>42</v>
      </c>
      <c r="IC66">
        <f>HU66=DF66</f>
        <v/>
      </c>
      <c r="IE66" s="351">
        <f>IF(B66="","",IF(AND(Y66="Second Lien",OR(CZ66=1,DA66=1,DB66=1)),50%,IF(CZ66=1,90%,IF(DA66=1,80%,IF(DB66=1,65%,"No Initial Haircut")))))</f>
        <v/>
      </c>
    </row>
    <row r="67">
      <c r="A67">
        <f>D67</f>
        <v/>
      </c>
      <c r="B67" s="242">
        <f>IF(D67="","",B66+1)</f>
        <v/>
      </c>
      <c r="C67" s="242">
        <f>IF(COUNTIF($A$10:A66,A67)&gt;0,C66,C66+1)</f>
        <v/>
      </c>
      <c r="D67" s="243" t="inlineStr">
        <is>
          <t>Brightpath Industries, Inc.</t>
        </is>
      </c>
      <c r="E67" s="243" t="inlineStr">
        <is>
          <t>Brightpath (TL)</t>
        </is>
      </c>
      <c r="F67" s="244" t="n"/>
      <c r="G67" s="528" t="n">
        <v>1850663.52</v>
      </c>
      <c r="H67" s="528" t="n">
        <v>1850663.52</v>
      </c>
      <c r="I67" s="246" t="n">
        <v>1</v>
      </c>
      <c r="J67" s="529">
        <f>IF(B67="","",G67*I67)</f>
        <v/>
      </c>
      <c r="K67" s="529">
        <f>IF(B67="","",H67*I67)</f>
        <v/>
      </c>
      <c r="L67" s="529">
        <f>IF(B67="","",IF(COUNTIF($CE67:$CX67,1)&gt;0,0,J67))</f>
        <v/>
      </c>
      <c r="M67" s="529">
        <f>IF(B67="","",IF(COUNTIF($CE67:$CX67,1)&gt;0,0,K67))</f>
        <v/>
      </c>
      <c r="N67" s="248" t="inlineStr">
        <is>
          <t>No</t>
        </is>
      </c>
      <c r="O67" s="248" t="inlineStr">
        <is>
          <t>N/A</t>
        </is>
      </c>
      <c r="P67" s="249">
        <f>IF(B67="","",IF(OR(O67="N/A",O67=""),0,YEARFRAC('Borrowing Base'!$J$4,'Loan List'!O67)*12))</f>
        <v/>
      </c>
      <c r="Q67" s="248" t="inlineStr">
        <is>
          <t>No</t>
        </is>
      </c>
      <c r="R67" s="250" t="n">
        <v>0.98</v>
      </c>
      <c r="S67" s="251">
        <f>IF(B67="","",IF(R67&lt;95%,"Yes","No"))</f>
        <v/>
      </c>
      <c r="T67" s="250" t="n">
        <v>1</v>
      </c>
      <c r="U67" s="252">
        <f>IF(B67="","",IF(OR(Y67="First Lien",Y67="Split First Lien",Y67="Tier 1 Split Lien",Y67="Tier 2 Split Lien"),50%,30%))</f>
        <v/>
      </c>
      <c r="V67" s="252">
        <f>IF(B67="",0,IF(AND(Y67="First Lien",AN67="Tier 1"),IF(AND(X67="Yes",MIN(AH67,$AJ$5)&gt;4.5),(((4.5/MIN(AH67,$AJ$5))*72.5%)+(((MIN(AH67,$AJ$5)-4.5)/MIN(AH67,$AJ$5))*35%)),72.5%),IF(AND(Y67="First Lien",AN67="Tier 2"),IF(AND(X67="Yes",MIN(AH67,$AK$5)&gt;4.5),(((4.5/MIN(AH67,$AK$5))*72.5%)+(((MIN(AH67,$AK$5)-4.5)/MIN(AH67,$AK$5))*35%)),72.5%),IF(AND(X67="Yes",MIN(AH67,$AL$5)&gt;4),(((4/MIN(AH67,$AL$5))*72.5%)+(((MIN(AH67,$AL$5)-4)/MIN(AH67,$AL$5))*35%)),IF(OR(Y67="First Lien",Y67="Split First Lien"),72.5%,IF(Y67="Split Lien", 53%,35%))))))</f>
        <v/>
      </c>
      <c r="W67" s="530">
        <f>IF($C67="","",MIN($HO67:$HS67))</f>
        <v/>
      </c>
      <c r="X67" s="248" t="inlineStr">
        <is>
          <t>Yes</t>
        </is>
      </c>
      <c r="Y67" s="254" t="inlineStr">
        <is>
          <t>First Lien</t>
        </is>
      </c>
      <c r="Z67" s="254" t="inlineStr">
        <is>
          <t>Term</t>
        </is>
      </c>
      <c r="AA67" s="531" t="inlineStr">
        <is>
          <t>NR</t>
        </is>
      </c>
      <c r="AB67" s="531" t="inlineStr">
        <is>
          <t xml:space="preserve"> NR</t>
        </is>
      </c>
      <c r="AC67" s="532" t="n">
        <v>2.007225806451613</v>
      </c>
      <c r="AD67" s="532" t="n">
        <v>3.244888772891765</v>
      </c>
      <c r="AE67" s="532" t="n">
        <v>3.639998880377096</v>
      </c>
      <c r="AF67" s="257" t="n">
        <v>0.2421111983013153</v>
      </c>
      <c r="AG67" s="533" t="n">
        <v>3.244888772891765</v>
      </c>
      <c r="AH67" s="533" t="n">
        <v>3.244888772891765</v>
      </c>
      <c r="AI67" s="533" t="n">
        <v>3.639998880377096</v>
      </c>
      <c r="AJ67" s="533" t="n">
        <v>3.639998880377096</v>
      </c>
      <c r="AK67" s="534" t="n">
        <v>9119000</v>
      </c>
      <c r="AL67" s="534" t="n">
        <v>18559532.1699653</v>
      </c>
      <c r="AM67" s="276" t="n">
        <v>45808</v>
      </c>
      <c r="AN67" s="529">
        <f>IF(C67="","",(IF(AK67&gt;=50000000,"Tier 1",(IF(OR(AK67&gt;=20000000,AND(AK67&gt;5000000,AC67&gt;=1.25,AF67&lt;=0.65)),"Tier 2","Tier 3")))))</f>
        <v/>
      </c>
      <c r="AO67" s="244" t="n">
        <v>47289</v>
      </c>
      <c r="AP67" s="535" t="n">
        <v>3.888888888888889</v>
      </c>
      <c r="AQ67" s="535">
        <f>IF(C67="","",AP67)</f>
        <v/>
      </c>
      <c r="AR67" s="248" t="inlineStr">
        <is>
          <t>No</t>
        </is>
      </c>
      <c r="AS67" s="250" t="n">
        <v>0</v>
      </c>
      <c r="AT67" s="248" t="inlineStr">
        <is>
          <t>Yes</t>
        </is>
      </c>
      <c r="AU67" s="250" t="n">
        <v>0.01</v>
      </c>
      <c r="AV67" s="250" t="n">
        <v>0.0525</v>
      </c>
      <c r="AW67" s="250" t="n">
        <v>0.04040599999999999</v>
      </c>
      <c r="AX67" s="262">
        <f>IF(C67="","",MAX(AU67,AW67))</f>
        <v/>
      </c>
      <c r="AY67" s="250" t="n">
        <v>0.005</v>
      </c>
      <c r="AZ67" s="250" t="n">
        <v>0</v>
      </c>
      <c r="BA67" s="250" t="n">
        <v>0</v>
      </c>
      <c r="BB67" s="412">
        <f>IF(B67="","",IF(AR67="No",AV67-AZ67,""))</f>
        <v/>
      </c>
      <c r="BC67" s="412">
        <f>IF(B67="","",IF(AR67="Yes",AS67-BA67,""))</f>
        <v/>
      </c>
      <c r="BD67" s="254" t="inlineStr">
        <is>
          <t>Quarterly</t>
        </is>
      </c>
      <c r="BE67" s="536" t="inlineStr">
        <is>
          <t>Health Care Providers &amp; Services</t>
        </is>
      </c>
      <c r="BF67" s="254" t="inlineStr">
        <is>
          <t>USD</t>
        </is>
      </c>
      <c r="BG67" s="254" t="inlineStr">
        <is>
          <t>United States</t>
        </is>
      </c>
      <c r="BH67" s="248" t="inlineStr">
        <is>
          <t>No</t>
        </is>
      </c>
      <c r="BI67" s="413">
        <f>IF(B67="","",IF(OR(AND(AZ67&gt;0,BB67&gt;=2.5%,BB67&lt;4%),AND(BA67&gt;0,BC67&gt;=6%,BC67&lt;8%)),"Yes","No"))</f>
        <v/>
      </c>
      <c r="BJ67" s="413">
        <f>IF(B67="","",IF(OR(AND(AZ67&gt;0,BB67&lt;2.5%),AND(BA67&gt;0,BC67&lt;6%)),"Yes","No"))</f>
        <v/>
      </c>
      <c r="BK67" s="248" t="inlineStr">
        <is>
          <t>No</t>
        </is>
      </c>
      <c r="BL67" s="248" t="inlineStr">
        <is>
          <t>No</t>
        </is>
      </c>
      <c r="BM67" s="248" t="inlineStr">
        <is>
          <t>No</t>
        </is>
      </c>
      <c r="BN67" s="248" t="inlineStr">
        <is>
          <t>No</t>
        </is>
      </c>
      <c r="BO67" s="248" t="inlineStr">
        <is>
          <t>No</t>
        </is>
      </c>
      <c r="BP67" s="248" t="inlineStr">
        <is>
          <t>No</t>
        </is>
      </c>
      <c r="BQ67" s="248" t="inlineStr">
        <is>
          <t>No</t>
        </is>
      </c>
      <c r="BR67" s="248" t="inlineStr">
        <is>
          <t>No</t>
        </is>
      </c>
      <c r="BS67" s="248" t="inlineStr">
        <is>
          <t>No</t>
        </is>
      </c>
      <c r="BT67" s="248" t="inlineStr">
        <is>
          <t>No</t>
        </is>
      </c>
      <c r="BU67" s="248" t="inlineStr">
        <is>
          <t>No</t>
        </is>
      </c>
      <c r="BV67" s="248" t="inlineStr">
        <is>
          <t>No</t>
        </is>
      </c>
      <c r="BW67" s="248" t="inlineStr">
        <is>
          <t>No</t>
        </is>
      </c>
      <c r="BX67" s="248" t="inlineStr">
        <is>
          <t>No</t>
        </is>
      </c>
      <c r="BY67" s="248" t="inlineStr">
        <is>
          <t>No</t>
        </is>
      </c>
      <c r="BZ67" s="248" t="inlineStr">
        <is>
          <t>No</t>
        </is>
      </c>
      <c r="CA67" s="248" t="inlineStr">
        <is>
          <t>Yes</t>
        </is>
      </c>
      <c r="CB67" s="537">
        <f>IF(B67="","",IF(AT67="No",((BB67+AW67)-$AZ$4),((BB67+AX67)-$AZ$4))*IF(DD67&gt;0,0,M67))</f>
        <v/>
      </c>
      <c r="CC67" s="537">
        <f>IF(B67="","",AY67*(L67-M67)*IF(DD67&gt;0,0,1))</f>
        <v/>
      </c>
      <c r="CD67" s="265" t="n"/>
      <c r="CE67" s="265">
        <f>IF(AND(B67&lt;&gt;"",R67&lt;=85%),1,0)</f>
        <v/>
      </c>
      <c r="CF67" s="265">
        <f>IF(B67="",0,(IF(OR(BF67="USD",BF67="CAD",BF67="GBP",BF67="AUD",BF67="EUR"),0,1)))</f>
        <v/>
      </c>
      <c r="CG67" s="265">
        <f>IF(B67="",0,(IF(OR(BG67="United States",BG67="Canada",BG67="United Kingdom",BG67="Australia",BG67="Netherlands Antilles",BG67="Bermuda",BG67="Cayman Islands",BG67="British Virgin Islands",BG67="Channel Islands",BG67="Isle of Man",BG67="Australia",BG67="Netherlands",BG67="Germany",BG67="Sweden",BG67="Switzerland",BG67="Austria",BG67="Belgium",BG67="Denmark",BG67="Finland",BG67="Iceland",BG67="Ireland",BG67="Lichtenstein",BG67="Luxemborg",BG67="Norway"),0,1)))</f>
        <v/>
      </c>
      <c r="CH67" s="265">
        <f>IF(BN67="Yes",1,0)</f>
        <v/>
      </c>
      <c r="CI67" s="265">
        <f>IF(BO67="Yes",1,0)</f>
        <v/>
      </c>
      <c r="CJ67" s="265">
        <f>IF(BP67="Yes",1,0)</f>
        <v/>
      </c>
      <c r="CK67" s="265">
        <f>IF(BQ67="Yes",1,0)</f>
        <v/>
      </c>
      <c r="CL67" s="265">
        <f>IF(BR67="Yes",1,0)</f>
        <v/>
      </c>
      <c r="CM67" s="265">
        <f>IF(BS67="Yes",1,0)</f>
        <v/>
      </c>
      <c r="CN67" s="265">
        <f>IF(OR(AND(BJ67="Yes",N67="No"),AND(BJ67="Yes",N67="Yes",P67&gt;=6)),1,0)</f>
        <v/>
      </c>
      <c r="CO67" s="265">
        <f>IF(BT67="Yes",1,0)</f>
        <v/>
      </c>
      <c r="CP67" s="265">
        <f>IF(AND(BU67="Yes",BV67="No"),1,0)</f>
        <v/>
      </c>
      <c r="CQ67" s="265">
        <f>IF(BW67="Yes",1,0)</f>
        <v/>
      </c>
      <c r="CR67" s="265">
        <f>IF(AP67="",0,IF(AP67&gt;7,1,0))</f>
        <v/>
      </c>
      <c r="CS67" s="265">
        <f>IF(OR(BD67&lt;&gt;"Monthly",BD67&lt;&gt;"Quarterly",BD67&lt;&gt;"Semi-Annually"),0,1)</f>
        <v/>
      </c>
      <c r="CT67" s="265">
        <f>IF(BX67="Yes",1,0)</f>
        <v/>
      </c>
      <c r="CU67" s="265">
        <f>IF(BY67="Yes",1,0)</f>
        <v/>
      </c>
      <c r="CV67" s="265">
        <f>IF(BZ67="Yes",1,0)</f>
        <v/>
      </c>
      <c r="CW67" s="265">
        <f>IF(CA67="No",1,0)</f>
        <v/>
      </c>
      <c r="CX67" s="265">
        <f>IF(B67="",0,IF(AK67&gt;=5000000,0,1))</f>
        <v/>
      </c>
      <c r="CY67" s="265">
        <f>IF(B67="",0,IF(AL67&gt;=5000000,0,1))</f>
        <v/>
      </c>
      <c r="CZ67" s="265">
        <f>IF(OR(DA67=1,DB67=1,DC67=1),0,IF(B67="",0,IF(OR(AND(AN67="Tier 1",X67="No",OR(AI67&gt;$AJ$3,AJ67&gt;$AJ$4)),(AND(AN67="Tier 1",X67="Yes",AJ67&gt;$AJ$5)),(AND(AN67="Tier 2",X67="No",OR(AI67&gt;$AK$3,AJ67&gt;$AK$4))),(AND(AN67="Tier 2",X67="Yes",AJ67&gt;$AK$5)),(AND(AN67="Tier 3",X67="No",OR(AI67&gt;$AL$3,AJ67&gt;$AL$4))),(AND(AN67="Tier 3",X67="Yes",AJ67&gt;$AL$5))),1,0)))</f>
        <v/>
      </c>
      <c r="DA67" s="265">
        <f>IF(OR(DB67=1,DC67=1),0,IF(B67="",0,IF(OR(AND(AN67="Tier 1",X67="No",OR(AI67&gt;$AM$3,AJ67&gt;$AM$4)),(AND(AN67="Tier 1",X67="Yes",AJ67&gt;$AM$5)),(AND(AN67="Tier 2",X67="No",OR(AI67&gt;$AN$3,AJ67&gt;$AN$4))),(AND(AN67="Tier 2",X67="Yes",AJ67&gt;$AN$5)),(AND(AN67="Tier 3",X67="No",OR(AI67&gt;$AO$3,AJ67&gt;$AO$4))),(AND(AN67="Tier 3",X67="Yes",AJ67&gt;$AO$5))),1,0)))</f>
        <v/>
      </c>
      <c r="DB67" s="265">
        <f>IF(DC67=1,0,IF(B67="",0,IF(OR(AND(AN67="Tier 1",X67="No",OR(AI67&gt;$AP$3,AJ67&gt;$AP$4)),(AND(AN67="Tier 1",X67="Yes",AJ67&gt;$AP$5)),(AND(AN67="Tier 2",X67="No",OR(AI67&gt;$AQ$3,AJ67&gt;$AQ$4))),(AND(AN67="Tier 2",X67="Yes",AJ67&gt;$AQ$5)),(AND(AN67="Tier 3",X67="No",OR(AI67&gt;$AR$3,AJ67&gt;$AR$4))),(AND(AN67="Tier 3",X67="Yes",AJ67&gt;$AR$5))),1,0)))</f>
        <v/>
      </c>
      <c r="DC67" s="265">
        <f>IF(B67="",0,IF(OR(AND(AN67="Tier 1",X67="No",OR(AI67&gt;$AS$3,AJ67&gt;$AS$4)),(AND(AN67="Tier 1",X67="Yes",AJ67&gt;$AS$5)),(AND(AN67="Tier 2",X67="No",OR(AI67&gt;$AT$3,AJ67&gt;$AT$4))),(AND(AN67="Tier 2",X67="Yes",AJ67&gt;$AT$5)),(AND(AN67="Tier 3",X67="No",OR(AI67&gt;$AU$3,AJ67&gt;$AU$4))),(AND(AN67="Tier 3",X67="Yes",AJ67&gt;$AU$5))),1,0))</f>
        <v/>
      </c>
      <c r="DD67" s="265">
        <f>IF((SUM(CE67:CX67)=0),0,W67)</f>
        <v/>
      </c>
      <c r="DE67" s="265">
        <f>IF(OR(B67="",DD67&gt;0),0,W67)</f>
        <v/>
      </c>
      <c r="DF67" s="265">
        <f>IF(B67="",0,IF(COUNTIF(CE67:CX67,1)&gt;0,0,L67-M67))</f>
        <v/>
      </c>
      <c r="DG67" s="265">
        <f>DE67+IF(DD67&gt;0,0,DF67)</f>
        <v/>
      </c>
      <c r="DH67" s="265">
        <f>IF(B67="","",M67+DF67)</f>
        <v/>
      </c>
      <c r="DI67" s="265">
        <f>IF(B67="",0,J67-K67)</f>
        <v/>
      </c>
      <c r="DJ67" s="265">
        <f>IF(OR(BF67="EUR",BF67="CAD",BF67="GBP",BF67="AUD"),(GA67*(1-V67))+(HG67)+IF(HX67="",0,HX67*(1-U67)),0)</f>
        <v/>
      </c>
      <c r="DK67" s="265">
        <f>IF(BF67="EUR",33%,IF(BF67="CAD",38%,IF(BF67="GBP",51%,IF(BF67="AUD",61%,0))))</f>
        <v/>
      </c>
      <c r="DL67" s="265">
        <f>DJ67*DK67</f>
        <v/>
      </c>
      <c r="DN67" s="538">
        <f>IF(OR(Y67="Second Lien",Y67="Tier 1 Split Lien",Y67="Tier 2 Split Lien"),DG67,0)</f>
        <v/>
      </c>
      <c r="DO67" s="539">
        <f>DN67*DN$6</f>
        <v/>
      </c>
      <c r="DP67" s="538">
        <f>DG67-DO67</f>
        <v/>
      </c>
      <c r="DQ67" s="538">
        <f>IF(Y67="Second Lien",DP67,0)</f>
        <v/>
      </c>
      <c r="DR67" s="539">
        <f>DQ67*DQ$6</f>
        <v/>
      </c>
      <c r="DS67" s="538">
        <f>DP67-DR67</f>
        <v/>
      </c>
      <c r="DT67" s="538">
        <f>IF(BH67="Yes",DS67,0)</f>
        <v/>
      </c>
      <c r="DU67" s="539">
        <f>DT67*DT$6</f>
        <v/>
      </c>
      <c r="DV67" s="538">
        <f>DS67-DU67</f>
        <v/>
      </c>
      <c r="DW67" s="538">
        <f>IF(OR(BG67="Canada",BG67="United Kingdom",BG67="Australia",BG67="Netherlands Antilles",BG67="Bermuda",BG67="Cayman Islands",BG67="British Virgin Islands",BG67="Channel Islands",BG67="Isle of Man",BG67="Australia",BG67="Netherlands",BG67="Germany",BG67="Sweden",BG67="Switzerland",BG67="Austria",BG67="Belgium",BG67="Denmark",BG67="Finland",BG67="Iceland",BG67="Ireland",BG67="Lichtenstein",BG67="Luxemborg",BG67="Norway"),DV67,0)</f>
        <v/>
      </c>
      <c r="DX67" s="539">
        <f>DW67*DW$6</f>
        <v/>
      </c>
      <c r="DY67" s="538">
        <f>DV67-DX67</f>
        <v/>
      </c>
      <c r="DZ67" s="538">
        <f>IF(BI67="Yes",DY67,0)</f>
        <v/>
      </c>
      <c r="EA67" s="539">
        <f>DZ67*DZ$6</f>
        <v/>
      </c>
      <c r="EB67" s="538">
        <f>DY67-EA67</f>
        <v/>
      </c>
      <c r="EC67" s="538">
        <f>IF(OR(Z67="Delayed Draw",Z67="Revolver"),EB67,0)</f>
        <v/>
      </c>
      <c r="ED67" s="539">
        <f>EC67*EC$6</f>
        <v/>
      </c>
      <c r="EE67" s="538">
        <f>EB67-ED67</f>
        <v/>
      </c>
      <c r="EF67" s="538">
        <f>IF(S67="Yes",EE67,0)</f>
        <v/>
      </c>
      <c r="EG67" s="539">
        <f>EF67*EF$6</f>
        <v/>
      </c>
      <c r="EH67" s="538">
        <f>EE67-EG67</f>
        <v/>
      </c>
      <c r="EI67" s="538">
        <f>IF(Q67="Yes",EH67,0)</f>
        <v/>
      </c>
      <c r="EJ67" s="539">
        <f>EI67*EI$6</f>
        <v/>
      </c>
      <c r="EK67" s="538">
        <f>EH67-EJ67</f>
        <v/>
      </c>
      <c r="EL67" s="538">
        <f>IF(BD67="Semi-Annually",EK67,0)</f>
        <v/>
      </c>
      <c r="EM67" s="539">
        <f>EL67*EL$6</f>
        <v/>
      </c>
      <c r="EN67" s="538">
        <f>EK67-EM67</f>
        <v/>
      </c>
      <c r="EO67" s="538">
        <f>IF(BK67="Yes",EN67,0)</f>
        <v/>
      </c>
      <c r="EP67" s="539">
        <f>EO67*EO$6</f>
        <v/>
      </c>
      <c r="EQ67" s="538">
        <f>EN67-EP67</f>
        <v/>
      </c>
      <c r="ER67" s="538">
        <f>IF(BL67="Yes",EQ67,0)</f>
        <v/>
      </c>
      <c r="ES67" s="539">
        <f>ER67*ER$6</f>
        <v/>
      </c>
      <c r="ET67" s="538">
        <f>EQ67-ES67</f>
        <v/>
      </c>
      <c r="EU67" s="538">
        <f>IF(BM67="Yes",ET67,0)</f>
        <v/>
      </c>
      <c r="EV67" s="539">
        <f>EU67*EU$6</f>
        <v/>
      </c>
      <c r="EW67" s="538">
        <f>ET67-EV67</f>
        <v/>
      </c>
      <c r="EX67" s="538">
        <f>IF(BV67="Yes",EW67,0)</f>
        <v/>
      </c>
      <c r="EY67" s="539">
        <f>EX67*EX$6</f>
        <v/>
      </c>
      <c r="EZ67" s="538">
        <f>EW67-EY67</f>
        <v/>
      </c>
      <c r="FA67" s="538">
        <f>IF(AR67="Yes",EZ67,0)</f>
        <v/>
      </c>
      <c r="FB67" s="539">
        <f>FA67*FA$6</f>
        <v/>
      </c>
      <c r="FC67" s="538">
        <f>EZ67-FB67</f>
        <v/>
      </c>
      <c r="FD67" s="538">
        <f>IF(OR(BF67="EUR",BF67="AUD",BF67="CAD",BF67="GBP"),FC67,0)</f>
        <v/>
      </c>
      <c r="FE67" s="539">
        <f>FD67*FD$6</f>
        <v/>
      </c>
      <c r="FF67" s="538">
        <f>FC67-FE67</f>
        <v/>
      </c>
      <c r="FG67" s="538">
        <f>FF67</f>
        <v/>
      </c>
      <c r="FH67" s="538">
        <f>IF(FF67=0,0,VLOOKUP(C67,$GU$10:$GV$406,2,FALSE)*FF67)</f>
        <v/>
      </c>
      <c r="FI67" s="538">
        <f>FF67-FH67</f>
        <v/>
      </c>
      <c r="FJ67" s="538">
        <f>FI67</f>
        <v/>
      </c>
      <c r="FK67" s="538">
        <f>IF(OR(IB67="",FI67&lt;0.01),,VLOOKUP(IB67,$GL$10:$GM$406,2,FALSE)*FI67)</f>
        <v/>
      </c>
      <c r="FL67" s="538">
        <f>FI67-FK67</f>
        <v/>
      </c>
      <c r="FM67" s="538">
        <f>FL67</f>
        <v/>
      </c>
      <c r="FN67" s="538">
        <f>IF(FL67=0,0,VLOOKUP(C67,$HD$10:$HE$406,2,FALSE)*FL67)</f>
        <v/>
      </c>
      <c r="FO67" s="538">
        <f>FL67-FN67</f>
        <v/>
      </c>
      <c r="FP67" s="538">
        <f>IF(SUM(CY67:DC67)&gt;0,0,IF(AND(AL67&gt;=5000000,AL67&lt;7500000),FO67,0))</f>
        <v/>
      </c>
      <c r="FQ67" s="539">
        <f>IF(B67="",0,FP67*FP$6*(1-$U67))</f>
        <v/>
      </c>
      <c r="FR67" s="538">
        <f>FO67-FQ67</f>
        <v/>
      </c>
      <c r="FS67" s="538">
        <f>IF(SUM(CY67:DC67)&gt;0,0,IF(AL67&lt;15000000,FR67,0))</f>
        <v/>
      </c>
      <c r="FT67" s="539">
        <f>IF(B67="",0,FS67*FS$6*(1-$U67))</f>
        <v/>
      </c>
      <c r="FU67" s="538">
        <f>FR67-FT67</f>
        <v/>
      </c>
      <c r="FV67" s="538">
        <f>IF(SUM(CY67:DC67)&gt;0,0,IF(OR(AND(X67="No",AN67="Tier 1",AI67&gt;$AG$3),AND(X67="No",AN67="Tier 2",AI67&gt;$AH$3),AND(X67="No",AN67="Tier 3",AI67&gt;$AI$3)),FU67,0))</f>
        <v/>
      </c>
      <c r="FW67" s="538">
        <f>IF(SUM(CY67:DC67)&gt;0,0,IF(OR(AND(X67="No",AN67="Tier 1",AJ67&gt;$AG$4),AND(X67="No",AN67="Tier 2",AJ67&gt;$AH$4),AND(X67="No",AN67="Tier 3",AJ67&gt;$AI$4)),FU67,0))</f>
        <v/>
      </c>
      <c r="FX67" s="538">
        <f>IF(SUM(CY67:DC67)&gt;0,0,IF(OR(AND(X67="Yes",AN67="Tier 1",AJ67&gt;$AG$5),AND(X67="Yes",AN67="Tier 2",AJ67&gt;$AH$5),AND(X67="Yes",AN67="Tier 3",AJ67&gt;$AI$5)),FU67,0))</f>
        <v/>
      </c>
      <c r="FY67" s="538">
        <f>IF(SUM(FV67:FX67)&gt;0,FU67,0)</f>
        <v/>
      </c>
      <c r="FZ67" s="539">
        <f>IF(B67="",0,FY67*FV$6*(1-MIN(90%,T67)))</f>
        <v/>
      </c>
      <c r="GA67" s="538">
        <f>FU67-FZ67</f>
        <v/>
      </c>
      <c r="GB67" s="538">
        <f>IF(AND(N67="No",DI67=0),GA67,IF(AND(N67="No",DI67&lt;&gt;0,K67=0),0,IF(AND(N67="No",DI67&lt;&gt;0,K67&gt;0,J67&lt;&gt;K67),MAX(0,M67-(DH67-GA67)),DG67)))</f>
        <v/>
      </c>
      <c r="GC67" s="540">
        <f>+GB67*V67</f>
        <v/>
      </c>
      <c r="GD67" s="138">
        <f>IFERROR(GC67/K67,"")</f>
        <v/>
      </c>
      <c r="GE67" s="541">
        <f>IF(IB67="","",IB67)</f>
        <v/>
      </c>
      <c r="GF67" s="538">
        <f t="array" ref="GF67">IF(SUM(IF(IB$9:IB66=IB67,1,0))&gt;0,0,SUMIF($IB$10:$IB$406,IB67,$FI$10:$FI$406))</f>
        <v/>
      </c>
      <c r="GG67" s="270">
        <f>GF67</f>
        <v/>
      </c>
      <c r="GH67" s="137">
        <f>GH66+1</f>
        <v/>
      </c>
      <c r="GI67" s="542">
        <f>LARGE($GG$10:$GG$406,GH67)</f>
        <v/>
      </c>
      <c r="GJ67" s="542">
        <f>IF(GH67&gt;GH$6,0,IF(GH67=$GH$2,$GJ$2,IF(GH67&lt;4,$GJ$3,$GJ$4)))</f>
        <v/>
      </c>
      <c r="GK67" s="489">
        <f>MAX(0,GI67-GJ67)</f>
        <v/>
      </c>
      <c r="GL67" s="137">
        <f t="array" ref="GL67">IF(GI67=0,0,LARGE(IF($GF$10:$GF$406=GI67,$GE$10:$GE$406,0),COUNTIF($GI$10:$GI$406,GI67)-COUNTIF(GI$9:GI66,GI67)))</f>
        <v/>
      </c>
      <c r="GM67" s="272">
        <f>IF(GI67=0,0,GK67/GI67)</f>
        <v/>
      </c>
      <c r="GO67" s="137">
        <f>IF(C67="","",IF(ISERROR(MATCH(C67,C$10:C66,0)),MAX(GO$10:GO66)+1,INDEX(GO$10:GO66,MATCH(C67,C$10:C66,0))))</f>
        <v/>
      </c>
      <c r="GP67" s="538">
        <f>IF(COUNTIF($A$10:A67,A67)&lt;=1,SUMIF($A$10:$A$406,A67,$FG$10:$FG$406),0)</f>
        <v/>
      </c>
      <c r="GQ67" s="137">
        <f>GQ66+1</f>
        <v/>
      </c>
      <c r="GR67" s="542">
        <f>LARGE($GP$10:$GP$406,GQ67)</f>
        <v/>
      </c>
      <c r="GS67" s="542">
        <f>IF(GQ67&gt;GQ$6,0,IF(GQ67&lt;=GQ$2,GS$2,IF(AND(GQ67&lt;=$GQ$3,GQ67&gt;$GQ$2),GS$3,GS$4)))</f>
        <v/>
      </c>
      <c r="GT67" s="489">
        <f>MAX(0,GR67-GS67)</f>
        <v/>
      </c>
      <c r="GU67" s="137">
        <f t="array" ref="GU67">IF(GR67=0,0,LARGE(IF($GP$10:$GP$406=GR67,$GO$10:$GO$406,0),COUNTIF($GR$10:$GR$406,GR67)-COUNTIF(GR$9:GR66,GR67)))</f>
        <v/>
      </c>
      <c r="GV67" s="272">
        <f>IF(GR67=0,0,GT67/GR67)</f>
        <v/>
      </c>
      <c r="GW67" s="272" t="n"/>
      <c r="GX67" s="137">
        <f>IF(C67="","",IF(ISERROR(MATCH(C67,C$10:C66,0)),MAX(GO$10:GO66)+1,INDEX(GO$10:GO66,MATCH(C67,C$10:C66,0))))</f>
        <v/>
      </c>
      <c r="GY67" s="538">
        <f>IF(COUNTIF($A$10:A67,A67)&lt;=1,SUMIF($A$10:$A$406,A67,$FG$10:$FG$406),0)</f>
        <v/>
      </c>
      <c r="GZ67" s="137">
        <f>GZ66+1</f>
        <v/>
      </c>
      <c r="HA67" s="542">
        <f>LARGE($GY$10:$GY$406,GZ67)</f>
        <v/>
      </c>
      <c r="HB67" s="543" t="inlineStr">
        <is>
          <t>-</t>
        </is>
      </c>
      <c r="HC67" s="489">
        <f>IF(GZ67&lt;6,MAX(0,$HC$2/5),0)</f>
        <v/>
      </c>
      <c r="HD67" s="137">
        <f t="array" ref="HD67">IF(HA67=0,0,LARGE(IF($GY$10:$GY$406=HA67,$GX$10:$GX$406,0),COUNTIF($HA$10:$HA$406,HA67)-COUNTIF(HA$9:HA66,HA67)))</f>
        <v/>
      </c>
      <c r="HE67" s="272">
        <f>IF(HA67=0,0,HC67/HA67)</f>
        <v/>
      </c>
      <c r="HG67" s="270">
        <f>DG67-GA67</f>
        <v/>
      </c>
      <c r="HH67" s="544" t="n">
        <v>0</v>
      </c>
      <c r="HI67" s="538">
        <f>MIN(HH67,DE67)</f>
        <v/>
      </c>
      <c r="HK67" s="137">
        <f>IF(COUNTIF($C$10:$C$406,HK66+1),HK66+1,"")</f>
        <v/>
      </c>
      <c r="HL67" s="538">
        <f>SUMIF($C$10:$C$406,HK67,$DG$10:$DG$406)</f>
        <v/>
      </c>
      <c r="HN67" s="521">
        <f>MIN(HO67:HS67)</f>
        <v/>
      </c>
      <c r="HO67" s="521">
        <f>IF(B67="","",$M67)</f>
        <v/>
      </c>
      <c r="HP67" s="521">
        <f>IF($N67="Yes",IF(P67&gt;=6,0,MIN($T67*$M67,$U67*$M67)),"")</f>
        <v/>
      </c>
      <c r="HQ67" s="521">
        <f>IF(AND(N67="Yes",P67&gt;=6),"",IF($S67="Yes",$R67*$M67,""))</f>
        <v/>
      </c>
      <c r="HR67" s="521">
        <f>IF($Q67="Yes",MIN($M67,$T67*$M67),"")</f>
        <v/>
      </c>
      <c r="HS67" s="521">
        <f>IF(AND($N67="Yes",$P67&gt;=6),"",IF(OR(CY67=1,DC67=1,),MIN($T67*$M67,$U67*$M67),IF(OR(CZ67=1,DA67=1,DB67=1),IF(AK67&gt;=5000000,MIN($T67*$M67,$IE67*$M67),MIN($T67*$M67,$U67*$M67)),"")))</f>
        <v/>
      </c>
      <c r="HT67" s="521">
        <f>IF(DD67&gt;0,DD67,"")</f>
        <v/>
      </c>
      <c r="HU67" s="522">
        <f>IF(B67="",0,$L67-$M67)</f>
        <v/>
      </c>
      <c r="HV67" s="274">
        <f>IF(OR(SUM(HP67:HT67)&gt;0,P67&gt;=6),"",IF($B67="","",1))</f>
        <v/>
      </c>
      <c r="HW67" s="522">
        <f>IF(AND($HT67&lt;&gt;0,OR(HT67&lt;=MIN(HP67:HS67),SUM(HP67:HS67)=0)),$HT67,0)</f>
        <v/>
      </c>
      <c r="HX67" s="522">
        <f>IF(AND($HS67&lt;&gt;0,OR(AND($HS67&lt;&gt;$HT67,$HS67&lt;&gt;$HR67,$HS67&lt;&gt;$HQ67,$HS67&lt;&gt;$HP67,$HS67&lt;MIN($HP67:$HR67),$HS67&lt;HT67),SUM($HP67:$HR67)+SUM(HT67)=0),IA67&lt;=0),$HS67,0)</f>
        <v/>
      </c>
      <c r="HY67" s="522">
        <f>IF(AND($HR67&lt;&gt;0,OR(AND($HR67&lt;&gt;$HT67,$HR67&lt;&gt;$HS67,$HR67&lt;&gt;$HQ67,$HR67&lt;&gt;$HP67),$HR67&lt;MIN($HP67:$HQ67),$HR67&lt;MIN($HS67:$HT67),SUM($HP67:$HQ67)+SUM($HS67:$HT67)=0)),$HR67,0)</f>
        <v/>
      </c>
      <c r="HZ67" s="522">
        <f>IF(AND($HQ67&lt;&gt;0,OR(AND($HQ67&lt;&gt;$HT67,HQ67&lt;&gt;HS67,HQ67&lt;&gt;HR67,HQ67&lt;&gt;HP67,HQ67&lt;MIN(HR67:HT67)),SUM(HP67)+SUM(HR67:HT67)=0)),$HQ67,0)</f>
        <v/>
      </c>
      <c r="IA67" s="522">
        <f>IF(AND($HP67&lt;&gt;0,OR(HP67&lt;=MIN(HQ67:HT67),SUM(HQ67:HT67)=0)),$HP67,0)</f>
        <v/>
      </c>
      <c r="IB67" s="545" t="n">
        <v>31</v>
      </c>
      <c r="IC67">
        <f>HU67=DF67</f>
        <v/>
      </c>
      <c r="IE67" s="351">
        <f>IF(B67="","",IF(AND(Y67="Second Lien",OR(CZ67=1,DA67=1,DB67=1)),50%,IF(CZ67=1,90%,IF(DA67=1,80%,IF(DB67=1,65%,"No Initial Haircut")))))</f>
        <v/>
      </c>
    </row>
    <row r="68">
      <c r="A68">
        <f>D68</f>
        <v/>
      </c>
      <c r="B68" s="242">
        <f>IF(D68="","",B67+1)</f>
        <v/>
      </c>
      <c r="C68" s="242">
        <f>IF(COUNTIF($A$10:A67,A68)&gt;0,C67,C67+1)</f>
        <v/>
      </c>
      <c r="D68" s="243" t="inlineStr">
        <is>
          <t>Summit Industries, Inc.</t>
        </is>
      </c>
      <c r="E68" s="243" t="inlineStr">
        <is>
          <t>Summit (TL)</t>
        </is>
      </c>
      <c r="F68" s="244" t="n"/>
      <c r="G68" s="528" t="n">
        <v>1436250</v>
      </c>
      <c r="H68" s="528" t="n">
        <v>1436250</v>
      </c>
      <c r="I68" s="246" t="n">
        <v>1</v>
      </c>
      <c r="J68" s="529">
        <f>IF(B68="","",G68*I68)</f>
        <v/>
      </c>
      <c r="K68" s="529">
        <f>IF(B68="","",H68*I68)</f>
        <v/>
      </c>
      <c r="L68" s="529">
        <f>IF(B68="","",IF(COUNTIF($CE68:$CX68,1)&gt;0,0,J68))</f>
        <v/>
      </c>
      <c r="M68" s="529">
        <f>IF(B68="","",IF(COUNTIF($CE68:$CX68,1)&gt;0,0,K68))</f>
        <v/>
      </c>
      <c r="N68" s="248" t="inlineStr">
        <is>
          <t>No</t>
        </is>
      </c>
      <c r="O68" s="248" t="inlineStr">
        <is>
          <t>N/A</t>
        </is>
      </c>
      <c r="P68" s="249">
        <f>IF(B68="","",IF(OR(O68="N/A",O68=""),0,YEARFRAC('Borrowing Base'!$J$4,'Loan List'!O68)*12))</f>
        <v/>
      </c>
      <c r="Q68" s="248" t="inlineStr">
        <is>
          <t>No</t>
        </is>
      </c>
      <c r="R68" s="250" t="n">
        <v>0.98</v>
      </c>
      <c r="S68" s="251">
        <f>IF(B68="","",IF(R68&lt;95%,"Yes","No"))</f>
        <v/>
      </c>
      <c r="T68" s="250" t="n">
        <v>0.995</v>
      </c>
      <c r="U68" s="252">
        <f>IF(B68="","",IF(OR(Y68="First Lien",Y68="Split First Lien",Y68="Tier 1 Split Lien",Y68="Tier 2 Split Lien"),50%,30%))</f>
        <v/>
      </c>
      <c r="V68" s="252">
        <f>IF(B68="",0,IF(AND(Y68="First Lien",AN68="Tier 1"),IF(AND(X68="Yes",MIN(AH68,$AJ$5)&gt;4.5),(((4.5/MIN(AH68,$AJ$5))*72.5%)+(((MIN(AH68,$AJ$5)-4.5)/MIN(AH68,$AJ$5))*35%)),72.5%),IF(AND(Y68="First Lien",AN68="Tier 2"),IF(AND(X68="Yes",MIN(AH68,$AK$5)&gt;4.5),(((4.5/MIN(AH68,$AK$5))*72.5%)+(((MIN(AH68,$AK$5)-4.5)/MIN(AH68,$AK$5))*35%)),72.5%),IF(AND(X68="Yes",MIN(AH68,$AL$5)&gt;4),(((4/MIN(AH68,$AL$5))*72.5%)+(((MIN(AH68,$AL$5)-4)/MIN(AH68,$AL$5))*35%)),IF(OR(Y68="First Lien",Y68="Split First Lien"),72.5%,IF(Y68="Split Lien", 53%,35%))))))</f>
        <v/>
      </c>
      <c r="W68" s="530">
        <f>IF($C68="","",MIN($HO68:$HS68))</f>
        <v/>
      </c>
      <c r="X68" s="248" t="inlineStr">
        <is>
          <t>No</t>
        </is>
      </c>
      <c r="Y68" s="254" t="inlineStr">
        <is>
          <t>First Lien</t>
        </is>
      </c>
      <c r="Z68" s="254" t="inlineStr">
        <is>
          <t>Term</t>
        </is>
      </c>
      <c r="AA68" s="531" t="inlineStr">
        <is>
          <t>NR</t>
        </is>
      </c>
      <c r="AB68" s="531" t="inlineStr">
        <is>
          <t xml:space="preserve"> NR</t>
        </is>
      </c>
      <c r="AC68" s="532" t="n">
        <v>2.86010787456446</v>
      </c>
      <c r="AD68" s="532" t="n">
        <v>3.169139387673899</v>
      </c>
      <c r="AE68" s="532" t="n">
        <v>6.828231875684852</v>
      </c>
      <c r="AF68" s="257" t="n">
        <v>0.2807</v>
      </c>
      <c r="AG68" s="533" t="n">
        <v>1.64711849754104</v>
      </c>
      <c r="AH68" s="533" t="n">
        <v>3.169139387673899</v>
      </c>
      <c r="AI68" s="533" t="n">
        <v>2.891872964126484</v>
      </c>
      <c r="AJ68" s="533" t="n">
        <v>6.828231875684852</v>
      </c>
      <c r="AK68" s="534" t="n">
        <v>23981274</v>
      </c>
      <c r="AL68" s="534" t="n">
        <v>14047717</v>
      </c>
      <c r="AM68" s="276" t="n">
        <v>45838</v>
      </c>
      <c r="AN68" s="529">
        <f>IF(C68="","",(IF(AK68&gt;=50000000,"Tier 1",(IF(OR(AK68&gt;=20000000,AND(AK68&gt;5000000,AC68&gt;=1.25,AF68&lt;=0.65)),"Tier 2","Tier 3")))))</f>
        <v/>
      </c>
      <c r="AO68" s="244" t="n">
        <v>46051</v>
      </c>
      <c r="AP68" s="535" t="n">
        <v>0.4972222222222222</v>
      </c>
      <c r="AQ68" s="535">
        <f>IF(C68="","",AP68)</f>
        <v/>
      </c>
      <c r="AR68" s="248" t="inlineStr">
        <is>
          <t>No</t>
        </is>
      </c>
      <c r="AS68" s="250" t="n">
        <v>0</v>
      </c>
      <c r="AT68" s="248" t="inlineStr">
        <is>
          <t>Yes</t>
        </is>
      </c>
      <c r="AU68" s="250" t="n">
        <v>0.01</v>
      </c>
      <c r="AV68" s="250" t="n">
        <v>0.064</v>
      </c>
      <c r="AW68" s="250" t="n">
        <v>0.04317</v>
      </c>
      <c r="AX68" s="262">
        <f>IF(C68="","",MAX(AU68,AW68))</f>
        <v/>
      </c>
      <c r="AY68" s="250" t="n">
        <v>0.005</v>
      </c>
      <c r="AZ68" s="250" t="n">
        <v>0</v>
      </c>
      <c r="BA68" s="250" t="n">
        <v>0</v>
      </c>
      <c r="BB68" s="412">
        <f>IF(B68="","",IF(AR68="No",AV68-AZ68,""))</f>
        <v/>
      </c>
      <c r="BC68" s="412">
        <f>IF(B68="","",IF(AR68="Yes",AS68-BA68,""))</f>
        <v/>
      </c>
      <c r="BD68" s="254" t="inlineStr">
        <is>
          <t>Quarterly</t>
        </is>
      </c>
      <c r="BE68" s="536" t="inlineStr">
        <is>
          <t>Leisure Products</t>
        </is>
      </c>
      <c r="BF68" s="254" t="inlineStr">
        <is>
          <t>USD</t>
        </is>
      </c>
      <c r="BG68" s="254" t="inlineStr">
        <is>
          <t>United States</t>
        </is>
      </c>
      <c r="BH68" s="248" t="inlineStr">
        <is>
          <t>No</t>
        </is>
      </c>
      <c r="BI68" s="413">
        <f>IF(B68="","",IF(OR(AND(AZ68&gt;0,BB68&gt;=2.5%,BB68&lt;4%),AND(BA68&gt;0,BC68&gt;=6%,BC68&lt;8%)),"Yes","No"))</f>
        <v/>
      </c>
      <c r="BJ68" s="413">
        <f>IF(B68="","",IF(OR(AND(AZ68&gt;0,BB68&lt;2.5%),AND(BA68&gt;0,BC68&lt;6%)),"Yes","No"))</f>
        <v/>
      </c>
      <c r="BK68" s="248" t="inlineStr">
        <is>
          <t>No</t>
        </is>
      </c>
      <c r="BL68" s="248" t="inlineStr">
        <is>
          <t>No</t>
        </is>
      </c>
      <c r="BM68" s="248" t="inlineStr">
        <is>
          <t>No</t>
        </is>
      </c>
      <c r="BN68" s="248" t="inlineStr">
        <is>
          <t>No</t>
        </is>
      </c>
      <c r="BO68" s="248" t="inlineStr">
        <is>
          <t>No</t>
        </is>
      </c>
      <c r="BP68" s="248" t="inlineStr">
        <is>
          <t>No</t>
        </is>
      </c>
      <c r="BQ68" s="248" t="inlineStr">
        <is>
          <t>No</t>
        </is>
      </c>
      <c r="BR68" s="248" t="inlineStr">
        <is>
          <t>No</t>
        </is>
      </c>
      <c r="BS68" s="248" t="inlineStr">
        <is>
          <t>No</t>
        </is>
      </c>
      <c r="BT68" s="248" t="inlineStr">
        <is>
          <t>No</t>
        </is>
      </c>
      <c r="BU68" s="248" t="inlineStr">
        <is>
          <t>No</t>
        </is>
      </c>
      <c r="BV68" s="248" t="inlineStr">
        <is>
          <t>No</t>
        </is>
      </c>
      <c r="BW68" s="248" t="inlineStr">
        <is>
          <t>No</t>
        </is>
      </c>
      <c r="BX68" s="248" t="inlineStr">
        <is>
          <t>No</t>
        </is>
      </c>
      <c r="BY68" s="248" t="inlineStr">
        <is>
          <t>No</t>
        </is>
      </c>
      <c r="BZ68" s="248" t="inlineStr">
        <is>
          <t>No</t>
        </is>
      </c>
      <c r="CA68" s="248" t="inlineStr">
        <is>
          <t>Yes</t>
        </is>
      </c>
      <c r="CB68" s="537">
        <f>IF(B68="","",IF(AT68="No",((BB68+AW68)-$AZ$4),((BB68+AX68)-$AZ$4))*IF(DD68&gt;0,0,M68))</f>
        <v/>
      </c>
      <c r="CC68" s="537">
        <f>IF(B68="","",AY68*(L68-M68)*IF(DD68&gt;0,0,1))</f>
        <v/>
      </c>
      <c r="CD68" s="265" t="n"/>
      <c r="CE68" s="265">
        <f>IF(AND(B68&lt;&gt;"",R68&lt;=85%),1,0)</f>
        <v/>
      </c>
      <c r="CF68" s="265">
        <f>IF(B68="",0,(IF(OR(BF68="USD",BF68="CAD",BF68="GBP",BF68="AUD",BF68="EUR"),0,1)))</f>
        <v/>
      </c>
      <c r="CG68" s="265">
        <f>IF(B68="",0,(IF(OR(BG68="United States",BG68="Canada",BG68="United Kingdom",BG68="Australia",BG68="Netherlands Antilles",BG68="Bermuda",BG68="Cayman Islands",BG68="British Virgin Islands",BG68="Channel Islands",BG68="Isle of Man",BG68="Australia",BG68="Netherlands",BG68="Germany",BG68="Sweden",BG68="Switzerland",BG68="Austria",BG68="Belgium",BG68="Denmark",BG68="Finland",BG68="Iceland",BG68="Ireland",BG68="Lichtenstein",BG68="Luxemborg",BG68="Norway"),0,1)))</f>
        <v/>
      </c>
      <c r="CH68" s="265">
        <f>IF(BN68="Yes",1,0)</f>
        <v/>
      </c>
      <c r="CI68" s="265">
        <f>IF(BO68="Yes",1,0)</f>
        <v/>
      </c>
      <c r="CJ68" s="265">
        <f>IF(BP68="Yes",1,0)</f>
        <v/>
      </c>
      <c r="CK68" s="265">
        <f>IF(BQ68="Yes",1,0)</f>
        <v/>
      </c>
      <c r="CL68" s="265">
        <f>IF(BR68="Yes",1,0)</f>
        <v/>
      </c>
      <c r="CM68" s="265">
        <f>IF(BS68="Yes",1,0)</f>
        <v/>
      </c>
      <c r="CN68" s="265">
        <f>IF(OR(AND(BJ68="Yes",N68="No"),AND(BJ68="Yes",N68="Yes",P68&gt;=6)),1,0)</f>
        <v/>
      </c>
      <c r="CO68" s="265">
        <f>IF(BT68="Yes",1,0)</f>
        <v/>
      </c>
      <c r="CP68" s="265">
        <f>IF(AND(BU68="Yes",BV68="No"),1,0)</f>
        <v/>
      </c>
      <c r="CQ68" s="265">
        <f>IF(BW68="Yes",1,0)</f>
        <v/>
      </c>
      <c r="CR68" s="265">
        <f>IF(AP68="",0,IF(AP68&gt;7,1,0))</f>
        <v/>
      </c>
      <c r="CS68" s="265">
        <f>IF(OR(BD68&lt;&gt;"Monthly",BD68&lt;&gt;"Quarterly",BD68&lt;&gt;"Semi-Annually"),0,1)</f>
        <v/>
      </c>
      <c r="CT68" s="265">
        <f>IF(BX68="Yes",1,0)</f>
        <v/>
      </c>
      <c r="CU68" s="265">
        <f>IF(BY68="Yes",1,0)</f>
        <v/>
      </c>
      <c r="CV68" s="265">
        <f>IF(BZ68="Yes",1,0)</f>
        <v/>
      </c>
      <c r="CW68" s="265">
        <f>IF(CA68="No",1,0)</f>
        <v/>
      </c>
      <c r="CX68" s="265">
        <f>IF(B68="",0,IF(AK68&gt;=5000000,0,1))</f>
        <v/>
      </c>
      <c r="CY68" s="265">
        <f>IF(B68="",0,IF(AL68&gt;=5000000,0,1))</f>
        <v/>
      </c>
      <c r="CZ68" s="265">
        <f>IF(OR(DA68=1,DB68=1,DC68=1),0,IF(B68="",0,IF(OR(AND(AN68="Tier 1",X68="No",OR(AI68&gt;$AJ$3,AJ68&gt;$AJ$4)),(AND(AN68="Tier 1",X68="Yes",AJ68&gt;$AJ$5)),(AND(AN68="Tier 2",X68="No",OR(AI68&gt;$AK$3,AJ68&gt;$AK$4))),(AND(AN68="Tier 2",X68="Yes",AJ68&gt;$AK$5)),(AND(AN68="Tier 3",X68="No",OR(AI68&gt;$AL$3,AJ68&gt;$AL$4))),(AND(AN68="Tier 3",X68="Yes",AJ68&gt;$AL$5))),1,0)))</f>
        <v/>
      </c>
      <c r="DA68" s="265">
        <f>IF(OR(DB68=1,DC68=1),0,IF(B68="",0,IF(OR(AND(AN68="Tier 1",X68="No",OR(AI68&gt;$AM$3,AJ68&gt;$AM$4)),(AND(AN68="Tier 1",X68="Yes",AJ68&gt;$AM$5)),(AND(AN68="Tier 2",X68="No",OR(AI68&gt;$AN$3,AJ68&gt;$AN$4))),(AND(AN68="Tier 2",X68="Yes",AJ68&gt;$AN$5)),(AND(AN68="Tier 3",X68="No",OR(AI68&gt;$AO$3,AJ68&gt;$AO$4))),(AND(AN68="Tier 3",X68="Yes",AJ68&gt;$AO$5))),1,0)))</f>
        <v/>
      </c>
      <c r="DB68" s="265">
        <f>IF(DC68=1,0,IF(B68="",0,IF(OR(AND(AN68="Tier 1",X68="No",OR(AI68&gt;$AP$3,AJ68&gt;$AP$4)),(AND(AN68="Tier 1",X68="Yes",AJ68&gt;$AP$5)),(AND(AN68="Tier 2",X68="No",OR(AI68&gt;$AQ$3,AJ68&gt;$AQ$4))),(AND(AN68="Tier 2",X68="Yes",AJ68&gt;$AQ$5)),(AND(AN68="Tier 3",X68="No",OR(AI68&gt;$AR$3,AJ68&gt;$AR$4))),(AND(AN68="Tier 3",X68="Yes",AJ68&gt;$AR$5))),1,0)))</f>
        <v/>
      </c>
      <c r="DC68" s="265">
        <f>IF(B68="",0,IF(OR(AND(AN68="Tier 1",X68="No",OR(AI68&gt;$AS$3,AJ68&gt;$AS$4)),(AND(AN68="Tier 1",X68="Yes",AJ68&gt;$AS$5)),(AND(AN68="Tier 2",X68="No",OR(AI68&gt;$AT$3,AJ68&gt;$AT$4))),(AND(AN68="Tier 2",X68="Yes",AJ68&gt;$AT$5)),(AND(AN68="Tier 3",X68="No",OR(AI68&gt;$AU$3,AJ68&gt;$AU$4))),(AND(AN68="Tier 3",X68="Yes",AJ68&gt;$AU$5))),1,0))</f>
        <v/>
      </c>
      <c r="DD68" s="265">
        <f>IF((SUM(CE68:CX68)=0),0,W68)</f>
        <v/>
      </c>
      <c r="DE68" s="265">
        <f>IF(OR(B68="",DD68&gt;0),0,W68)</f>
        <v/>
      </c>
      <c r="DF68" s="265">
        <f>IF(B68="",0,IF(COUNTIF(CE68:CX68,1)&gt;0,0,L68-M68))</f>
        <v/>
      </c>
      <c r="DG68" s="265">
        <f>DE68+IF(DD68&gt;0,0,DF68)</f>
        <v/>
      </c>
      <c r="DH68" s="265">
        <f>IF(B68="","",M68+DF68)</f>
        <v/>
      </c>
      <c r="DI68" s="265">
        <f>IF(B68="",0,J68-K68)</f>
        <v/>
      </c>
      <c r="DJ68" s="265">
        <f>IF(OR(BF68="EUR",BF68="CAD",BF68="GBP",BF68="AUD"),(GA68*(1-V68))+(HG68)+IF(HX68="",0,HX68*(1-U68)),0)</f>
        <v/>
      </c>
      <c r="DK68" s="265">
        <f>IF(BF68="EUR",33%,IF(BF68="CAD",38%,IF(BF68="GBP",51%,IF(BF68="AUD",61%,0))))</f>
        <v/>
      </c>
      <c r="DL68" s="265">
        <f>DJ68*DK68</f>
        <v/>
      </c>
      <c r="DN68" s="538">
        <f>IF(OR(Y68="Second Lien",Y68="Tier 1 Split Lien",Y68="Tier 2 Split Lien"),DG68,0)</f>
        <v/>
      </c>
      <c r="DO68" s="539">
        <f>DN68*DN$6</f>
        <v/>
      </c>
      <c r="DP68" s="538">
        <f>DG68-DO68</f>
        <v/>
      </c>
      <c r="DQ68" s="538">
        <f>IF(Y68="Second Lien",DP68,0)</f>
        <v/>
      </c>
      <c r="DR68" s="539">
        <f>DQ68*DQ$6</f>
        <v/>
      </c>
      <c r="DS68" s="538">
        <f>DP68-DR68</f>
        <v/>
      </c>
      <c r="DT68" s="538">
        <f>IF(BH68="Yes",DS68,0)</f>
        <v/>
      </c>
      <c r="DU68" s="539">
        <f>DT68*DT$6</f>
        <v/>
      </c>
      <c r="DV68" s="538">
        <f>DS68-DU68</f>
        <v/>
      </c>
      <c r="DW68" s="538">
        <f>IF(OR(BG68="Canada",BG68="United Kingdom",BG68="Australia",BG68="Netherlands Antilles",BG68="Bermuda",BG68="Cayman Islands",BG68="British Virgin Islands",BG68="Channel Islands",BG68="Isle of Man",BG68="Australia",BG68="Netherlands",BG68="Germany",BG68="Sweden",BG68="Switzerland",BG68="Austria",BG68="Belgium",BG68="Denmark",BG68="Finland",BG68="Iceland",BG68="Ireland",BG68="Lichtenstein",BG68="Luxemborg",BG68="Norway"),DV68,0)</f>
        <v/>
      </c>
      <c r="DX68" s="539">
        <f>DW68*DW$6</f>
        <v/>
      </c>
      <c r="DY68" s="538">
        <f>DV68-DX68</f>
        <v/>
      </c>
      <c r="DZ68" s="538">
        <f>IF(BI68="Yes",DY68,0)</f>
        <v/>
      </c>
      <c r="EA68" s="539">
        <f>DZ68*DZ$6</f>
        <v/>
      </c>
      <c r="EB68" s="538">
        <f>DY68-EA68</f>
        <v/>
      </c>
      <c r="EC68" s="538">
        <f>IF(OR(Z68="Delayed Draw",Z68="Revolver"),EB68,0)</f>
        <v/>
      </c>
      <c r="ED68" s="539">
        <f>EC68*EC$6</f>
        <v/>
      </c>
      <c r="EE68" s="538">
        <f>EB68-ED68</f>
        <v/>
      </c>
      <c r="EF68" s="538">
        <f>IF(S68="Yes",EE68,0)</f>
        <v/>
      </c>
      <c r="EG68" s="539">
        <f>EF68*EF$6</f>
        <v/>
      </c>
      <c r="EH68" s="538">
        <f>EE68-EG68</f>
        <v/>
      </c>
      <c r="EI68" s="538">
        <f>IF(Q68="Yes",EH68,0)</f>
        <v/>
      </c>
      <c r="EJ68" s="539">
        <f>EI68*EI$6</f>
        <v/>
      </c>
      <c r="EK68" s="538">
        <f>EH68-EJ68</f>
        <v/>
      </c>
      <c r="EL68" s="538">
        <f>IF(BD68="Semi-Annually",EK68,0)</f>
        <v/>
      </c>
      <c r="EM68" s="539">
        <f>EL68*EL$6</f>
        <v/>
      </c>
      <c r="EN68" s="538">
        <f>EK68-EM68</f>
        <v/>
      </c>
      <c r="EO68" s="538">
        <f>IF(BK68="Yes",EN68,0)</f>
        <v/>
      </c>
      <c r="EP68" s="539">
        <f>EO68*EO$6</f>
        <v/>
      </c>
      <c r="EQ68" s="538">
        <f>EN68-EP68</f>
        <v/>
      </c>
      <c r="ER68" s="538">
        <f>IF(BL68="Yes",EQ68,0)</f>
        <v/>
      </c>
      <c r="ES68" s="539">
        <f>ER68*ER$6</f>
        <v/>
      </c>
      <c r="ET68" s="538">
        <f>EQ68-ES68</f>
        <v/>
      </c>
      <c r="EU68" s="538">
        <f>IF(BM68="Yes",ET68,0)</f>
        <v/>
      </c>
      <c r="EV68" s="539">
        <f>EU68*EU$6</f>
        <v/>
      </c>
      <c r="EW68" s="538">
        <f>ET68-EV68</f>
        <v/>
      </c>
      <c r="EX68" s="538">
        <f>IF(BV68="Yes",EW68,0)</f>
        <v/>
      </c>
      <c r="EY68" s="539">
        <f>EX68*EX$6</f>
        <v/>
      </c>
      <c r="EZ68" s="538">
        <f>EW68-EY68</f>
        <v/>
      </c>
      <c r="FA68" s="538">
        <f>IF(AR68="Yes",EZ68,0)</f>
        <v/>
      </c>
      <c r="FB68" s="539">
        <f>FA68*FA$6</f>
        <v/>
      </c>
      <c r="FC68" s="538">
        <f>EZ68-FB68</f>
        <v/>
      </c>
      <c r="FD68" s="538">
        <f>IF(OR(BF68="EUR",BF68="AUD",BF68="CAD",BF68="GBP"),FC68,0)</f>
        <v/>
      </c>
      <c r="FE68" s="539">
        <f>FD68*FD$6</f>
        <v/>
      </c>
      <c r="FF68" s="538">
        <f>FC68-FE68</f>
        <v/>
      </c>
      <c r="FG68" s="538">
        <f>FF68</f>
        <v/>
      </c>
      <c r="FH68" s="538">
        <f>IF(FF68=0,0,VLOOKUP(C68,$GU$10:$GV$406,2,FALSE)*FF68)</f>
        <v/>
      </c>
      <c r="FI68" s="538">
        <f>FF68-FH68</f>
        <v/>
      </c>
      <c r="FJ68" s="538">
        <f>FI68</f>
        <v/>
      </c>
      <c r="FK68" s="538">
        <f>IF(OR(IB68="",FI68&lt;0.01),,VLOOKUP(IB68,$GL$10:$GM$406,2,FALSE)*FI68)</f>
        <v/>
      </c>
      <c r="FL68" s="538">
        <f>FI68-FK68</f>
        <v/>
      </c>
      <c r="FM68" s="538">
        <f>FL68</f>
        <v/>
      </c>
      <c r="FN68" s="538">
        <f>IF(FL68=0,0,VLOOKUP(C68,$HD$10:$HE$406,2,FALSE)*FL68)</f>
        <v/>
      </c>
      <c r="FO68" s="538">
        <f>FL68-FN68</f>
        <v/>
      </c>
      <c r="FP68" s="538">
        <f>IF(SUM(CY68:DC68)&gt;0,0,IF(AND(AL68&gt;=5000000,AL68&lt;7500000),FO68,0))</f>
        <v/>
      </c>
      <c r="FQ68" s="539">
        <f>IF(B68="",0,FP68*FP$6*(1-$U68))</f>
        <v/>
      </c>
      <c r="FR68" s="538">
        <f>FO68-FQ68</f>
        <v/>
      </c>
      <c r="FS68" s="538">
        <f>IF(SUM(CY68:DC68)&gt;0,0,IF(AL68&lt;15000000,FR68,0))</f>
        <v/>
      </c>
      <c r="FT68" s="539">
        <f>IF(B68="",0,FS68*FS$6*(1-$U68))</f>
        <v/>
      </c>
      <c r="FU68" s="538">
        <f>FR68-FT68</f>
        <v/>
      </c>
      <c r="FV68" s="538">
        <f>IF(SUM(CY68:DC68)&gt;0,0,IF(OR(AND(X68="No",AN68="Tier 1",AI68&gt;$AG$3),AND(X68="No",AN68="Tier 2",AI68&gt;$AH$3),AND(X68="No",AN68="Tier 3",AI68&gt;$AI$3)),FU68,0))</f>
        <v/>
      </c>
      <c r="FW68" s="538">
        <f>IF(SUM(CY68:DC68)&gt;0,0,IF(OR(AND(X68="No",AN68="Tier 1",AJ68&gt;$AG$4),AND(X68="No",AN68="Tier 2",AJ68&gt;$AH$4),AND(X68="No",AN68="Tier 3",AJ68&gt;$AI$4)),FU68,0))</f>
        <v/>
      </c>
      <c r="FX68" s="538">
        <f>IF(SUM(CY68:DC68)&gt;0,0,IF(OR(AND(X68="Yes",AN68="Tier 1",AJ68&gt;$AG$5),AND(X68="Yes",AN68="Tier 2",AJ68&gt;$AH$5),AND(X68="Yes",AN68="Tier 3",AJ68&gt;$AI$5)),FU68,0))</f>
        <v/>
      </c>
      <c r="FY68" s="538">
        <f>IF(SUM(FV68:FX68)&gt;0,FU68,0)</f>
        <v/>
      </c>
      <c r="FZ68" s="539">
        <f>IF(B68="",0,FY68*FV$6*(1-MIN(90%,T68)))</f>
        <v/>
      </c>
      <c r="GA68" s="538">
        <f>FU68-FZ68</f>
        <v/>
      </c>
      <c r="GB68" s="538">
        <f>IF(AND(N68="No",DI68=0),GA68,IF(AND(N68="No",DI68&lt;&gt;0,K68=0),0,IF(AND(N68="No",DI68&lt;&gt;0,K68&gt;0,J68&lt;&gt;K68),MAX(0,M68-(DH68-GA68)),DG68)))</f>
        <v/>
      </c>
      <c r="GC68" s="540">
        <f>+GB68*V68</f>
        <v/>
      </c>
      <c r="GD68" s="138">
        <f>IFERROR(GC68/K68,"")</f>
        <v/>
      </c>
      <c r="GE68" s="541">
        <f>IF(IB68="","",IB68)</f>
        <v/>
      </c>
      <c r="GF68" s="538">
        <f t="array" ref="GF68">IF(SUM(IF(IB$9:IB67=IB68,1,0))&gt;0,0,SUMIF($IB$10:$IB$406,IB68,$FI$10:$FI$406))</f>
        <v/>
      </c>
      <c r="GG68" s="270">
        <f>GF68</f>
        <v/>
      </c>
      <c r="GH68" s="137">
        <f>GH67+1</f>
        <v/>
      </c>
      <c r="GI68" s="542">
        <f>LARGE($GG$10:$GG$406,GH68)</f>
        <v/>
      </c>
      <c r="GJ68" s="542">
        <f>IF(GH68&gt;GH$6,0,IF(GH68=$GH$2,$GJ$2,IF(GH68&lt;4,$GJ$3,$GJ$4)))</f>
        <v/>
      </c>
      <c r="GK68" s="489">
        <f>MAX(0,GI68-GJ68)</f>
        <v/>
      </c>
      <c r="GL68" s="137">
        <f t="array" ref="GL68">IF(GI68=0,0,LARGE(IF($GF$10:$GF$406=GI68,$GE$10:$GE$406,0),COUNTIF($GI$10:$GI$406,GI68)-COUNTIF(GI$9:GI67,GI68)))</f>
        <v/>
      </c>
      <c r="GM68" s="272">
        <f>IF(GI68=0,0,GK68/GI68)</f>
        <v/>
      </c>
      <c r="GO68" s="137">
        <f>IF(C68="","",IF(ISERROR(MATCH(C68,C$10:C67,0)),MAX(GO$10:GO67)+1,INDEX(GO$10:GO67,MATCH(C68,C$10:C67,0))))</f>
        <v/>
      </c>
      <c r="GP68" s="538">
        <f>IF(COUNTIF($A$10:A68,A68)&lt;=1,SUMIF($A$10:$A$406,A68,$FG$10:$FG$406),0)</f>
        <v/>
      </c>
      <c r="GQ68" s="137">
        <f>GQ67+1</f>
        <v/>
      </c>
      <c r="GR68" s="542">
        <f>LARGE($GP$10:$GP$406,GQ68)</f>
        <v/>
      </c>
      <c r="GS68" s="542">
        <f>IF(GQ68&gt;GQ$6,0,IF(GQ68&lt;=GQ$2,GS$2,IF(AND(GQ68&lt;=$GQ$3,GQ68&gt;$GQ$2),GS$3,GS$4)))</f>
        <v/>
      </c>
      <c r="GT68" s="489">
        <f>MAX(0,GR68-GS68)</f>
        <v/>
      </c>
      <c r="GU68" s="137">
        <f t="array" ref="GU68">IF(GR68=0,0,LARGE(IF($GP$10:$GP$406=GR68,$GO$10:$GO$406,0),COUNTIF($GR$10:$GR$406,GR68)-COUNTIF(GR$9:GR67,GR68)))</f>
        <v/>
      </c>
      <c r="GV68" s="272">
        <f>IF(GR68=0,0,GT68/GR68)</f>
        <v/>
      </c>
      <c r="GW68" s="272" t="n"/>
      <c r="GX68" s="137">
        <f>IF(C68="","",IF(ISERROR(MATCH(C68,C$10:C67,0)),MAX(GO$10:GO67)+1,INDEX(GO$10:GO67,MATCH(C68,C$10:C67,0))))</f>
        <v/>
      </c>
      <c r="GY68" s="538">
        <f>IF(COUNTIF($A$10:A68,A68)&lt;=1,SUMIF($A$10:$A$406,A68,$FG$10:$FG$406),0)</f>
        <v/>
      </c>
      <c r="GZ68" s="137">
        <f>GZ67+1</f>
        <v/>
      </c>
      <c r="HA68" s="542">
        <f>LARGE($GY$10:$GY$406,GZ68)</f>
        <v/>
      </c>
      <c r="HB68" s="543" t="inlineStr">
        <is>
          <t>-</t>
        </is>
      </c>
      <c r="HC68" s="489">
        <f>IF(GZ68&lt;6,MAX(0,$HC$2/5),0)</f>
        <v/>
      </c>
      <c r="HD68" s="137">
        <f t="array" ref="HD68">IF(HA68=0,0,LARGE(IF($GY$10:$GY$406=HA68,$GX$10:$GX$406,0),COUNTIF($HA$10:$HA$406,HA68)-COUNTIF(HA$9:HA67,HA68)))</f>
        <v/>
      </c>
      <c r="HE68" s="272">
        <f>IF(HA68=0,0,HC68/HA68)</f>
        <v/>
      </c>
      <c r="HG68" s="270">
        <f>DG68-GA68</f>
        <v/>
      </c>
      <c r="HH68" s="544" t="n">
        <v>0</v>
      </c>
      <c r="HI68" s="538">
        <f>MIN(HH68,DE68)</f>
        <v/>
      </c>
      <c r="HK68" s="137">
        <f>IF(COUNTIF($C$10:$C$406,HK67+1),HK67+1,"")</f>
        <v/>
      </c>
      <c r="HL68" s="538">
        <f>SUMIF($C$10:$C$406,HK68,$DG$10:$DG$406)</f>
        <v/>
      </c>
      <c r="HN68" s="521">
        <f>MIN(HO68:HS68)</f>
        <v/>
      </c>
      <c r="HO68" s="521">
        <f>IF(B68="","",$M68)</f>
        <v/>
      </c>
      <c r="HP68" s="521">
        <f>IF($N68="Yes",IF(P68&gt;=6,0,MIN($T68*$M68,$U68*$M68)),"")</f>
        <v/>
      </c>
      <c r="HQ68" s="521">
        <f>IF(AND(N68="Yes",P68&gt;=6),"",IF($S68="Yes",$R68*$M68,""))</f>
        <v/>
      </c>
      <c r="HR68" s="521">
        <f>IF($Q68="Yes",MIN($M68,$T68*$M68),"")</f>
        <v/>
      </c>
      <c r="HS68" s="521">
        <f>IF(AND($N68="Yes",$P68&gt;=6),"",IF(OR(CY68=1,DC68=1,),MIN($T68*$M68,$U68*$M68),IF(OR(CZ68=1,DA68=1,DB68=1),IF(AK68&gt;=5000000,MIN($T68*$M68,$IE68*$M68),MIN($T68*$M68,$U68*$M68)),"")))</f>
        <v/>
      </c>
      <c r="HT68" s="521">
        <f>IF(DD68&gt;0,DD68,"")</f>
        <v/>
      </c>
      <c r="HU68" s="522">
        <f>IF(B68="",0,$L68-$M68)</f>
        <v/>
      </c>
      <c r="HV68" s="274">
        <f>IF(OR(SUM(HP68:HT68)&gt;0,P68&gt;=6),"",IF($B68="","",1))</f>
        <v/>
      </c>
      <c r="HW68" s="522">
        <f>IF(AND($HT68&lt;&gt;0,OR(HT68&lt;=MIN(HP68:HS68),SUM(HP68:HS68)=0)),$HT68,0)</f>
        <v/>
      </c>
      <c r="HX68" s="522">
        <f>IF(AND($HS68&lt;&gt;0,OR(AND($HS68&lt;&gt;$HT68,$HS68&lt;&gt;$HR68,$HS68&lt;&gt;$HQ68,$HS68&lt;&gt;$HP68,$HS68&lt;MIN($HP68:$HR68),$HS68&lt;HT68),SUM($HP68:$HR68)+SUM(HT68)=0),IA68&lt;=0),$HS68,0)</f>
        <v/>
      </c>
      <c r="HY68" s="522">
        <f>IF(AND($HR68&lt;&gt;0,OR(AND($HR68&lt;&gt;$HT68,$HR68&lt;&gt;$HS68,$HR68&lt;&gt;$HQ68,$HR68&lt;&gt;$HP68),$HR68&lt;MIN($HP68:$HQ68),$HR68&lt;MIN($HS68:$HT68),SUM($HP68:$HQ68)+SUM($HS68:$HT68)=0)),$HR68,0)</f>
        <v/>
      </c>
      <c r="HZ68" s="522">
        <f>IF(AND($HQ68&lt;&gt;0,OR(AND($HQ68&lt;&gt;$HT68,HQ68&lt;&gt;HS68,HQ68&lt;&gt;HR68,HQ68&lt;&gt;HP68,HQ68&lt;MIN(HR68:HT68)),SUM(HP68)+SUM(HR68:HT68)=0)),$HQ68,0)</f>
        <v/>
      </c>
      <c r="IA68" s="522">
        <f>IF(AND($HP68&lt;&gt;0,OR(HP68&lt;=MIN(HQ68:HT68),SUM(HQ68:HT68)=0)),$HP68,0)</f>
        <v/>
      </c>
      <c r="IB68" s="545" t="n">
        <v>42</v>
      </c>
      <c r="IC68">
        <f>HU68=DF68</f>
        <v/>
      </c>
      <c r="IE68" s="351">
        <f>IF(B68="","",IF(AND(Y68="Second Lien",OR(CZ68=1,DA68=1,DB68=1)),50%,IF(CZ68=1,90%,IF(DA68=1,80%,IF(DB68=1,65%,"No Initial Haircut")))))</f>
        <v/>
      </c>
    </row>
    <row r="69" ht="15" customHeight="1">
      <c r="A69">
        <f>D69</f>
        <v/>
      </c>
      <c r="B69" s="242">
        <f>IF(D69="","",B68+1)</f>
        <v/>
      </c>
      <c r="C69" s="242">
        <f>IF(COUNTIF($A$10:A68,A69)&gt;0,C68,C68+1)</f>
        <v/>
      </c>
      <c r="D69" s="243" t="inlineStr">
        <is>
          <t>Riverbend Industries, Inc.</t>
        </is>
      </c>
      <c r="E69" s="243" t="inlineStr">
        <is>
          <t>Riverbend (SOTL)</t>
        </is>
      </c>
      <c r="F69" s="244" t="n"/>
      <c r="G69" s="528" t="n">
        <v>7654052.42</v>
      </c>
      <c r="H69" s="528" t="n">
        <v>7654052.42</v>
      </c>
      <c r="I69" s="246" t="n">
        <v>1</v>
      </c>
      <c r="J69" s="529">
        <f>IF(B69="","",G69*I69)</f>
        <v/>
      </c>
      <c r="K69" s="529">
        <f>IF(B69="","",H69*I69)</f>
        <v/>
      </c>
      <c r="L69" s="529">
        <f>IF(B69="","",IF(COUNTIF($CE69:$CX69,1)&gt;0,0,J69))</f>
        <v/>
      </c>
      <c r="M69" s="529">
        <f>IF(B69="","",IF(COUNTIF($CE69:$CX69,1)&gt;0,0,K69))</f>
        <v/>
      </c>
      <c r="N69" s="248" t="inlineStr">
        <is>
          <t>No</t>
        </is>
      </c>
      <c r="O69" s="248" t="inlineStr">
        <is>
          <t>N/A</t>
        </is>
      </c>
      <c r="P69" s="249">
        <f>IF(B69="","",IF(OR(O69="N/A",O69=""),0,YEARFRAC('Borrowing Base'!$J$4,'Loan List'!O69)*12))</f>
        <v/>
      </c>
      <c r="Q69" s="248" t="inlineStr">
        <is>
          <t>No</t>
        </is>
      </c>
      <c r="R69" s="250" t="n">
        <v>0.9781585087109937</v>
      </c>
      <c r="S69" s="251">
        <f>IF(B69="","",IF(R69&lt;95%,"Yes","No"))</f>
        <v/>
      </c>
      <c r="T69" s="250" t="n">
        <v>0.8449999993598163</v>
      </c>
      <c r="U69" s="252">
        <f>IF(B69="","",IF(OR(Y69="First Lien",Y69="Split First Lien",Y69="Tier 1 Split Lien",Y69="Tier 2 Split Lien"),50%,30%))</f>
        <v/>
      </c>
      <c r="V69" s="252">
        <f>IF(B69="",0,IF(AND(Y69="First Lien",AN69="Tier 1"),IF(AND(X69="Yes",MIN(AH69,$AJ$5)&gt;4.5),(((4.5/MIN(AH69,$AJ$5))*72.5%)+(((MIN(AH69,$AJ$5)-4.5)/MIN(AH69,$AJ$5))*35%)),72.5%),IF(AND(Y69="First Lien",AN69="Tier 2"),IF(AND(X69="Yes",MIN(AH69,$AK$5)&gt;4.5),(((4.5/MIN(AH69,$AK$5))*72.5%)+(((MIN(AH69,$AK$5)-4.5)/MIN(AH69,$AK$5))*35%)),72.5%),IF(AND(X69="Yes",MIN(AH69,$AL$5)&gt;4),(((4/MIN(AH69,$AL$5))*72.5%)+(((MIN(AH69,$AL$5)-4)/MIN(AH69,$AL$5))*35%)),IF(OR(Y69="First Lien",Y69="Split First Lien"),72.5%,IF(Y69="Split Lien", 53%,35%))))))</f>
        <v/>
      </c>
      <c r="W69" s="530">
        <f>IF($C69="","",MIN($HO69:$HS69))</f>
        <v/>
      </c>
      <c r="X69" s="248" t="inlineStr">
        <is>
          <t>No</t>
        </is>
      </c>
      <c r="Y69" s="254" t="inlineStr">
        <is>
          <t>First Lien</t>
        </is>
      </c>
      <c r="Z69" s="254" t="inlineStr">
        <is>
          <t>Term</t>
        </is>
      </c>
      <c r="AA69" s="531" t="inlineStr">
        <is>
          <t>B3</t>
        </is>
      </c>
      <c r="AB69" s="531" t="inlineStr">
        <is>
          <t xml:space="preserve"> CCC-</t>
        </is>
      </c>
      <c r="AC69" s="532" t="n">
        <v>1.66</v>
      </c>
      <c r="AD69" s="532" t="n">
        <v>4.591133004926109</v>
      </c>
      <c r="AE69" s="532" t="n">
        <v>4.8901320652934</v>
      </c>
      <c r="AF69" s="257" t="n">
        <v>0.8052</v>
      </c>
      <c r="AG69" s="533" t="n">
        <v>3.359605911330049</v>
      </c>
      <c r="AH69" s="533" t="n">
        <v>4.591133004926109</v>
      </c>
      <c r="AI69" s="533" t="n">
        <v>4.292578590174928</v>
      </c>
      <c r="AJ69" s="533" t="n">
        <v>4.292578590174928</v>
      </c>
      <c r="AK69" s="534" t="n">
        <v>203000000</v>
      </c>
      <c r="AL69" s="534" t="n">
        <v>172986000</v>
      </c>
      <c r="AM69" s="276" t="n">
        <v>45838</v>
      </c>
      <c r="AN69" s="529">
        <f>IF(C69="","",(IF(AK69&gt;=50000000,"Tier 1",(IF(OR(AK69&gt;=20000000,AND(AK69&gt;5000000,AC69&gt;=1.25,AF69&lt;=0.65)),"Tier 2","Tier 3")))))</f>
        <v/>
      </c>
      <c r="AO69" s="244" t="n">
        <v>47042</v>
      </c>
      <c r="AP69" s="535" t="n">
        <v>3.211111111111111</v>
      </c>
      <c r="AQ69" s="535">
        <f>IF(C69="","",AP69)</f>
        <v/>
      </c>
      <c r="AR69" s="248" t="inlineStr">
        <is>
          <t>No</t>
        </is>
      </c>
      <c r="AS69" s="250" t="n">
        <v>0</v>
      </c>
      <c r="AT69" s="248" t="inlineStr">
        <is>
          <t>Yes</t>
        </is>
      </c>
      <c r="AU69" s="250" t="n">
        <v>0.01</v>
      </c>
      <c r="AV69" s="250" t="n">
        <v>0.0576</v>
      </c>
      <c r="AW69" s="250" t="n">
        <v>0.04326000000000001</v>
      </c>
      <c r="AX69" s="262">
        <f>IF(C69="","",MAX(AU69,AW69))</f>
        <v/>
      </c>
      <c r="AY69" s="250" t="n">
        <v>0</v>
      </c>
      <c r="AZ69" s="250" t="n">
        <v>0</v>
      </c>
      <c r="BA69" s="250" t="n">
        <v>0</v>
      </c>
      <c r="BB69" s="412">
        <f>IF(B69="","",IF(AR69="No",AV69-AZ69,""))</f>
        <v/>
      </c>
      <c r="BC69" s="412">
        <f>IF(B69="","",IF(AR69="Yes",AS69-BA69,""))</f>
        <v/>
      </c>
      <c r="BD69" s="254" t="inlineStr">
        <is>
          <t>Monthly</t>
        </is>
      </c>
      <c r="BE69" s="536" t="inlineStr">
        <is>
          <t>Diversified Consumer Services</t>
        </is>
      </c>
      <c r="BF69" s="254" t="inlineStr">
        <is>
          <t>USD</t>
        </is>
      </c>
      <c r="BG69" s="254" t="inlineStr">
        <is>
          <t>United States</t>
        </is>
      </c>
      <c r="BH69" s="248" t="inlineStr">
        <is>
          <t>No</t>
        </is>
      </c>
      <c r="BI69" s="413">
        <f>IF(B69="","",IF(OR(AND(AZ69&gt;0,BB69&gt;=2.5%,BB69&lt;4%),AND(BA69&gt;0,BC69&gt;=6%,BC69&lt;8%)),"Yes","No"))</f>
        <v/>
      </c>
      <c r="BJ69" s="413">
        <f>IF(B69="","",IF(OR(AND(AZ69&gt;0,BB69&lt;2.5%),AND(BA69&gt;0,BC69&lt;6%)),"Yes","No"))</f>
        <v/>
      </c>
      <c r="BK69" s="248" t="inlineStr">
        <is>
          <t>No</t>
        </is>
      </c>
      <c r="BL69" s="248" t="inlineStr">
        <is>
          <t>No</t>
        </is>
      </c>
      <c r="BM69" s="248" t="inlineStr">
        <is>
          <t>No</t>
        </is>
      </c>
      <c r="BN69" s="248" t="inlineStr">
        <is>
          <t>No</t>
        </is>
      </c>
      <c r="BO69" s="248" t="inlineStr">
        <is>
          <t>No</t>
        </is>
      </c>
      <c r="BP69" s="248" t="inlineStr">
        <is>
          <t>No</t>
        </is>
      </c>
      <c r="BQ69" s="248" t="inlineStr">
        <is>
          <t>No</t>
        </is>
      </c>
      <c r="BR69" s="248" t="inlineStr">
        <is>
          <t>No</t>
        </is>
      </c>
      <c r="BS69" s="248" t="inlineStr">
        <is>
          <t>No</t>
        </is>
      </c>
      <c r="BT69" s="248" t="inlineStr">
        <is>
          <t>No</t>
        </is>
      </c>
      <c r="BU69" s="248" t="inlineStr">
        <is>
          <t>Yes</t>
        </is>
      </c>
      <c r="BV69" s="248" t="inlineStr">
        <is>
          <t>Yes</t>
        </is>
      </c>
      <c r="BW69" s="248" t="inlineStr">
        <is>
          <t>No</t>
        </is>
      </c>
      <c r="BX69" s="248" t="inlineStr">
        <is>
          <t>No</t>
        </is>
      </c>
      <c r="BY69" s="248" t="inlineStr">
        <is>
          <t>No</t>
        </is>
      </c>
      <c r="BZ69" s="248" t="inlineStr">
        <is>
          <t>No</t>
        </is>
      </c>
      <c r="CA69" s="248" t="inlineStr">
        <is>
          <t>Yes</t>
        </is>
      </c>
      <c r="CB69" s="537">
        <f>IF(B69="","",IF(AT69="No",((BB69+AW69)-$AZ$4),((BB69+AX69)-$AZ$4))*IF(DD69&gt;0,0,M69))</f>
        <v/>
      </c>
      <c r="CC69" s="537">
        <f>IF(B69="","",AY69*(L69-M69)*IF(DD69&gt;0,0,1))</f>
        <v/>
      </c>
      <c r="CD69" s="265" t="n"/>
      <c r="CE69" s="265">
        <f>IF(AND(B69&lt;&gt;"",R69&lt;=85%),1,0)</f>
        <v/>
      </c>
      <c r="CF69" s="265">
        <f>IF(B69="",0,(IF(OR(BF69="USD",BF69="CAD",BF69="GBP",BF69="AUD",BF69="EUR"),0,1)))</f>
        <v/>
      </c>
      <c r="CG69" s="265">
        <f>IF(B69="",0,(IF(OR(BG69="United States",BG69="Canada",BG69="United Kingdom",BG69="Australia",BG69="Netherlands Antilles",BG69="Bermuda",BG69="Cayman Islands",BG69="British Virgin Islands",BG69="Channel Islands",BG69="Isle of Man",BG69="Australia",BG69="Netherlands",BG69="Germany",BG69="Sweden",BG69="Switzerland",BG69="Austria",BG69="Belgium",BG69="Denmark",BG69="Finland",BG69="Iceland",BG69="Ireland",BG69="Lichtenstein",BG69="Luxemborg",BG69="Norway"),0,1)))</f>
        <v/>
      </c>
      <c r="CH69" s="265">
        <f>IF(BN69="Yes",1,0)</f>
        <v/>
      </c>
      <c r="CI69" s="265">
        <f>IF(BO69="Yes",1,0)</f>
        <v/>
      </c>
      <c r="CJ69" s="265">
        <f>IF(BP69="Yes",1,0)</f>
        <v/>
      </c>
      <c r="CK69" s="265">
        <f>IF(BQ69="Yes",1,0)</f>
        <v/>
      </c>
      <c r="CL69" s="265">
        <f>IF(BR69="Yes",1,0)</f>
        <v/>
      </c>
      <c r="CM69" s="265">
        <f>IF(BS69="Yes",1,0)</f>
        <v/>
      </c>
      <c r="CN69" s="265">
        <f>IF(OR(AND(BJ69="Yes",N69="No"),AND(BJ69="Yes",N69="Yes",P69&gt;=6)),1,0)</f>
        <v/>
      </c>
      <c r="CO69" s="265">
        <f>IF(BT69="Yes",1,0)</f>
        <v/>
      </c>
      <c r="CP69" s="265">
        <f>IF(AND(BU69="Yes",BV69="No"),1,0)</f>
        <v/>
      </c>
      <c r="CQ69" s="265">
        <f>IF(BW69="Yes",1,0)</f>
        <v/>
      </c>
      <c r="CR69" s="265">
        <f>IF(AP69="",0,IF(AP69&gt;7,1,0))</f>
        <v/>
      </c>
      <c r="CS69" s="265">
        <f>IF(OR(BD69&lt;&gt;"Monthly",BD69&lt;&gt;"Quarterly",BD69&lt;&gt;"Semi-Annually"),0,1)</f>
        <v/>
      </c>
      <c r="CT69" s="265">
        <f>IF(BX69="Yes",1,0)</f>
        <v/>
      </c>
      <c r="CU69" s="265">
        <f>IF(BY69="Yes",1,0)</f>
        <v/>
      </c>
      <c r="CV69" s="265">
        <f>IF(BZ69="Yes",1,0)</f>
        <v/>
      </c>
      <c r="CW69" s="265">
        <f>IF(CA69="No",1,0)</f>
        <v/>
      </c>
      <c r="CX69" s="265">
        <f>IF(B69="",0,IF(AK69&gt;=5000000,0,1))</f>
        <v/>
      </c>
      <c r="CY69" s="265">
        <f>IF(B69="",0,IF(AL69&gt;=5000000,0,1))</f>
        <v/>
      </c>
      <c r="CZ69" s="265">
        <f>IF(OR(DA69=1,DB69=1,DC69=1),0,IF(B69="",0,IF(OR(AND(AN69="Tier 1",X69="No",OR(AI69&gt;$AJ$3,AJ69&gt;$AJ$4)),(AND(AN69="Tier 1",X69="Yes",AJ69&gt;$AJ$5)),(AND(AN69="Tier 2",X69="No",OR(AI69&gt;$AK$3,AJ69&gt;$AK$4))),(AND(AN69="Tier 2",X69="Yes",AJ69&gt;$AK$5)),(AND(AN69="Tier 3",X69="No",OR(AI69&gt;$AL$3,AJ69&gt;$AL$4))),(AND(AN69="Tier 3",X69="Yes",AJ69&gt;$AL$5))),1,0)))</f>
        <v/>
      </c>
      <c r="DA69" s="265">
        <f>IF(OR(DB69=1,DC69=1),0,IF(B69="",0,IF(OR(AND(AN69="Tier 1",X69="No",OR(AI69&gt;$AM$3,AJ69&gt;$AM$4)),(AND(AN69="Tier 1",X69="Yes",AJ69&gt;$AM$5)),(AND(AN69="Tier 2",X69="No",OR(AI69&gt;$AN$3,AJ69&gt;$AN$4))),(AND(AN69="Tier 2",X69="Yes",AJ69&gt;$AN$5)),(AND(AN69="Tier 3",X69="No",OR(AI69&gt;$AO$3,AJ69&gt;$AO$4))),(AND(AN69="Tier 3",X69="Yes",AJ69&gt;$AO$5))),1,0)))</f>
        <v/>
      </c>
      <c r="DB69" s="265">
        <f>IF(DC69=1,0,IF(B69="",0,IF(OR(AND(AN69="Tier 1",X69="No",OR(AI69&gt;$AP$3,AJ69&gt;$AP$4)),(AND(AN69="Tier 1",X69="Yes",AJ69&gt;$AP$5)),(AND(AN69="Tier 2",X69="No",OR(AI69&gt;$AQ$3,AJ69&gt;$AQ$4))),(AND(AN69="Tier 2",X69="Yes",AJ69&gt;$AQ$5)),(AND(AN69="Tier 3",X69="No",OR(AI69&gt;$AR$3,AJ69&gt;$AR$4))),(AND(AN69="Tier 3",X69="Yes",AJ69&gt;$AR$5))),1,0)))</f>
        <v/>
      </c>
      <c r="DC69" s="265">
        <f>IF(B69="",0,IF(OR(AND(AN69="Tier 1",X69="No",OR(AI69&gt;$AS$3,AJ69&gt;$AS$4)),(AND(AN69="Tier 1",X69="Yes",AJ69&gt;$AS$5)),(AND(AN69="Tier 2",X69="No",OR(AI69&gt;$AT$3,AJ69&gt;$AT$4))),(AND(AN69="Tier 2",X69="Yes",AJ69&gt;$AT$5)),(AND(AN69="Tier 3",X69="No",OR(AI69&gt;$AU$3,AJ69&gt;$AU$4))),(AND(AN69="Tier 3",X69="Yes",AJ69&gt;$AU$5))),1,0))</f>
        <v/>
      </c>
      <c r="DD69" s="265">
        <f>IF((SUM(CE69:CX69)=0),0,W69)</f>
        <v/>
      </c>
      <c r="DE69" s="265">
        <f>IF(OR(B69="",DD69&gt;0),0,W69)</f>
        <v/>
      </c>
      <c r="DF69" s="265">
        <f>IF(B69="",0,IF(COUNTIF(CE69:CX69,1)&gt;0,0,L69-M69))</f>
        <v/>
      </c>
      <c r="DG69" s="265">
        <f>DE69+IF(DD69&gt;0,0,DF69)</f>
        <v/>
      </c>
      <c r="DH69" s="265">
        <f>IF(B69="","",M69+DF69)</f>
        <v/>
      </c>
      <c r="DI69" s="265">
        <f>IF(B69="",0,J69-K69)</f>
        <v/>
      </c>
      <c r="DJ69" s="265">
        <f>IF(OR(BF69="EUR",BF69="CAD",BF69="GBP",BF69="AUD"),(GA69*(1-V69))+(HG69)+IF(HX69="",0,HX69*(1-U69)),0)</f>
        <v/>
      </c>
      <c r="DK69" s="265">
        <f>IF(BF69="EUR",33%,IF(BF69="CAD",38%,IF(BF69="GBP",51%,IF(BF69="AUD",61%,0))))</f>
        <v/>
      </c>
      <c r="DL69" s="265">
        <f>DJ69*DK69</f>
        <v/>
      </c>
      <c r="DN69" s="538">
        <f>IF(OR(Y69="Second Lien",Y69="Tier 1 Split Lien",Y69="Tier 2 Split Lien"),DG69,0)</f>
        <v/>
      </c>
      <c r="DO69" s="539">
        <f>DN69*DN$6</f>
        <v/>
      </c>
      <c r="DP69" s="538">
        <f>DG69-DO69</f>
        <v/>
      </c>
      <c r="DQ69" s="538">
        <f>IF(Y69="Second Lien",DP69,0)</f>
        <v/>
      </c>
      <c r="DR69" s="539">
        <f>DQ69*DQ$6</f>
        <v/>
      </c>
      <c r="DS69" s="538">
        <f>DP69-DR69</f>
        <v/>
      </c>
      <c r="DT69" s="538">
        <f>IF(BH69="Yes",DS69,0)</f>
        <v/>
      </c>
      <c r="DU69" s="539">
        <f>DT69*DT$6</f>
        <v/>
      </c>
      <c r="DV69" s="538">
        <f>DS69-DU69</f>
        <v/>
      </c>
      <c r="DW69" s="538">
        <f>IF(OR(BG69="Canada",BG69="United Kingdom",BG69="Australia",BG69="Netherlands Antilles",BG69="Bermuda",BG69="Cayman Islands",BG69="British Virgin Islands",BG69="Channel Islands",BG69="Isle of Man",BG69="Australia",BG69="Netherlands",BG69="Germany",BG69="Sweden",BG69="Switzerland",BG69="Austria",BG69="Belgium",BG69="Denmark",BG69="Finland",BG69="Iceland",BG69="Ireland",BG69="Lichtenstein",BG69="Luxemborg",BG69="Norway"),DV69,0)</f>
        <v/>
      </c>
      <c r="DX69" s="539">
        <f>DW69*DW$6</f>
        <v/>
      </c>
      <c r="DY69" s="538">
        <f>DV69-DX69</f>
        <v/>
      </c>
      <c r="DZ69" s="538">
        <f>IF(BI69="Yes",DY69,0)</f>
        <v/>
      </c>
      <c r="EA69" s="539">
        <f>DZ69*DZ$6</f>
        <v/>
      </c>
      <c r="EB69" s="538">
        <f>DY69-EA69</f>
        <v/>
      </c>
      <c r="EC69" s="538">
        <f>IF(OR(Z69="Delayed Draw",Z69="Revolver"),EB69,0)</f>
        <v/>
      </c>
      <c r="ED69" s="539">
        <f>EC69*EC$6</f>
        <v/>
      </c>
      <c r="EE69" s="538">
        <f>EB69-ED69</f>
        <v/>
      </c>
      <c r="EF69" s="538">
        <f>IF(S69="Yes",EE69,0)</f>
        <v/>
      </c>
      <c r="EG69" s="539">
        <f>EF69*EF$6</f>
        <v/>
      </c>
      <c r="EH69" s="538">
        <f>EE69-EG69</f>
        <v/>
      </c>
      <c r="EI69" s="538">
        <f>IF(Q69="Yes",EH69,0)</f>
        <v/>
      </c>
      <c r="EJ69" s="539">
        <f>EI69*EI$6</f>
        <v/>
      </c>
      <c r="EK69" s="538">
        <f>EH69-EJ69</f>
        <v/>
      </c>
      <c r="EL69" s="538">
        <f>IF(BD69="Semi-Annually",EK69,0)</f>
        <v/>
      </c>
      <c r="EM69" s="539">
        <f>EL69*EL$6</f>
        <v/>
      </c>
      <c r="EN69" s="538">
        <f>EK69-EM69</f>
        <v/>
      </c>
      <c r="EO69" s="538">
        <f>IF(BK69="Yes",EN69,0)</f>
        <v/>
      </c>
      <c r="EP69" s="539">
        <f>EO69*EO$6</f>
        <v/>
      </c>
      <c r="EQ69" s="538">
        <f>EN69-EP69</f>
        <v/>
      </c>
      <c r="ER69" s="538">
        <f>IF(BL69="Yes",EQ69,0)</f>
        <v/>
      </c>
      <c r="ES69" s="539">
        <f>ER69*ER$6</f>
        <v/>
      </c>
      <c r="ET69" s="538">
        <f>EQ69-ES69</f>
        <v/>
      </c>
      <c r="EU69" s="538">
        <f>IF(BM69="Yes",ET69,0)</f>
        <v/>
      </c>
      <c r="EV69" s="539">
        <f>EU69*EU$6</f>
        <v/>
      </c>
      <c r="EW69" s="538">
        <f>ET69-EV69</f>
        <v/>
      </c>
      <c r="EX69" s="538">
        <f>IF(BV69="Yes",EW69,0)</f>
        <v/>
      </c>
      <c r="EY69" s="539">
        <f>EX69*EX$6</f>
        <v/>
      </c>
      <c r="EZ69" s="538">
        <f>EW69-EY69</f>
        <v/>
      </c>
      <c r="FA69" s="538">
        <f>IF(AR69="Yes",EZ69,0)</f>
        <v/>
      </c>
      <c r="FB69" s="539">
        <f>FA69*FA$6</f>
        <v/>
      </c>
      <c r="FC69" s="538">
        <f>EZ69-FB69</f>
        <v/>
      </c>
      <c r="FD69" s="538">
        <f>IF(OR(BF69="EUR",BF69="AUD",BF69="CAD",BF69="GBP"),FC69,0)</f>
        <v/>
      </c>
      <c r="FE69" s="539">
        <f>FD69*FD$6</f>
        <v/>
      </c>
      <c r="FF69" s="538">
        <f>FC69-FE69</f>
        <v/>
      </c>
      <c r="FG69" s="538">
        <f>FF69</f>
        <v/>
      </c>
      <c r="FH69" s="538">
        <f>IF(FF69=0,0,VLOOKUP(C69,$GU$10:$GV$406,2,FALSE)*FF69)</f>
        <v/>
      </c>
      <c r="FI69" s="538">
        <f>FF69-FH69</f>
        <v/>
      </c>
      <c r="FJ69" s="538">
        <f>FI69</f>
        <v/>
      </c>
      <c r="FK69" s="538">
        <f>IF(OR(IB69="",FI69&lt;0.01),,VLOOKUP(IB69,$GL$10:$GM$406,2,FALSE)*FI69)</f>
        <v/>
      </c>
      <c r="FL69" s="538">
        <f>FI69-FK69</f>
        <v/>
      </c>
      <c r="FM69" s="538">
        <f>FL69</f>
        <v/>
      </c>
      <c r="FN69" s="538">
        <f>IF(FL69=0,0,VLOOKUP(C69,$HD$10:$HE$406,2,FALSE)*FL69)</f>
        <v/>
      </c>
      <c r="FO69" s="538">
        <f>FL69-FN69</f>
        <v/>
      </c>
      <c r="FP69" s="538">
        <f>IF(SUM(CY69:DC69)&gt;0,0,IF(AND(AL69&gt;=5000000,AL69&lt;7500000),FO69,0))</f>
        <v/>
      </c>
      <c r="FQ69" s="539">
        <f>IF(B69="",0,FP69*FP$6*(1-$U69))</f>
        <v/>
      </c>
      <c r="FR69" s="538">
        <f>FO69-FQ69</f>
        <v/>
      </c>
      <c r="FS69" s="538">
        <f>IF(SUM(CY69:DC69)&gt;0,0,IF(AL69&lt;15000000,FR69,0))</f>
        <v/>
      </c>
      <c r="FT69" s="539">
        <f>IF(B69="",0,FS69*FS$6*(1-$U69))</f>
        <v/>
      </c>
      <c r="FU69" s="538">
        <f>FR69-FT69</f>
        <v/>
      </c>
      <c r="FV69" s="538">
        <f>IF(SUM(CY69:DC69)&gt;0,0,IF(OR(AND(X69="No",AN69="Tier 1",AI69&gt;$AG$3),AND(X69="No",AN69="Tier 2",AI69&gt;$AH$3),AND(X69="No",AN69="Tier 3",AI69&gt;$AI$3)),FU69,0))</f>
        <v/>
      </c>
      <c r="FW69" s="538">
        <f>IF(SUM(CY69:DC69)&gt;0,0,IF(OR(AND(X69="No",AN69="Tier 1",AJ69&gt;$AG$4),AND(X69="No",AN69="Tier 2",AJ69&gt;$AH$4),AND(X69="No",AN69="Tier 3",AJ69&gt;$AI$4)),FU69,0))</f>
        <v/>
      </c>
      <c r="FX69" s="538">
        <f>IF(SUM(CY69:DC69)&gt;0,0,IF(OR(AND(X69="Yes",AN69="Tier 1",AJ69&gt;$AG$5),AND(X69="Yes",AN69="Tier 2",AJ69&gt;$AH$5),AND(X69="Yes",AN69="Tier 3",AJ69&gt;$AI$5)),FU69,0))</f>
        <v/>
      </c>
      <c r="FY69" s="538">
        <f>IF(SUM(FV69:FX69)&gt;0,FU69,0)</f>
        <v/>
      </c>
      <c r="FZ69" s="539">
        <f>IF(B69="",0,FY69*FV$6*(1-MIN(90%,T69)))</f>
        <v/>
      </c>
      <c r="GA69" s="538">
        <f>FU69-FZ69</f>
        <v/>
      </c>
      <c r="GB69" s="538">
        <f>IF(AND(N69="No",DI69=0),GA69,IF(AND(N69="No",DI69&lt;&gt;0,K69=0),0,IF(AND(N69="No",DI69&lt;&gt;0,K69&gt;0,J69&lt;&gt;K69),MAX(0,M69-(DH69-GA69)),DG69)))</f>
        <v/>
      </c>
      <c r="GC69" s="540">
        <f>+GB69*V69</f>
        <v/>
      </c>
      <c r="GD69" s="138">
        <f>IFERROR(GC69/K69,"")</f>
        <v/>
      </c>
      <c r="GE69" s="541">
        <f>IF(IB69="","",IB69)</f>
        <v/>
      </c>
      <c r="GF69" s="538">
        <f t="array" ref="GF69">IF(SUM(IF(IB$9:IB68=IB69,1,0))&gt;0,0,SUMIF($IB$10:$IB$406,IB69,$FI$10:$FI$406))</f>
        <v/>
      </c>
      <c r="GG69" s="270">
        <f>GF69</f>
        <v/>
      </c>
      <c r="GH69" s="137">
        <f>GH68+1</f>
        <v/>
      </c>
      <c r="GI69" s="542">
        <f>LARGE($GG$10:$GG$406,GH69)</f>
        <v/>
      </c>
      <c r="GJ69" s="542">
        <f>IF(GH69&gt;GH$6,0,IF(GH69=$GH$2,$GJ$2,IF(GH69&lt;4,$GJ$3,$GJ$4)))</f>
        <v/>
      </c>
      <c r="GK69" s="489">
        <f>MAX(0,GI69-GJ69)</f>
        <v/>
      </c>
      <c r="GL69" s="137">
        <f t="array" ref="GL69">IF(GI69=0,0,LARGE(IF($GF$10:$GF$406=GI69,$GE$10:$GE$406,0),COUNTIF($GI$10:$GI$406,GI69)-COUNTIF(GI$9:GI68,GI69)))</f>
        <v/>
      </c>
      <c r="GM69" s="272">
        <f>IF(GI69=0,0,GK69/GI69)</f>
        <v/>
      </c>
      <c r="GO69" s="137">
        <f>IF(C69="","",IF(ISERROR(MATCH(C69,C$10:C68,0)),MAX(GO$10:GO68)+1,INDEX(GO$10:GO68,MATCH(C69,C$10:C68,0))))</f>
        <v/>
      </c>
      <c r="GP69" s="538">
        <f>IF(COUNTIF($A$10:A69,A69)&lt;=1,SUMIF($A$10:$A$406,A69,$FG$10:$FG$406),0)</f>
        <v/>
      </c>
      <c r="GQ69" s="137">
        <f>GQ68+1</f>
        <v/>
      </c>
      <c r="GR69" s="542">
        <f>LARGE($GP$10:$GP$406,GQ69)</f>
        <v/>
      </c>
      <c r="GS69" s="542">
        <f>IF(GQ69&gt;GQ$6,0,IF(GQ69&lt;=GQ$2,GS$2,IF(AND(GQ69&lt;=$GQ$3,GQ69&gt;$GQ$2),GS$3,GS$4)))</f>
        <v/>
      </c>
      <c r="GT69" s="489">
        <f>MAX(0,GR69-GS69)</f>
        <v/>
      </c>
      <c r="GU69" s="137">
        <f t="array" ref="GU69">IF(GR69=0,0,LARGE(IF($GP$10:$GP$406=GR69,$GO$10:$GO$406,0),COUNTIF($GR$10:$GR$406,GR69)-COUNTIF(GR$9:GR68,GR69)))</f>
        <v/>
      </c>
      <c r="GV69" s="272">
        <f>IF(GR69=0,0,GT69/GR69)</f>
        <v/>
      </c>
      <c r="GW69" s="272" t="n"/>
      <c r="GX69" s="137">
        <f>IF(C69="","",IF(ISERROR(MATCH(C69,C$10:C68,0)),MAX(GO$10:GO68)+1,INDEX(GO$10:GO68,MATCH(C69,C$10:C68,0))))</f>
        <v/>
      </c>
      <c r="GY69" s="538">
        <f>IF(COUNTIF($A$10:A69,A69)&lt;=1,SUMIF($A$10:$A$406,A69,$FG$10:$FG$406),0)</f>
        <v/>
      </c>
      <c r="GZ69" s="137">
        <f>GZ68+1</f>
        <v/>
      </c>
      <c r="HA69" s="542">
        <f>LARGE($GY$10:$GY$406,GZ69)</f>
        <v/>
      </c>
      <c r="HB69" s="543" t="inlineStr">
        <is>
          <t>-</t>
        </is>
      </c>
      <c r="HC69" s="489">
        <f>IF(GZ69&lt;6,MAX(0,$HC$2/5),0)</f>
        <v/>
      </c>
      <c r="HD69" s="137">
        <f t="array" ref="HD69">IF(HA69=0,0,LARGE(IF($GY$10:$GY$406=HA69,$GX$10:$GX$406,0),COUNTIF($HA$10:$HA$406,HA69)-COUNTIF(HA$9:HA68,HA69)))</f>
        <v/>
      </c>
      <c r="HE69" s="272">
        <f>IF(HA69=0,0,HC69/HA69)</f>
        <v/>
      </c>
      <c r="HF69" s="272" t="n"/>
      <c r="HG69" s="270">
        <f>DG69-GA69</f>
        <v/>
      </c>
      <c r="HH69" s="544" t="n">
        <v>0</v>
      </c>
      <c r="HI69" s="538">
        <f>MIN(HH69,DE69)</f>
        <v/>
      </c>
      <c r="HK69" s="137">
        <f>IF(COUNTIF($C$10:$C$406,HK68+1),HK68+1,"")</f>
        <v/>
      </c>
      <c r="HL69" s="538">
        <f>SUMIF($C$10:$C$406,HK69,$DG$10:$DG$406)</f>
        <v/>
      </c>
      <c r="HN69" s="521">
        <f>MIN(HO69:HS69)</f>
        <v/>
      </c>
      <c r="HO69" s="521">
        <f>IF(B69="","",$M69)</f>
        <v/>
      </c>
      <c r="HP69" s="521">
        <f>IF($N69="Yes",IF(P69&gt;=6,0,MIN($T69*$M69,$U69*$M69)),"")</f>
        <v/>
      </c>
      <c r="HQ69" s="521">
        <f>IF(AND(N69="Yes",P69&gt;=6),"",IF($S69="Yes",$R69*$M69,""))</f>
        <v/>
      </c>
      <c r="HR69" s="521">
        <f>IF($Q69="Yes",MIN($M69,$T69*$M69),"")</f>
        <v/>
      </c>
      <c r="HS69" s="521">
        <f>IF(AND($N69="Yes",$P69&gt;=6),"",IF(OR(CY69=1,DC69=1,),MIN($T69*$M69,$U69*$M69),IF(OR(CZ69=1,DA69=1,DB69=1),IF(AK69&gt;=5000000,MIN($T69*$M69,$IE69*$M69),MIN($T69*$M69,$U69*$M69)),"")))</f>
        <v/>
      </c>
      <c r="HT69" s="521">
        <f>IF(DD69&gt;0,DD69,"")</f>
        <v/>
      </c>
      <c r="HU69" s="522">
        <f>IF(B69="",0,$L69-$M69)</f>
        <v/>
      </c>
      <c r="HV69" s="274">
        <f>IF(OR(SUM(HP69:HT69)&gt;0,P69&gt;=6),"",IF($B69="","",1))</f>
        <v/>
      </c>
      <c r="HW69" s="522">
        <f>IF(AND($HT69&lt;&gt;0,OR(HT69&lt;=MIN(HP69:HS69),SUM(HP69:HS69)=0)),$HT69,0)</f>
        <v/>
      </c>
      <c r="HX69" s="522">
        <f>IF(AND($HS69&lt;&gt;0,OR(AND($HS69&lt;&gt;$HT69,$HS69&lt;&gt;$HR69,$HS69&lt;&gt;$HQ69,$HS69&lt;&gt;$HP69,$HS69&lt;MIN($HP69:$HR69),$HS69&lt;HT69),SUM($HP69:$HR69)+SUM(HT69)=0),IA69&lt;=0),$HS69,0)</f>
        <v/>
      </c>
      <c r="HY69" s="522">
        <f>IF(AND($HR69&lt;&gt;0,OR(AND($HR69&lt;&gt;$HT69,$HR69&lt;&gt;$HS69,$HR69&lt;&gt;$HQ69,$HR69&lt;&gt;$HP69),$HR69&lt;MIN($HP69:$HQ69),$HR69&lt;MIN($HS69:$HT69),SUM($HP69:$HQ69)+SUM($HS69:$HT69)=0)),$HR69,0)</f>
        <v/>
      </c>
      <c r="HZ69" s="522">
        <f>IF(AND($HQ69&lt;&gt;0,OR(AND($HQ69&lt;&gt;$HT69,HQ69&lt;&gt;HS69,HQ69&lt;&gt;HR69,HQ69&lt;&gt;HP69,HQ69&lt;MIN(HR69:HT69)),SUM(HP69)+SUM(HR69:HT69)=0)),$HQ69,0)</f>
        <v/>
      </c>
      <c r="IA69" s="522">
        <f>IF(AND($HP69&lt;&gt;0,OR(HP69&lt;=MIN(HQ69:HT69),SUM(HQ69:HT69)=0)),$HP69,0)</f>
        <v/>
      </c>
      <c r="IB69" s="545" t="n">
        <v>19</v>
      </c>
      <c r="IC69">
        <f>HU69=DF69</f>
        <v/>
      </c>
      <c r="IE69" s="351">
        <f>IF(B69="","",IF(AND(Y69="Second Lien",OR(CZ69=1,DA69=1,DB69=1)),50%,IF(CZ69=1,90%,IF(DA69=1,80%,IF(DB69=1,65%,"No Initial Haircut")))))</f>
        <v/>
      </c>
    </row>
    <row r="70" ht="15" customHeight="1">
      <c r="A70">
        <f>D70</f>
        <v/>
      </c>
      <c r="B70" s="242">
        <f>IF(D70="","",B69+1)</f>
        <v/>
      </c>
      <c r="C70" s="242">
        <f>IF(COUNTIF($A$10:A69,A70)&gt;0,C69,C69+1)</f>
        <v/>
      </c>
      <c r="D70" s="243" t="inlineStr">
        <is>
          <t>Oakhill Industries, Inc.</t>
        </is>
      </c>
      <c r="E70" s="243" t="inlineStr">
        <is>
          <t>Oakhill (TL)</t>
        </is>
      </c>
      <c r="F70" s="244" t="n"/>
      <c r="G70" s="528" t="n">
        <v>21839201</v>
      </c>
      <c r="H70" s="528" t="n">
        <v>21839201</v>
      </c>
      <c r="I70" s="246" t="n">
        <v>1</v>
      </c>
      <c r="J70" s="529">
        <f>IF(B70="","",G70*I70)</f>
        <v/>
      </c>
      <c r="K70" s="529">
        <f>IF(B70="","",H70*I70)</f>
        <v/>
      </c>
      <c r="L70" s="529">
        <f>IF(B70="","",IF(COUNTIF($CE70:$CX70,1)&gt;0,0,J70))</f>
        <v/>
      </c>
      <c r="M70" s="529">
        <f>IF(B70="","",IF(COUNTIF($CE70:$CX70,1)&gt;0,0,K70))</f>
        <v/>
      </c>
      <c r="N70" s="248" t="inlineStr">
        <is>
          <t>No</t>
        </is>
      </c>
      <c r="O70" s="248" t="inlineStr">
        <is>
          <t>N/A</t>
        </is>
      </c>
      <c r="P70" s="249">
        <f>IF(B70="","",IF(OR(O70="N/A",O70=""),0,YEARFRAC('Borrowing Base'!$J$4,'Loan List'!O70)*12))</f>
        <v/>
      </c>
      <c r="Q70" s="248" t="inlineStr">
        <is>
          <t>No</t>
        </is>
      </c>
      <c r="R70" s="250" t="n">
        <v>0.9850237595538629</v>
      </c>
      <c r="S70" s="251">
        <f>IF(B70="","",IF(R70&lt;95%,"Yes","No"))</f>
        <v/>
      </c>
      <c r="T70" s="250" t="n">
        <v>0.9824999998855268</v>
      </c>
      <c r="U70" s="252">
        <f>IF(B70="","",IF(OR(Y70="First Lien",Y70="Split First Lien",Y70="Tier 1 Split Lien",Y70="Tier 2 Split Lien"),50%,30%))</f>
        <v/>
      </c>
      <c r="V70" s="252">
        <f>IF(B70="",0,IF(AND(Y70="First Lien",AN70="Tier 1"),IF(AND(X70="Yes",MIN(AH70,$AJ$5)&gt;4.5),(((4.5/MIN(AH70,$AJ$5))*72.5%)+(((MIN(AH70,$AJ$5)-4.5)/MIN(AH70,$AJ$5))*35%)),72.5%),IF(AND(Y70="First Lien",AN70="Tier 2"),IF(AND(X70="Yes",MIN(AH70,$AK$5)&gt;4.5),(((4.5/MIN(AH70,$AK$5))*72.5%)+(((MIN(AH70,$AK$5)-4.5)/MIN(AH70,$AK$5))*35%)),72.5%),IF(AND(X70="Yes",MIN(AH70,$AL$5)&gt;4),(((4/MIN(AH70,$AL$5))*72.5%)+(((MIN(AH70,$AL$5)-4)/MIN(AH70,$AL$5))*35%)),IF(OR(Y70="First Lien",Y70="Split First Lien"),72.5%,IF(Y70="Split Lien", 53%,35%))))))</f>
        <v/>
      </c>
      <c r="W70" s="530">
        <f>IF($C70="","",MIN($HO70:$HS70))</f>
        <v/>
      </c>
      <c r="X70" s="248" t="inlineStr">
        <is>
          <t>No</t>
        </is>
      </c>
      <c r="Y70" s="254" t="inlineStr">
        <is>
          <t>First Lien</t>
        </is>
      </c>
      <c r="Z70" s="254" t="inlineStr">
        <is>
          <t>Term</t>
        </is>
      </c>
      <c r="AA70" s="531" t="inlineStr">
        <is>
          <t>NR</t>
        </is>
      </c>
      <c r="AB70" s="531" t="inlineStr">
        <is>
          <t xml:space="preserve"> NR</t>
        </is>
      </c>
      <c r="AC70" s="532" t="n">
        <v>1.335821363501996</v>
      </c>
      <c r="AD70" s="532" t="n">
        <v>4.323128625373325</v>
      </c>
      <c r="AE70" s="532" t="n">
        <v>3.866256373728479</v>
      </c>
      <c r="AF70" s="257" t="n">
        <v>0.4803476250414805</v>
      </c>
      <c r="AG70" s="533" t="n">
        <v>4.323128625373325</v>
      </c>
      <c r="AH70" s="533" t="n">
        <v>4.323128625373325</v>
      </c>
      <c r="AI70" s="533" t="n">
        <v>3.868683457357489</v>
      </c>
      <c r="AJ70" s="533" t="n">
        <v>3.868683457357489</v>
      </c>
      <c r="AK70" s="534" t="n">
        <v>29131118.9009845</v>
      </c>
      <c r="AL70" s="534" t="n">
        <v>33945000</v>
      </c>
      <c r="AM70" s="276" t="n">
        <v>45838</v>
      </c>
      <c r="AN70" s="529">
        <f>IF(C70="","",(IF(AK70&gt;=50000000,"Tier 1",(IF(OR(AK70&gt;=20000000,AND(AK70&gt;5000000,AC70&gt;=1.25,AF70&lt;=0.65)),"Tier 2","Tier 3")))))</f>
        <v/>
      </c>
      <c r="AO70" s="244" t="n">
        <v>47241</v>
      </c>
      <c r="AP70" s="535" t="n">
        <v>3.758333333333333</v>
      </c>
      <c r="AQ70" s="535">
        <f>IF(C70="","",AP70)</f>
        <v/>
      </c>
      <c r="AR70" s="248" t="inlineStr">
        <is>
          <t>No</t>
        </is>
      </c>
      <c r="AS70" s="250" t="n">
        <v>0</v>
      </c>
      <c r="AT70" s="248" t="inlineStr">
        <is>
          <t>Yes</t>
        </is>
      </c>
      <c r="AU70" s="250" t="n">
        <v>0.01</v>
      </c>
      <c r="AV70" s="250" t="n">
        <v>0.0575</v>
      </c>
      <c r="AW70" s="250" t="n">
        <v>0.04316999999999999</v>
      </c>
      <c r="AX70" s="262">
        <f>IF(C70="","",MAX(AU70,AW70))</f>
        <v/>
      </c>
      <c r="AY70" s="250" t="n">
        <v>0</v>
      </c>
      <c r="AZ70" s="250" t="n">
        <v>0</v>
      </c>
      <c r="BA70" s="250" t="n">
        <v>0</v>
      </c>
      <c r="BB70" s="412">
        <f>IF(B70="","",IF(AR70="No",AV70-AZ70,""))</f>
        <v/>
      </c>
      <c r="BC70" s="412">
        <f>IF(B70="","",IF(AR70="Yes",AS70-BA70,""))</f>
        <v/>
      </c>
      <c r="BD70" s="254" t="inlineStr">
        <is>
          <t>Monthly</t>
        </is>
      </c>
      <c r="BE70" s="536" t="inlineStr">
        <is>
          <t>Leisure Products</t>
        </is>
      </c>
      <c r="BF70" s="254" t="inlineStr">
        <is>
          <t>USD</t>
        </is>
      </c>
      <c r="BG70" s="254" t="inlineStr">
        <is>
          <t>United States</t>
        </is>
      </c>
      <c r="BH70" s="248" t="inlineStr">
        <is>
          <t>No</t>
        </is>
      </c>
      <c r="BI70" s="413">
        <f>IF(B70="","",IF(OR(AND(AZ70&gt;0,BB70&gt;=2.5%,BB70&lt;4%),AND(BA70&gt;0,BC70&gt;=6%,BC70&lt;8%)),"Yes","No"))</f>
        <v/>
      </c>
      <c r="BJ70" s="413">
        <f>IF(B70="","",IF(OR(AND(AZ70&gt;0,BB70&lt;2.5%),AND(BA70&gt;0,BC70&lt;6%)),"Yes","No"))</f>
        <v/>
      </c>
      <c r="BK70" s="248" t="inlineStr">
        <is>
          <t>No</t>
        </is>
      </c>
      <c r="BL70" s="248" t="inlineStr">
        <is>
          <t>No</t>
        </is>
      </c>
      <c r="BM70" s="248" t="inlineStr">
        <is>
          <t>No</t>
        </is>
      </c>
      <c r="BN70" s="248" t="inlineStr">
        <is>
          <t>No</t>
        </is>
      </c>
      <c r="BO70" s="248" t="inlineStr">
        <is>
          <t>No</t>
        </is>
      </c>
      <c r="BP70" s="248" t="inlineStr">
        <is>
          <t>No</t>
        </is>
      </c>
      <c r="BQ70" s="248" t="inlineStr">
        <is>
          <t>No</t>
        </is>
      </c>
      <c r="BR70" s="248" t="inlineStr">
        <is>
          <t>No</t>
        </is>
      </c>
      <c r="BS70" s="248" t="inlineStr">
        <is>
          <t>No</t>
        </is>
      </c>
      <c r="BT70" s="248" t="inlineStr">
        <is>
          <t>No</t>
        </is>
      </c>
      <c r="BU70" s="248" t="inlineStr">
        <is>
          <t>No</t>
        </is>
      </c>
      <c r="BV70" s="248" t="inlineStr">
        <is>
          <t>No</t>
        </is>
      </c>
      <c r="BW70" s="248" t="inlineStr">
        <is>
          <t>No</t>
        </is>
      </c>
      <c r="BX70" s="248" t="inlineStr">
        <is>
          <t>No</t>
        </is>
      </c>
      <c r="BY70" s="248" t="inlineStr">
        <is>
          <t>No</t>
        </is>
      </c>
      <c r="BZ70" s="248" t="inlineStr">
        <is>
          <t>No</t>
        </is>
      </c>
      <c r="CA70" s="248" t="inlineStr">
        <is>
          <t>Yes</t>
        </is>
      </c>
      <c r="CB70" s="537">
        <f>IF(B70="","",IF(AT70="No",((BB70+AW70)-$AZ$4),((BB70+AX70)-$AZ$4))*IF(DD70&gt;0,0,M70))</f>
        <v/>
      </c>
      <c r="CC70" s="537">
        <f>IF(B70="","",AY70*(L70-M70)*IF(DD70&gt;0,0,1))</f>
        <v/>
      </c>
      <c r="CD70" s="265" t="n"/>
      <c r="CE70" s="265">
        <f>IF(AND(B70&lt;&gt;"",R70&lt;=85%),1,0)</f>
        <v/>
      </c>
      <c r="CF70" s="265">
        <f>IF(B70="",0,(IF(OR(BF70="USD",BF70="CAD",BF70="GBP",BF70="AUD",BF70="EUR"),0,1)))</f>
        <v/>
      </c>
      <c r="CG70" s="265">
        <f>IF(B70="",0,(IF(OR(BG70="United States",BG70="Canada",BG70="United Kingdom",BG70="Australia",BG70="Netherlands Antilles",BG70="Bermuda",BG70="Cayman Islands",BG70="British Virgin Islands",BG70="Channel Islands",BG70="Isle of Man",BG70="Australia",BG70="Netherlands",BG70="Germany",BG70="Sweden",BG70="Switzerland",BG70="Austria",BG70="Belgium",BG70="Denmark",BG70="Finland",BG70="Iceland",BG70="Ireland",BG70="Lichtenstein",BG70="Luxemborg",BG70="Norway"),0,1)))</f>
        <v/>
      </c>
      <c r="CH70" s="265">
        <f>IF(BN70="Yes",1,0)</f>
        <v/>
      </c>
      <c r="CI70" s="265">
        <f>IF(BO70="Yes",1,0)</f>
        <v/>
      </c>
      <c r="CJ70" s="265">
        <f>IF(BP70="Yes",1,0)</f>
        <v/>
      </c>
      <c r="CK70" s="265">
        <f>IF(BQ70="Yes",1,0)</f>
        <v/>
      </c>
      <c r="CL70" s="265">
        <f>IF(BR70="Yes",1,0)</f>
        <v/>
      </c>
      <c r="CM70" s="265">
        <f>IF(BS70="Yes",1,0)</f>
        <v/>
      </c>
      <c r="CN70" s="265">
        <f>IF(OR(AND(BJ70="Yes",N70="No"),AND(BJ70="Yes",N70="Yes",P70&gt;=6)),1,0)</f>
        <v/>
      </c>
      <c r="CO70" s="265">
        <f>IF(BT70="Yes",1,0)</f>
        <v/>
      </c>
      <c r="CP70" s="265">
        <f>IF(AND(BU70="Yes",BV70="No"),1,0)</f>
        <v/>
      </c>
      <c r="CQ70" s="265">
        <f>IF(BW70="Yes",1,0)</f>
        <v/>
      </c>
      <c r="CR70" s="265">
        <f>IF(AP70="",0,IF(AP70&gt;7,1,0))</f>
        <v/>
      </c>
      <c r="CS70" s="265">
        <f>IF(OR(BD70&lt;&gt;"Monthly",BD70&lt;&gt;"Quarterly",BD70&lt;&gt;"Semi-Annually"),0,1)</f>
        <v/>
      </c>
      <c r="CT70" s="265">
        <f>IF(BX70="Yes",1,0)</f>
        <v/>
      </c>
      <c r="CU70" s="265">
        <f>IF(BY70="Yes",1,0)</f>
        <v/>
      </c>
      <c r="CV70" s="265">
        <f>IF(BZ70="Yes",1,0)</f>
        <v/>
      </c>
      <c r="CW70" s="265">
        <f>IF(CA70="No",1,0)</f>
        <v/>
      </c>
      <c r="CX70" s="265">
        <f>IF(B70="",0,IF(AK70&gt;=5000000,0,1))</f>
        <v/>
      </c>
      <c r="CY70" s="265">
        <f>IF(B70="",0,IF(AL70&gt;=5000000,0,1))</f>
        <v/>
      </c>
      <c r="CZ70" s="265">
        <f>IF(OR(DA70=1,DB70=1,DC70=1),0,IF(B70="",0,IF(OR(AND(AN70="Tier 1",X70="No",OR(AI70&gt;$AJ$3,AJ70&gt;$AJ$4)),(AND(AN70="Tier 1",X70="Yes",AJ70&gt;$AJ$5)),(AND(AN70="Tier 2",X70="No",OR(AI70&gt;$AK$3,AJ70&gt;$AK$4))),(AND(AN70="Tier 2",X70="Yes",AJ70&gt;$AK$5)),(AND(AN70="Tier 3",X70="No",OR(AI70&gt;$AL$3,AJ70&gt;$AL$4))),(AND(AN70="Tier 3",X70="Yes",AJ70&gt;$AL$5))),1,0)))</f>
        <v/>
      </c>
      <c r="DA70" s="265">
        <f>IF(OR(DB70=1,DC70=1),0,IF(B70="",0,IF(OR(AND(AN70="Tier 1",X70="No",OR(AI70&gt;$AM$3,AJ70&gt;$AM$4)),(AND(AN70="Tier 1",X70="Yes",AJ70&gt;$AM$5)),(AND(AN70="Tier 2",X70="No",OR(AI70&gt;$AN$3,AJ70&gt;$AN$4))),(AND(AN70="Tier 2",X70="Yes",AJ70&gt;$AN$5)),(AND(AN70="Tier 3",X70="No",OR(AI70&gt;$AO$3,AJ70&gt;$AO$4))),(AND(AN70="Tier 3",X70="Yes",AJ70&gt;$AO$5))),1,0)))</f>
        <v/>
      </c>
      <c r="DB70" s="265">
        <f>IF(DC70=1,0,IF(B70="",0,IF(OR(AND(AN70="Tier 1",X70="No",OR(AI70&gt;$AP$3,AJ70&gt;$AP$4)),(AND(AN70="Tier 1",X70="Yes",AJ70&gt;$AP$5)),(AND(AN70="Tier 2",X70="No",OR(AI70&gt;$AQ$3,AJ70&gt;$AQ$4))),(AND(AN70="Tier 2",X70="Yes",AJ70&gt;$AQ$5)),(AND(AN70="Tier 3",X70="No",OR(AI70&gt;$AR$3,AJ70&gt;$AR$4))),(AND(AN70="Tier 3",X70="Yes",AJ70&gt;$AR$5))),1,0)))</f>
        <v/>
      </c>
      <c r="DC70" s="265">
        <f>IF(B70="",0,IF(OR(AND(AN70="Tier 1",X70="No",OR(AI70&gt;$AS$3,AJ70&gt;$AS$4)),(AND(AN70="Tier 1",X70="Yes",AJ70&gt;$AS$5)),(AND(AN70="Tier 2",X70="No",OR(AI70&gt;$AT$3,AJ70&gt;$AT$4))),(AND(AN70="Tier 2",X70="Yes",AJ70&gt;$AT$5)),(AND(AN70="Tier 3",X70="No",OR(AI70&gt;$AU$3,AJ70&gt;$AU$4))),(AND(AN70="Tier 3",X70="Yes",AJ70&gt;$AU$5))),1,0))</f>
        <v/>
      </c>
      <c r="DD70" s="265">
        <f>IF((SUM(CE70:CX70)=0),0,W70)</f>
        <v/>
      </c>
      <c r="DE70" s="265">
        <f>IF(OR(B70="",DD70&gt;0),0,W70)</f>
        <v/>
      </c>
      <c r="DF70" s="265">
        <f>IF(B70="",0,IF(COUNTIF(CE70:CX70,1)&gt;0,0,L70-M70))</f>
        <v/>
      </c>
      <c r="DG70" s="265">
        <f>DE70+IF(DD70&gt;0,0,DF70)</f>
        <v/>
      </c>
      <c r="DH70" s="265">
        <f>IF(B70="","",M70+DF70)</f>
        <v/>
      </c>
      <c r="DI70" s="265">
        <f>IF(B70="",0,J70-K70)</f>
        <v/>
      </c>
      <c r="DJ70" s="265">
        <f>IF(OR(BF70="EUR",BF70="CAD",BF70="GBP",BF70="AUD"),(GA70*(1-V70))+(HG70)+IF(HX70="",0,HX70*(1-U70)),0)</f>
        <v/>
      </c>
      <c r="DK70" s="265">
        <f>IF(BF70="EUR",33%,IF(BF70="CAD",38%,IF(BF70="GBP",51%,IF(BF70="AUD",61%,0))))</f>
        <v/>
      </c>
      <c r="DL70" s="265">
        <f>DJ70*DK70</f>
        <v/>
      </c>
      <c r="DN70" s="538">
        <f>IF(OR(Y70="Second Lien",Y70="Tier 1 Split Lien",Y70="Tier 2 Split Lien"),DG70,0)</f>
        <v/>
      </c>
      <c r="DO70" s="539">
        <f>DN70*DN$6</f>
        <v/>
      </c>
      <c r="DP70" s="538">
        <f>DG70-DO70</f>
        <v/>
      </c>
      <c r="DQ70" s="538">
        <f>IF(Y70="Second Lien",DP70,0)</f>
        <v/>
      </c>
      <c r="DR70" s="539">
        <f>DQ70*DQ$6</f>
        <v/>
      </c>
      <c r="DS70" s="538">
        <f>DP70-DR70</f>
        <v/>
      </c>
      <c r="DT70" s="538">
        <f>IF(BH70="Yes",DS70,0)</f>
        <v/>
      </c>
      <c r="DU70" s="539">
        <f>DT70*DT$6</f>
        <v/>
      </c>
      <c r="DV70" s="538">
        <f>DS70-DU70</f>
        <v/>
      </c>
      <c r="DW70" s="538">
        <f>IF(OR(BG70="Canada",BG70="United Kingdom",BG70="Australia",BG70="Netherlands Antilles",BG70="Bermuda",BG70="Cayman Islands",BG70="British Virgin Islands",BG70="Channel Islands",BG70="Isle of Man",BG70="Australia",BG70="Netherlands",BG70="Germany",BG70="Sweden",BG70="Switzerland",BG70="Austria",BG70="Belgium",BG70="Denmark",BG70="Finland",BG70="Iceland",BG70="Ireland",BG70="Lichtenstein",BG70="Luxemborg",BG70="Norway"),DV70,0)</f>
        <v/>
      </c>
      <c r="DX70" s="539">
        <f>DW70*DW$6</f>
        <v/>
      </c>
      <c r="DY70" s="538">
        <f>DV70-DX70</f>
        <v/>
      </c>
      <c r="DZ70" s="538">
        <f>IF(BI70="Yes",DY70,0)</f>
        <v/>
      </c>
      <c r="EA70" s="539">
        <f>DZ70*DZ$6</f>
        <v/>
      </c>
      <c r="EB70" s="538">
        <f>DY70-EA70</f>
        <v/>
      </c>
      <c r="EC70" s="538">
        <f>IF(OR(Z70="Delayed Draw",Z70="Revolver"),EB70,0)</f>
        <v/>
      </c>
      <c r="ED70" s="539">
        <f>EC70*EC$6</f>
        <v/>
      </c>
      <c r="EE70" s="538">
        <f>EB70-ED70</f>
        <v/>
      </c>
      <c r="EF70" s="538">
        <f>IF(S70="Yes",EE70,0)</f>
        <v/>
      </c>
      <c r="EG70" s="539">
        <f>EF70*EF$6</f>
        <v/>
      </c>
      <c r="EH70" s="538">
        <f>EE70-EG70</f>
        <v/>
      </c>
      <c r="EI70" s="538">
        <f>IF(Q70="Yes",EH70,0)</f>
        <v/>
      </c>
      <c r="EJ70" s="539">
        <f>EI70*EI$6</f>
        <v/>
      </c>
      <c r="EK70" s="538">
        <f>EH70-EJ70</f>
        <v/>
      </c>
      <c r="EL70" s="538">
        <f>IF(BD70="Semi-Annually",EK70,0)</f>
        <v/>
      </c>
      <c r="EM70" s="539">
        <f>EL70*EL$6</f>
        <v/>
      </c>
      <c r="EN70" s="538">
        <f>EK70-EM70</f>
        <v/>
      </c>
      <c r="EO70" s="538">
        <f>IF(BK70="Yes",EN70,0)</f>
        <v/>
      </c>
      <c r="EP70" s="539">
        <f>EO70*EO$6</f>
        <v/>
      </c>
      <c r="EQ70" s="538">
        <f>EN70-EP70</f>
        <v/>
      </c>
      <c r="ER70" s="538">
        <f>IF(BL70="Yes",EQ70,0)</f>
        <v/>
      </c>
      <c r="ES70" s="539">
        <f>ER70*ER$6</f>
        <v/>
      </c>
      <c r="ET70" s="538">
        <f>EQ70-ES70</f>
        <v/>
      </c>
      <c r="EU70" s="538">
        <f>IF(BM70="Yes",ET70,0)</f>
        <v/>
      </c>
      <c r="EV70" s="539">
        <f>EU70*EU$6</f>
        <v/>
      </c>
      <c r="EW70" s="538">
        <f>ET70-EV70</f>
        <v/>
      </c>
      <c r="EX70" s="538">
        <f>IF(BV70="Yes",EW70,0)</f>
        <v/>
      </c>
      <c r="EY70" s="539">
        <f>EX70*EX$6</f>
        <v/>
      </c>
      <c r="EZ70" s="538">
        <f>EW70-EY70</f>
        <v/>
      </c>
      <c r="FA70" s="538">
        <f>IF(AR70="Yes",EZ70,0)</f>
        <v/>
      </c>
      <c r="FB70" s="539">
        <f>FA70*FA$6</f>
        <v/>
      </c>
      <c r="FC70" s="538">
        <f>EZ70-FB70</f>
        <v/>
      </c>
      <c r="FD70" s="538">
        <f>IF(OR(BF70="EUR",BF70="AUD",BF70="CAD",BF70="GBP"),FC70,0)</f>
        <v/>
      </c>
      <c r="FE70" s="539">
        <f>FD70*FD$6</f>
        <v/>
      </c>
      <c r="FF70" s="538">
        <f>FC70-FE70</f>
        <v/>
      </c>
      <c r="FG70" s="538">
        <f>FF70</f>
        <v/>
      </c>
      <c r="FH70" s="538">
        <f>IF(FF70=0,0,VLOOKUP(C70,$GU$10:$GV$406,2,FALSE)*FF70)</f>
        <v/>
      </c>
      <c r="FI70" s="538">
        <f>FF70-FH70</f>
        <v/>
      </c>
      <c r="FJ70" s="538">
        <f>FI70</f>
        <v/>
      </c>
      <c r="FK70" s="538">
        <f>IF(OR(IB70="",FI70&lt;0.01),,VLOOKUP(IB70,$GL$10:$GM$406,2,FALSE)*FI70)</f>
        <v/>
      </c>
      <c r="FL70" s="538">
        <f>FI70-FK70</f>
        <v/>
      </c>
      <c r="FM70" s="538">
        <f>FL70</f>
        <v/>
      </c>
      <c r="FN70" s="538">
        <f>IF(FL70=0,0,VLOOKUP(C70,$HD$10:$HE$406,2,FALSE)*FL70)</f>
        <v/>
      </c>
      <c r="FO70" s="538">
        <f>FL70-FN70</f>
        <v/>
      </c>
      <c r="FP70" s="538">
        <f>IF(SUM(CY70:DC70)&gt;0,0,IF(AND(AL70&gt;=5000000,AL70&lt;7500000),FO70,0))</f>
        <v/>
      </c>
      <c r="FQ70" s="539">
        <f>IF(B70="",0,FP70*FP$6*(1-$U70))</f>
        <v/>
      </c>
      <c r="FR70" s="538">
        <f>FO70-FQ70</f>
        <v/>
      </c>
      <c r="FS70" s="538">
        <f>IF(SUM(CY70:DC70)&gt;0,0,IF(AL70&lt;15000000,FR70,0))</f>
        <v/>
      </c>
      <c r="FT70" s="539">
        <f>IF(B70="",0,FS70*FS$6*(1-$U70))</f>
        <v/>
      </c>
      <c r="FU70" s="538">
        <f>FR70-FT70</f>
        <v/>
      </c>
      <c r="FV70" s="538">
        <f>IF(SUM(CY70:DC70)&gt;0,0,IF(OR(AND(X70="No",AN70="Tier 1",AI70&gt;$AG$3),AND(X70="No",AN70="Tier 2",AI70&gt;$AH$3),AND(X70="No",AN70="Tier 3",AI70&gt;$AI$3)),FU70,0))</f>
        <v/>
      </c>
      <c r="FW70" s="538">
        <f>IF(SUM(CY70:DC70)&gt;0,0,IF(OR(AND(X70="No",AN70="Tier 1",AJ70&gt;$AG$4),AND(X70="No",AN70="Tier 2",AJ70&gt;$AH$4),AND(X70="No",AN70="Tier 3",AJ70&gt;$AI$4)),FU70,0))</f>
        <v/>
      </c>
      <c r="FX70" s="538">
        <f>IF(SUM(CY70:DC70)&gt;0,0,IF(OR(AND(X70="Yes",AN70="Tier 1",AJ70&gt;$AG$5),AND(X70="Yes",AN70="Tier 2",AJ70&gt;$AH$5),AND(X70="Yes",AN70="Tier 3",AJ70&gt;$AI$5)),FU70,0))</f>
        <v/>
      </c>
      <c r="FY70" s="538">
        <f>IF(SUM(FV70:FX70)&gt;0,FU70,0)</f>
        <v/>
      </c>
      <c r="FZ70" s="539">
        <f>IF(B70="",0,FY70*FV$6*(1-MIN(90%,T70)))</f>
        <v/>
      </c>
      <c r="GA70" s="538">
        <f>FU70-FZ70</f>
        <v/>
      </c>
      <c r="GB70" s="538">
        <f>IF(AND(N70="No",DI70=0),GA70,IF(AND(N70="No",DI70&lt;&gt;0,K70=0),0,IF(AND(N70="No",DI70&lt;&gt;0,K70&gt;0,J70&lt;&gt;K70),MAX(0,M70-(DH70-GA70)),DG70)))</f>
        <v/>
      </c>
      <c r="GC70" s="540">
        <f>+GB70*V70</f>
        <v/>
      </c>
      <c r="GD70" s="138">
        <f>IFERROR(GC70/K70,"")</f>
        <v/>
      </c>
      <c r="GE70" s="541">
        <f>IF(IB70="","",IB70)</f>
        <v/>
      </c>
      <c r="GF70" s="538">
        <f t="array" ref="GF70">IF(SUM(IF(IB$9:IB69=IB70,1,0))&gt;0,0,SUMIF($IB$10:$IB$406,IB70,$FI$10:$FI$406))</f>
        <v/>
      </c>
      <c r="GG70" s="270">
        <f>GF70</f>
        <v/>
      </c>
      <c r="GH70" s="137">
        <f>GH69+1</f>
        <v/>
      </c>
      <c r="GI70" s="542">
        <f>LARGE($GG$10:$GG$406,GH70)</f>
        <v/>
      </c>
      <c r="GJ70" s="542">
        <f>IF(GH70&gt;GH$6,0,IF(GH70=$GH$2,$GJ$2,IF(GH70&lt;4,$GJ$3,$GJ$4)))</f>
        <v/>
      </c>
      <c r="GK70" s="489">
        <f>MAX(0,GI70-GJ70)</f>
        <v/>
      </c>
      <c r="GL70" s="137">
        <f t="array" ref="GL70">IF(GI70=0,0,LARGE(IF($GF$10:$GF$406=GI70,$GE$10:$GE$406,0),COUNTIF($GI$10:$GI$406,GI70)-COUNTIF(GI$9:GI69,GI70)))</f>
        <v/>
      </c>
      <c r="GM70" s="272">
        <f>IF(GI70=0,0,GK70/GI70)</f>
        <v/>
      </c>
      <c r="GO70" s="137">
        <f>IF(C70="","",IF(ISERROR(MATCH(C70,C$10:C69,0)),MAX(GO$10:GO69)+1,INDEX(GO$10:GO69,MATCH(C70,C$10:C69,0))))</f>
        <v/>
      </c>
      <c r="GP70" s="538">
        <f>IF(COUNTIF($A$10:A70,A70)&lt;=1,SUMIF($A$10:$A$406,A70,$FG$10:$FG$406),0)</f>
        <v/>
      </c>
      <c r="GQ70" s="137">
        <f>GQ69+1</f>
        <v/>
      </c>
      <c r="GR70" s="542">
        <f>LARGE($GP$10:$GP$406,GQ70)</f>
        <v/>
      </c>
      <c r="GS70" s="542">
        <f>IF(GQ70&gt;GQ$6,0,IF(GQ70&lt;=GQ$2,GS$2,IF(AND(GQ70&lt;=$GQ$3,GQ70&gt;$GQ$2),GS$3,GS$4)))</f>
        <v/>
      </c>
      <c r="GT70" s="489">
        <f>MAX(0,GR70-GS70)</f>
        <v/>
      </c>
      <c r="GU70" s="137">
        <f t="array" ref="GU70">IF(GR70=0,0,LARGE(IF($GP$10:$GP$406=GR70,$GO$10:$GO$406,0),COUNTIF($GR$10:$GR$406,GR70)-COUNTIF(GR$9:GR69,GR70)))</f>
        <v/>
      </c>
      <c r="GV70" s="272">
        <f>IF(GR70=0,0,GT70/GR70)</f>
        <v/>
      </c>
      <c r="GW70" s="272" t="n"/>
      <c r="GX70" s="137">
        <f>IF(C70="","",IF(ISERROR(MATCH(C70,C$10:C69,0)),MAX(GO$10:GO69)+1,INDEX(GO$10:GO69,MATCH(C70,C$10:C69,0))))</f>
        <v/>
      </c>
      <c r="GY70" s="538">
        <f>IF(COUNTIF($A$10:A70,A70)&lt;=1,SUMIF($A$10:$A$406,A70,$FG$10:$FG$406),0)</f>
        <v/>
      </c>
      <c r="GZ70" s="137">
        <f>GZ69+1</f>
        <v/>
      </c>
      <c r="HA70" s="542">
        <f>LARGE($GY$10:$GY$406,GZ70)</f>
        <v/>
      </c>
      <c r="HB70" s="543" t="inlineStr">
        <is>
          <t>-</t>
        </is>
      </c>
      <c r="HC70" s="489">
        <f>IF(GZ70&lt;6,MAX(0,$HC$2/5),0)</f>
        <v/>
      </c>
      <c r="HD70" s="137">
        <f t="array" ref="HD70">IF(HA70=0,0,LARGE(IF($GY$10:$GY$406=HA70,$GX$10:$GX$406,0),COUNTIF($HA$10:$HA$406,HA70)-COUNTIF(HA$9:HA69,HA70)))</f>
        <v/>
      </c>
      <c r="HE70" s="272">
        <f>IF(HA70=0,0,HC70/HA70)</f>
        <v/>
      </c>
      <c r="HF70" s="272" t="n"/>
      <c r="HG70" s="270">
        <f>DG70-GA70</f>
        <v/>
      </c>
      <c r="HH70" s="544" t="n">
        <v>0</v>
      </c>
      <c r="HI70" s="538">
        <f>MIN(HH70,DE70)</f>
        <v/>
      </c>
      <c r="HK70" s="137">
        <f>IF(COUNTIF($C$10:$C$406,HK69+1),HK69+1,"")</f>
        <v/>
      </c>
      <c r="HL70" s="538">
        <f>SUMIF($C$10:$C$406,HK70,$DG$10:$DG$406)</f>
        <v/>
      </c>
      <c r="HN70" s="521">
        <f>MIN(HO70:HS70)</f>
        <v/>
      </c>
      <c r="HO70" s="521">
        <f>IF(B70="","",$M70)</f>
        <v/>
      </c>
      <c r="HP70" s="521">
        <f>IF($N70="Yes",IF(P70&gt;=6,0,MIN($T70*$M70,$U70*$M70)),"")</f>
        <v/>
      </c>
      <c r="HQ70" s="521">
        <f>IF(AND(N70="Yes",P70&gt;=6),"",IF($S70="Yes",$R70*$M70,""))</f>
        <v/>
      </c>
      <c r="HR70" s="521">
        <f>IF($Q70="Yes",MIN($M70,$T70*$M70),"")</f>
        <v/>
      </c>
      <c r="HS70" s="521">
        <f>IF(AND($N70="Yes",$P70&gt;=6),"",IF(OR(CY70=1,DC70=1,),MIN($T70*$M70,$U70*$M70),IF(OR(CZ70=1,DA70=1,DB70=1),IF(AK70&gt;=5000000,MIN($T70*$M70,$IE70*$M70),MIN($T70*$M70,$U70*$M70)),"")))</f>
        <v/>
      </c>
      <c r="HT70" s="521">
        <f>IF(DD70&gt;0,DD70,"")</f>
        <v/>
      </c>
      <c r="HU70" s="522">
        <f>IF(B70="",0,$L70-$M70)</f>
        <v/>
      </c>
      <c r="HV70" s="274">
        <f>IF(OR(SUM(HP70:HT70)&gt;0,P70&gt;=6),"",IF($B70="","",1))</f>
        <v/>
      </c>
      <c r="HW70" s="522">
        <f>IF(AND($HT70&lt;&gt;0,OR(HT70&lt;=MIN(HP70:HS70),SUM(HP70:HS70)=0)),$HT70,0)</f>
        <v/>
      </c>
      <c r="HX70" s="522">
        <f>IF(AND($HS70&lt;&gt;0,OR(AND($HS70&lt;&gt;$HT70,$HS70&lt;&gt;$HR70,$HS70&lt;&gt;$HQ70,$HS70&lt;&gt;$HP70,$HS70&lt;MIN($HP70:$HR70),$HS70&lt;HT70),SUM($HP70:$HR70)+SUM(HT70)=0),IA70&lt;=0),$HS70,0)</f>
        <v/>
      </c>
      <c r="HY70" s="522">
        <f>IF(AND($HR70&lt;&gt;0,OR(AND($HR70&lt;&gt;$HT70,$HR70&lt;&gt;$HS70,$HR70&lt;&gt;$HQ70,$HR70&lt;&gt;$HP70),$HR70&lt;MIN($HP70:$HQ70),$HR70&lt;MIN($HS70:$HT70),SUM($HP70:$HQ70)+SUM($HS70:$HT70)=0)),$HR70,0)</f>
        <v/>
      </c>
      <c r="HZ70" s="522">
        <f>IF(AND($HQ70&lt;&gt;0,OR(AND($HQ70&lt;&gt;$HT70,HQ70&lt;&gt;HS70,HQ70&lt;&gt;HR70,HQ70&lt;&gt;HP70,HQ70&lt;MIN(HR70:HT70)),SUM(HP70)+SUM(HR70:HT70)=0)),$HQ70,0)</f>
        <v/>
      </c>
      <c r="IA70" s="522">
        <f>IF(AND($HP70&lt;&gt;0,OR(HP70&lt;=MIN(HQ70:HT70),SUM(HQ70:HT70)=0)),$HP70,0)</f>
        <v/>
      </c>
      <c r="IB70" s="545" t="n">
        <v>42</v>
      </c>
      <c r="IC70">
        <f>HU70=DF70</f>
        <v/>
      </c>
      <c r="IE70" s="351">
        <f>IF(B70="","",IF(AND(Y70="Second Lien",OR(CZ70=1,DA70=1,DB70=1)),50%,IF(CZ70=1,90%,IF(DA70=1,80%,IF(DB70=1,65%,"No Initial Haircut")))))</f>
        <v/>
      </c>
    </row>
    <row r="71" ht="15" customHeight="1">
      <c r="A71">
        <f>D71</f>
        <v/>
      </c>
      <c r="B71" s="242">
        <f>IF(D71="","",B70+1)</f>
        <v/>
      </c>
      <c r="C71" s="242">
        <f>IF(COUNTIF($A$10:A70,A71)&gt;0,C70,C70+1)</f>
        <v/>
      </c>
      <c r="D71" s="243" t="inlineStr">
        <is>
          <t>Pinecrest Industries, Inc.</t>
        </is>
      </c>
      <c r="E71" s="243" t="inlineStr">
        <is>
          <t>Pinecrest (Term Loan)</t>
        </is>
      </c>
      <c r="F71" s="244" t="n"/>
      <c r="G71" s="528" t="n">
        <v>11940000</v>
      </c>
      <c r="H71" s="528" t="n">
        <v>11940000</v>
      </c>
      <c r="I71" s="246" t="n">
        <v>1</v>
      </c>
      <c r="J71" s="529">
        <f>IF(B71="","",G71*I71)</f>
        <v/>
      </c>
      <c r="K71" s="529">
        <f>IF(B71="","",H71*I71)</f>
        <v/>
      </c>
      <c r="L71" s="529">
        <f>IF(B71="","",IF(COUNTIF($CE71:$CX71,1)&gt;0,0,J71))</f>
        <v/>
      </c>
      <c r="M71" s="529">
        <f>IF(B71="","",IF(COUNTIF($CE71:$CX71,1)&gt;0,0,K71))</f>
        <v/>
      </c>
      <c r="N71" s="248" t="inlineStr">
        <is>
          <t>No</t>
        </is>
      </c>
      <c r="O71" s="248" t="inlineStr">
        <is>
          <t>N/A</t>
        </is>
      </c>
      <c r="P71" s="249">
        <f>IF(B71="","",IF(OR(O71="N/A",O71=""),0,YEARFRAC('Borrowing Base'!$J$4,'Loan List'!O71)*12))</f>
        <v/>
      </c>
      <c r="Q71" s="248" t="inlineStr">
        <is>
          <t>No</t>
        </is>
      </c>
      <c r="R71" s="250" t="n">
        <v>0.99</v>
      </c>
      <c r="S71" s="251">
        <f>IF(B71="","",IF(R71&lt;95%,"Yes","No"))</f>
        <v/>
      </c>
      <c r="T71" s="250" t="n">
        <v>1</v>
      </c>
      <c r="U71" s="252">
        <f>IF(B71="","",IF(OR(Y71="First Lien",Y71="Split First Lien",Y71="Tier 1 Split Lien",Y71="Tier 2 Split Lien"),50%,30%))</f>
        <v/>
      </c>
      <c r="V71" s="252">
        <f>IF(B71="",0,IF(AND(Y71="First Lien",AN71="Tier 1"),IF(AND(X71="Yes",MIN(AH71,$AJ$5)&gt;4.5),(((4.5/MIN(AH71,$AJ$5))*72.5%)+(((MIN(AH71,$AJ$5)-4.5)/MIN(AH71,$AJ$5))*35%)),72.5%),IF(AND(Y71="First Lien",AN71="Tier 2"),IF(AND(X71="Yes",MIN(AH71,$AK$5)&gt;4.5),(((4.5/MIN(AH71,$AK$5))*72.5%)+(((MIN(AH71,$AK$5)-4.5)/MIN(AH71,$AK$5))*35%)),72.5%),IF(AND(X71="Yes",MIN(AH71,$AL$5)&gt;4),(((4/MIN(AH71,$AL$5))*72.5%)+(((MIN(AH71,$AL$5)-4)/MIN(AH71,$AL$5))*35%)),IF(OR(Y71="First Lien",Y71="Split First Lien"),72.5%,IF(Y71="Split Lien", 53%,35%))))))</f>
        <v/>
      </c>
      <c r="W71" s="530">
        <f>IF($C71="","",MIN($HO71:$HS71))</f>
        <v/>
      </c>
      <c r="X71" s="248" t="inlineStr">
        <is>
          <t>No</t>
        </is>
      </c>
      <c r="Y71" s="254" t="inlineStr">
        <is>
          <t>First Lien</t>
        </is>
      </c>
      <c r="Z71" s="254" t="inlineStr">
        <is>
          <t>Term</t>
        </is>
      </c>
      <c r="AA71" s="531" t="inlineStr">
        <is>
          <t>NR</t>
        </is>
      </c>
      <c r="AB71" s="531" t="inlineStr">
        <is>
          <t xml:space="preserve"> NR</t>
        </is>
      </c>
      <c r="AC71" s="532" t="n">
        <v>1.45374449339207</v>
      </c>
      <c r="AD71" s="532" t="n">
        <v>4.75</v>
      </c>
      <c r="AE71" s="532" t="n">
        <v>3.418080747004183</v>
      </c>
      <c r="AF71" s="257" t="n">
        <v>0.653819683413627</v>
      </c>
      <c r="AG71" s="533" t="n">
        <v>4.75</v>
      </c>
      <c r="AH71" s="533" t="n">
        <v>4.75</v>
      </c>
      <c r="AI71" s="533" t="n">
        <v>3.418080747004183</v>
      </c>
      <c r="AJ71" s="533" t="n">
        <v>3.418080747004183</v>
      </c>
      <c r="AK71" s="534" t="n">
        <v>20000000</v>
      </c>
      <c r="AL71" s="534" t="n">
        <v>26113910</v>
      </c>
      <c r="AM71" s="276" t="n">
        <v>45838</v>
      </c>
      <c r="AN71" s="529">
        <f>IF(C71="","",(IF(AK71&gt;=50000000,"Tier 1",(IF(OR(AK71&gt;=20000000,AND(AK71&gt;5000000,AC71&gt;=1.25,AF71&lt;=0.65)),"Tier 2","Tier 3")))))</f>
        <v/>
      </c>
      <c r="AO71" s="244" t="n">
        <v>47787</v>
      </c>
      <c r="AP71" s="535" t="n">
        <v>5.25</v>
      </c>
      <c r="AQ71" s="535">
        <f>IF(C71="","",AP71)</f>
        <v/>
      </c>
      <c r="AR71" s="248" t="inlineStr">
        <is>
          <t>No</t>
        </is>
      </c>
      <c r="AS71" s="250" t="n">
        <v>0</v>
      </c>
      <c r="AT71" s="248" t="inlineStr">
        <is>
          <t>Yes</t>
        </is>
      </c>
      <c r="AU71" s="250" t="n">
        <v>0.01</v>
      </c>
      <c r="AV71" s="250" t="n">
        <v>0.0575</v>
      </c>
      <c r="AW71" s="250" t="n">
        <v>0.04316999999999999</v>
      </c>
      <c r="AX71" s="262">
        <f>IF(C71="","",MAX(AU71,AW71))</f>
        <v/>
      </c>
      <c r="AY71" s="250" t="n">
        <v>0</v>
      </c>
      <c r="AZ71" s="250" t="n">
        <v>0</v>
      </c>
      <c r="BA71" s="250" t="n">
        <v>0</v>
      </c>
      <c r="BB71" s="412">
        <f>IF(B71="","",IF(AR71="No",AV71-AZ71,""))</f>
        <v/>
      </c>
      <c r="BC71" s="412">
        <f>IF(B71="","",IF(AR71="Yes",AS71-BA71,""))</f>
        <v/>
      </c>
      <c r="BD71" s="254" t="inlineStr">
        <is>
          <t>Monthly</t>
        </is>
      </c>
      <c r="BE71" s="536" t="inlineStr">
        <is>
          <t>IT Services</t>
        </is>
      </c>
      <c r="BF71" s="254" t="inlineStr">
        <is>
          <t>USD</t>
        </is>
      </c>
      <c r="BG71" s="254" t="inlineStr">
        <is>
          <t>United States</t>
        </is>
      </c>
      <c r="BH71" s="248" t="inlineStr">
        <is>
          <t>No</t>
        </is>
      </c>
      <c r="BI71" s="413">
        <f>IF(B71="","",IF(OR(AND(AZ71&gt;0,BB71&gt;=2.5%,BB71&lt;4%),AND(BA71&gt;0,BC71&gt;=6%,BC71&lt;8%)),"Yes","No"))</f>
        <v/>
      </c>
      <c r="BJ71" s="413">
        <f>IF(B71="","",IF(OR(AND(AZ71&gt;0,BB71&lt;2.5%),AND(BA71&gt;0,BC71&lt;6%)),"Yes","No"))</f>
        <v/>
      </c>
      <c r="BK71" s="248" t="inlineStr">
        <is>
          <t>No</t>
        </is>
      </c>
      <c r="BL71" s="248" t="inlineStr">
        <is>
          <t>No</t>
        </is>
      </c>
      <c r="BM71" s="248" t="inlineStr">
        <is>
          <t>No</t>
        </is>
      </c>
      <c r="BN71" s="248" t="inlineStr">
        <is>
          <t>No</t>
        </is>
      </c>
      <c r="BO71" s="248" t="inlineStr">
        <is>
          <t>No</t>
        </is>
      </c>
      <c r="BP71" s="248" t="inlineStr">
        <is>
          <t>No</t>
        </is>
      </c>
      <c r="BQ71" s="248" t="inlineStr">
        <is>
          <t>No</t>
        </is>
      </c>
      <c r="BR71" s="248" t="inlineStr">
        <is>
          <t>No</t>
        </is>
      </c>
      <c r="BS71" s="248" t="inlineStr">
        <is>
          <t>No</t>
        </is>
      </c>
      <c r="BT71" s="248" t="inlineStr">
        <is>
          <t>No</t>
        </is>
      </c>
      <c r="BU71" s="248" t="inlineStr">
        <is>
          <t>No</t>
        </is>
      </c>
      <c r="BV71" s="248" t="inlineStr">
        <is>
          <t>No</t>
        </is>
      </c>
      <c r="BW71" s="248" t="inlineStr">
        <is>
          <t>No</t>
        </is>
      </c>
      <c r="BX71" s="248" t="inlineStr">
        <is>
          <t>No</t>
        </is>
      </c>
      <c r="BY71" s="248" t="inlineStr">
        <is>
          <t>No</t>
        </is>
      </c>
      <c r="BZ71" s="248" t="inlineStr">
        <is>
          <t>No</t>
        </is>
      </c>
      <c r="CA71" s="248" t="inlineStr">
        <is>
          <t>Yes</t>
        </is>
      </c>
      <c r="CB71" s="537">
        <f>IF(B71="","",IF(AT71="No",((BB71+AW71)-$AZ$4),((BB71+AX71)-$AZ$4))*IF(DD71&gt;0,0,M71))</f>
        <v/>
      </c>
      <c r="CC71" s="537">
        <f>IF(B71="","",AY71*(L71-M71)*IF(DD71&gt;0,0,1))</f>
        <v/>
      </c>
      <c r="CD71" s="265" t="n"/>
      <c r="CE71" s="265">
        <f>IF(AND(B71&lt;&gt;"",R71&lt;=85%),1,0)</f>
        <v/>
      </c>
      <c r="CF71" s="265">
        <f>IF(B71="",0,(IF(OR(BF71="USD",BF71="CAD",BF71="GBP",BF71="AUD",BF71="EUR"),0,1)))</f>
        <v/>
      </c>
      <c r="CG71" s="265">
        <f>IF(B71="",0,(IF(OR(BG71="United States",BG71="Canada",BG71="United Kingdom",BG71="Australia",BG71="Netherlands Antilles",BG71="Bermuda",BG71="Cayman Islands",BG71="British Virgin Islands",BG71="Channel Islands",BG71="Isle of Man",BG71="Australia",BG71="Netherlands",BG71="Germany",BG71="Sweden",BG71="Switzerland",BG71="Austria",BG71="Belgium",BG71="Denmark",BG71="Finland",BG71="Iceland",BG71="Ireland",BG71="Lichtenstein",BG71="Luxemborg",BG71="Norway"),0,1)))</f>
        <v/>
      </c>
      <c r="CH71" s="265">
        <f>IF(BN71="Yes",1,0)</f>
        <v/>
      </c>
      <c r="CI71" s="265">
        <f>IF(BO71="Yes",1,0)</f>
        <v/>
      </c>
      <c r="CJ71" s="265">
        <f>IF(BP71="Yes",1,0)</f>
        <v/>
      </c>
      <c r="CK71" s="265">
        <f>IF(BQ71="Yes",1,0)</f>
        <v/>
      </c>
      <c r="CL71" s="265">
        <f>IF(BR71="Yes",1,0)</f>
        <v/>
      </c>
      <c r="CM71" s="265">
        <f>IF(BS71="Yes",1,0)</f>
        <v/>
      </c>
      <c r="CN71" s="265">
        <f>IF(OR(AND(BJ71="Yes",N71="No"),AND(BJ71="Yes",N71="Yes",P71&gt;=6)),1,0)</f>
        <v/>
      </c>
      <c r="CO71" s="265">
        <f>IF(BT71="Yes",1,0)</f>
        <v/>
      </c>
      <c r="CP71" s="265">
        <f>IF(AND(BU71="Yes",BV71="No"),1,0)</f>
        <v/>
      </c>
      <c r="CQ71" s="265">
        <f>IF(BW71="Yes",1,0)</f>
        <v/>
      </c>
      <c r="CR71" s="265">
        <f>IF(AP71="",0,IF(AP71&gt;7,1,0))</f>
        <v/>
      </c>
      <c r="CS71" s="265">
        <f>IF(OR(BD71&lt;&gt;"Monthly",BD71&lt;&gt;"Quarterly",BD71&lt;&gt;"Semi-Annually"),0,1)</f>
        <v/>
      </c>
      <c r="CT71" s="265">
        <f>IF(BX71="Yes",1,0)</f>
        <v/>
      </c>
      <c r="CU71" s="265">
        <f>IF(BY71="Yes",1,0)</f>
        <v/>
      </c>
      <c r="CV71" s="265">
        <f>IF(BZ71="Yes",1,0)</f>
        <v/>
      </c>
      <c r="CW71" s="265">
        <f>IF(CA71="No",1,0)</f>
        <v/>
      </c>
      <c r="CX71" s="265">
        <f>IF(B71="",0,IF(AK71&gt;=5000000,0,1))</f>
        <v/>
      </c>
      <c r="CY71" s="265">
        <f>IF(B71="",0,IF(AL71&gt;=5000000,0,1))</f>
        <v/>
      </c>
      <c r="CZ71" s="265">
        <f>IF(OR(DA71=1,DB71=1,DC71=1),0,IF(B71="",0,IF(OR(AND(AN71="Tier 1",X71="No",OR(AI71&gt;$AJ$3,AJ71&gt;$AJ$4)),(AND(AN71="Tier 1",X71="Yes",AJ71&gt;$AJ$5)),(AND(AN71="Tier 2",X71="No",OR(AI71&gt;$AK$3,AJ71&gt;$AK$4))),(AND(AN71="Tier 2",X71="Yes",AJ71&gt;$AK$5)),(AND(AN71="Tier 3",X71="No",OR(AI71&gt;$AL$3,AJ71&gt;$AL$4))),(AND(AN71="Tier 3",X71="Yes",AJ71&gt;$AL$5))),1,0)))</f>
        <v/>
      </c>
      <c r="DA71" s="265">
        <f>IF(OR(DB71=1,DC71=1),0,IF(B71="",0,IF(OR(AND(AN71="Tier 1",X71="No",OR(AI71&gt;$AM$3,AJ71&gt;$AM$4)),(AND(AN71="Tier 1",X71="Yes",AJ71&gt;$AM$5)),(AND(AN71="Tier 2",X71="No",OR(AI71&gt;$AN$3,AJ71&gt;$AN$4))),(AND(AN71="Tier 2",X71="Yes",AJ71&gt;$AN$5)),(AND(AN71="Tier 3",X71="No",OR(AI71&gt;$AO$3,AJ71&gt;$AO$4))),(AND(AN71="Tier 3",X71="Yes",AJ71&gt;$AO$5))),1,0)))</f>
        <v/>
      </c>
      <c r="DB71" s="265">
        <f>IF(DC71=1,0,IF(B71="",0,IF(OR(AND(AN71="Tier 1",X71="No",OR(AI71&gt;$AP$3,AJ71&gt;$AP$4)),(AND(AN71="Tier 1",X71="Yes",AJ71&gt;$AP$5)),(AND(AN71="Tier 2",X71="No",OR(AI71&gt;$AQ$3,AJ71&gt;$AQ$4))),(AND(AN71="Tier 2",X71="Yes",AJ71&gt;$AQ$5)),(AND(AN71="Tier 3",X71="No",OR(AI71&gt;$AR$3,AJ71&gt;$AR$4))),(AND(AN71="Tier 3",X71="Yes",AJ71&gt;$AR$5))),1,0)))</f>
        <v/>
      </c>
      <c r="DC71" s="265">
        <f>IF(B71="",0,IF(OR(AND(AN71="Tier 1",X71="No",OR(AI71&gt;$AS$3,AJ71&gt;$AS$4)),(AND(AN71="Tier 1",X71="Yes",AJ71&gt;$AS$5)),(AND(AN71="Tier 2",X71="No",OR(AI71&gt;$AT$3,AJ71&gt;$AT$4))),(AND(AN71="Tier 2",X71="Yes",AJ71&gt;$AT$5)),(AND(AN71="Tier 3",X71="No",OR(AI71&gt;$AU$3,AJ71&gt;$AU$4))),(AND(AN71="Tier 3",X71="Yes",AJ71&gt;$AU$5))),1,0))</f>
        <v/>
      </c>
      <c r="DD71" s="265">
        <f>IF((SUM(CE71:CX71)=0),0,W71)</f>
        <v/>
      </c>
      <c r="DE71" s="265">
        <f>IF(OR(B71="",DD71&gt;0),0,W71)</f>
        <v/>
      </c>
      <c r="DF71" s="265">
        <f>IF(B71="",0,IF(COUNTIF(CE71:CX71,1)&gt;0,0,L71-M71))</f>
        <v/>
      </c>
      <c r="DG71" s="265">
        <f>DE71+IF(DD71&gt;0,0,DF71)</f>
        <v/>
      </c>
      <c r="DH71" s="265">
        <f>IF(B71="","",M71+DF71)</f>
        <v/>
      </c>
      <c r="DI71" s="265">
        <f>IF(B71="",0,J71-K71)</f>
        <v/>
      </c>
      <c r="DJ71" s="265">
        <f>IF(OR(BF71="EUR",BF71="CAD",BF71="GBP",BF71="AUD"),(GA71*(1-V71))+(HG71)+IF(HX71="",0,HX71*(1-U71)),0)</f>
        <v/>
      </c>
      <c r="DK71" s="265">
        <f>IF(BF71="EUR",33%,IF(BF71="CAD",38%,IF(BF71="GBP",51%,IF(BF71="AUD",61%,0))))</f>
        <v/>
      </c>
      <c r="DL71" s="265">
        <f>DJ71*DK71</f>
        <v/>
      </c>
      <c r="DN71" s="538">
        <f>IF(OR(Y71="Second Lien",Y71="Tier 1 Split Lien",Y71="Tier 2 Split Lien"),DG71,0)</f>
        <v/>
      </c>
      <c r="DO71" s="539">
        <f>DN71*DN$6</f>
        <v/>
      </c>
      <c r="DP71" s="538">
        <f>DG71-DO71</f>
        <v/>
      </c>
      <c r="DQ71" s="538">
        <f>IF(Y71="Second Lien",DP71,0)</f>
        <v/>
      </c>
      <c r="DR71" s="539">
        <f>DQ71*DQ$6</f>
        <v/>
      </c>
      <c r="DS71" s="538">
        <f>DP71-DR71</f>
        <v/>
      </c>
      <c r="DT71" s="538">
        <f>IF(BH71="Yes",DS71,0)</f>
        <v/>
      </c>
      <c r="DU71" s="539">
        <f>DT71*DT$6</f>
        <v/>
      </c>
      <c r="DV71" s="538">
        <f>DS71-DU71</f>
        <v/>
      </c>
      <c r="DW71" s="538">
        <f>IF(OR(BG71="Canada",BG71="United Kingdom",BG71="Australia",BG71="Netherlands Antilles",BG71="Bermuda",BG71="Cayman Islands",BG71="British Virgin Islands",BG71="Channel Islands",BG71="Isle of Man",BG71="Australia",BG71="Netherlands",BG71="Germany",BG71="Sweden",BG71="Switzerland",BG71="Austria",BG71="Belgium",BG71="Denmark",BG71="Finland",BG71="Iceland",BG71="Ireland",BG71="Lichtenstein",BG71="Luxemborg",BG71="Norway"),DV71,0)</f>
        <v/>
      </c>
      <c r="DX71" s="539">
        <f>DW71*DW$6</f>
        <v/>
      </c>
      <c r="DY71" s="538">
        <f>DV71-DX71</f>
        <v/>
      </c>
      <c r="DZ71" s="538">
        <f>IF(BI71="Yes",DY71,0)</f>
        <v/>
      </c>
      <c r="EA71" s="539">
        <f>DZ71*DZ$6</f>
        <v/>
      </c>
      <c r="EB71" s="538">
        <f>DY71-EA71</f>
        <v/>
      </c>
      <c r="EC71" s="538">
        <f>IF(OR(Z71="Delayed Draw",Z71="Revolver"),EB71,0)</f>
        <v/>
      </c>
      <c r="ED71" s="539">
        <f>EC71*EC$6</f>
        <v/>
      </c>
      <c r="EE71" s="538">
        <f>EB71-ED71</f>
        <v/>
      </c>
      <c r="EF71" s="538">
        <f>IF(S71="Yes",EE71,0)</f>
        <v/>
      </c>
      <c r="EG71" s="539">
        <f>EF71*EF$6</f>
        <v/>
      </c>
      <c r="EH71" s="538">
        <f>EE71-EG71</f>
        <v/>
      </c>
      <c r="EI71" s="538">
        <f>IF(Q71="Yes",EH71,0)</f>
        <v/>
      </c>
      <c r="EJ71" s="539">
        <f>EI71*EI$6</f>
        <v/>
      </c>
      <c r="EK71" s="538">
        <f>EH71-EJ71</f>
        <v/>
      </c>
      <c r="EL71" s="538">
        <f>IF(BD71="Semi-Annually",EK71,0)</f>
        <v/>
      </c>
      <c r="EM71" s="539">
        <f>EL71*EL$6</f>
        <v/>
      </c>
      <c r="EN71" s="538">
        <f>EK71-EM71</f>
        <v/>
      </c>
      <c r="EO71" s="538">
        <f>IF(BK71="Yes",EN71,0)</f>
        <v/>
      </c>
      <c r="EP71" s="539">
        <f>EO71*EO$6</f>
        <v/>
      </c>
      <c r="EQ71" s="538">
        <f>EN71-EP71</f>
        <v/>
      </c>
      <c r="ER71" s="538">
        <f>IF(BL71="Yes",EQ71,0)</f>
        <v/>
      </c>
      <c r="ES71" s="539">
        <f>ER71*ER$6</f>
        <v/>
      </c>
      <c r="ET71" s="538">
        <f>EQ71-ES71</f>
        <v/>
      </c>
      <c r="EU71" s="538">
        <f>IF(BM71="Yes",ET71,0)</f>
        <v/>
      </c>
      <c r="EV71" s="539">
        <f>EU71*EU$6</f>
        <v/>
      </c>
      <c r="EW71" s="538">
        <f>ET71-EV71</f>
        <v/>
      </c>
      <c r="EX71" s="538">
        <f>IF(BV71="Yes",EW71,0)</f>
        <v/>
      </c>
      <c r="EY71" s="539">
        <f>EX71*EX$6</f>
        <v/>
      </c>
      <c r="EZ71" s="538">
        <f>EW71-EY71</f>
        <v/>
      </c>
      <c r="FA71" s="538">
        <f>IF(AR71="Yes",EZ71,0)</f>
        <v/>
      </c>
      <c r="FB71" s="539">
        <f>FA71*FA$6</f>
        <v/>
      </c>
      <c r="FC71" s="538">
        <f>EZ71-FB71</f>
        <v/>
      </c>
      <c r="FD71" s="538">
        <f>IF(OR(BF71="EUR",BF71="AUD",BF71="CAD",BF71="GBP"),FC71,0)</f>
        <v/>
      </c>
      <c r="FE71" s="539">
        <f>FD71*FD$6</f>
        <v/>
      </c>
      <c r="FF71" s="538">
        <f>FC71-FE71</f>
        <v/>
      </c>
      <c r="FG71" s="538">
        <f>FF71</f>
        <v/>
      </c>
      <c r="FH71" s="538">
        <f>IF(FF71=0,0,VLOOKUP(C71,$GU$10:$GV$406,2,FALSE)*FF71)</f>
        <v/>
      </c>
      <c r="FI71" s="538">
        <f>FF71-FH71</f>
        <v/>
      </c>
      <c r="FJ71" s="538">
        <f>FI71</f>
        <v/>
      </c>
      <c r="FK71" s="538">
        <f>IF(OR(IB71="",FI71&lt;0.01),,VLOOKUP(IB71,$GL$10:$GM$406,2,FALSE)*FI71)</f>
        <v/>
      </c>
      <c r="FL71" s="538">
        <f>FI71-FK71</f>
        <v/>
      </c>
      <c r="FM71" s="538">
        <f>FL71</f>
        <v/>
      </c>
      <c r="FN71" s="538">
        <f>IF(FL71=0,0,VLOOKUP(C71,$HD$10:$HE$406,2,FALSE)*FL71)</f>
        <v/>
      </c>
      <c r="FO71" s="538">
        <f>FL71-FN71</f>
        <v/>
      </c>
      <c r="FP71" s="538">
        <f>IF(SUM(CY71:DC71)&gt;0,0,IF(AND(AL71&gt;=5000000,AL71&lt;7500000),FO71,0))</f>
        <v/>
      </c>
      <c r="FQ71" s="539">
        <f>IF(B71="",0,FP71*FP$6*(1-$U71))</f>
        <v/>
      </c>
      <c r="FR71" s="538">
        <f>FO71-FQ71</f>
        <v/>
      </c>
      <c r="FS71" s="538">
        <f>IF(SUM(CY71:DC71)&gt;0,0,IF(AL71&lt;15000000,FR71,0))</f>
        <v/>
      </c>
      <c r="FT71" s="539">
        <f>IF(B71="",0,FS71*FS$6*(1-$U71))</f>
        <v/>
      </c>
      <c r="FU71" s="538">
        <f>FR71-FT71</f>
        <v/>
      </c>
      <c r="FV71" s="538">
        <f>IF(SUM(CY71:DC71)&gt;0,0,IF(OR(AND(X71="No",AN71="Tier 1",AI71&gt;$AG$3),AND(X71="No",AN71="Tier 2",AI71&gt;$AH$3),AND(X71="No",AN71="Tier 3",AI71&gt;$AI$3)),FU71,0))</f>
        <v/>
      </c>
      <c r="FW71" s="538">
        <f>IF(SUM(CY71:DC71)&gt;0,0,IF(OR(AND(X71="No",AN71="Tier 1",AJ71&gt;$AG$4),AND(X71="No",AN71="Tier 2",AJ71&gt;$AH$4),AND(X71="No",AN71="Tier 3",AJ71&gt;$AI$4)),FU71,0))</f>
        <v/>
      </c>
      <c r="FX71" s="538">
        <f>IF(SUM(CY71:DC71)&gt;0,0,IF(OR(AND(X71="Yes",AN71="Tier 1",AJ71&gt;$AG$5),AND(X71="Yes",AN71="Tier 2",AJ71&gt;$AH$5),AND(X71="Yes",AN71="Tier 3",AJ71&gt;$AI$5)),FU71,0))</f>
        <v/>
      </c>
      <c r="FY71" s="538">
        <f>IF(SUM(FV71:FX71)&gt;0,FU71,0)</f>
        <v/>
      </c>
      <c r="FZ71" s="539">
        <f>IF(B71="",0,FY71*FV$6*(1-MIN(90%,T71)))</f>
        <v/>
      </c>
      <c r="GA71" s="538">
        <f>FU71-FZ71</f>
        <v/>
      </c>
      <c r="GB71" s="538">
        <f>IF(AND(N71="No",DI71=0),GA71,IF(AND(N71="No",DI71&lt;&gt;0,K71=0),0,IF(AND(N71="No",DI71&lt;&gt;0,K71&gt;0,J71&lt;&gt;K71),MAX(0,M71-(DH71-GA71)),DG71)))</f>
        <v/>
      </c>
      <c r="GC71" s="540">
        <f>+GB71*V71</f>
        <v/>
      </c>
      <c r="GD71" s="138">
        <f>IFERROR(GC71/K71,"")</f>
        <v/>
      </c>
      <c r="GE71" s="541">
        <f>IF(IB71="","",IB71)</f>
        <v/>
      </c>
      <c r="GF71" s="538">
        <f t="array" ref="GF71">IF(SUM(IF(IB$9:IB70=IB71,1,0))&gt;0,0,SUMIF($IB$10:$IB$406,IB71,$FI$10:$FI$406))</f>
        <v/>
      </c>
      <c r="GG71" s="270">
        <f>GF71</f>
        <v/>
      </c>
      <c r="GH71" s="137">
        <f>GH70+1</f>
        <v/>
      </c>
      <c r="GI71" s="542">
        <f>LARGE($GG$10:$GG$406,GH71)</f>
        <v/>
      </c>
      <c r="GJ71" s="542">
        <f>IF(GH71&gt;GH$6,0,IF(GH71=$GH$2,$GJ$2,IF(GH71&lt;4,$GJ$3,$GJ$4)))</f>
        <v/>
      </c>
      <c r="GK71" s="489">
        <f>MAX(0,GI71-GJ71)</f>
        <v/>
      </c>
      <c r="GL71" s="137">
        <f t="array" ref="GL71">IF(GI71=0,0,LARGE(IF($GF$10:$GF$406=GI71,$GE$10:$GE$406,0),COUNTIF($GI$10:$GI$406,GI71)-COUNTIF(GI$9:GI70,GI71)))</f>
        <v/>
      </c>
      <c r="GM71" s="272">
        <f>IF(GI71=0,0,GK71/GI71)</f>
        <v/>
      </c>
      <c r="GO71" s="137">
        <f>IF(C71="","",IF(ISERROR(MATCH(C71,C$10:C70,0)),MAX(GO$10:GO70)+1,INDEX(GO$10:GO70,MATCH(C71,C$10:C70,0))))</f>
        <v/>
      </c>
      <c r="GP71" s="538">
        <f>IF(COUNTIF($A$10:A71,A71)&lt;=1,SUMIF($A$10:$A$406,A71,$FG$10:$FG$406),0)</f>
        <v/>
      </c>
      <c r="GQ71" s="137">
        <f>GQ70+1</f>
        <v/>
      </c>
      <c r="GR71" s="542">
        <f>LARGE($GP$10:$GP$406,GQ71)</f>
        <v/>
      </c>
      <c r="GS71" s="542">
        <f>IF(GQ71&gt;GQ$6,0,IF(GQ71&lt;=GQ$2,GS$2,IF(AND(GQ71&lt;=$GQ$3,GQ71&gt;$GQ$2),GS$3,GS$4)))</f>
        <v/>
      </c>
      <c r="GT71" s="489">
        <f>MAX(0,GR71-GS71)</f>
        <v/>
      </c>
      <c r="GU71" s="137">
        <f t="array" ref="GU71">IF(GR71=0,0,LARGE(IF($GP$10:$GP$406=GR71,$GO$10:$GO$406,0),COUNTIF($GR$10:$GR$406,GR71)-COUNTIF(GR$9:GR70,GR71)))</f>
        <v/>
      </c>
      <c r="GV71" s="272">
        <f>IF(GR71=0,0,GT71/GR71)</f>
        <v/>
      </c>
      <c r="GW71" s="272" t="n"/>
      <c r="GX71" s="137">
        <f>IF(C71="","",IF(ISERROR(MATCH(C71,C$10:C70,0)),MAX(GO$10:GO70)+1,INDEX(GO$10:GO70,MATCH(C71,C$10:C70,0))))</f>
        <v/>
      </c>
      <c r="GY71" s="538">
        <f>IF(COUNTIF($A$10:A71,A71)&lt;=1,SUMIF($A$10:$A$406,A71,$FG$10:$FG$406),0)</f>
        <v/>
      </c>
      <c r="GZ71" s="137">
        <f>GZ70+1</f>
        <v/>
      </c>
      <c r="HA71" s="542">
        <f>LARGE($GY$10:$GY$406,GZ71)</f>
        <v/>
      </c>
      <c r="HB71" s="543" t="inlineStr">
        <is>
          <t>-</t>
        </is>
      </c>
      <c r="HC71" s="489">
        <f>IF(GZ71&lt;6,MAX(0,$HC$2/5),0)</f>
        <v/>
      </c>
      <c r="HD71" s="137">
        <f t="array" ref="HD71">IF(HA71=0,0,LARGE(IF($GY$10:$GY$406=HA71,$GX$10:$GX$406,0),COUNTIF($HA$10:$HA$406,HA71)-COUNTIF(HA$9:HA70,HA71)))</f>
        <v/>
      </c>
      <c r="HE71" s="272">
        <f>IF(HA71=0,0,HC71/HA71)</f>
        <v/>
      </c>
      <c r="HF71" s="272" t="n"/>
      <c r="HG71" s="270">
        <f>DG71-GA71</f>
        <v/>
      </c>
      <c r="HH71" s="544" t="n">
        <v>0</v>
      </c>
      <c r="HI71" s="538">
        <f>MIN(HH71,DE71)</f>
        <v/>
      </c>
      <c r="HK71" s="137">
        <f>IF(COUNTIF($C$10:$C$406,HK70+1),HK70+1,"")</f>
        <v/>
      </c>
      <c r="HL71" s="538">
        <f>SUMIF($C$10:$C$406,HK71,$DG$10:$DG$406)</f>
        <v/>
      </c>
      <c r="HN71" s="521">
        <f>MIN(HO71:HS71)</f>
        <v/>
      </c>
      <c r="HO71" s="521">
        <f>IF(B71="","",$M71)</f>
        <v/>
      </c>
      <c r="HP71" s="521">
        <f>IF($N71="Yes",IF(P71&gt;=6,0,MIN($T71*$M71,$U71*$M71)),"")</f>
        <v/>
      </c>
      <c r="HQ71" s="521">
        <f>IF(AND(N71="Yes",P71&gt;=6),"",IF($S71="Yes",$R71*$M71,""))</f>
        <v/>
      </c>
      <c r="HR71" s="521">
        <f>IF($Q71="Yes",MIN($M71,$T71*$M71),"")</f>
        <v/>
      </c>
      <c r="HS71" s="521">
        <f>IF(AND($N71="Yes",$P71&gt;=6),"",IF(OR(CY71=1,DC71=1,),MIN($T71*$M71,$U71*$M71),IF(OR(CZ71=1,DA71=1,DB71=1),IF(AK71&gt;=5000000,MIN($T71*$M71,$IE71*$M71),MIN($T71*$M71,$U71*$M71)),"")))</f>
        <v/>
      </c>
      <c r="HT71" s="521">
        <f>IF(DD71&gt;0,DD71,"")</f>
        <v/>
      </c>
      <c r="HU71" s="522">
        <f>IF(B71="",0,$L71-$M71)</f>
        <v/>
      </c>
      <c r="HV71" s="274">
        <f>IF(OR(SUM(HP71:HT71)&gt;0,P71&gt;=6),"",IF($B71="","",1))</f>
        <v/>
      </c>
      <c r="HW71" s="522">
        <f>IF(AND($HT71&lt;&gt;0,OR(HT71&lt;=MIN(HP71:HS71),SUM(HP71:HS71)=0)),$HT71,0)</f>
        <v/>
      </c>
      <c r="HX71" s="522">
        <f>IF(AND($HS71&lt;&gt;0,OR(AND($HS71&lt;&gt;$HT71,$HS71&lt;&gt;$HR71,$HS71&lt;&gt;$HQ71,$HS71&lt;&gt;$HP71,$HS71&lt;MIN($HP71:$HR71),$HS71&lt;HT71),SUM($HP71:$HR71)+SUM(HT71)=0),IA71&lt;=0),$HS71,0)</f>
        <v/>
      </c>
      <c r="HY71" s="522">
        <f>IF(AND($HR71&lt;&gt;0,OR(AND($HR71&lt;&gt;$HT71,$HR71&lt;&gt;$HS71,$HR71&lt;&gt;$HQ71,$HR71&lt;&gt;$HP71),$HR71&lt;MIN($HP71:$HQ71),$HR71&lt;MIN($HS71:$HT71),SUM($HP71:$HQ71)+SUM($HS71:$HT71)=0)),$HR71,0)</f>
        <v/>
      </c>
      <c r="HZ71" s="522">
        <f>IF(AND($HQ71&lt;&gt;0,OR(AND($HQ71&lt;&gt;$HT71,HQ71&lt;&gt;HS71,HQ71&lt;&gt;HR71,HQ71&lt;&gt;HP71,HQ71&lt;MIN(HR71:HT71)),SUM(HP71)+SUM(HR71:HT71)=0)),$HQ71,0)</f>
        <v/>
      </c>
      <c r="IA71" s="522">
        <f>IF(AND($HP71&lt;&gt;0,OR(HP71&lt;=MIN(HQ71:HT71),SUM(HQ71:HT71)=0)),$HP71,0)</f>
        <v/>
      </c>
      <c r="IB71" s="545" t="n">
        <v>41</v>
      </c>
      <c r="IC71">
        <f>HU71=DF71</f>
        <v/>
      </c>
      <c r="IE71" s="351">
        <f>IF(B71="","",IF(AND(Y71="Second Lien",OR(CZ71=1,DA71=1,DB71=1)),50%,IF(CZ71=1,90%,IF(DA71=1,80%,IF(DB71=1,65%,"No Initial Haircut")))))</f>
        <v/>
      </c>
    </row>
    <row r="72" ht="15" customHeight="1">
      <c r="A72">
        <f>D72</f>
        <v/>
      </c>
      <c r="B72" s="242">
        <f>IF(D72="","",B71+1)</f>
        <v/>
      </c>
      <c r="C72" s="242">
        <f>IF(COUNTIF($A$10:A71,A72)&gt;0,C71,C71+1)</f>
        <v/>
      </c>
      <c r="D72" s="243" t="inlineStr">
        <is>
          <t>Westbrook Industries, Inc.</t>
        </is>
      </c>
      <c r="E72" s="243" t="inlineStr">
        <is>
          <t>Westbrook (Term Loan)</t>
        </is>
      </c>
      <c r="F72" s="244" t="n"/>
      <c r="G72" s="528" t="n">
        <v>5496152.16</v>
      </c>
      <c r="H72" s="528" t="n">
        <v>5496152.16</v>
      </c>
      <c r="I72" s="246" t="n">
        <v>1</v>
      </c>
      <c r="J72" s="529">
        <f>IF(B72="","",G72*I72)</f>
        <v/>
      </c>
      <c r="K72" s="529">
        <f>IF(B72="","",H72*I72)</f>
        <v/>
      </c>
      <c r="L72" s="529">
        <f>IF(B72="","",IF(COUNTIF($CE72:$CX72,1)&gt;0,0,J72))</f>
        <v/>
      </c>
      <c r="M72" s="529">
        <f>IF(B72="","",IF(COUNTIF($CE72:$CX72,1)&gt;0,0,K72))</f>
        <v/>
      </c>
      <c r="N72" s="248" t="inlineStr">
        <is>
          <t>No</t>
        </is>
      </c>
      <c r="O72" s="248" t="inlineStr">
        <is>
          <t>N/A</t>
        </is>
      </c>
      <c r="P72" s="249">
        <f>IF(B72="","",IF(OR(O72="N/A",O72=""),0,YEARFRAC('Borrowing Base'!$J$4,'Loan List'!O72)*12))</f>
        <v/>
      </c>
      <c r="Q72" s="248" t="inlineStr">
        <is>
          <t>No</t>
        </is>
      </c>
      <c r="R72" s="250" t="n">
        <v>0.985</v>
      </c>
      <c r="S72" s="251">
        <f>IF(B72="","",IF(R72&lt;95%,"Yes","No"))</f>
        <v/>
      </c>
      <c r="T72" s="250" t="n">
        <v>1</v>
      </c>
      <c r="U72" s="252">
        <f>IF(B72="","",IF(OR(Y72="First Lien",Y72="Split First Lien",Y72="Tier 1 Split Lien",Y72="Tier 2 Split Lien"),50%,30%))</f>
        <v/>
      </c>
      <c r="V72" s="252">
        <f>IF(B72="",0,IF(AND(Y72="First Lien",AN72="Tier 1"),IF(AND(X72="Yes",MIN(AH72,$AJ$5)&gt;4.5),(((4.5/MIN(AH72,$AJ$5))*72.5%)+(((MIN(AH72,$AJ$5)-4.5)/MIN(AH72,$AJ$5))*35%)),72.5%),IF(AND(Y72="First Lien",AN72="Tier 2"),IF(AND(X72="Yes",MIN(AH72,$AK$5)&gt;4.5),(((4.5/MIN(AH72,$AK$5))*72.5%)+(((MIN(AH72,$AK$5)-4.5)/MIN(AH72,$AK$5))*35%)),72.5%),IF(AND(X72="Yes",MIN(AH72,$AL$5)&gt;4),(((4/MIN(AH72,$AL$5))*72.5%)+(((MIN(AH72,$AL$5)-4)/MIN(AH72,$AL$5))*35%)),IF(OR(Y72="First Lien",Y72="Split First Lien"),72.5%,IF(Y72="Split Lien", 53%,35%))))))</f>
        <v/>
      </c>
      <c r="W72" s="530">
        <f>IF($C72="","",MIN($HO72:$HS72))</f>
        <v/>
      </c>
      <c r="X72" s="248" t="inlineStr">
        <is>
          <t>No</t>
        </is>
      </c>
      <c r="Y72" s="254" t="inlineStr">
        <is>
          <t>First Lien</t>
        </is>
      </c>
      <c r="Z72" s="254" t="inlineStr">
        <is>
          <t>Term</t>
        </is>
      </c>
      <c r="AA72" s="531" t="inlineStr">
        <is>
          <t>NR</t>
        </is>
      </c>
      <c r="AB72" s="531" t="inlineStr">
        <is>
          <t xml:space="preserve"> NR</t>
        </is>
      </c>
      <c r="AC72" s="532" t="n">
        <v>1.685504432824811</v>
      </c>
      <c r="AD72" s="532" t="n">
        <v>3.553559195408744</v>
      </c>
      <c r="AE72" s="532" t="n">
        <v>2.92084114653094</v>
      </c>
      <c r="AF72" s="257" t="n">
        <v>0.3887421916203187</v>
      </c>
      <c r="AG72" s="533" t="n">
        <v>3.553559195408744</v>
      </c>
      <c r="AH72" s="533" t="n">
        <v>3.553559195408744</v>
      </c>
      <c r="AI72" s="533" t="n">
        <v>2.92084114653094</v>
      </c>
      <c r="AJ72" s="533" t="n">
        <v>2.92084114653094</v>
      </c>
      <c r="AK72" s="534" t="n">
        <v>12963326.95583789</v>
      </c>
      <c r="AL72" s="534" t="n">
        <v>14932000</v>
      </c>
      <c r="AM72" s="276" t="n">
        <v>45747</v>
      </c>
      <c r="AN72" s="529">
        <f>IF(C72="","",(IF(AK72&gt;=50000000,"Tier 1",(IF(OR(AK72&gt;=20000000,AND(AK72&gt;5000000,AC72&gt;=1.25,AF72&lt;=0.65)),"Tier 2","Tier 3")))))</f>
        <v/>
      </c>
      <c r="AO72" s="244" t="n">
        <v>47261</v>
      </c>
      <c r="AP72" s="535" t="n">
        <v>3.813888888888889</v>
      </c>
      <c r="AQ72" s="535">
        <f>IF(C72="","",AP72)</f>
        <v/>
      </c>
      <c r="AR72" s="248" t="inlineStr">
        <is>
          <t>No</t>
        </is>
      </c>
      <c r="AS72" s="250" t="n">
        <v>0</v>
      </c>
      <c r="AT72" s="248" t="inlineStr">
        <is>
          <t>Yes</t>
        </is>
      </c>
      <c r="AU72" s="250" t="n">
        <v>0.01</v>
      </c>
      <c r="AV72" s="250" t="n">
        <v>0.0525</v>
      </c>
      <c r="AW72" s="250" t="n">
        <v>0.04317000000000001</v>
      </c>
      <c r="AX72" s="262">
        <f>IF(C72="","",MAX(AU72,AW72))</f>
        <v/>
      </c>
      <c r="AY72" s="250" t="n">
        <v>0</v>
      </c>
      <c r="AZ72" s="250" t="n">
        <v>0</v>
      </c>
      <c r="BA72" s="250" t="n">
        <v>0</v>
      </c>
      <c r="BB72" s="412">
        <f>IF(B72="","",IF(AR72="No",AV72-AZ72,""))</f>
        <v/>
      </c>
      <c r="BC72" s="412">
        <f>IF(B72="","",IF(AR72="Yes",AS72-BA72,""))</f>
        <v/>
      </c>
      <c r="BD72" s="254" t="inlineStr">
        <is>
          <t>Monthly</t>
        </is>
      </c>
      <c r="BE72" s="536" t="inlineStr">
        <is>
          <t>Construction &amp; Engineering</t>
        </is>
      </c>
      <c r="BF72" s="254" t="inlineStr">
        <is>
          <t>USD</t>
        </is>
      </c>
      <c r="BG72" s="254" t="inlineStr">
        <is>
          <t>United States</t>
        </is>
      </c>
      <c r="BH72" s="248" t="inlineStr">
        <is>
          <t>No</t>
        </is>
      </c>
      <c r="BI72" s="413">
        <f>IF(B72="","",IF(OR(AND(AZ72&gt;0,BB72&gt;=2.5%,BB72&lt;4%),AND(BA72&gt;0,BC72&gt;=6%,BC72&lt;8%)),"Yes","No"))</f>
        <v/>
      </c>
      <c r="BJ72" s="413">
        <f>IF(B72="","",IF(OR(AND(AZ72&gt;0,BB72&lt;2.5%),AND(BA72&gt;0,BC72&lt;6%)),"Yes","No"))</f>
        <v/>
      </c>
      <c r="BK72" s="248" t="inlineStr">
        <is>
          <t>No</t>
        </is>
      </c>
      <c r="BL72" s="248" t="inlineStr">
        <is>
          <t>No</t>
        </is>
      </c>
      <c r="BM72" s="248" t="inlineStr">
        <is>
          <t>No</t>
        </is>
      </c>
      <c r="BN72" s="248" t="inlineStr">
        <is>
          <t>No</t>
        </is>
      </c>
      <c r="BO72" s="248" t="inlineStr">
        <is>
          <t>No</t>
        </is>
      </c>
      <c r="BP72" s="248" t="inlineStr">
        <is>
          <t>No</t>
        </is>
      </c>
      <c r="BQ72" s="248" t="inlineStr">
        <is>
          <t>No</t>
        </is>
      </c>
      <c r="BR72" s="248" t="inlineStr">
        <is>
          <t>No</t>
        </is>
      </c>
      <c r="BS72" s="248" t="inlineStr">
        <is>
          <t>No</t>
        </is>
      </c>
      <c r="BT72" s="248" t="inlineStr">
        <is>
          <t>No</t>
        </is>
      </c>
      <c r="BU72" s="248" t="inlineStr">
        <is>
          <t>No</t>
        </is>
      </c>
      <c r="BV72" s="248" t="inlineStr">
        <is>
          <t>No</t>
        </is>
      </c>
      <c r="BW72" s="248" t="inlineStr">
        <is>
          <t>No</t>
        </is>
      </c>
      <c r="BX72" s="248" t="inlineStr">
        <is>
          <t>No</t>
        </is>
      </c>
      <c r="BY72" s="248" t="inlineStr">
        <is>
          <t>No</t>
        </is>
      </c>
      <c r="BZ72" s="248" t="inlineStr">
        <is>
          <t>No</t>
        </is>
      </c>
      <c r="CA72" s="248" t="inlineStr">
        <is>
          <t>Yes</t>
        </is>
      </c>
      <c r="CB72" s="537">
        <f>IF(B72="","",IF(AT72="No",((BB72+AW72)-$AZ$4),((BB72+AX72)-$AZ$4))*IF(DD72&gt;0,0,M72))</f>
        <v/>
      </c>
      <c r="CC72" s="537">
        <f>IF(B72="","",AY72*(L72-M72)*IF(DD72&gt;0,0,1))</f>
        <v/>
      </c>
      <c r="CD72" s="265" t="n"/>
      <c r="CE72" s="265">
        <f>IF(AND(B72&lt;&gt;"",R72&lt;=85%),1,0)</f>
        <v/>
      </c>
      <c r="CF72" s="265">
        <f>IF(B72="",0,(IF(OR(BF72="USD",BF72="CAD",BF72="GBP",BF72="AUD",BF72="EUR"),0,1)))</f>
        <v/>
      </c>
      <c r="CG72" s="265">
        <f>IF(B72="",0,(IF(OR(BG72="United States",BG72="Canada",BG72="United Kingdom",BG72="Australia",BG72="Netherlands Antilles",BG72="Bermuda",BG72="Cayman Islands",BG72="British Virgin Islands",BG72="Channel Islands",BG72="Isle of Man",BG72="Australia",BG72="Netherlands",BG72="Germany",BG72="Sweden",BG72="Switzerland",BG72="Austria",BG72="Belgium",BG72="Denmark",BG72="Finland",BG72="Iceland",BG72="Ireland",BG72="Lichtenstein",BG72="Luxemborg",BG72="Norway"),0,1)))</f>
        <v/>
      </c>
      <c r="CH72" s="265">
        <f>IF(BN72="Yes",1,0)</f>
        <v/>
      </c>
      <c r="CI72" s="265">
        <f>IF(BO72="Yes",1,0)</f>
        <v/>
      </c>
      <c r="CJ72" s="265">
        <f>IF(BP72="Yes",1,0)</f>
        <v/>
      </c>
      <c r="CK72" s="265">
        <f>IF(BQ72="Yes",1,0)</f>
        <v/>
      </c>
      <c r="CL72" s="265">
        <f>IF(BR72="Yes",1,0)</f>
        <v/>
      </c>
      <c r="CM72" s="265">
        <f>IF(BS72="Yes",1,0)</f>
        <v/>
      </c>
      <c r="CN72" s="265">
        <f>IF(OR(AND(BJ72="Yes",N72="No"),AND(BJ72="Yes",N72="Yes",P72&gt;=6)),1,0)</f>
        <v/>
      </c>
      <c r="CO72" s="265">
        <f>IF(BT72="Yes",1,0)</f>
        <v/>
      </c>
      <c r="CP72" s="265">
        <f>IF(AND(BU72="Yes",BV72="No"),1,0)</f>
        <v/>
      </c>
      <c r="CQ72" s="265">
        <f>IF(BW72="Yes",1,0)</f>
        <v/>
      </c>
      <c r="CR72" s="265">
        <f>IF(AP72="",0,IF(AP72&gt;7,1,0))</f>
        <v/>
      </c>
      <c r="CS72" s="265">
        <f>IF(OR(BD72&lt;&gt;"Monthly",BD72&lt;&gt;"Quarterly",BD72&lt;&gt;"Semi-Annually"),0,1)</f>
        <v/>
      </c>
      <c r="CT72" s="265">
        <f>IF(BX72="Yes",1,0)</f>
        <v/>
      </c>
      <c r="CU72" s="265">
        <f>IF(BY72="Yes",1,0)</f>
        <v/>
      </c>
      <c r="CV72" s="265">
        <f>IF(BZ72="Yes",1,0)</f>
        <v/>
      </c>
      <c r="CW72" s="265">
        <f>IF(CA72="No",1,0)</f>
        <v/>
      </c>
      <c r="CX72" s="265">
        <f>IF(B72="",0,IF(AK72&gt;=5000000,0,1))</f>
        <v/>
      </c>
      <c r="CY72" s="265">
        <f>IF(B72="",0,IF(AL72&gt;=5000000,0,1))</f>
        <v/>
      </c>
      <c r="CZ72" s="265">
        <f>IF(OR(DA72=1,DB72=1,DC72=1),0,IF(B72="",0,IF(OR(AND(AN72="Tier 1",X72="No",OR(AI72&gt;$AJ$3,AJ72&gt;$AJ$4)),(AND(AN72="Tier 1",X72="Yes",AJ72&gt;$AJ$5)),(AND(AN72="Tier 2",X72="No",OR(AI72&gt;$AK$3,AJ72&gt;$AK$4))),(AND(AN72="Tier 2",X72="Yes",AJ72&gt;$AK$5)),(AND(AN72="Tier 3",X72="No",OR(AI72&gt;$AL$3,AJ72&gt;$AL$4))),(AND(AN72="Tier 3",X72="Yes",AJ72&gt;$AL$5))),1,0)))</f>
        <v/>
      </c>
      <c r="DA72" s="265">
        <f>IF(OR(DB72=1,DC72=1),0,IF(B72="",0,IF(OR(AND(AN72="Tier 1",X72="No",OR(AI72&gt;$AM$3,AJ72&gt;$AM$4)),(AND(AN72="Tier 1",X72="Yes",AJ72&gt;$AM$5)),(AND(AN72="Tier 2",X72="No",OR(AI72&gt;$AN$3,AJ72&gt;$AN$4))),(AND(AN72="Tier 2",X72="Yes",AJ72&gt;$AN$5)),(AND(AN72="Tier 3",X72="No",OR(AI72&gt;$AO$3,AJ72&gt;$AO$4))),(AND(AN72="Tier 3",X72="Yes",AJ72&gt;$AO$5))),1,0)))</f>
        <v/>
      </c>
      <c r="DB72" s="265">
        <f>IF(DC72=1,0,IF(B72="",0,IF(OR(AND(AN72="Tier 1",X72="No",OR(AI72&gt;$AP$3,AJ72&gt;$AP$4)),(AND(AN72="Tier 1",X72="Yes",AJ72&gt;$AP$5)),(AND(AN72="Tier 2",X72="No",OR(AI72&gt;$AQ$3,AJ72&gt;$AQ$4))),(AND(AN72="Tier 2",X72="Yes",AJ72&gt;$AQ$5)),(AND(AN72="Tier 3",X72="No",OR(AI72&gt;$AR$3,AJ72&gt;$AR$4))),(AND(AN72="Tier 3",X72="Yes",AJ72&gt;$AR$5))),1,0)))</f>
        <v/>
      </c>
      <c r="DC72" s="265">
        <f>IF(B72="",0,IF(OR(AND(AN72="Tier 1",X72="No",OR(AI72&gt;$AS$3,AJ72&gt;$AS$4)),(AND(AN72="Tier 1",X72="Yes",AJ72&gt;$AS$5)),(AND(AN72="Tier 2",X72="No",OR(AI72&gt;$AT$3,AJ72&gt;$AT$4))),(AND(AN72="Tier 2",X72="Yes",AJ72&gt;$AT$5)),(AND(AN72="Tier 3",X72="No",OR(AI72&gt;$AU$3,AJ72&gt;$AU$4))),(AND(AN72="Tier 3",X72="Yes",AJ72&gt;$AU$5))),1,0))</f>
        <v/>
      </c>
      <c r="DD72" s="265">
        <f>IF((SUM(CE72:CX72)=0),0,W72)</f>
        <v/>
      </c>
      <c r="DE72" s="265">
        <f>IF(OR(B72="",DD72&gt;0),0,W72)</f>
        <v/>
      </c>
      <c r="DF72" s="265">
        <f>IF(B72="",0,IF(COUNTIF(CE72:CX72,1)&gt;0,0,L72-M72))</f>
        <v/>
      </c>
      <c r="DG72" s="265">
        <f>DE72+IF(DD72&gt;0,0,DF72)</f>
        <v/>
      </c>
      <c r="DH72" s="265">
        <f>IF(B72="","",M72+DF72)</f>
        <v/>
      </c>
      <c r="DI72" s="265">
        <f>IF(B72="",0,J72-K72)</f>
        <v/>
      </c>
      <c r="DJ72" s="265">
        <f>IF(OR(BF72="EUR",BF72="CAD",BF72="GBP",BF72="AUD"),(GA72*(1-V72))+(HG72)+IF(HX72="",0,HX72*(1-U72)),0)</f>
        <v/>
      </c>
      <c r="DK72" s="265">
        <f>IF(BF72="EUR",33%,IF(BF72="CAD",38%,IF(BF72="GBP",51%,IF(BF72="AUD",61%,0))))</f>
        <v/>
      </c>
      <c r="DL72" s="265">
        <f>DJ72*DK72</f>
        <v/>
      </c>
      <c r="DN72" s="538">
        <f>IF(OR(Y72="Second Lien",Y72="Tier 1 Split Lien",Y72="Tier 2 Split Lien"),DG72,0)</f>
        <v/>
      </c>
      <c r="DO72" s="539">
        <f>DN72*DN$6</f>
        <v/>
      </c>
      <c r="DP72" s="538">
        <f>DG72-DO72</f>
        <v/>
      </c>
      <c r="DQ72" s="538">
        <f>IF(Y72="Second Lien",DP72,0)</f>
        <v/>
      </c>
      <c r="DR72" s="539">
        <f>DQ72*DQ$6</f>
        <v/>
      </c>
      <c r="DS72" s="538">
        <f>DP72-DR72</f>
        <v/>
      </c>
      <c r="DT72" s="538">
        <f>IF(BH72="Yes",DS72,0)</f>
        <v/>
      </c>
      <c r="DU72" s="539">
        <f>DT72*DT$6</f>
        <v/>
      </c>
      <c r="DV72" s="538">
        <f>DS72-DU72</f>
        <v/>
      </c>
      <c r="DW72" s="538">
        <f>IF(OR(BG72="Canada",BG72="United Kingdom",BG72="Australia",BG72="Netherlands Antilles",BG72="Bermuda",BG72="Cayman Islands",BG72="British Virgin Islands",BG72="Channel Islands",BG72="Isle of Man",BG72="Australia",BG72="Netherlands",BG72="Germany",BG72="Sweden",BG72="Switzerland",BG72="Austria",BG72="Belgium",BG72="Denmark",BG72="Finland",BG72="Iceland",BG72="Ireland",BG72="Lichtenstein",BG72="Luxemborg",BG72="Norway"),DV72,0)</f>
        <v/>
      </c>
      <c r="DX72" s="539">
        <f>DW72*DW$6</f>
        <v/>
      </c>
      <c r="DY72" s="538">
        <f>DV72-DX72</f>
        <v/>
      </c>
      <c r="DZ72" s="538">
        <f>IF(BI72="Yes",DY72,0)</f>
        <v/>
      </c>
      <c r="EA72" s="539">
        <f>DZ72*DZ$6</f>
        <v/>
      </c>
      <c r="EB72" s="538">
        <f>DY72-EA72</f>
        <v/>
      </c>
      <c r="EC72" s="538">
        <f>IF(OR(Z72="Delayed Draw",Z72="Revolver"),EB72,0)</f>
        <v/>
      </c>
      <c r="ED72" s="539">
        <f>EC72*EC$6</f>
        <v/>
      </c>
      <c r="EE72" s="538">
        <f>EB72-ED72</f>
        <v/>
      </c>
      <c r="EF72" s="538">
        <f>IF(S72="Yes",EE72,0)</f>
        <v/>
      </c>
      <c r="EG72" s="539">
        <f>EF72*EF$6</f>
        <v/>
      </c>
      <c r="EH72" s="538">
        <f>EE72-EG72</f>
        <v/>
      </c>
      <c r="EI72" s="538">
        <f>IF(Q72="Yes",EH72,0)</f>
        <v/>
      </c>
      <c r="EJ72" s="539">
        <f>EI72*EI$6</f>
        <v/>
      </c>
      <c r="EK72" s="538">
        <f>EH72-EJ72</f>
        <v/>
      </c>
      <c r="EL72" s="538">
        <f>IF(BD72="Semi-Annually",EK72,0)</f>
        <v/>
      </c>
      <c r="EM72" s="539">
        <f>EL72*EL$6</f>
        <v/>
      </c>
      <c r="EN72" s="538">
        <f>EK72-EM72</f>
        <v/>
      </c>
      <c r="EO72" s="538">
        <f>IF(BK72="Yes",EN72,0)</f>
        <v/>
      </c>
      <c r="EP72" s="539">
        <f>EO72*EO$6</f>
        <v/>
      </c>
      <c r="EQ72" s="538">
        <f>EN72-EP72</f>
        <v/>
      </c>
      <c r="ER72" s="538">
        <f>IF(BL72="Yes",EQ72,0)</f>
        <v/>
      </c>
      <c r="ES72" s="539">
        <f>ER72*ER$6</f>
        <v/>
      </c>
      <c r="ET72" s="538">
        <f>EQ72-ES72</f>
        <v/>
      </c>
      <c r="EU72" s="538">
        <f>IF(BM72="Yes",ET72,0)</f>
        <v/>
      </c>
      <c r="EV72" s="539">
        <f>EU72*EU$6</f>
        <v/>
      </c>
      <c r="EW72" s="538">
        <f>ET72-EV72</f>
        <v/>
      </c>
      <c r="EX72" s="538">
        <f>IF(BV72="Yes",EW72,0)</f>
        <v/>
      </c>
      <c r="EY72" s="539">
        <f>EX72*EX$6</f>
        <v/>
      </c>
      <c r="EZ72" s="538">
        <f>EW72-EY72</f>
        <v/>
      </c>
      <c r="FA72" s="538">
        <f>IF(AR72="Yes",EZ72,0)</f>
        <v/>
      </c>
      <c r="FB72" s="539">
        <f>FA72*FA$6</f>
        <v/>
      </c>
      <c r="FC72" s="538">
        <f>EZ72-FB72</f>
        <v/>
      </c>
      <c r="FD72" s="538">
        <f>IF(OR(BF72="EUR",BF72="AUD",BF72="CAD",BF72="GBP"),FC72,0)</f>
        <v/>
      </c>
      <c r="FE72" s="539">
        <f>FD72*FD$6</f>
        <v/>
      </c>
      <c r="FF72" s="538">
        <f>FC72-FE72</f>
        <v/>
      </c>
      <c r="FG72" s="538">
        <f>FF72</f>
        <v/>
      </c>
      <c r="FH72" s="538">
        <f>IF(FF72=0,0,VLOOKUP(C72,$GU$10:$GV$406,2,FALSE)*FF72)</f>
        <v/>
      </c>
      <c r="FI72" s="538">
        <f>FF72-FH72</f>
        <v/>
      </c>
      <c r="FJ72" s="538">
        <f>FI72</f>
        <v/>
      </c>
      <c r="FK72" s="538">
        <f>IF(OR(IB72="",FI72&lt;0.01),,VLOOKUP(IB72,$GL$10:$GM$406,2,FALSE)*FI72)</f>
        <v/>
      </c>
      <c r="FL72" s="538">
        <f>FI72-FK72</f>
        <v/>
      </c>
      <c r="FM72" s="538">
        <f>FL72</f>
        <v/>
      </c>
      <c r="FN72" s="538">
        <f>IF(FL72=0,0,VLOOKUP(C72,$HD$10:$HE$406,2,FALSE)*FL72)</f>
        <v/>
      </c>
      <c r="FO72" s="538">
        <f>FL72-FN72</f>
        <v/>
      </c>
      <c r="FP72" s="538">
        <f>IF(SUM(CY72:DC72)&gt;0,0,IF(AND(AL72&gt;=5000000,AL72&lt;7500000),FO72,0))</f>
        <v/>
      </c>
      <c r="FQ72" s="539">
        <f>IF(B72="",0,FP72*FP$6*(1-$U72))</f>
        <v/>
      </c>
      <c r="FR72" s="538">
        <f>FO72-FQ72</f>
        <v/>
      </c>
      <c r="FS72" s="538">
        <f>IF(SUM(CY72:DC72)&gt;0,0,IF(AL72&lt;15000000,FR72,0))</f>
        <v/>
      </c>
      <c r="FT72" s="539">
        <f>IF(B72="",0,FS72*FS$6*(1-$U72))</f>
        <v/>
      </c>
      <c r="FU72" s="538">
        <f>FR72-FT72</f>
        <v/>
      </c>
      <c r="FV72" s="538">
        <f>IF(SUM(CY72:DC72)&gt;0,0,IF(OR(AND(X72="No",AN72="Tier 1",AI72&gt;$AG$3),AND(X72="No",AN72="Tier 2",AI72&gt;$AH$3),AND(X72="No",AN72="Tier 3",AI72&gt;$AI$3)),FU72,0))</f>
        <v/>
      </c>
      <c r="FW72" s="538">
        <f>IF(SUM(CY72:DC72)&gt;0,0,IF(OR(AND(X72="No",AN72="Tier 1",AJ72&gt;$AG$4),AND(X72="No",AN72="Tier 2",AJ72&gt;$AH$4),AND(X72="No",AN72="Tier 3",AJ72&gt;$AI$4)),FU72,0))</f>
        <v/>
      </c>
      <c r="FX72" s="538">
        <f>IF(SUM(CY72:DC72)&gt;0,0,IF(OR(AND(X72="Yes",AN72="Tier 1",AJ72&gt;$AG$5),AND(X72="Yes",AN72="Tier 2",AJ72&gt;$AH$5),AND(X72="Yes",AN72="Tier 3",AJ72&gt;$AI$5)),FU72,0))</f>
        <v/>
      </c>
      <c r="FY72" s="538">
        <f>IF(SUM(FV72:FX72)&gt;0,FU72,0)</f>
        <v/>
      </c>
      <c r="FZ72" s="539">
        <f>IF(B72="",0,FY72*FV$6*(1-MIN(90%,T72)))</f>
        <v/>
      </c>
      <c r="GA72" s="538">
        <f>FU72-FZ72</f>
        <v/>
      </c>
      <c r="GB72" s="538">
        <f>IF(AND(N72="No",DI72=0),GA72,IF(AND(N72="No",DI72&lt;&gt;0,K72=0),0,IF(AND(N72="No",DI72&lt;&gt;0,K72&gt;0,J72&lt;&gt;K72),MAX(0,M72-(DH72-GA72)),DG72)))</f>
        <v/>
      </c>
      <c r="GC72" s="540">
        <f>+GB72*V72</f>
        <v/>
      </c>
      <c r="GD72" s="138">
        <f>IFERROR(GC72/K72,"")</f>
        <v/>
      </c>
      <c r="GE72" s="541">
        <f>IF(IB72="","",IB72)</f>
        <v/>
      </c>
      <c r="GF72" s="538">
        <f t="array" ref="GF72">IF(SUM(IF(IB$9:IB71=IB72,1,0))&gt;0,0,SUMIF($IB$10:$IB$406,IB72,$FI$10:$FI$406))</f>
        <v/>
      </c>
      <c r="GG72" s="270">
        <f>GF72</f>
        <v/>
      </c>
      <c r="GH72" s="137">
        <f>GH71+1</f>
        <v/>
      </c>
      <c r="GI72" s="542">
        <f>LARGE($GG$10:$GG$406,GH72)</f>
        <v/>
      </c>
      <c r="GJ72" s="542">
        <f>IF(GH72&gt;GH$6,0,IF(GH72=$GH$2,$GJ$2,IF(GH72&lt;4,$GJ$3,$GJ$4)))</f>
        <v/>
      </c>
      <c r="GK72" s="489">
        <f>MAX(0,GI72-GJ72)</f>
        <v/>
      </c>
      <c r="GL72" s="137">
        <f t="array" ref="GL72">IF(GI72=0,0,LARGE(IF($GF$10:$GF$406=GI72,$GE$10:$GE$406,0),COUNTIF($GI$10:$GI$406,GI72)-COUNTIF(GI$9:GI71,GI72)))</f>
        <v/>
      </c>
      <c r="GM72" s="272">
        <f>IF(GI72=0,0,GK72/GI72)</f>
        <v/>
      </c>
      <c r="GO72" s="137">
        <f>IF(C72="","",IF(ISERROR(MATCH(C72,C$10:C71,0)),MAX(GO$10:GO71)+1,INDEX(GO$10:GO71,MATCH(C72,C$10:C71,0))))</f>
        <v/>
      </c>
      <c r="GP72" s="538">
        <f>IF(COUNTIF($A$10:A72,A72)&lt;=1,SUMIF($A$10:$A$406,A72,$FG$10:$FG$406),0)</f>
        <v/>
      </c>
      <c r="GQ72" s="137">
        <f>GQ71+1</f>
        <v/>
      </c>
      <c r="GR72" s="542">
        <f>LARGE($GP$10:$GP$406,GQ72)</f>
        <v/>
      </c>
      <c r="GS72" s="542">
        <f>IF(GQ72&gt;GQ$6,0,IF(GQ72&lt;=GQ$2,GS$2,IF(AND(GQ72&lt;=$GQ$3,GQ72&gt;$GQ$2),GS$3,GS$4)))</f>
        <v/>
      </c>
      <c r="GT72" s="489">
        <f>MAX(0,GR72-GS72)</f>
        <v/>
      </c>
      <c r="GU72" s="137">
        <f t="array" ref="GU72">IF(GR72=0,0,LARGE(IF($GP$10:$GP$406=GR72,$GO$10:$GO$406,0),COUNTIF($GR$10:$GR$406,GR72)-COUNTIF(GR$9:GR71,GR72)))</f>
        <v/>
      </c>
      <c r="GV72" s="272">
        <f>IF(GR72=0,0,GT72/GR72)</f>
        <v/>
      </c>
      <c r="GW72" s="272" t="n"/>
      <c r="GX72" s="137">
        <f>IF(C72="","",IF(ISERROR(MATCH(C72,C$10:C71,0)),MAX(GO$10:GO71)+1,INDEX(GO$10:GO71,MATCH(C72,C$10:C71,0))))</f>
        <v/>
      </c>
      <c r="GY72" s="538">
        <f>IF(COUNTIF($A$10:A72,A72)&lt;=1,SUMIF($A$10:$A$406,A72,$FG$10:$FG$406),0)</f>
        <v/>
      </c>
      <c r="GZ72" s="137">
        <f>GZ71+1</f>
        <v/>
      </c>
      <c r="HA72" s="542">
        <f>LARGE($GY$10:$GY$406,GZ72)</f>
        <v/>
      </c>
      <c r="HB72" s="543" t="inlineStr">
        <is>
          <t>-</t>
        </is>
      </c>
      <c r="HC72" s="489">
        <f>IF(GZ72&lt;6,MAX(0,$HC$2/5),0)</f>
        <v/>
      </c>
      <c r="HD72" s="137">
        <f t="array" ref="HD72">IF(HA72=0,0,LARGE(IF($GY$10:$GY$406=HA72,$GX$10:$GX$406,0),COUNTIF($HA$10:$HA$406,HA72)-COUNTIF(HA$9:HA71,HA72)))</f>
        <v/>
      </c>
      <c r="HE72" s="272">
        <f>IF(HA72=0,0,HC72/HA72)</f>
        <v/>
      </c>
      <c r="HF72" s="272" t="n"/>
      <c r="HG72" s="270">
        <f>DG72-GA72</f>
        <v/>
      </c>
      <c r="HH72" s="544" t="n">
        <v>0</v>
      </c>
      <c r="HI72" s="538">
        <f>MIN(HH72,DE72)</f>
        <v/>
      </c>
      <c r="HK72" s="137">
        <f>IF(COUNTIF($C$10:$C$406,HK71+1),HK71+1,"")</f>
        <v/>
      </c>
      <c r="HL72" s="538">
        <f>SUMIF($C$10:$C$406,HK72,$DG$10:$DG$406)</f>
        <v/>
      </c>
      <c r="HN72" s="521">
        <f>MIN(HO72:HS72)</f>
        <v/>
      </c>
      <c r="HO72" s="521">
        <f>IF(B72="","",$M72)</f>
        <v/>
      </c>
      <c r="HP72" s="521">
        <f>IF($N72="Yes",IF(P72&gt;=6,0,MIN($T72*$M72,$U72*$M72)),"")</f>
        <v/>
      </c>
      <c r="HQ72" s="521">
        <f>IF(AND(N72="Yes",P72&gt;=6),"",IF($S72="Yes",$R72*$M72,""))</f>
        <v/>
      </c>
      <c r="HR72" s="521">
        <f>IF($Q72="Yes",MIN($M72,$T72*$M72),"")</f>
        <v/>
      </c>
      <c r="HS72" s="521">
        <f>IF(AND($N72="Yes",$P72&gt;=6),"",IF(OR(CY72=1,DC72=1,),MIN($T72*$M72,$U72*$M72),IF(OR(CZ72=1,DA72=1,DB72=1),IF(AK72&gt;=5000000,MIN($T72*$M72,$IE72*$M72),MIN($T72*$M72,$U72*$M72)),"")))</f>
        <v/>
      </c>
      <c r="HT72" s="521">
        <f>IF(DD72&gt;0,DD72,"")</f>
        <v/>
      </c>
      <c r="HU72" s="522">
        <f>IF(B72="",0,$L72-$M72)</f>
        <v/>
      </c>
      <c r="HV72" s="274">
        <f>IF(OR(SUM(HP72:HT72)&gt;0,P72&gt;=6),"",IF($B72="","",1))</f>
        <v/>
      </c>
      <c r="HW72" s="522">
        <f>IF(AND($HT72&lt;&gt;0,OR(HT72&lt;=MIN(HP72:HS72),SUM(HP72:HS72)=0)),$HT72,0)</f>
        <v/>
      </c>
      <c r="HX72" s="522">
        <f>IF(AND($HS72&lt;&gt;0,OR(AND($HS72&lt;&gt;$HT72,$HS72&lt;&gt;$HR72,$HS72&lt;&gt;$HQ72,$HS72&lt;&gt;$HP72,$HS72&lt;MIN($HP72:$HR72),$HS72&lt;HT72),SUM($HP72:$HR72)+SUM(HT72)=0),IA72&lt;=0),$HS72,0)</f>
        <v/>
      </c>
      <c r="HY72" s="522">
        <f>IF(AND($HR72&lt;&gt;0,OR(AND($HR72&lt;&gt;$HT72,$HR72&lt;&gt;$HS72,$HR72&lt;&gt;$HQ72,$HR72&lt;&gt;$HP72),$HR72&lt;MIN($HP72:$HQ72),$HR72&lt;MIN($HS72:$HT72),SUM($HP72:$HQ72)+SUM($HS72:$HT72)=0)),$HR72,0)</f>
        <v/>
      </c>
      <c r="HZ72" s="522">
        <f>IF(AND($HQ72&lt;&gt;0,OR(AND($HQ72&lt;&gt;$HT72,HQ72&lt;&gt;HS72,HQ72&lt;&gt;HR72,HQ72&lt;&gt;HP72,HQ72&lt;MIN(HR72:HT72)),SUM(HP72)+SUM(HR72:HT72)=0)),$HQ72,0)</f>
        <v/>
      </c>
      <c r="IA72" s="522">
        <f>IF(AND($HP72&lt;&gt;0,OR(HP72&lt;=MIN(HQ72:HT72),SUM(HQ72:HT72)=0)),$HP72,0)</f>
        <v/>
      </c>
      <c r="IB72" s="545" t="n">
        <v>14</v>
      </c>
      <c r="IC72">
        <f>HU72=DF72</f>
        <v/>
      </c>
      <c r="IE72" s="351">
        <f>IF(B72="","",IF(AND(Y72="Second Lien",OR(CZ72=1,DA72=1,DB72=1)),50%,IF(CZ72=1,90%,IF(DA72=1,80%,IF(DB72=1,65%,"No Initial Haircut")))))</f>
        <v/>
      </c>
    </row>
    <row r="73">
      <c r="A73">
        <f>D73</f>
        <v/>
      </c>
      <c r="B73" s="242">
        <f>IF(D73="","",B72+1)</f>
        <v/>
      </c>
      <c r="C73" s="242">
        <f>IF(COUNTIF($A$10:A72,A73)&gt;0,C72,C72+1)</f>
        <v/>
      </c>
      <c r="D73" s="243" t="inlineStr">
        <is>
          <t>Stonegate Industries, Inc.</t>
        </is>
      </c>
      <c r="E73" s="243" t="inlineStr">
        <is>
          <t>Stonegate (Term Loan)</t>
        </is>
      </c>
      <c r="F73" s="244" t="n"/>
      <c r="G73" s="528" t="n">
        <v>14119469.2198</v>
      </c>
      <c r="H73" s="528" t="n">
        <v>14119469.2198</v>
      </c>
      <c r="I73" s="246" t="n">
        <v>1</v>
      </c>
      <c r="J73" s="529">
        <f>IF(B73="","",G73*I73)</f>
        <v/>
      </c>
      <c r="K73" s="529">
        <f>IF(B73="","",H73*I73)</f>
        <v/>
      </c>
      <c r="L73" s="529">
        <f>IF(B73="","",IF(COUNTIF($CE73:$CX73,1)&gt;0,0,J73))</f>
        <v/>
      </c>
      <c r="M73" s="529">
        <f>IF(B73="","",IF(COUNTIF($CE73:$CX73,1)&gt;0,0,K73))</f>
        <v/>
      </c>
      <c r="N73" s="248" t="inlineStr">
        <is>
          <t>No</t>
        </is>
      </c>
      <c r="O73" s="248" t="inlineStr">
        <is>
          <t>N/A</t>
        </is>
      </c>
      <c r="P73" s="249">
        <f>IF(B73="","",IF(OR(O73="N/A",O73=""),0,YEARFRAC('Borrowing Base'!$J$4,'Loan List'!O73)*12))</f>
        <v/>
      </c>
      <c r="Q73" s="248" t="inlineStr">
        <is>
          <t>No</t>
        </is>
      </c>
      <c r="R73" s="250" t="n">
        <v>0.9939131298913008</v>
      </c>
      <c r="S73" s="251">
        <f>IF(B73="","",IF(R73&lt;95%,"Yes","No"))</f>
        <v/>
      </c>
      <c r="T73" s="250" t="n">
        <v>0.949999997286162</v>
      </c>
      <c r="U73" s="252">
        <f>IF(B73="","",IF(OR(Y73="First Lien",Y73="Split First Lien",Y73="Tier 1 Split Lien",Y73="Tier 2 Split Lien"),50%,30%))</f>
        <v/>
      </c>
      <c r="V73" s="252">
        <f>IF(B73="",0,IF(AND(Y73="First Lien",AN73="Tier 1"),IF(AND(X73="Yes",MIN(AH73,$AJ$5)&gt;4.5),(((4.5/MIN(AH73,$AJ$5))*72.5%)+(((MIN(AH73,$AJ$5)-4.5)/MIN(AH73,$AJ$5))*35%)),72.5%),IF(AND(Y73="First Lien",AN73="Tier 2"),IF(AND(X73="Yes",MIN(AH73,$AK$5)&gt;4.5),(((4.5/MIN(AH73,$AK$5))*72.5%)+(((MIN(AH73,$AK$5)-4.5)/MIN(AH73,$AK$5))*35%)),72.5%),IF(AND(X73="Yes",MIN(AH73,$AL$5)&gt;4),(((4/MIN(AH73,$AL$5))*72.5%)+(((MIN(AH73,$AL$5)-4)/MIN(AH73,$AL$5))*35%)),IF(OR(Y73="First Lien",Y73="Split First Lien"),72.5%,IF(Y73="Split Lien", 53%,35%))))))</f>
        <v/>
      </c>
      <c r="W73" s="530">
        <f>IF($C73="","",MIN($HO73:$HS73))</f>
        <v/>
      </c>
      <c r="X73" s="248" t="inlineStr">
        <is>
          <t>Yes</t>
        </is>
      </c>
      <c r="Y73" s="254" t="inlineStr">
        <is>
          <t>First Lien</t>
        </is>
      </c>
      <c r="Z73" s="254" t="inlineStr">
        <is>
          <t>Term</t>
        </is>
      </c>
      <c r="AA73" s="531" t="inlineStr">
        <is>
          <t>NR</t>
        </is>
      </c>
      <c r="AB73" s="531" t="inlineStr">
        <is>
          <t xml:space="preserve"> NR</t>
        </is>
      </c>
      <c r="AC73" s="532" t="n">
        <v>1.64</v>
      </c>
      <c r="AD73" s="532" t="n">
        <v>4.550067672478943</v>
      </c>
      <c r="AE73" s="532" t="n">
        <v>8.318250709324797</v>
      </c>
      <c r="AF73" s="257" t="n">
        <v>0.5916904206616568</v>
      </c>
      <c r="AG73" s="533" t="n">
        <v>4.550067672478943</v>
      </c>
      <c r="AH73" s="533" t="n">
        <v>4.550067672478943</v>
      </c>
      <c r="AI73" s="533" t="n">
        <v>7.35843094464001</v>
      </c>
      <c r="AJ73" s="533" t="n">
        <v>8.318250709324797</v>
      </c>
      <c r="AK73" s="534" t="n">
        <v>15054721.14498908</v>
      </c>
      <c r="AL73" s="534" t="n">
        <v>23624227</v>
      </c>
      <c r="AM73" s="276" t="n">
        <v>45838</v>
      </c>
      <c r="AN73" s="529">
        <f>IF(C73="","",(IF(AK73&gt;=50000000,"Tier 1",(IF(OR(AK73&gt;=20000000,AND(AK73&gt;5000000,AC73&gt;=1.25,AF73&lt;=0.65)),"Tier 2","Tier 3")))))</f>
        <v/>
      </c>
      <c r="AO73" s="244" t="n">
        <v>45915</v>
      </c>
      <c r="AP73" s="535" t="n">
        <v>0.125</v>
      </c>
      <c r="AQ73" s="535">
        <f>IF(C73="","",AP73)</f>
        <v/>
      </c>
      <c r="AR73" s="248" t="inlineStr">
        <is>
          <t>No</t>
        </is>
      </c>
      <c r="AS73" s="250" t="n">
        <v>0</v>
      </c>
      <c r="AT73" s="248" t="inlineStr">
        <is>
          <t>Yes</t>
        </is>
      </c>
      <c r="AU73" s="250" t="n">
        <v>0.01</v>
      </c>
      <c r="AV73" s="250" t="n">
        <v>0.08500000000000001</v>
      </c>
      <c r="AW73" s="250" t="n">
        <v>0.04356200000000002</v>
      </c>
      <c r="AX73" s="262">
        <f>IF(C73="","",MAX(AU73,AW73))</f>
        <v/>
      </c>
      <c r="AY73" s="250" t="n">
        <v>0</v>
      </c>
      <c r="AZ73" s="250" t="n">
        <v>0.0585</v>
      </c>
      <c r="BA73" s="250" t="n">
        <v>0</v>
      </c>
      <c r="BB73" s="412">
        <f>IF(B73="","",IF(AR73="No",AV73-AZ73,""))</f>
        <v/>
      </c>
      <c r="BC73" s="412">
        <f>IF(B73="","",IF(AR73="Yes",AS73-BA73,""))</f>
        <v/>
      </c>
      <c r="BD73" s="254" t="inlineStr">
        <is>
          <t>Quarterly</t>
        </is>
      </c>
      <c r="BE73" s="536" t="inlineStr">
        <is>
          <t>Diversified Consumer Services</t>
        </is>
      </c>
      <c r="BF73" s="254" t="inlineStr">
        <is>
          <t>USD</t>
        </is>
      </c>
      <c r="BG73" s="254" t="inlineStr">
        <is>
          <t>United States</t>
        </is>
      </c>
      <c r="BH73" s="248" t="inlineStr">
        <is>
          <t>No</t>
        </is>
      </c>
      <c r="BI73" s="413">
        <f>IF(B73="","",IF(OR(AND(AZ73&gt;0,BB73&gt;=2.5%,BB73&lt;4%),AND(BA73&gt;0,BC73&gt;=6%,BC73&lt;8%)),"Yes","No"))</f>
        <v/>
      </c>
      <c r="BJ73" s="413">
        <f>IF(B73="","",IF(OR(AND(AZ73&gt;0,BB73&lt;2.5%),AND(BA73&gt;0,BC73&lt;6%)),"Yes","No"))</f>
        <v/>
      </c>
      <c r="BK73" s="248" t="inlineStr">
        <is>
          <t>No</t>
        </is>
      </c>
      <c r="BL73" s="248" t="inlineStr">
        <is>
          <t>No</t>
        </is>
      </c>
      <c r="BM73" s="248" t="inlineStr">
        <is>
          <t>No</t>
        </is>
      </c>
      <c r="BN73" s="248" t="inlineStr">
        <is>
          <t>No</t>
        </is>
      </c>
      <c r="BO73" s="248" t="inlineStr">
        <is>
          <t>No</t>
        </is>
      </c>
      <c r="BP73" s="248" t="inlineStr">
        <is>
          <t>No</t>
        </is>
      </c>
      <c r="BQ73" s="248" t="inlineStr">
        <is>
          <t>No</t>
        </is>
      </c>
      <c r="BR73" s="248" t="inlineStr">
        <is>
          <t>No</t>
        </is>
      </c>
      <c r="BS73" s="248" t="inlineStr">
        <is>
          <t>No</t>
        </is>
      </c>
      <c r="BT73" s="248" t="inlineStr">
        <is>
          <t>No</t>
        </is>
      </c>
      <c r="BU73" s="248" t="inlineStr">
        <is>
          <t>No</t>
        </is>
      </c>
      <c r="BV73" s="248" t="inlineStr">
        <is>
          <t>No</t>
        </is>
      </c>
      <c r="BW73" s="248" t="inlineStr">
        <is>
          <t>No</t>
        </is>
      </c>
      <c r="BX73" s="248" t="inlineStr">
        <is>
          <t>No</t>
        </is>
      </c>
      <c r="BY73" s="248" t="inlineStr">
        <is>
          <t>No</t>
        </is>
      </c>
      <c r="BZ73" s="248" t="inlineStr">
        <is>
          <t>No</t>
        </is>
      </c>
      <c r="CA73" s="248" t="inlineStr">
        <is>
          <t>Yes</t>
        </is>
      </c>
      <c r="CB73" s="537">
        <f>IF(B73="","",IF(AT73="No",((BB73+AW73)-$AZ$4),((BB73+AX73)-$AZ$4))*IF(DD73&gt;0,0,M73))</f>
        <v/>
      </c>
      <c r="CC73" s="537">
        <f>IF(B73="","",AY73*(L73-M73)*IF(DD73&gt;0,0,1))</f>
        <v/>
      </c>
      <c r="CD73" s="265" t="n"/>
      <c r="CE73" s="265">
        <f>IF(AND(B73&lt;&gt;"",R73&lt;=85%),1,0)</f>
        <v/>
      </c>
      <c r="CF73" s="265">
        <f>IF(B73="",0,(IF(OR(BF73="USD",BF73="CAD",BF73="GBP",BF73="AUD",BF73="EUR"),0,1)))</f>
        <v/>
      </c>
      <c r="CG73" s="265">
        <f>IF(B73="",0,(IF(OR(BG73="United States",BG73="Canada",BG73="United Kingdom",BG73="Australia",BG73="Netherlands Antilles",BG73="Bermuda",BG73="Cayman Islands",BG73="British Virgin Islands",BG73="Channel Islands",BG73="Isle of Man",BG73="Australia",BG73="Netherlands",BG73="Germany",BG73="Sweden",BG73="Switzerland",BG73="Austria",BG73="Belgium",BG73="Denmark",BG73="Finland",BG73="Iceland",BG73="Ireland",BG73="Lichtenstein",BG73="Luxemborg",BG73="Norway"),0,1)))</f>
        <v/>
      </c>
      <c r="CH73" s="265">
        <f>IF(BN73="Yes",1,0)</f>
        <v/>
      </c>
      <c r="CI73" s="265">
        <f>IF(BO73="Yes",1,0)</f>
        <v/>
      </c>
      <c r="CJ73" s="265">
        <f>IF(BP73="Yes",1,0)</f>
        <v/>
      </c>
      <c r="CK73" s="265">
        <f>IF(BQ73="Yes",1,0)</f>
        <v/>
      </c>
      <c r="CL73" s="265">
        <f>IF(BR73="Yes",1,0)</f>
        <v/>
      </c>
      <c r="CM73" s="265">
        <f>IF(BS73="Yes",1,0)</f>
        <v/>
      </c>
      <c r="CN73" s="265">
        <f>IF(OR(AND(BJ73="Yes",N73="No"),AND(BJ73="Yes",N73="Yes",P73&gt;=6)),1,0)</f>
        <v/>
      </c>
      <c r="CO73" s="265">
        <f>IF(BT73="Yes",1,0)</f>
        <v/>
      </c>
      <c r="CP73" s="265">
        <f>IF(AND(BU73="Yes",BV73="No"),1,0)</f>
        <v/>
      </c>
      <c r="CQ73" s="265">
        <f>IF(BW73="Yes",1,0)</f>
        <v/>
      </c>
      <c r="CR73" s="265">
        <f>IF(AP73="",0,IF(AP73&gt;7,1,0))</f>
        <v/>
      </c>
      <c r="CS73" s="265">
        <f>IF(OR(BD73&lt;&gt;"Monthly",BD73&lt;&gt;"Quarterly",BD73&lt;&gt;"Semi-Annually"),0,1)</f>
        <v/>
      </c>
      <c r="CT73" s="265">
        <f>IF(BX73="Yes",1,0)</f>
        <v/>
      </c>
      <c r="CU73" s="265">
        <f>IF(BY73="Yes",1,0)</f>
        <v/>
      </c>
      <c r="CV73" s="265">
        <f>IF(BZ73="Yes",1,0)</f>
        <v/>
      </c>
      <c r="CW73" s="265">
        <f>IF(CA73="No",1,0)</f>
        <v/>
      </c>
      <c r="CX73" s="265">
        <f>IF(B73="",0,IF(AK73&gt;=5000000,0,1))</f>
        <v/>
      </c>
      <c r="CY73" s="265">
        <f>IF(B73="",0,IF(AL73&gt;=5000000,0,1))</f>
        <v/>
      </c>
      <c r="CZ73" s="265">
        <f>IF(OR(DA73=1,DB73=1,DC73=1),0,IF(B73="",0,IF(OR(AND(AN73="Tier 1",X73="No",OR(AI73&gt;$AJ$3,AJ73&gt;$AJ$4)),(AND(AN73="Tier 1",X73="Yes",AJ73&gt;$AJ$5)),(AND(AN73="Tier 2",X73="No",OR(AI73&gt;$AK$3,AJ73&gt;$AK$4))),(AND(AN73="Tier 2",X73="Yes",AJ73&gt;$AK$5)),(AND(AN73="Tier 3",X73="No",OR(AI73&gt;$AL$3,AJ73&gt;$AL$4))),(AND(AN73="Tier 3",X73="Yes",AJ73&gt;$AL$5))),1,0)))</f>
        <v/>
      </c>
      <c r="DA73" s="265">
        <f>IF(OR(DB73=1,DC73=1),0,IF(B73="",0,IF(OR(AND(AN73="Tier 1",X73="No",OR(AI73&gt;$AM$3,AJ73&gt;$AM$4)),(AND(AN73="Tier 1",X73="Yes",AJ73&gt;$AM$5)),(AND(AN73="Tier 2",X73="No",OR(AI73&gt;$AN$3,AJ73&gt;$AN$4))),(AND(AN73="Tier 2",X73="Yes",AJ73&gt;$AN$5)),(AND(AN73="Tier 3",X73="No",OR(AI73&gt;$AO$3,AJ73&gt;$AO$4))),(AND(AN73="Tier 3",X73="Yes",AJ73&gt;$AO$5))),1,0)))</f>
        <v/>
      </c>
      <c r="DB73" s="265">
        <f>IF(DC73=1,0,IF(B73="",0,IF(OR(AND(AN73="Tier 1",X73="No",OR(AI73&gt;$AP$3,AJ73&gt;$AP$4)),(AND(AN73="Tier 1",X73="Yes",AJ73&gt;$AP$5)),(AND(AN73="Tier 2",X73="No",OR(AI73&gt;$AQ$3,AJ73&gt;$AQ$4))),(AND(AN73="Tier 2",X73="Yes",AJ73&gt;$AQ$5)),(AND(AN73="Tier 3",X73="No",OR(AI73&gt;$AR$3,AJ73&gt;$AR$4))),(AND(AN73="Tier 3",X73="Yes",AJ73&gt;$AR$5))),1,0)))</f>
        <v/>
      </c>
      <c r="DC73" s="265">
        <f>IF(B73="",0,IF(OR(AND(AN73="Tier 1",X73="No",OR(AI73&gt;$AS$3,AJ73&gt;$AS$4)),(AND(AN73="Tier 1",X73="Yes",AJ73&gt;$AS$5)),(AND(AN73="Tier 2",X73="No",OR(AI73&gt;$AT$3,AJ73&gt;$AT$4))),(AND(AN73="Tier 2",X73="Yes",AJ73&gt;$AT$5)),(AND(AN73="Tier 3",X73="No",OR(AI73&gt;$AU$3,AJ73&gt;$AU$4))),(AND(AN73="Tier 3",X73="Yes",AJ73&gt;$AU$5))),1,0))</f>
        <v/>
      </c>
      <c r="DD73" s="265">
        <f>IF((SUM(CE73:CX73)=0),0,W73)</f>
        <v/>
      </c>
      <c r="DE73" s="265">
        <f>IF(OR(B73="",DD73&gt;0),0,W73)</f>
        <v/>
      </c>
      <c r="DF73" s="265">
        <f>IF(B73="",0,IF(COUNTIF(CE73:CX73,1)&gt;0,0,L73-M73))</f>
        <v/>
      </c>
      <c r="DG73" s="265">
        <f>DE73+IF(DD73&gt;0,0,DF73)</f>
        <v/>
      </c>
      <c r="DH73" s="265">
        <f>IF(B73="","",M73+DF73)</f>
        <v/>
      </c>
      <c r="DI73" s="265">
        <f>IF(B73="",0,J73-K73)</f>
        <v/>
      </c>
      <c r="DJ73" s="265">
        <f>IF(OR(BF73="EUR",BF73="CAD",BF73="GBP",BF73="AUD"),(GA73*(1-V73))+(HG73)+IF(HX73="",0,HX73*(1-U73)),0)</f>
        <v/>
      </c>
      <c r="DK73" s="265">
        <f>IF(BF73="EUR",33%,IF(BF73="CAD",38%,IF(BF73="GBP",51%,IF(BF73="AUD",61%,0))))</f>
        <v/>
      </c>
      <c r="DL73" s="265">
        <f>DJ73*DK73</f>
        <v/>
      </c>
      <c r="DN73" s="538">
        <f>IF(OR(Y73="Second Lien",Y73="Tier 1 Split Lien",Y73="Tier 2 Split Lien"),DG73,0)</f>
        <v/>
      </c>
      <c r="DO73" s="539">
        <f>DN73*DN$6</f>
        <v/>
      </c>
      <c r="DP73" s="538">
        <f>DG73-DO73</f>
        <v/>
      </c>
      <c r="DQ73" s="538">
        <f>IF(Y73="Second Lien",DP73,0)</f>
        <v/>
      </c>
      <c r="DR73" s="539">
        <f>DQ73*DQ$6</f>
        <v/>
      </c>
      <c r="DS73" s="538">
        <f>DP73-DR73</f>
        <v/>
      </c>
      <c r="DT73" s="538">
        <f>IF(BH73="Yes",DS73,0)</f>
        <v/>
      </c>
      <c r="DU73" s="539">
        <f>DT73*DT$6</f>
        <v/>
      </c>
      <c r="DV73" s="538">
        <f>DS73-DU73</f>
        <v/>
      </c>
      <c r="DW73" s="538">
        <f>IF(OR(BG73="Canada",BG73="United Kingdom",BG73="Australia",BG73="Netherlands Antilles",BG73="Bermuda",BG73="Cayman Islands",BG73="British Virgin Islands",BG73="Channel Islands",BG73="Isle of Man",BG73="Australia",BG73="Netherlands",BG73="Germany",BG73="Sweden",BG73="Switzerland",BG73="Austria",BG73="Belgium",BG73="Denmark",BG73="Finland",BG73="Iceland",BG73="Ireland",BG73="Lichtenstein",BG73="Luxemborg",BG73="Norway"),DV73,0)</f>
        <v/>
      </c>
      <c r="DX73" s="539">
        <f>DW73*DW$6</f>
        <v/>
      </c>
      <c r="DY73" s="538">
        <f>DV73-DX73</f>
        <v/>
      </c>
      <c r="DZ73" s="538">
        <f>IF(BI73="Yes",DY73,0)</f>
        <v/>
      </c>
      <c r="EA73" s="539">
        <f>DZ73*DZ$6</f>
        <v/>
      </c>
      <c r="EB73" s="538">
        <f>DY73-EA73</f>
        <v/>
      </c>
      <c r="EC73" s="538">
        <f>IF(OR(Z73="Delayed Draw",Z73="Revolver"),EB73,0)</f>
        <v/>
      </c>
      <c r="ED73" s="539">
        <f>EC73*EC$6</f>
        <v/>
      </c>
      <c r="EE73" s="538">
        <f>EB73-ED73</f>
        <v/>
      </c>
      <c r="EF73" s="538">
        <f>IF(S73="Yes",EE73,0)</f>
        <v/>
      </c>
      <c r="EG73" s="539">
        <f>EF73*EF$6</f>
        <v/>
      </c>
      <c r="EH73" s="538">
        <f>EE73-EG73</f>
        <v/>
      </c>
      <c r="EI73" s="538">
        <f>IF(Q73="Yes",EH73,0)</f>
        <v/>
      </c>
      <c r="EJ73" s="539">
        <f>EI73*EI$6</f>
        <v/>
      </c>
      <c r="EK73" s="538">
        <f>EH73-EJ73</f>
        <v/>
      </c>
      <c r="EL73" s="538">
        <f>IF(BD73="Semi-Annually",EK73,0)</f>
        <v/>
      </c>
      <c r="EM73" s="539">
        <f>EL73*EL$6</f>
        <v/>
      </c>
      <c r="EN73" s="538">
        <f>EK73-EM73</f>
        <v/>
      </c>
      <c r="EO73" s="538">
        <f>IF(BK73="Yes",EN73,0)</f>
        <v/>
      </c>
      <c r="EP73" s="539">
        <f>EO73*EO$6</f>
        <v/>
      </c>
      <c r="EQ73" s="538">
        <f>EN73-EP73</f>
        <v/>
      </c>
      <c r="ER73" s="538">
        <f>IF(BL73="Yes",EQ73,0)</f>
        <v/>
      </c>
      <c r="ES73" s="539">
        <f>ER73*ER$6</f>
        <v/>
      </c>
      <c r="ET73" s="538">
        <f>EQ73-ES73</f>
        <v/>
      </c>
      <c r="EU73" s="538">
        <f>IF(BM73="Yes",ET73,0)</f>
        <v/>
      </c>
      <c r="EV73" s="539">
        <f>EU73*EU$6</f>
        <v/>
      </c>
      <c r="EW73" s="538">
        <f>ET73-EV73</f>
        <v/>
      </c>
      <c r="EX73" s="538">
        <f>IF(BV73="Yes",EW73,0)</f>
        <v/>
      </c>
      <c r="EY73" s="539">
        <f>EX73*EX$6</f>
        <v/>
      </c>
      <c r="EZ73" s="538">
        <f>EW73-EY73</f>
        <v/>
      </c>
      <c r="FA73" s="538">
        <f>IF(AR73="Yes",EZ73,0)</f>
        <v/>
      </c>
      <c r="FB73" s="539">
        <f>FA73*FA$6</f>
        <v/>
      </c>
      <c r="FC73" s="538">
        <f>EZ73-FB73</f>
        <v/>
      </c>
      <c r="FD73" s="538">
        <f>IF(OR(BF73="EUR",BF73="AUD",BF73="CAD",BF73="GBP"),FC73,0)</f>
        <v/>
      </c>
      <c r="FE73" s="539">
        <f>FD73*FD$6</f>
        <v/>
      </c>
      <c r="FF73" s="538">
        <f>FC73-FE73</f>
        <v/>
      </c>
      <c r="FG73" s="538">
        <f>FF73</f>
        <v/>
      </c>
      <c r="FH73" s="538">
        <f>IF(FF73=0,0,VLOOKUP(C73,$GU$10:$GV$406,2,FALSE)*FF73)</f>
        <v/>
      </c>
      <c r="FI73" s="538">
        <f>FF73-FH73</f>
        <v/>
      </c>
      <c r="FJ73" s="538">
        <f>FI73</f>
        <v/>
      </c>
      <c r="FK73" s="538">
        <f>IF(OR(IB73="",FI73&lt;0.01),,VLOOKUP(IB73,$GL$10:$GM$406,2,FALSE)*FI73)</f>
        <v/>
      </c>
      <c r="FL73" s="538">
        <f>FI73-FK73</f>
        <v/>
      </c>
      <c r="FM73" s="538">
        <f>FL73</f>
        <v/>
      </c>
      <c r="FN73" s="538">
        <f>IF(FL73=0,0,VLOOKUP(C73,$HD$10:$HE$406,2,FALSE)*FL73)</f>
        <v/>
      </c>
      <c r="FO73" s="538">
        <f>FL73-FN73</f>
        <v/>
      </c>
      <c r="FP73" s="538">
        <f>IF(SUM(CY73:DC73)&gt;0,0,IF(AND(AL73&gt;=5000000,AL73&lt;7500000),FO73,0))</f>
        <v/>
      </c>
      <c r="FQ73" s="539">
        <f>IF(B73="",0,FP73*FP$6*(1-$U73))</f>
        <v/>
      </c>
      <c r="FR73" s="538">
        <f>FO73-FQ73</f>
        <v/>
      </c>
      <c r="FS73" s="538">
        <f>IF(SUM(CY73:DC73)&gt;0,0,IF(AL73&lt;15000000,FR73,0))</f>
        <v/>
      </c>
      <c r="FT73" s="539">
        <f>IF(B73="",0,FS73*FS$6*(1-$U73))</f>
        <v/>
      </c>
      <c r="FU73" s="538">
        <f>FR73-FT73</f>
        <v/>
      </c>
      <c r="FV73" s="538">
        <f>IF(SUM(CY73:DC73)&gt;0,0,IF(OR(AND(X73="No",AN73="Tier 1",AI73&gt;$AG$3),AND(X73="No",AN73="Tier 2",AI73&gt;$AH$3),AND(X73="No",AN73="Tier 3",AI73&gt;$AI$3)),FU73,0))</f>
        <v/>
      </c>
      <c r="FW73" s="538">
        <f>IF(SUM(CY73:DC73)&gt;0,0,IF(OR(AND(X73="No",AN73="Tier 1",AJ73&gt;$AG$4),AND(X73="No",AN73="Tier 2",AJ73&gt;$AH$4),AND(X73="No",AN73="Tier 3",AJ73&gt;$AI$4)),FU73,0))</f>
        <v/>
      </c>
      <c r="FX73" s="538">
        <f>IF(SUM(CY73:DC73)&gt;0,0,IF(OR(AND(X73="Yes",AN73="Tier 1",AJ73&gt;$AG$5),AND(X73="Yes",AN73="Tier 2",AJ73&gt;$AH$5),AND(X73="Yes",AN73="Tier 3",AJ73&gt;$AI$5)),FU73,0))</f>
        <v/>
      </c>
      <c r="FY73" s="538">
        <f>IF(SUM(FV73:FX73)&gt;0,FU73,0)</f>
        <v/>
      </c>
      <c r="FZ73" s="539">
        <f>IF(B73="",0,FY73*FV$6*(1-MIN(90%,T73)))</f>
        <v/>
      </c>
      <c r="GA73" s="538">
        <f>FU73-FZ73</f>
        <v/>
      </c>
      <c r="GB73" s="538">
        <f>IF(AND(N73="No",DI73=0),GA73,IF(AND(N73="No",DI73&lt;&gt;0,K73=0),0,IF(AND(N73="No",DI73&lt;&gt;0,K73&gt;0,J73&lt;&gt;K73),MAX(0,M73-(DH73-GA73)),DG73)))</f>
        <v/>
      </c>
      <c r="GC73" s="540">
        <f>+GB73*V73</f>
        <v/>
      </c>
      <c r="GD73" s="138">
        <f>IFERROR(GC73/K73,"")</f>
        <v/>
      </c>
      <c r="GE73" s="541">
        <f>IF(IB73="","",IB73)</f>
        <v/>
      </c>
      <c r="GF73" s="538">
        <f t="array" ref="GF73">IF(SUM(IF(IB$9:IB72=IB73,1,0))&gt;0,0,SUMIF($IB$10:$IB$406,IB73,$FI$10:$FI$406))</f>
        <v/>
      </c>
      <c r="GG73" s="270">
        <f>GF73</f>
        <v/>
      </c>
      <c r="GH73" s="137">
        <f>GH72+1</f>
        <v/>
      </c>
      <c r="GI73" s="542">
        <f>LARGE($GG$10:$GG$406,GH73)</f>
        <v/>
      </c>
      <c r="GJ73" s="542">
        <f>IF(GH73&gt;GH$6,0,IF(GH73=$GH$2,$GJ$2,IF(GH73&lt;4,$GJ$3,$GJ$4)))</f>
        <v/>
      </c>
      <c r="GK73" s="489">
        <f>MAX(0,GI73-GJ73)</f>
        <v/>
      </c>
      <c r="GL73" s="137">
        <f t="array" ref="GL73">IF(GI73=0,0,LARGE(IF($GF$10:$GF$406=GI73,$GE$10:$GE$406,0),COUNTIF($GI$10:$GI$406,GI73)-COUNTIF(GI$9:GI72,GI73)))</f>
        <v/>
      </c>
      <c r="GM73" s="272">
        <f>IF(GI73=0,0,GK73/GI73)</f>
        <v/>
      </c>
      <c r="GO73" s="137">
        <f>IF(C73="","",IF(ISERROR(MATCH(C73,C$10:C72,0)),MAX(GO$10:GO72)+1,INDEX(GO$10:GO72,MATCH(C73,C$10:C72,0))))</f>
        <v/>
      </c>
      <c r="GP73" s="538">
        <f>IF(COUNTIF($A$10:A73,A73)&lt;=1,SUMIF($A$10:$A$406,A73,$FG$10:$FG$406),0)</f>
        <v/>
      </c>
      <c r="GQ73" s="137">
        <f>GQ72+1</f>
        <v/>
      </c>
      <c r="GR73" s="542">
        <f>LARGE($GP$10:$GP$406,GQ73)</f>
        <v/>
      </c>
      <c r="GS73" s="542">
        <f>IF(GQ73&gt;GQ$6,0,IF(GQ73&lt;=GQ$2,GS$2,IF(AND(GQ73&lt;=$GQ$3,GQ73&gt;$GQ$2),GS$3,GS$4)))</f>
        <v/>
      </c>
      <c r="GT73" s="489">
        <f>MAX(0,GR73-GS73)</f>
        <v/>
      </c>
      <c r="GU73" s="137">
        <f t="array" ref="GU73">IF(GR73=0,0,LARGE(IF($GP$10:$GP$406=GR73,$GO$10:$GO$406,0),COUNTIF($GR$10:$GR$406,GR73)-COUNTIF(GR$9:GR72,GR73)))</f>
        <v/>
      </c>
      <c r="GV73" s="272">
        <f>IF(GR73=0,0,GT73/GR73)</f>
        <v/>
      </c>
      <c r="GW73" s="272" t="n"/>
      <c r="GX73" s="137">
        <f>IF(C73="","",IF(ISERROR(MATCH(C73,C$10:C72,0)),MAX(GO$10:GO72)+1,INDEX(GO$10:GO72,MATCH(C73,C$10:C72,0))))</f>
        <v/>
      </c>
      <c r="GY73" s="538">
        <f>IF(COUNTIF($A$10:A73,A73)&lt;=1,SUMIF($A$10:$A$406,A73,$FG$10:$FG$406),0)</f>
        <v/>
      </c>
      <c r="GZ73" s="137">
        <f>GZ72+1</f>
        <v/>
      </c>
      <c r="HA73" s="542">
        <f>LARGE($GY$10:$GY$406,GZ73)</f>
        <v/>
      </c>
      <c r="HB73" s="543" t="inlineStr">
        <is>
          <t>-</t>
        </is>
      </c>
      <c r="HC73" s="489">
        <f>IF(GZ73&lt;6,MAX(0,$HC$2/5),0)</f>
        <v/>
      </c>
      <c r="HD73" s="137">
        <f t="array" ref="HD73">IF(HA73=0,0,LARGE(IF($GY$10:$GY$406=HA73,$GX$10:$GX$406,0),COUNTIF($HA$10:$HA$406,HA73)-COUNTIF(HA$9:HA72,HA73)))</f>
        <v/>
      </c>
      <c r="HE73" s="272">
        <f>IF(HA73=0,0,HC73/HA73)</f>
        <v/>
      </c>
      <c r="HF73" s="272" t="n"/>
      <c r="HG73" s="270">
        <f>DG73-GA73</f>
        <v/>
      </c>
      <c r="HH73" s="544" t="n">
        <v>0</v>
      </c>
      <c r="HI73" s="538">
        <f>MIN(HH73,DE73)</f>
        <v/>
      </c>
      <c r="HK73" s="137">
        <f>IF(COUNTIF($C$10:$C$406,HK72+1),HK72+1,"")</f>
        <v/>
      </c>
      <c r="HL73" s="538">
        <f>SUMIF($C$10:$C$406,HK73,$DG$10:$DG$406)</f>
        <v/>
      </c>
      <c r="HN73" s="521">
        <f>MIN(HO73:HS73)</f>
        <v/>
      </c>
      <c r="HO73" s="521">
        <f>IF(B73="","",$M73)</f>
        <v/>
      </c>
      <c r="HP73" s="521">
        <f>IF($N73="Yes",IF(P73&gt;=6,0,MIN($T73*$M73,$U73*$M73)),"")</f>
        <v/>
      </c>
      <c r="HQ73" s="521">
        <f>IF(AND(N73="Yes",P73&gt;=6),"",IF($S73="Yes",$R73*$M73,""))</f>
        <v/>
      </c>
      <c r="HR73" s="521">
        <f>IF($Q73="Yes",MIN($M73,$T73*$M73),"")</f>
        <v/>
      </c>
      <c r="HS73" s="521">
        <f>IF(AND($N73="Yes",$P73&gt;=6),"",IF(OR(CY73=1,DC73=1,),MIN($T73*$M73,$U73*$M73),IF(OR(CZ73=1,DA73=1,DB73=1),IF(AK73&gt;=5000000,MIN($T73*$M73,$IE73*$M73),MIN($T73*$M73,$U73*$M73)),"")))</f>
        <v/>
      </c>
      <c r="HT73" s="521">
        <f>IF(DD73&gt;0,DD73,"")</f>
        <v/>
      </c>
      <c r="HU73" s="522">
        <f>IF(B73="",0,$L73-$M73)</f>
        <v/>
      </c>
      <c r="HV73" s="274">
        <f>IF(OR(SUM(HP73:HT73)&gt;0,P73&gt;=6),"",IF($B73="","",1))</f>
        <v/>
      </c>
      <c r="HW73" s="522">
        <f>IF(AND($HT73&lt;&gt;0,OR(HT73&lt;=MIN(HP73:HS73),SUM(HP73:HS73)=0)),$HT73,0)</f>
        <v/>
      </c>
      <c r="HX73" s="522">
        <f>IF(AND($HS73&lt;&gt;0,OR(AND($HS73&lt;&gt;$HT73,$HS73&lt;&gt;$HR73,$HS73&lt;&gt;$HQ73,$HS73&lt;&gt;$HP73,$HS73&lt;MIN($HP73:$HR73),$HS73&lt;HT73),SUM($HP73:$HR73)+SUM(HT73)=0),IA73&lt;=0),$HS73,0)</f>
        <v/>
      </c>
      <c r="HY73" s="522">
        <f>IF(AND($HR73&lt;&gt;0,OR(AND($HR73&lt;&gt;$HT73,$HR73&lt;&gt;$HS73,$HR73&lt;&gt;$HQ73,$HR73&lt;&gt;$HP73),$HR73&lt;MIN($HP73:$HQ73),$HR73&lt;MIN($HS73:$HT73),SUM($HP73:$HQ73)+SUM($HS73:$HT73)=0)),$HR73,0)</f>
        <v/>
      </c>
      <c r="HZ73" s="522">
        <f>IF(AND($HQ73&lt;&gt;0,OR(AND($HQ73&lt;&gt;$HT73,HQ73&lt;&gt;HS73,HQ73&lt;&gt;HR73,HQ73&lt;&gt;HP73,HQ73&lt;MIN(HR73:HT73)),SUM(HP73)+SUM(HR73:HT73)=0)),$HQ73,0)</f>
        <v/>
      </c>
      <c r="IA73" s="522">
        <f>IF(AND($HP73&lt;&gt;0,OR(HP73&lt;=MIN(HQ73:HT73),SUM(HQ73:HT73)=0)),$HP73,0)</f>
        <v/>
      </c>
      <c r="IB73" s="545" t="n">
        <v>19</v>
      </c>
      <c r="IC73">
        <f>HU73=DF73</f>
        <v/>
      </c>
      <c r="IE73" s="351">
        <f>IF(B73="","",IF(AND(Y73="Second Lien",OR(CZ73=1,DA73=1,DB73=1)),50%,IF(CZ73=1,90%,IF(DA73=1,80%,IF(DB73=1,65%,"No Initial Haircut")))))</f>
        <v/>
      </c>
    </row>
    <row r="74">
      <c r="A74">
        <f>D74</f>
        <v/>
      </c>
      <c r="B74" s="242">
        <f>IF(D74="","",B73+1)</f>
        <v/>
      </c>
      <c r="C74" s="242">
        <f>IF(COUNTIF($A$10:A73,A74)&gt;0,C73,C73+1)</f>
        <v/>
      </c>
      <c r="D74" s="243" t="inlineStr">
        <is>
          <t>Copperline Industries, Inc.</t>
        </is>
      </c>
      <c r="E74" s="243" t="inlineStr">
        <is>
          <t>Copperline (Term Loan)</t>
        </is>
      </c>
      <c r="F74" s="244" t="n"/>
      <c r="G74" s="528" t="n">
        <v>1754578.79</v>
      </c>
      <c r="H74" s="528" t="n">
        <v>1754578.79</v>
      </c>
      <c r="I74" s="246" t="n">
        <v>1</v>
      </c>
      <c r="J74" s="529">
        <f>IF(B74="","",G74*I74)</f>
        <v/>
      </c>
      <c r="K74" s="529">
        <f>IF(B74="","",H74*I74)</f>
        <v/>
      </c>
      <c r="L74" s="529">
        <f>IF(B74="","",IF(COUNTIF($CE74:$CX74,1)&gt;0,0,J74))</f>
        <v/>
      </c>
      <c r="M74" s="529">
        <f>IF(B74="","",IF(COUNTIF($CE74:$CX74,1)&gt;0,0,K74))</f>
        <v/>
      </c>
      <c r="N74" s="248" t="inlineStr">
        <is>
          <t>No</t>
        </is>
      </c>
      <c r="O74" s="248" t="inlineStr">
        <is>
          <t>N/A</t>
        </is>
      </c>
      <c r="P74" s="249">
        <f>IF(B74="","",IF(OR(O74="N/A",O74=""),0,YEARFRAC('Borrowing Base'!$J$4,'Loan List'!O74)*12))</f>
        <v/>
      </c>
      <c r="Q74" s="248" t="inlineStr">
        <is>
          <t>No</t>
        </is>
      </c>
      <c r="R74" s="250" t="n">
        <v>0.9927861</v>
      </c>
      <c r="S74" s="251">
        <f>IF(B74="","",IF(R74&lt;95%,"Yes","No"))</f>
        <v/>
      </c>
      <c r="T74" s="250" t="n">
        <v>1</v>
      </c>
      <c r="U74" s="252">
        <f>IF(B74="","",IF(OR(Y74="First Lien",Y74="Split First Lien",Y74="Tier 1 Split Lien",Y74="Tier 2 Split Lien"),50%,30%))</f>
        <v/>
      </c>
      <c r="V74" s="252">
        <f>IF(B74="",0,IF(AND(Y74="First Lien",AN74="Tier 1"),IF(AND(X74="Yes",MIN(AH74,$AJ$5)&gt;4.5),(((4.5/MIN(AH74,$AJ$5))*72.5%)+(((MIN(AH74,$AJ$5)-4.5)/MIN(AH74,$AJ$5))*35%)),72.5%),IF(AND(Y74="First Lien",AN74="Tier 2"),IF(AND(X74="Yes",MIN(AH74,$AK$5)&gt;4.5),(((4.5/MIN(AH74,$AK$5))*72.5%)+(((MIN(AH74,$AK$5)-4.5)/MIN(AH74,$AK$5))*35%)),72.5%),IF(AND(X74="Yes",MIN(AH74,$AL$5)&gt;4),(((4/MIN(AH74,$AL$5))*72.5%)+(((MIN(AH74,$AL$5)-4)/MIN(AH74,$AL$5))*35%)),IF(OR(Y74="First Lien",Y74="Split First Lien"),72.5%,IF(Y74="Split Lien", 53%,35%))))))</f>
        <v/>
      </c>
      <c r="W74" s="530">
        <f>IF($C74="","",MIN($HO74:$HS74))</f>
        <v/>
      </c>
      <c r="X74" s="248" t="inlineStr">
        <is>
          <t>Yes</t>
        </is>
      </c>
      <c r="Y74" s="254" t="inlineStr">
        <is>
          <t>First Lien</t>
        </is>
      </c>
      <c r="Z74" s="254" t="inlineStr">
        <is>
          <t>Term</t>
        </is>
      </c>
      <c r="AA74" s="531" t="inlineStr">
        <is>
          <t>NR</t>
        </is>
      </c>
      <c r="AB74" s="531" t="inlineStr">
        <is>
          <t xml:space="preserve"> NR</t>
        </is>
      </c>
      <c r="AC74" s="532" t="n">
        <v>1.28</v>
      </c>
      <c r="AD74" s="532" t="n">
        <v>6.3</v>
      </c>
      <c r="AE74" s="532" t="n">
        <v>6.111955552842132</v>
      </c>
      <c r="AF74" s="257" t="n">
        <v>0.7</v>
      </c>
      <c r="AG74" s="533" t="n">
        <v>6.05</v>
      </c>
      <c r="AH74" s="533" t="n">
        <v>6.3</v>
      </c>
      <c r="AI74" s="533" t="n">
        <v>4.145009833454689</v>
      </c>
      <c r="AJ74" s="533" t="n">
        <v>6.111955552842132</v>
      </c>
      <c r="AK74" s="534" t="n">
        <v>17810000</v>
      </c>
      <c r="AL74" s="534" t="n">
        <v>31399443</v>
      </c>
      <c r="AM74" s="276" t="n">
        <v>45808</v>
      </c>
      <c r="AN74" s="529">
        <f>IF(C74="","",(IF(AK74&gt;=50000000,"Tier 1",(IF(OR(AK74&gt;=20000000,AND(AK74&gt;5000000,AC74&gt;=1.25,AF74&lt;=0.65)),"Tier 2","Tier 3")))))</f>
        <v/>
      </c>
      <c r="AO74" s="244" t="n">
        <v>46741</v>
      </c>
      <c r="AP74" s="535" t="n">
        <v>2.388888888888889</v>
      </c>
      <c r="AQ74" s="535">
        <f>IF(C74="","",AP74)</f>
        <v/>
      </c>
      <c r="AR74" s="248" t="inlineStr">
        <is>
          <t>No</t>
        </is>
      </c>
      <c r="AS74" s="250" t="n">
        <v>0</v>
      </c>
      <c r="AT74" s="248" t="inlineStr">
        <is>
          <t>No</t>
        </is>
      </c>
      <c r="AU74" s="250" t="inlineStr"/>
      <c r="AV74" s="250" t="n">
        <v>0.07149999999999999</v>
      </c>
      <c r="AW74" s="250" t="n">
        <v>0.04317000000000001</v>
      </c>
      <c r="AX74" s="262">
        <f>IF(C74="","",MAX(AU74,AW74))</f>
        <v/>
      </c>
      <c r="AY74" s="250" t="n">
        <v>0.005</v>
      </c>
      <c r="AZ74" s="250" t="n">
        <v>0</v>
      </c>
      <c r="BA74" s="250" t="n">
        <v>0</v>
      </c>
      <c r="BB74" s="412">
        <f>IF(B74="","",IF(AR74="No",AV74-AZ74,""))</f>
        <v/>
      </c>
      <c r="BC74" s="412">
        <f>IF(B74="","",IF(AR74="Yes",AS74-BA74,""))</f>
        <v/>
      </c>
      <c r="BD74" s="254" t="inlineStr">
        <is>
          <t>Quarterly</t>
        </is>
      </c>
      <c r="BE74" s="536" t="inlineStr">
        <is>
          <t>Aerospace &amp; Defense</t>
        </is>
      </c>
      <c r="BF74" s="254" t="inlineStr">
        <is>
          <t>USD</t>
        </is>
      </c>
      <c r="BG74" s="254" t="inlineStr">
        <is>
          <t>United States</t>
        </is>
      </c>
      <c r="BH74" s="248" t="inlineStr">
        <is>
          <t>No</t>
        </is>
      </c>
      <c r="BI74" s="413">
        <f>IF(B74="","",IF(OR(AND(AZ74&gt;0,BB74&gt;=2.5%,BB74&lt;4%),AND(BA74&gt;0,BC74&gt;=6%,BC74&lt;8%)),"Yes","No"))</f>
        <v/>
      </c>
      <c r="BJ74" s="413">
        <f>IF(B74="","",IF(OR(AND(AZ74&gt;0,BB74&lt;2.5%),AND(BA74&gt;0,BC74&lt;6%)),"Yes","No"))</f>
        <v/>
      </c>
      <c r="BK74" s="248" t="inlineStr">
        <is>
          <t>No</t>
        </is>
      </c>
      <c r="BL74" s="248" t="inlineStr">
        <is>
          <t>No</t>
        </is>
      </c>
      <c r="BM74" s="248" t="inlineStr">
        <is>
          <t>No</t>
        </is>
      </c>
      <c r="BN74" s="248" t="inlineStr">
        <is>
          <t>No</t>
        </is>
      </c>
      <c r="BO74" s="248" t="inlineStr">
        <is>
          <t>No</t>
        </is>
      </c>
      <c r="BP74" s="248" t="inlineStr">
        <is>
          <t>No</t>
        </is>
      </c>
      <c r="BQ74" s="248" t="inlineStr">
        <is>
          <t>No</t>
        </is>
      </c>
      <c r="BR74" s="248" t="inlineStr">
        <is>
          <t>No</t>
        </is>
      </c>
      <c r="BS74" s="248" t="inlineStr">
        <is>
          <t>No</t>
        </is>
      </c>
      <c r="BT74" s="248" t="inlineStr">
        <is>
          <t>No</t>
        </is>
      </c>
      <c r="BU74" s="248" t="inlineStr">
        <is>
          <t>No</t>
        </is>
      </c>
      <c r="BV74" s="248" t="inlineStr">
        <is>
          <t>No</t>
        </is>
      </c>
      <c r="BW74" s="248" t="inlineStr">
        <is>
          <t>No</t>
        </is>
      </c>
      <c r="BX74" s="248" t="inlineStr">
        <is>
          <t>No</t>
        </is>
      </c>
      <c r="BY74" s="248" t="inlineStr">
        <is>
          <t>No</t>
        </is>
      </c>
      <c r="BZ74" s="248" t="inlineStr">
        <is>
          <t>No</t>
        </is>
      </c>
      <c r="CA74" s="248" t="inlineStr">
        <is>
          <t>Yes</t>
        </is>
      </c>
      <c r="CB74" s="537">
        <f>IF(B74="","",IF(AT74="No",((BB74+AW74)-$AZ$4),((BB74+AX74)-$AZ$4))*IF(DD74&gt;0,0,M74))</f>
        <v/>
      </c>
      <c r="CC74" s="537">
        <f>IF(B74="","",AY74*(L74-M74)*IF(DD74&gt;0,0,1))</f>
        <v/>
      </c>
      <c r="CD74" s="265" t="n"/>
      <c r="CE74" s="265">
        <f>IF(AND(B74&lt;&gt;"",R74&lt;=85%),1,0)</f>
        <v/>
      </c>
      <c r="CF74" s="265">
        <f>IF(B74="",0,(IF(OR(BF74="USD",BF74="CAD",BF74="GBP",BF74="AUD",BF74="EUR"),0,1)))</f>
        <v/>
      </c>
      <c r="CG74" s="265">
        <f>IF(B74="",0,(IF(OR(BG74="United States",BG74="Canada",BG74="United Kingdom",BG74="Australia",BG74="Netherlands Antilles",BG74="Bermuda",BG74="Cayman Islands",BG74="British Virgin Islands",BG74="Channel Islands",BG74="Isle of Man",BG74="Australia",BG74="Netherlands",BG74="Germany",BG74="Sweden",BG74="Switzerland",BG74="Austria",BG74="Belgium",BG74="Denmark",BG74="Finland",BG74="Iceland",BG74="Ireland",BG74="Lichtenstein",BG74="Luxemborg",BG74="Norway"),0,1)))</f>
        <v/>
      </c>
      <c r="CH74" s="265">
        <f>IF(BN74="Yes",1,0)</f>
        <v/>
      </c>
      <c r="CI74" s="265">
        <f>IF(BO74="Yes",1,0)</f>
        <v/>
      </c>
      <c r="CJ74" s="265">
        <f>IF(BP74="Yes",1,0)</f>
        <v/>
      </c>
      <c r="CK74" s="265">
        <f>IF(BQ74="Yes",1,0)</f>
        <v/>
      </c>
      <c r="CL74" s="265">
        <f>IF(BR74="Yes",1,0)</f>
        <v/>
      </c>
      <c r="CM74" s="265">
        <f>IF(BS74="Yes",1,0)</f>
        <v/>
      </c>
      <c r="CN74" s="265">
        <f>IF(OR(AND(BJ74="Yes",N74="No"),AND(BJ74="Yes",N74="Yes",P74&gt;=6)),1,0)</f>
        <v/>
      </c>
      <c r="CO74" s="265">
        <f>IF(BT74="Yes",1,0)</f>
        <v/>
      </c>
      <c r="CP74" s="265">
        <f>IF(AND(BU74="Yes",BV74="No"),1,0)</f>
        <v/>
      </c>
      <c r="CQ74" s="265">
        <f>IF(BW74="Yes",1,0)</f>
        <v/>
      </c>
      <c r="CR74" s="265">
        <f>IF(AP74="",0,IF(AP74&gt;7,1,0))</f>
        <v/>
      </c>
      <c r="CS74" s="265">
        <f>IF(OR(BD74&lt;&gt;"Monthly",BD74&lt;&gt;"Quarterly",BD74&lt;&gt;"Semi-Annually"),0,1)</f>
        <v/>
      </c>
      <c r="CT74" s="265">
        <f>IF(BX74="Yes",1,0)</f>
        <v/>
      </c>
      <c r="CU74" s="265">
        <f>IF(BY74="Yes",1,0)</f>
        <v/>
      </c>
      <c r="CV74" s="265">
        <f>IF(BZ74="Yes",1,0)</f>
        <v/>
      </c>
      <c r="CW74" s="265">
        <f>IF(CA74="No",1,0)</f>
        <v/>
      </c>
      <c r="CX74" s="265">
        <f>IF(B74="",0,IF(AK74&gt;=5000000,0,1))</f>
        <v/>
      </c>
      <c r="CY74" s="265">
        <f>IF(B74="",0,IF(AL74&gt;=5000000,0,1))</f>
        <v/>
      </c>
      <c r="CZ74" s="265">
        <f>IF(OR(DA74=1,DB74=1,DC74=1),0,IF(B74="",0,IF(OR(AND(AN74="Tier 1",X74="No",OR(AI74&gt;$AJ$3,AJ74&gt;$AJ$4)),(AND(AN74="Tier 1",X74="Yes",AJ74&gt;$AJ$5)),(AND(AN74="Tier 2",X74="No",OR(AI74&gt;$AK$3,AJ74&gt;$AK$4))),(AND(AN74="Tier 2",X74="Yes",AJ74&gt;$AK$5)),(AND(AN74="Tier 3",X74="No",OR(AI74&gt;$AL$3,AJ74&gt;$AL$4))),(AND(AN74="Tier 3",X74="Yes",AJ74&gt;$AL$5))),1,0)))</f>
        <v/>
      </c>
      <c r="DA74" s="265">
        <f>IF(OR(DB74=1,DC74=1),0,IF(B74="",0,IF(OR(AND(AN74="Tier 1",X74="No",OR(AI74&gt;$AM$3,AJ74&gt;$AM$4)),(AND(AN74="Tier 1",X74="Yes",AJ74&gt;$AM$5)),(AND(AN74="Tier 2",X74="No",OR(AI74&gt;$AN$3,AJ74&gt;$AN$4))),(AND(AN74="Tier 2",X74="Yes",AJ74&gt;$AN$5)),(AND(AN74="Tier 3",X74="No",OR(AI74&gt;$AO$3,AJ74&gt;$AO$4))),(AND(AN74="Tier 3",X74="Yes",AJ74&gt;$AO$5))),1,0)))</f>
        <v/>
      </c>
      <c r="DB74" s="265">
        <f>IF(DC74=1,0,IF(B74="",0,IF(OR(AND(AN74="Tier 1",X74="No",OR(AI74&gt;$AP$3,AJ74&gt;$AP$4)),(AND(AN74="Tier 1",X74="Yes",AJ74&gt;$AP$5)),(AND(AN74="Tier 2",X74="No",OR(AI74&gt;$AQ$3,AJ74&gt;$AQ$4))),(AND(AN74="Tier 2",X74="Yes",AJ74&gt;$AQ$5)),(AND(AN74="Tier 3",X74="No",OR(AI74&gt;$AR$3,AJ74&gt;$AR$4))),(AND(AN74="Tier 3",X74="Yes",AJ74&gt;$AR$5))),1,0)))</f>
        <v/>
      </c>
      <c r="DC74" s="265">
        <f>IF(B74="",0,IF(OR(AND(AN74="Tier 1",X74="No",OR(AI74&gt;$AS$3,AJ74&gt;$AS$4)),(AND(AN74="Tier 1",X74="Yes",AJ74&gt;$AS$5)),(AND(AN74="Tier 2",X74="No",OR(AI74&gt;$AT$3,AJ74&gt;$AT$4))),(AND(AN74="Tier 2",X74="Yes",AJ74&gt;$AT$5)),(AND(AN74="Tier 3",X74="No",OR(AI74&gt;$AU$3,AJ74&gt;$AU$4))),(AND(AN74="Tier 3",X74="Yes",AJ74&gt;$AU$5))),1,0))</f>
        <v/>
      </c>
      <c r="DD74" s="265">
        <f>IF((SUM(CE74:CX74)=0),0,W74)</f>
        <v/>
      </c>
      <c r="DE74" s="265">
        <f>IF(OR(B74="",DD74&gt;0),0,W74)</f>
        <v/>
      </c>
      <c r="DF74" s="265">
        <f>IF(B74="",0,IF(COUNTIF(CE74:CX74,1)&gt;0,0,L74-M74))</f>
        <v/>
      </c>
      <c r="DG74" s="265">
        <f>DE74+IF(DD74&gt;0,0,DF74)</f>
        <v/>
      </c>
      <c r="DH74" s="265">
        <f>IF(B74="","",M74+DF74)</f>
        <v/>
      </c>
      <c r="DI74" s="265">
        <f>IF(B74="",0,J74-K74)</f>
        <v/>
      </c>
      <c r="DJ74" s="265">
        <f>IF(OR(BF74="EUR",BF74="CAD",BF74="GBP",BF74="AUD"),(GA74*(1-V74))+(HG74)+IF(HX74="",0,HX74*(1-U74)),0)</f>
        <v/>
      </c>
      <c r="DK74" s="265">
        <f>IF(BF74="EUR",33%,IF(BF74="CAD",38%,IF(BF74="GBP",51%,IF(BF74="AUD",61%,0))))</f>
        <v/>
      </c>
      <c r="DL74" s="265">
        <f>DJ74*DK74</f>
        <v/>
      </c>
      <c r="DN74" s="538">
        <f>IF(OR(Y74="Second Lien",Y74="Tier 1 Split Lien",Y74="Tier 2 Split Lien"),DG74,0)</f>
        <v/>
      </c>
      <c r="DO74" s="539">
        <f>DN74*DN$6</f>
        <v/>
      </c>
      <c r="DP74" s="538">
        <f>DG74-DO74</f>
        <v/>
      </c>
      <c r="DQ74" s="538">
        <f>IF(Y74="Second Lien",DP74,0)</f>
        <v/>
      </c>
      <c r="DR74" s="539">
        <f>DQ74*DQ$6</f>
        <v/>
      </c>
      <c r="DS74" s="538">
        <f>DP74-DR74</f>
        <v/>
      </c>
      <c r="DT74" s="538">
        <f>IF(BH74="Yes",DS74,0)</f>
        <v/>
      </c>
      <c r="DU74" s="539">
        <f>DT74*DT$6</f>
        <v/>
      </c>
      <c r="DV74" s="538">
        <f>DS74-DU74</f>
        <v/>
      </c>
      <c r="DW74" s="538">
        <f>IF(OR(BG74="Canada",BG74="United Kingdom",BG74="Australia",BG74="Netherlands Antilles",BG74="Bermuda",BG74="Cayman Islands",BG74="British Virgin Islands",BG74="Channel Islands",BG74="Isle of Man",BG74="Australia",BG74="Netherlands",BG74="Germany",BG74="Sweden",BG74="Switzerland",BG74="Austria",BG74="Belgium",BG74="Denmark",BG74="Finland",BG74="Iceland",BG74="Ireland",BG74="Lichtenstein",BG74="Luxemborg",BG74="Norway"),DV74,0)</f>
        <v/>
      </c>
      <c r="DX74" s="539">
        <f>DW74*DW$6</f>
        <v/>
      </c>
      <c r="DY74" s="538">
        <f>DV74-DX74</f>
        <v/>
      </c>
      <c r="DZ74" s="538">
        <f>IF(BI74="Yes",DY74,0)</f>
        <v/>
      </c>
      <c r="EA74" s="539">
        <f>DZ74*DZ$6</f>
        <v/>
      </c>
      <c r="EB74" s="538">
        <f>DY74-EA74</f>
        <v/>
      </c>
      <c r="EC74" s="538">
        <f>IF(OR(Z74="Delayed Draw",Z74="Revolver"),EB74,0)</f>
        <v/>
      </c>
      <c r="ED74" s="539">
        <f>EC74*EC$6</f>
        <v/>
      </c>
      <c r="EE74" s="538">
        <f>EB74-ED74</f>
        <v/>
      </c>
      <c r="EF74" s="538">
        <f>IF(S74="Yes",EE74,0)</f>
        <v/>
      </c>
      <c r="EG74" s="539">
        <f>EF74*EF$6</f>
        <v/>
      </c>
      <c r="EH74" s="538">
        <f>EE74-EG74</f>
        <v/>
      </c>
      <c r="EI74" s="538">
        <f>IF(Q74="Yes",EH74,0)</f>
        <v/>
      </c>
      <c r="EJ74" s="539">
        <f>EI74*EI$6</f>
        <v/>
      </c>
      <c r="EK74" s="538">
        <f>EH74-EJ74</f>
        <v/>
      </c>
      <c r="EL74" s="538">
        <f>IF(BD74="Semi-Annually",EK74,0)</f>
        <v/>
      </c>
      <c r="EM74" s="539">
        <f>EL74*EL$6</f>
        <v/>
      </c>
      <c r="EN74" s="538">
        <f>EK74-EM74</f>
        <v/>
      </c>
      <c r="EO74" s="538">
        <f>IF(BK74="Yes",EN74,0)</f>
        <v/>
      </c>
      <c r="EP74" s="539">
        <f>EO74*EO$6</f>
        <v/>
      </c>
      <c r="EQ74" s="538">
        <f>EN74-EP74</f>
        <v/>
      </c>
      <c r="ER74" s="538">
        <f>IF(BL74="Yes",EQ74,0)</f>
        <v/>
      </c>
      <c r="ES74" s="539">
        <f>ER74*ER$6</f>
        <v/>
      </c>
      <c r="ET74" s="538">
        <f>EQ74-ES74</f>
        <v/>
      </c>
      <c r="EU74" s="538">
        <f>IF(BM74="Yes",ET74,0)</f>
        <v/>
      </c>
      <c r="EV74" s="539">
        <f>EU74*EU$6</f>
        <v/>
      </c>
      <c r="EW74" s="538">
        <f>ET74-EV74</f>
        <v/>
      </c>
      <c r="EX74" s="538">
        <f>IF(BV74="Yes",EW74,0)</f>
        <v/>
      </c>
      <c r="EY74" s="539">
        <f>EX74*EX$6</f>
        <v/>
      </c>
      <c r="EZ74" s="538">
        <f>EW74-EY74</f>
        <v/>
      </c>
      <c r="FA74" s="538">
        <f>IF(AR74="Yes",EZ74,0)</f>
        <v/>
      </c>
      <c r="FB74" s="539">
        <f>FA74*FA$6</f>
        <v/>
      </c>
      <c r="FC74" s="538">
        <f>EZ74-FB74</f>
        <v/>
      </c>
      <c r="FD74" s="538">
        <f>IF(OR(BF74="EUR",BF74="AUD",BF74="CAD",BF74="GBP"),FC74,0)</f>
        <v/>
      </c>
      <c r="FE74" s="539">
        <f>FD74*FD$6</f>
        <v/>
      </c>
      <c r="FF74" s="538">
        <f>FC74-FE74</f>
        <v/>
      </c>
      <c r="FG74" s="538">
        <f>FF74</f>
        <v/>
      </c>
      <c r="FH74" s="538">
        <f>IF(FF74=0,0,VLOOKUP(C74,$GU$10:$GV$406,2,FALSE)*FF74)</f>
        <v/>
      </c>
      <c r="FI74" s="538">
        <f>FF74-FH74</f>
        <v/>
      </c>
      <c r="FJ74" s="538">
        <f>FI74</f>
        <v/>
      </c>
      <c r="FK74" s="538">
        <f>IF(OR(IB74="",FI74&lt;0.01),,VLOOKUP(IB74,$GL$10:$GM$406,2,FALSE)*FI74)</f>
        <v/>
      </c>
      <c r="FL74" s="538">
        <f>FI74-FK74</f>
        <v/>
      </c>
      <c r="FM74" s="538">
        <f>FL74</f>
        <v/>
      </c>
      <c r="FN74" s="538">
        <f>IF(FL74=0,0,VLOOKUP(C74,$HD$10:$HE$406,2,FALSE)*FL74)</f>
        <v/>
      </c>
      <c r="FO74" s="538">
        <f>FL74-FN74</f>
        <v/>
      </c>
      <c r="FP74" s="538">
        <f>IF(SUM(CY74:DC74)&gt;0,0,IF(AND(AL74&gt;=5000000,AL74&lt;7500000),FO74,0))</f>
        <v/>
      </c>
      <c r="FQ74" s="539">
        <f>IF(B74="",0,FP74*FP$6*(1-$U74))</f>
        <v/>
      </c>
      <c r="FR74" s="538">
        <f>FO74-FQ74</f>
        <v/>
      </c>
      <c r="FS74" s="538">
        <f>IF(SUM(CY74:DC74)&gt;0,0,IF(AL74&lt;15000000,FR74,0))</f>
        <v/>
      </c>
      <c r="FT74" s="539">
        <f>IF(B74="",0,FS74*FS$6*(1-$U74))</f>
        <v/>
      </c>
      <c r="FU74" s="538">
        <f>FR74-FT74</f>
        <v/>
      </c>
      <c r="FV74" s="538">
        <f>IF(SUM(CY74:DC74)&gt;0,0,IF(OR(AND(X74="No",AN74="Tier 1",AI74&gt;$AG$3),AND(X74="No",AN74="Tier 2",AI74&gt;$AH$3),AND(X74="No",AN74="Tier 3",AI74&gt;$AI$3)),FU74,0))</f>
        <v/>
      </c>
      <c r="FW74" s="538">
        <f>IF(SUM(CY74:DC74)&gt;0,0,IF(OR(AND(X74="No",AN74="Tier 1",AJ74&gt;$AG$4),AND(X74="No",AN74="Tier 2",AJ74&gt;$AH$4),AND(X74="No",AN74="Tier 3",AJ74&gt;$AI$4)),FU74,0))</f>
        <v/>
      </c>
      <c r="FX74" s="538">
        <f>IF(SUM(CY74:DC74)&gt;0,0,IF(OR(AND(X74="Yes",AN74="Tier 1",AJ74&gt;$AG$5),AND(X74="Yes",AN74="Tier 2",AJ74&gt;$AH$5),AND(X74="Yes",AN74="Tier 3",AJ74&gt;$AI$5)),FU74,0))</f>
        <v/>
      </c>
      <c r="FY74" s="538">
        <f>IF(SUM(FV74:FX74)&gt;0,FU74,0)</f>
        <v/>
      </c>
      <c r="FZ74" s="539">
        <f>IF(B74="",0,FY74*FV$6*(1-MIN(90%,T74)))</f>
        <v/>
      </c>
      <c r="GA74" s="538">
        <f>FU74-FZ74</f>
        <v/>
      </c>
      <c r="GB74" s="538">
        <f>IF(AND(N74="No",DI74=0),GA74,IF(AND(N74="No",DI74&lt;&gt;0,K74=0),0,IF(AND(N74="No",DI74&lt;&gt;0,K74&gt;0,J74&lt;&gt;K74),MAX(0,M74-(DH74-GA74)),DG74)))</f>
        <v/>
      </c>
      <c r="GC74" s="540">
        <f>+GB74*V74</f>
        <v/>
      </c>
      <c r="GD74" s="138">
        <f>IFERROR(GC74/K74,"")</f>
        <v/>
      </c>
      <c r="GE74" s="541">
        <f>IF(IB74="","",IB74)</f>
        <v/>
      </c>
      <c r="GF74" s="538">
        <f t="array" ref="GF74">IF(SUM(IF(IB$9:IB73=IB74,1,0))&gt;0,0,SUMIF($IB$10:$IB$406,IB74,$FI$10:$FI$406))</f>
        <v/>
      </c>
      <c r="GG74" s="270">
        <f>GF74</f>
        <v/>
      </c>
      <c r="GH74" s="137">
        <f>GH73+1</f>
        <v/>
      </c>
      <c r="GI74" s="542">
        <f>LARGE($GG$10:$GG$406,GH74)</f>
        <v/>
      </c>
      <c r="GJ74" s="542">
        <f>IF(GH74&gt;GH$6,0,IF(GH74=$GH$2,$GJ$2,IF(GH74&lt;4,$GJ$3,$GJ$4)))</f>
        <v/>
      </c>
      <c r="GK74" s="489">
        <f>MAX(0,GI74-GJ74)</f>
        <v/>
      </c>
      <c r="GL74" s="137">
        <f t="array" ref="GL74">IF(GI74=0,0,LARGE(IF($GF$10:$GF$406=GI74,$GE$10:$GE$406,0),COUNTIF($GI$10:$GI$406,GI74)-COUNTIF(GI$9:GI73,GI74)))</f>
        <v/>
      </c>
      <c r="GM74" s="272">
        <f>IF(GI74=0,0,GK74/GI74)</f>
        <v/>
      </c>
      <c r="GO74" s="137">
        <f>IF(C74="","",IF(ISERROR(MATCH(C74,C$10:C73,0)),MAX(GO$10:GO73)+1,INDEX(GO$10:GO73,MATCH(C74,C$10:C73,0))))</f>
        <v/>
      </c>
      <c r="GP74" s="538">
        <f>IF(COUNTIF($A$10:A74,A74)&lt;=1,SUMIF($A$10:$A$406,A74,$FG$10:$FG$406),0)</f>
        <v/>
      </c>
      <c r="GQ74" s="137">
        <f>GQ73+1</f>
        <v/>
      </c>
      <c r="GR74" s="542">
        <f>LARGE($GP$10:$GP$406,GQ74)</f>
        <v/>
      </c>
      <c r="GS74" s="542">
        <f>IF(GQ74&gt;GQ$6,0,IF(GQ74&lt;=GQ$2,GS$2,IF(AND(GQ74&lt;=$GQ$3,GQ74&gt;$GQ$2),GS$3,GS$4)))</f>
        <v/>
      </c>
      <c r="GT74" s="489">
        <f>MAX(0,GR74-GS74)</f>
        <v/>
      </c>
      <c r="GU74" s="137">
        <f t="array" ref="GU74">IF(GR74=0,0,LARGE(IF($GP$10:$GP$406=GR74,$GO$10:$GO$406,0),COUNTIF($GR$10:$GR$406,GR74)-COUNTIF(GR$9:GR73,GR74)))</f>
        <v/>
      </c>
      <c r="GV74" s="272">
        <f>IF(GR74=0,0,GT74/GR74)</f>
        <v/>
      </c>
      <c r="GW74" s="272" t="n"/>
      <c r="GX74" s="137">
        <f>IF(C74="","",IF(ISERROR(MATCH(C74,C$10:C73,0)),MAX(GO$10:GO73)+1,INDEX(GO$10:GO73,MATCH(C74,C$10:C73,0))))</f>
        <v/>
      </c>
      <c r="GY74" s="538">
        <f>IF(COUNTIF($A$10:A74,A74)&lt;=1,SUMIF($A$10:$A$406,A74,$FG$10:$FG$406),0)</f>
        <v/>
      </c>
      <c r="GZ74" s="137">
        <f>GZ73+1</f>
        <v/>
      </c>
      <c r="HA74" s="542">
        <f>LARGE($GY$10:$GY$406,GZ74)</f>
        <v/>
      </c>
      <c r="HB74" s="543" t="inlineStr">
        <is>
          <t>-</t>
        </is>
      </c>
      <c r="HC74" s="489">
        <f>IF(GZ74&lt;6,MAX(0,$HC$2/5),0)</f>
        <v/>
      </c>
      <c r="HD74" s="137">
        <f t="array" ref="HD74">IF(HA74=0,0,LARGE(IF($GY$10:$GY$406=HA74,$GX$10:$GX$406,0),COUNTIF($HA$10:$HA$406,HA74)-COUNTIF(HA$9:HA73,HA74)))</f>
        <v/>
      </c>
      <c r="HE74" s="272">
        <f>IF(HA74=0,0,HC74/HA74)</f>
        <v/>
      </c>
      <c r="HG74" s="270">
        <f>DG74-GA74</f>
        <v/>
      </c>
      <c r="HH74" s="544" t="n">
        <v>0</v>
      </c>
      <c r="HI74" s="538">
        <f>MIN(HH74,DE74)</f>
        <v/>
      </c>
      <c r="HK74" s="137">
        <f>IF(COUNTIF($C$10:$C$406,HK73+1),HK73+1,"")</f>
        <v/>
      </c>
      <c r="HL74" s="538">
        <f>SUMIF($C$10:$C$406,HK74,$DG$10:$DG$406)</f>
        <v/>
      </c>
      <c r="HN74" s="521">
        <f>MIN(HO74:HS74)</f>
        <v/>
      </c>
      <c r="HO74" s="521">
        <f>IF(B74="","",$M74)</f>
        <v/>
      </c>
      <c r="HP74" s="521">
        <f>IF($N74="Yes",IF(P74&gt;=6,0,MIN($T74*$M74,$U74*$M74)),"")</f>
        <v/>
      </c>
      <c r="HQ74" s="521">
        <f>IF(AND(N74="Yes",P74&gt;=6),"",IF($S74="Yes",$R74*$M74,""))</f>
        <v/>
      </c>
      <c r="HR74" s="521">
        <f>IF($Q74="Yes",MIN($M74,$T74*$M74),"")</f>
        <v/>
      </c>
      <c r="HS74" s="521">
        <f>IF(AND($N74="Yes",$P74&gt;=6),"",IF(OR(CY74=1,DC74=1,),MIN($T74*$M74,$U74*$M74),IF(OR(CZ74=1,DA74=1,DB74=1),IF(AK74&gt;=5000000,MIN($T74*$M74,$IE74*$M74),MIN($T74*$M74,$U74*$M74)),"")))</f>
        <v/>
      </c>
      <c r="HT74" s="521">
        <f>IF(DD74&gt;0,DD74,"")</f>
        <v/>
      </c>
      <c r="HU74" s="522">
        <f>IF(B74="",0,$L74-$M74)</f>
        <v/>
      </c>
      <c r="HV74" s="274">
        <f>IF(OR(SUM(HP74:HT74)&gt;0,P74&gt;=6),"",IF($B74="","",1))</f>
        <v/>
      </c>
      <c r="HW74" s="522">
        <f>IF(AND($HT74&lt;&gt;0,OR(HT74&lt;=MIN(HP74:HS74),SUM(HP74:HS74)=0)),$HT74,0)</f>
        <v/>
      </c>
      <c r="HX74" s="522">
        <f>IF(AND($HS74&lt;&gt;0,OR(AND($HS74&lt;&gt;$HT74,$HS74&lt;&gt;$HR74,$HS74&lt;&gt;$HQ74,$HS74&lt;&gt;$HP74,$HS74&lt;MIN($HP74:$HR74),$HS74&lt;HT74),SUM($HP74:$HR74)+SUM(HT74)=0),IA74&lt;=0),$HS74,0)</f>
        <v/>
      </c>
      <c r="HY74" s="522">
        <f>IF(AND($HR74&lt;&gt;0,OR(AND($HR74&lt;&gt;$HT74,$HR74&lt;&gt;$HS74,$HR74&lt;&gt;$HQ74,$HR74&lt;&gt;$HP74),$HR74&lt;MIN($HP74:$HQ74),$HR74&lt;MIN($HS74:$HT74),SUM($HP74:$HQ74)+SUM($HS74:$HT74)=0)),$HR74,0)</f>
        <v/>
      </c>
      <c r="HZ74" s="522">
        <f>IF(AND($HQ74&lt;&gt;0,OR(AND($HQ74&lt;&gt;$HT74,HQ74&lt;&gt;HS74,HQ74&lt;&gt;HR74,HQ74&lt;&gt;HP74,HQ74&lt;MIN(HR74:HT74)),SUM(HP74)+SUM(HR74:HT74)=0)),$HQ74,0)</f>
        <v/>
      </c>
      <c r="IA74" s="522">
        <f>IF(AND($HP74&lt;&gt;0,OR(HP74&lt;=MIN(HQ74:HT74),SUM(HQ74:HT74)=0)),$HP74,0)</f>
        <v/>
      </c>
      <c r="IB74" s="545" t="n">
        <v>1</v>
      </c>
      <c r="IC74">
        <f>HU74=DF74</f>
        <v/>
      </c>
      <c r="IE74" s="351">
        <f>IF(B74="","",IF(AND(Y74="Second Lien",OR(CZ74=1,DA74=1,DB74=1)),50%,IF(CZ74=1,90%,IF(DA74=1,80%,IF(DB74=1,65%,"No Initial Haircut")))))</f>
        <v/>
      </c>
    </row>
    <row r="75">
      <c r="A75">
        <f>D75</f>
        <v/>
      </c>
      <c r="B75" s="242">
        <f>IF(D75="","",B74+1)</f>
        <v/>
      </c>
      <c r="C75" s="242">
        <f>IF(COUNTIF($A$10:A74,A75)&gt;0,C74,C74+1)</f>
        <v/>
      </c>
      <c r="D75" s="243" t="inlineStr">
        <is>
          <t>Amberfield Industries, Inc.</t>
        </is>
      </c>
      <c r="E75" s="243" t="inlineStr">
        <is>
          <t>Amberfield (TL)</t>
        </is>
      </c>
      <c r="F75" s="244" t="n"/>
      <c r="G75" s="528" t="n">
        <v>2216597.010100001</v>
      </c>
      <c r="H75" s="528" t="n">
        <v>2216597.010100001</v>
      </c>
      <c r="I75" s="246" t="n">
        <v>1</v>
      </c>
      <c r="J75" s="529">
        <f>IF(B75="","",G75*I75)</f>
        <v/>
      </c>
      <c r="K75" s="529">
        <f>IF(B75="","",H75*I75)</f>
        <v/>
      </c>
      <c r="L75" s="529">
        <f>IF(B75="","",IF(COUNTIF($CE75:$CX75,1)&gt;0,0,J75))</f>
        <v/>
      </c>
      <c r="M75" s="529">
        <f>IF(B75="","",IF(COUNTIF($CE75:$CX75,1)&gt;0,0,K75))</f>
        <v/>
      </c>
      <c r="N75" s="248" t="inlineStr">
        <is>
          <t>No</t>
        </is>
      </c>
      <c r="O75" s="248" t="inlineStr">
        <is>
          <t>N/A</t>
        </is>
      </c>
      <c r="P75" s="249">
        <f>IF(B75="","",IF(OR(O75="N/A",O75=""),0,YEARFRAC('Borrowing Base'!$J$4,'Loan List'!O75)*12))</f>
        <v/>
      </c>
      <c r="Q75" s="248" t="inlineStr">
        <is>
          <t>No</t>
        </is>
      </c>
      <c r="R75" s="250" t="n">
        <v>1</v>
      </c>
      <c r="S75" s="251">
        <f>IF(B75="","",IF(R75&lt;95%,"Yes","No"))</f>
        <v/>
      </c>
      <c r="T75" s="250" t="n">
        <v>0.8559999978758157</v>
      </c>
      <c r="U75" s="252">
        <f>IF(B75="","",IF(OR(Y75="First Lien",Y75="Split First Lien",Y75="Tier 1 Split Lien",Y75="Tier 2 Split Lien"),50%,30%))</f>
        <v/>
      </c>
      <c r="V75" s="252">
        <f>IF(B75="",0,IF(AND(Y75="First Lien",AN75="Tier 1"),IF(AND(X75="Yes",MIN(AH75,$AJ$5)&gt;4.5),(((4.5/MIN(AH75,$AJ$5))*72.5%)+(((MIN(AH75,$AJ$5)-4.5)/MIN(AH75,$AJ$5))*35%)),72.5%),IF(AND(Y75="First Lien",AN75="Tier 2"),IF(AND(X75="Yes",MIN(AH75,$AK$5)&gt;4.5),(((4.5/MIN(AH75,$AK$5))*72.5%)+(((MIN(AH75,$AK$5)-4.5)/MIN(AH75,$AK$5))*35%)),72.5%),IF(AND(X75="Yes",MIN(AH75,$AL$5)&gt;4),(((4/MIN(AH75,$AL$5))*72.5%)+(((MIN(AH75,$AL$5)-4)/MIN(AH75,$AL$5))*35%)),IF(OR(Y75="First Lien",Y75="Split First Lien"),72.5%,IF(Y75="Split Lien", 53%,35%))))))</f>
        <v/>
      </c>
      <c r="W75" s="530">
        <f>IF($C75="","",MIN($HO75:$HS75))</f>
        <v/>
      </c>
      <c r="X75" s="248" t="inlineStr">
        <is>
          <t>No</t>
        </is>
      </c>
      <c r="Y75" s="254" t="inlineStr">
        <is>
          <t>First Lien</t>
        </is>
      </c>
      <c r="Z75" s="254" t="inlineStr">
        <is>
          <t>Term</t>
        </is>
      </c>
      <c r="AA75" s="531" t="inlineStr">
        <is>
          <t>NR</t>
        </is>
      </c>
      <c r="AB75" s="531" t="inlineStr">
        <is>
          <t xml:space="preserve"> NR</t>
        </is>
      </c>
      <c r="AC75" s="532" t="n">
        <v>1.91</v>
      </c>
      <c r="AD75" s="532" t="n">
        <v>6.649624644059021</v>
      </c>
      <c r="AE75" s="532" t="n">
        <v>16.30790984871874</v>
      </c>
      <c r="AF75" s="257" t="n">
        <v>0.5185999999999999</v>
      </c>
      <c r="AG75" s="533" t="n">
        <v>4.42</v>
      </c>
      <c r="AH75" s="533" t="n">
        <v>6.64</v>
      </c>
      <c r="AI75" s="533" t="n">
        <v>8.0649263952672</v>
      </c>
      <c r="AJ75" s="533" t="n">
        <v>15.32674976692794</v>
      </c>
      <c r="AK75" s="534" t="n">
        <v>46356000</v>
      </c>
      <c r="AL75" s="534" t="n">
        <v>86883000</v>
      </c>
      <c r="AM75" s="276" t="n">
        <v>45838</v>
      </c>
      <c r="AN75" s="529">
        <f>IF(C75="","",(IF(AK75&gt;=50000000,"Tier 1",(IF(OR(AK75&gt;=20000000,AND(AK75&gt;5000000,AC75&gt;=1.25,AF75&lt;=0.65)),"Tier 2","Tier 3")))))</f>
        <v/>
      </c>
      <c r="AO75" s="244" t="n">
        <v>46672</v>
      </c>
      <c r="AP75" s="535" t="n">
        <v>2.2</v>
      </c>
      <c r="AQ75" s="535">
        <f>IF(C75="","",AP75)</f>
        <v/>
      </c>
      <c r="AR75" s="248" t="inlineStr">
        <is>
          <t>No</t>
        </is>
      </c>
      <c r="AS75" s="250" t="n">
        <v>0</v>
      </c>
      <c r="AT75" s="248" t="inlineStr">
        <is>
          <t>Yes</t>
        </is>
      </c>
      <c r="AU75" s="250" t="n">
        <v>0.01</v>
      </c>
      <c r="AV75" s="250" t="n">
        <v>0.061</v>
      </c>
      <c r="AW75" s="250" t="n">
        <v>0.04328800000000001</v>
      </c>
      <c r="AX75" s="262">
        <f>IF(C75="","",MAX(AU75,AW75))</f>
        <v/>
      </c>
      <c r="AY75" s="250" t="n">
        <v>0</v>
      </c>
      <c r="AZ75" s="250" t="n">
        <v>0</v>
      </c>
      <c r="BA75" s="250" t="n">
        <v>0</v>
      </c>
      <c r="BB75" s="412">
        <f>IF(B75="","",IF(AR75="No",AV75-AZ75,""))</f>
        <v/>
      </c>
      <c r="BC75" s="412">
        <f>IF(B75="","",IF(AR75="Yes",AS75-BA75,""))</f>
        <v/>
      </c>
      <c r="BD75" s="254" t="inlineStr">
        <is>
          <t>Quarterly</t>
        </is>
      </c>
      <c r="BE75" s="536" t="inlineStr">
        <is>
          <t>Health Care Providers &amp; Services</t>
        </is>
      </c>
      <c r="BF75" s="254" t="inlineStr">
        <is>
          <t>USD</t>
        </is>
      </c>
      <c r="BG75" s="254" t="inlineStr">
        <is>
          <t>United States</t>
        </is>
      </c>
      <c r="BH75" s="248" t="inlineStr">
        <is>
          <t>No</t>
        </is>
      </c>
      <c r="BI75" s="413">
        <f>IF(B75="","",IF(OR(AND(AZ75&gt;0,BB75&gt;=2.5%,BB75&lt;4%),AND(BA75&gt;0,BC75&gt;=6%,BC75&lt;8%)),"Yes","No"))</f>
        <v/>
      </c>
      <c r="BJ75" s="413">
        <f>IF(B75="","",IF(OR(AND(AZ75&gt;0,BB75&lt;2.5%),AND(BA75&gt;0,BC75&lt;6%)),"Yes","No"))</f>
        <v/>
      </c>
      <c r="BK75" s="248" t="inlineStr">
        <is>
          <t>No</t>
        </is>
      </c>
      <c r="BL75" s="248" t="inlineStr">
        <is>
          <t>No</t>
        </is>
      </c>
      <c r="BM75" s="248" t="inlineStr">
        <is>
          <t>No</t>
        </is>
      </c>
      <c r="BN75" s="248" t="inlineStr">
        <is>
          <t>No</t>
        </is>
      </c>
      <c r="BO75" s="248" t="inlineStr">
        <is>
          <t>No</t>
        </is>
      </c>
      <c r="BP75" s="248" t="inlineStr">
        <is>
          <t>No</t>
        </is>
      </c>
      <c r="BQ75" s="248" t="inlineStr">
        <is>
          <t>No</t>
        </is>
      </c>
      <c r="BR75" s="248" t="inlineStr">
        <is>
          <t>No</t>
        </is>
      </c>
      <c r="BS75" s="248" t="inlineStr">
        <is>
          <t>No</t>
        </is>
      </c>
      <c r="BT75" s="248" t="inlineStr">
        <is>
          <t>No</t>
        </is>
      </c>
      <c r="BU75" s="248" t="inlineStr">
        <is>
          <t>No</t>
        </is>
      </c>
      <c r="BV75" s="248" t="inlineStr">
        <is>
          <t>No</t>
        </is>
      </c>
      <c r="BW75" s="248" t="inlineStr">
        <is>
          <t>No</t>
        </is>
      </c>
      <c r="BX75" s="248" t="inlineStr">
        <is>
          <t>No</t>
        </is>
      </c>
      <c r="BY75" s="248" t="inlineStr">
        <is>
          <t>No</t>
        </is>
      </c>
      <c r="BZ75" s="248" t="inlineStr">
        <is>
          <t>No</t>
        </is>
      </c>
      <c r="CA75" s="248" t="inlineStr">
        <is>
          <t>Yes</t>
        </is>
      </c>
      <c r="CB75" s="537">
        <f>IF(B75="","",IF(AT75="No",((BB75+AW75)-$AZ$4),((BB75+AX75)-$AZ$4))*IF(DD75&gt;0,0,M75))</f>
        <v/>
      </c>
      <c r="CC75" s="537">
        <f>IF(B75="","",AY75*(L75-M75)*IF(DD75&gt;0,0,1))</f>
        <v/>
      </c>
      <c r="CD75" s="265" t="n"/>
      <c r="CE75" s="265">
        <f>IF(AND(B75&lt;&gt;"",R75&lt;=85%),1,0)</f>
        <v/>
      </c>
      <c r="CF75" s="265">
        <f>IF(B75="",0,(IF(OR(BF75="USD",BF75="CAD",BF75="GBP",BF75="AUD",BF75="EUR"),0,1)))</f>
        <v/>
      </c>
      <c r="CG75" s="265">
        <f>IF(B75="",0,(IF(OR(BG75="United States",BG75="Canada",BG75="United Kingdom",BG75="Australia",BG75="Netherlands Antilles",BG75="Bermuda",BG75="Cayman Islands",BG75="British Virgin Islands",BG75="Channel Islands",BG75="Isle of Man",BG75="Australia",BG75="Netherlands",BG75="Germany",BG75="Sweden",BG75="Switzerland",BG75="Austria",BG75="Belgium",BG75="Denmark",BG75="Finland",BG75="Iceland",BG75="Ireland",BG75="Lichtenstein",BG75="Luxemborg",BG75="Norway"),0,1)))</f>
        <v/>
      </c>
      <c r="CH75" s="265">
        <f>IF(BN75="Yes",1,0)</f>
        <v/>
      </c>
      <c r="CI75" s="265">
        <f>IF(BO75="Yes",1,0)</f>
        <v/>
      </c>
      <c r="CJ75" s="265">
        <f>IF(BP75="Yes",1,0)</f>
        <v/>
      </c>
      <c r="CK75" s="265">
        <f>IF(BQ75="Yes",1,0)</f>
        <v/>
      </c>
      <c r="CL75" s="265">
        <f>IF(BR75="Yes",1,0)</f>
        <v/>
      </c>
      <c r="CM75" s="265">
        <f>IF(BS75="Yes",1,0)</f>
        <v/>
      </c>
      <c r="CN75" s="265">
        <f>IF(OR(AND(BJ75="Yes",N75="No"),AND(BJ75="Yes",N75="Yes",P75&gt;=6)),1,0)</f>
        <v/>
      </c>
      <c r="CO75" s="265">
        <f>IF(BT75="Yes",1,0)</f>
        <v/>
      </c>
      <c r="CP75" s="265">
        <f>IF(AND(BU75="Yes",BV75="No"),1,0)</f>
        <v/>
      </c>
      <c r="CQ75" s="265">
        <f>IF(BW75="Yes",1,0)</f>
        <v/>
      </c>
      <c r="CR75" s="265">
        <f>IF(AP75="",0,IF(AP75&gt;7,1,0))</f>
        <v/>
      </c>
      <c r="CS75" s="265">
        <f>IF(OR(BD75&lt;&gt;"Monthly",BD75&lt;&gt;"Quarterly",BD75&lt;&gt;"Semi-Annually"),0,1)</f>
        <v/>
      </c>
      <c r="CT75" s="265">
        <f>IF(BX75="Yes",1,0)</f>
        <v/>
      </c>
      <c r="CU75" s="265">
        <f>IF(BY75="Yes",1,0)</f>
        <v/>
      </c>
      <c r="CV75" s="265">
        <f>IF(BZ75="Yes",1,0)</f>
        <v/>
      </c>
      <c r="CW75" s="265">
        <f>IF(CA75="No",1,0)</f>
        <v/>
      </c>
      <c r="CX75" s="265">
        <f>IF(B75="",0,IF(AK75&gt;=5000000,0,1))</f>
        <v/>
      </c>
      <c r="CY75" s="265">
        <f>IF(B75="",0,IF(AL75&gt;=5000000,0,1))</f>
        <v/>
      </c>
      <c r="CZ75" s="265">
        <f>IF(OR(DA75=1,DB75=1,DC75=1),0,IF(B75="",0,IF(OR(AND(AN75="Tier 1",X75="No",OR(AI75&gt;$AJ$3,AJ75&gt;$AJ$4)),(AND(AN75="Tier 1",X75="Yes",AJ75&gt;$AJ$5)),(AND(AN75="Tier 2",X75="No",OR(AI75&gt;$AK$3,AJ75&gt;$AK$4))),(AND(AN75="Tier 2",X75="Yes",AJ75&gt;$AK$5)),(AND(AN75="Tier 3",X75="No",OR(AI75&gt;$AL$3,AJ75&gt;$AL$4))),(AND(AN75="Tier 3",X75="Yes",AJ75&gt;$AL$5))),1,0)))</f>
        <v/>
      </c>
      <c r="DA75" s="265">
        <f>IF(OR(DB75=1,DC75=1),0,IF(B75="",0,IF(OR(AND(AN75="Tier 1",X75="No",OR(AI75&gt;$AM$3,AJ75&gt;$AM$4)),(AND(AN75="Tier 1",X75="Yes",AJ75&gt;$AM$5)),(AND(AN75="Tier 2",X75="No",OR(AI75&gt;$AN$3,AJ75&gt;$AN$4))),(AND(AN75="Tier 2",X75="Yes",AJ75&gt;$AN$5)),(AND(AN75="Tier 3",X75="No",OR(AI75&gt;$AO$3,AJ75&gt;$AO$4))),(AND(AN75="Tier 3",X75="Yes",AJ75&gt;$AO$5))),1,0)))</f>
        <v/>
      </c>
      <c r="DB75" s="265">
        <f>IF(DC75=1,0,IF(B75="",0,IF(OR(AND(AN75="Tier 1",X75="No",OR(AI75&gt;$AP$3,AJ75&gt;$AP$4)),(AND(AN75="Tier 1",X75="Yes",AJ75&gt;$AP$5)),(AND(AN75="Tier 2",X75="No",OR(AI75&gt;$AQ$3,AJ75&gt;$AQ$4))),(AND(AN75="Tier 2",X75="Yes",AJ75&gt;$AQ$5)),(AND(AN75="Tier 3",X75="No",OR(AI75&gt;$AR$3,AJ75&gt;$AR$4))),(AND(AN75="Tier 3",X75="Yes",AJ75&gt;$AR$5))),1,0)))</f>
        <v/>
      </c>
      <c r="DC75" s="265">
        <f>IF(B75="",0,IF(OR(AND(AN75="Tier 1",X75="No",OR(AI75&gt;$AS$3,AJ75&gt;$AS$4)),(AND(AN75="Tier 1",X75="Yes",AJ75&gt;$AS$5)),(AND(AN75="Tier 2",X75="No",OR(AI75&gt;$AT$3,AJ75&gt;$AT$4))),(AND(AN75="Tier 2",X75="Yes",AJ75&gt;$AT$5)),(AND(AN75="Tier 3",X75="No",OR(AI75&gt;$AU$3,AJ75&gt;$AU$4))),(AND(AN75="Tier 3",X75="Yes",AJ75&gt;$AU$5))),1,0))</f>
        <v/>
      </c>
      <c r="DD75" s="265">
        <f>IF((SUM(CE75:CX75)=0),0,W75)</f>
        <v/>
      </c>
      <c r="DE75" s="265">
        <f>IF(OR(B75="",DD75&gt;0),0,W75)</f>
        <v/>
      </c>
      <c r="DF75" s="265">
        <f>IF(B75="",0,IF(COUNTIF(CE75:CX75,1)&gt;0,0,L75-M75))</f>
        <v/>
      </c>
      <c r="DG75" s="265">
        <f>DE75+IF(DD75&gt;0,0,DF75)</f>
        <v/>
      </c>
      <c r="DH75" s="265">
        <f>IF(B75="","",M75+DF75)</f>
        <v/>
      </c>
      <c r="DI75" s="265">
        <f>IF(B75="",0,J75-K75)</f>
        <v/>
      </c>
      <c r="DJ75" s="265">
        <f>IF(OR(BF75="EUR",BF75="CAD",BF75="GBP",BF75="AUD"),(GA75*(1-V75))+(HG75)+IF(HX75="",0,HX75*(1-U75)),0)</f>
        <v/>
      </c>
      <c r="DK75" s="265">
        <f>IF(BF75="EUR",33%,IF(BF75="CAD",38%,IF(BF75="GBP",51%,IF(BF75="AUD",61%,0))))</f>
        <v/>
      </c>
      <c r="DL75" s="265">
        <f>DJ75*DK75</f>
        <v/>
      </c>
      <c r="DN75" s="538">
        <f>IF(OR(Y75="Second Lien",Y75="Tier 1 Split Lien",Y75="Tier 2 Split Lien"),DG75,0)</f>
        <v/>
      </c>
      <c r="DO75" s="539">
        <f>DN75*DN$6</f>
        <v/>
      </c>
      <c r="DP75" s="538">
        <f>DG75-DO75</f>
        <v/>
      </c>
      <c r="DQ75" s="538">
        <f>IF(Y75="Second Lien",DP75,0)</f>
        <v/>
      </c>
      <c r="DR75" s="539">
        <f>DQ75*DQ$6</f>
        <v/>
      </c>
      <c r="DS75" s="538">
        <f>DP75-DR75</f>
        <v/>
      </c>
      <c r="DT75" s="538">
        <f>IF(BH75="Yes",DS75,0)</f>
        <v/>
      </c>
      <c r="DU75" s="539">
        <f>DT75*DT$6</f>
        <v/>
      </c>
      <c r="DV75" s="538">
        <f>DS75-DU75</f>
        <v/>
      </c>
      <c r="DW75" s="538">
        <f>IF(OR(BG75="Canada",BG75="United Kingdom",BG75="Australia",BG75="Netherlands Antilles",BG75="Bermuda",BG75="Cayman Islands",BG75="British Virgin Islands",BG75="Channel Islands",BG75="Isle of Man",BG75="Australia",BG75="Netherlands",BG75="Germany",BG75="Sweden",BG75="Switzerland",BG75="Austria",BG75="Belgium",BG75="Denmark",BG75="Finland",BG75="Iceland",BG75="Ireland",BG75="Lichtenstein",BG75="Luxemborg",BG75="Norway"),DV75,0)</f>
        <v/>
      </c>
      <c r="DX75" s="539">
        <f>DW75*DW$6</f>
        <v/>
      </c>
      <c r="DY75" s="538">
        <f>DV75-DX75</f>
        <v/>
      </c>
      <c r="DZ75" s="538">
        <f>IF(BI75="Yes",DY75,0)</f>
        <v/>
      </c>
      <c r="EA75" s="539">
        <f>DZ75*DZ$6</f>
        <v/>
      </c>
      <c r="EB75" s="538">
        <f>DY75-EA75</f>
        <v/>
      </c>
      <c r="EC75" s="538">
        <f>IF(OR(Z75="Delayed Draw",Z75="Revolver"),EB75,0)</f>
        <v/>
      </c>
      <c r="ED75" s="539">
        <f>EC75*EC$6</f>
        <v/>
      </c>
      <c r="EE75" s="538">
        <f>EB75-ED75</f>
        <v/>
      </c>
      <c r="EF75" s="538">
        <f>IF(S75="Yes",EE75,0)</f>
        <v/>
      </c>
      <c r="EG75" s="539">
        <f>EF75*EF$6</f>
        <v/>
      </c>
      <c r="EH75" s="538">
        <f>EE75-EG75</f>
        <v/>
      </c>
      <c r="EI75" s="538">
        <f>IF(Q75="Yes",EH75,0)</f>
        <v/>
      </c>
      <c r="EJ75" s="539">
        <f>EI75*EI$6</f>
        <v/>
      </c>
      <c r="EK75" s="538">
        <f>EH75-EJ75</f>
        <v/>
      </c>
      <c r="EL75" s="538">
        <f>IF(BD75="Semi-Annually",EK75,0)</f>
        <v/>
      </c>
      <c r="EM75" s="539">
        <f>EL75*EL$6</f>
        <v/>
      </c>
      <c r="EN75" s="538">
        <f>EK75-EM75</f>
        <v/>
      </c>
      <c r="EO75" s="538">
        <f>IF(BK75="Yes",EN75,0)</f>
        <v/>
      </c>
      <c r="EP75" s="539">
        <f>EO75*EO$6</f>
        <v/>
      </c>
      <c r="EQ75" s="538">
        <f>EN75-EP75</f>
        <v/>
      </c>
      <c r="ER75" s="538">
        <f>IF(BL75="Yes",EQ75,0)</f>
        <v/>
      </c>
      <c r="ES75" s="539">
        <f>ER75*ER$6</f>
        <v/>
      </c>
      <c r="ET75" s="538">
        <f>EQ75-ES75</f>
        <v/>
      </c>
      <c r="EU75" s="538">
        <f>IF(BM75="Yes",ET75,0)</f>
        <v/>
      </c>
      <c r="EV75" s="539">
        <f>EU75*EU$6</f>
        <v/>
      </c>
      <c r="EW75" s="538">
        <f>ET75-EV75</f>
        <v/>
      </c>
      <c r="EX75" s="538">
        <f>IF(BV75="Yes",EW75,0)</f>
        <v/>
      </c>
      <c r="EY75" s="539">
        <f>EX75*EX$6</f>
        <v/>
      </c>
      <c r="EZ75" s="538">
        <f>EW75-EY75</f>
        <v/>
      </c>
      <c r="FA75" s="538">
        <f>IF(AR75="Yes",EZ75,0)</f>
        <v/>
      </c>
      <c r="FB75" s="539">
        <f>FA75*FA$6</f>
        <v/>
      </c>
      <c r="FC75" s="538">
        <f>EZ75-FB75</f>
        <v/>
      </c>
      <c r="FD75" s="538">
        <f>IF(OR(BF75="EUR",BF75="AUD",BF75="CAD",BF75="GBP"),FC75,0)</f>
        <v/>
      </c>
      <c r="FE75" s="539">
        <f>FD75*FD$6</f>
        <v/>
      </c>
      <c r="FF75" s="538">
        <f>FC75-FE75</f>
        <v/>
      </c>
      <c r="FG75" s="538">
        <f>FF75</f>
        <v/>
      </c>
      <c r="FH75" s="538">
        <f>IF(FF75=0,0,VLOOKUP(C75,$GU$10:$GV$406,2,FALSE)*FF75)</f>
        <v/>
      </c>
      <c r="FI75" s="538">
        <f>FF75-FH75</f>
        <v/>
      </c>
      <c r="FJ75" s="538">
        <f>FI75</f>
        <v/>
      </c>
      <c r="FK75" s="538">
        <f>IF(OR(IB75="",FI75&lt;0.01),,VLOOKUP(IB75,$GL$10:$GM$406,2,FALSE)*FI75)</f>
        <v/>
      </c>
      <c r="FL75" s="538">
        <f>FI75-FK75</f>
        <v/>
      </c>
      <c r="FM75" s="538">
        <f>FL75</f>
        <v/>
      </c>
      <c r="FN75" s="538">
        <f>IF(FL75=0,0,VLOOKUP(C75,$HD$10:$HE$406,2,FALSE)*FL75)</f>
        <v/>
      </c>
      <c r="FO75" s="538">
        <f>FL75-FN75</f>
        <v/>
      </c>
      <c r="FP75" s="538">
        <f>IF(SUM(CY75:DC75)&gt;0,0,IF(AND(AL75&gt;=5000000,AL75&lt;7500000),FO75,0))</f>
        <v/>
      </c>
      <c r="FQ75" s="539">
        <f>IF(B75="",0,FP75*FP$6*(1-$U75))</f>
        <v/>
      </c>
      <c r="FR75" s="538">
        <f>FO75-FQ75</f>
        <v/>
      </c>
      <c r="FS75" s="538">
        <f>IF(SUM(CY75:DC75)&gt;0,0,IF(AL75&lt;15000000,FR75,0))</f>
        <v/>
      </c>
      <c r="FT75" s="539">
        <f>IF(B75="",0,FS75*FS$6*(1-$U75))</f>
        <v/>
      </c>
      <c r="FU75" s="538">
        <f>FR75-FT75</f>
        <v/>
      </c>
      <c r="FV75" s="538">
        <f>IF(SUM(CY75:DC75)&gt;0,0,IF(OR(AND(X75="No",AN75="Tier 1",AI75&gt;$AG$3),AND(X75="No",AN75="Tier 2",AI75&gt;$AH$3),AND(X75="No",AN75="Tier 3",AI75&gt;$AI$3)),FU75,0))</f>
        <v/>
      </c>
      <c r="FW75" s="538">
        <f>IF(SUM(CY75:DC75)&gt;0,0,IF(OR(AND(X75="No",AN75="Tier 1",AJ75&gt;$AG$4),AND(X75="No",AN75="Tier 2",AJ75&gt;$AH$4),AND(X75="No",AN75="Tier 3",AJ75&gt;$AI$4)),FU75,0))</f>
        <v/>
      </c>
      <c r="FX75" s="538">
        <f>IF(SUM(CY75:DC75)&gt;0,0,IF(OR(AND(X75="Yes",AN75="Tier 1",AJ75&gt;$AG$5),AND(X75="Yes",AN75="Tier 2",AJ75&gt;$AH$5),AND(X75="Yes",AN75="Tier 3",AJ75&gt;$AI$5)),FU75,0))</f>
        <v/>
      </c>
      <c r="FY75" s="538">
        <f>IF(SUM(FV75:FX75)&gt;0,FU75,0)</f>
        <v/>
      </c>
      <c r="FZ75" s="539">
        <f>IF(B75="",0,FY75*FV$6*(1-MIN(90%,T75)))</f>
        <v/>
      </c>
      <c r="GA75" s="538">
        <f>FU75-FZ75</f>
        <v/>
      </c>
      <c r="GB75" s="538">
        <f>IF(AND(N75="No",DI75=0),GA75,IF(AND(N75="No",DI75&lt;&gt;0,K75=0),0,IF(AND(N75="No",DI75&lt;&gt;0,K75&gt;0,J75&lt;&gt;K75),MAX(0,M75-(DH75-GA75)),DG75)))</f>
        <v/>
      </c>
      <c r="GC75" s="540">
        <f>+GB75*V75</f>
        <v/>
      </c>
      <c r="GD75" s="138">
        <f>IFERROR(GC75/K75,"")</f>
        <v/>
      </c>
      <c r="GE75" s="541">
        <f>IF(IB75="","",IB75)</f>
        <v/>
      </c>
      <c r="GF75" s="538">
        <f t="array" ref="GF75">IF(SUM(IF(IB$9:IB74=IB75,1,0))&gt;0,0,SUMIF($IB$10:$IB$406,IB75,$FI$10:$FI$406))</f>
        <v/>
      </c>
      <c r="GG75" s="270">
        <f>GF75</f>
        <v/>
      </c>
      <c r="GH75" s="137">
        <f>GH74+1</f>
        <v/>
      </c>
      <c r="GI75" s="542">
        <f>LARGE($GG$10:$GG$406,GH75)</f>
        <v/>
      </c>
      <c r="GJ75" s="542">
        <f>IF(GH75&gt;GH$6,0,IF(GH75=$GH$2,$GJ$2,IF(GH75&lt;4,$GJ$3,$GJ$4)))</f>
        <v/>
      </c>
      <c r="GK75" s="489">
        <f>MAX(0,GI75-GJ75)</f>
        <v/>
      </c>
      <c r="GL75" s="137">
        <f t="array" ref="GL75">IF(GI75=0,0,LARGE(IF($GF$10:$GF$406=GI75,$GE$10:$GE$406,0),COUNTIF($GI$10:$GI$406,GI75)-COUNTIF(GI$9:GI74,GI75)))</f>
        <v/>
      </c>
      <c r="GM75" s="272">
        <f>IF(GI75=0,0,GK75/GI75)</f>
        <v/>
      </c>
      <c r="GO75" s="137">
        <f>IF(C75="","",IF(ISERROR(MATCH(C75,C$10:C74,0)),MAX(GO$10:GO74)+1,INDEX(GO$10:GO74,MATCH(C75,C$10:C74,0))))</f>
        <v/>
      </c>
      <c r="GP75" s="538">
        <f>IF(COUNTIF($A$10:A75,A75)&lt;=1,SUMIF($A$10:$A$406,A75,$FG$10:$FG$406),0)</f>
        <v/>
      </c>
      <c r="GQ75" s="137">
        <f>GQ74+1</f>
        <v/>
      </c>
      <c r="GR75" s="542">
        <f>LARGE($GP$10:$GP$406,GQ75)</f>
        <v/>
      </c>
      <c r="GS75" s="542">
        <f>IF(GQ75&gt;GQ$6,0,IF(GQ75&lt;=GQ$2,GS$2,IF(AND(GQ75&lt;=$GQ$3,GQ75&gt;$GQ$2),GS$3,GS$4)))</f>
        <v/>
      </c>
      <c r="GT75" s="489">
        <f>MAX(0,GR75-GS75)</f>
        <v/>
      </c>
      <c r="GU75" s="137">
        <f t="array" ref="GU75">IF(GR75=0,0,LARGE(IF($GP$10:$GP$406=GR75,$GO$10:$GO$406,0),COUNTIF($GR$10:$GR$406,GR75)-COUNTIF(GR$9:GR74,GR75)))</f>
        <v/>
      </c>
      <c r="GV75" s="272">
        <f>IF(GR75=0,0,GT75/GR75)</f>
        <v/>
      </c>
      <c r="GW75" s="272" t="n"/>
      <c r="GX75" s="137">
        <f>IF(C75="","",IF(ISERROR(MATCH(C75,C$10:C74,0)),MAX(GO$10:GO74)+1,INDEX(GO$10:GO74,MATCH(C75,C$10:C74,0))))</f>
        <v/>
      </c>
      <c r="GY75" s="538">
        <f>IF(COUNTIF($A$10:A75,A75)&lt;=1,SUMIF($A$10:$A$406,A75,$FG$10:$FG$406),0)</f>
        <v/>
      </c>
      <c r="GZ75" s="137">
        <f>GZ74+1</f>
        <v/>
      </c>
      <c r="HA75" s="542">
        <f>LARGE($GY$10:$GY$406,GZ75)</f>
        <v/>
      </c>
      <c r="HB75" s="543" t="inlineStr">
        <is>
          <t>-</t>
        </is>
      </c>
      <c r="HC75" s="489">
        <f>IF(GZ75&lt;6,MAX(0,$HC$2/5),0)</f>
        <v/>
      </c>
      <c r="HD75" s="137">
        <f t="array" ref="HD75">IF(HA75=0,0,LARGE(IF($GY$10:$GY$406=HA75,$GX$10:$GX$406,0),COUNTIF($HA$10:$HA$406,HA75)-COUNTIF(HA$9:HA74,HA75)))</f>
        <v/>
      </c>
      <c r="HE75" s="272">
        <f>IF(HA75=0,0,HC75/HA75)</f>
        <v/>
      </c>
      <c r="HF75" s="272" t="n"/>
      <c r="HG75" s="270">
        <f>DG75-GA75</f>
        <v/>
      </c>
      <c r="HH75" s="544" t="n">
        <v>0</v>
      </c>
      <c r="HI75" s="538">
        <f>MIN(HH75,DE75)</f>
        <v/>
      </c>
      <c r="HK75" s="137">
        <f>IF(COUNTIF($C$10:$C$406,HK74+1),HK74+1,"")</f>
        <v/>
      </c>
      <c r="HL75" s="538">
        <f>SUMIF($C$10:$C$406,HK75,$DG$10:$DG$406)</f>
        <v/>
      </c>
      <c r="HN75" s="521">
        <f>MIN(HO75:HS75)</f>
        <v/>
      </c>
      <c r="HO75" s="521">
        <f>IF(B75="","",$M75)</f>
        <v/>
      </c>
      <c r="HP75" s="521">
        <f>IF($N75="Yes",IF(P75&gt;=6,0,MIN($T75*$M75,$U75*$M75)),"")</f>
        <v/>
      </c>
      <c r="HQ75" s="521">
        <f>IF(AND(N75="Yes",P75&gt;=6),"",IF($S75="Yes",$R75*$M75,""))</f>
        <v/>
      </c>
      <c r="HR75" s="521">
        <f>IF($Q75="Yes",MIN($M75,$T75*$M75),"")</f>
        <v/>
      </c>
      <c r="HS75" s="521">
        <f>IF(AND($N75="Yes",$P75&gt;=6),"",IF(OR(CY75=1,DC75=1,),MIN($T75*$M75,$U75*$M75),IF(OR(CZ75=1,DA75=1,DB75=1),IF(AK75&gt;=5000000,MIN($T75*$M75,$IE75*$M75),MIN($T75*$M75,$U75*$M75)),"")))</f>
        <v/>
      </c>
      <c r="HT75" s="521">
        <f>IF(DD75&gt;0,DD75,"")</f>
        <v/>
      </c>
      <c r="HU75" s="522">
        <f>IF(B75="",0,$L75-$M75)</f>
        <v/>
      </c>
      <c r="HV75" s="274">
        <f>IF(OR(SUM(HP75:HT75)&gt;0,P75&gt;=6),"",IF($B75="","",1))</f>
        <v/>
      </c>
      <c r="HW75" s="522">
        <f>IF(AND($HT75&lt;&gt;0,OR(HT75&lt;=MIN(HP75:HS75),SUM(HP75:HS75)=0)),$HT75,0)</f>
        <v/>
      </c>
      <c r="HX75" s="522">
        <f>IF(AND($HS75&lt;&gt;0,OR(AND($HS75&lt;&gt;$HT75,$HS75&lt;&gt;$HR75,$HS75&lt;&gt;$HQ75,$HS75&lt;&gt;$HP75,$HS75&lt;MIN($HP75:$HR75),$HS75&lt;HT75),SUM($HP75:$HR75)+SUM(HT75)=0),IA75&lt;=0),$HS75,0)</f>
        <v/>
      </c>
      <c r="HY75" s="522">
        <f>IF(AND($HR75&lt;&gt;0,OR(AND($HR75&lt;&gt;$HT75,$HR75&lt;&gt;$HS75,$HR75&lt;&gt;$HQ75,$HR75&lt;&gt;$HP75),$HR75&lt;MIN($HP75:$HQ75),$HR75&lt;MIN($HS75:$HT75),SUM($HP75:$HQ75)+SUM($HS75:$HT75)=0)),$HR75,0)</f>
        <v/>
      </c>
      <c r="HZ75" s="522">
        <f>IF(AND($HQ75&lt;&gt;0,OR(AND($HQ75&lt;&gt;$HT75,HQ75&lt;&gt;HS75,HQ75&lt;&gt;HR75,HQ75&lt;&gt;HP75,HQ75&lt;MIN(HR75:HT75)),SUM(HP75)+SUM(HR75:HT75)=0)),$HQ75,0)</f>
        <v/>
      </c>
      <c r="IA75" s="522">
        <f>IF(AND($HP75&lt;&gt;0,OR(HP75&lt;=MIN(HQ75:HT75),SUM(HQ75:HT75)=0)),$HP75,0)</f>
        <v/>
      </c>
      <c r="IB75" s="545" t="n">
        <v>31</v>
      </c>
      <c r="IC75">
        <f>HU75=DF75</f>
        <v/>
      </c>
      <c r="IE75" s="351">
        <f>IF(B75="","",IF(AND(Y75="Second Lien",OR(CZ75=1,DA75=1,DB75=1)),50%,IF(CZ75=1,90%,IF(DA75=1,80%,IF(DB75=1,65%,"No Initial Haircut")))))</f>
        <v/>
      </c>
    </row>
    <row r="76">
      <c r="A76">
        <f>D76</f>
        <v/>
      </c>
      <c r="B76" s="242">
        <f>IF(D76="","",B75+1)</f>
        <v/>
      </c>
      <c r="C76" s="242">
        <f>IF(COUNTIF($A$10:A75,A76)&gt;0,C75,C75+1)</f>
        <v/>
      </c>
      <c r="D76" s="243" t="inlineStr">
        <is>
          <t>Redwood Industries, Inc.</t>
        </is>
      </c>
      <c r="E76" s="243" t="inlineStr">
        <is>
          <t>Redwood (Term Loan)</t>
        </is>
      </c>
      <c r="F76" s="244" t="n"/>
      <c r="G76" s="528" t="n">
        <v>8000000</v>
      </c>
      <c r="H76" s="528" t="n">
        <v>8000000</v>
      </c>
      <c r="I76" s="246" t="n">
        <v>1</v>
      </c>
      <c r="J76" s="529">
        <f>IF(B76="","",G76*I76)</f>
        <v/>
      </c>
      <c r="K76" s="529">
        <f>IF(B76="","",H76*I76)</f>
        <v/>
      </c>
      <c r="L76" s="529">
        <f>IF(B76="","",IF(COUNTIF($CE76:$CX76,1)&gt;0,0,J76))</f>
        <v/>
      </c>
      <c r="M76" s="529">
        <f>IF(B76="","",IF(COUNTIF($CE76:$CX76,1)&gt;0,0,K76))</f>
        <v/>
      </c>
      <c r="N76" s="248" t="inlineStr">
        <is>
          <t>No</t>
        </is>
      </c>
      <c r="O76" s="248" t="inlineStr">
        <is>
          <t>N/A</t>
        </is>
      </c>
      <c r="P76" s="249">
        <f>IF(B76="","",IF(OR(O76="N/A",O76=""),0,YEARFRAC('Borrowing Base'!$J$4,'Loan List'!O76)*12))</f>
        <v/>
      </c>
      <c r="Q76" s="248" t="inlineStr">
        <is>
          <t>No</t>
        </is>
      </c>
      <c r="R76" s="250" t="n">
        <v>0.9925</v>
      </c>
      <c r="S76" s="251">
        <f>IF(B76="","",IF(R76&lt;95%,"Yes","No"))</f>
        <v/>
      </c>
      <c r="T76" s="250" t="n">
        <v>0.9925</v>
      </c>
      <c r="U76" s="252">
        <f>IF(B76="","",IF(OR(Y76="First Lien",Y76="Split First Lien",Y76="Tier 1 Split Lien",Y76="Tier 2 Split Lien"),50%,30%))</f>
        <v/>
      </c>
      <c r="V76" s="252">
        <f>IF(B76="",0,IF(AND(Y76="First Lien",AN76="Tier 1"),IF(AND(X76="Yes",MIN(AH76,$AJ$5)&gt;4.5),(((4.5/MIN(AH76,$AJ$5))*72.5%)+(((MIN(AH76,$AJ$5)-4.5)/MIN(AH76,$AJ$5))*35%)),72.5%),IF(AND(Y76="First Lien",AN76="Tier 2"),IF(AND(X76="Yes",MIN(AH76,$AK$5)&gt;4.5),(((4.5/MIN(AH76,$AK$5))*72.5%)+(((MIN(AH76,$AK$5)-4.5)/MIN(AH76,$AK$5))*35%)),72.5%),IF(AND(X76="Yes",MIN(AH76,$AL$5)&gt;4),(((4/MIN(AH76,$AL$5))*72.5%)+(((MIN(AH76,$AL$5)-4)/MIN(AH76,$AL$5))*35%)),IF(OR(Y76="First Lien",Y76="Split First Lien"),72.5%,IF(Y76="Split Lien", 53%,35%))))))</f>
        <v/>
      </c>
      <c r="W76" s="530">
        <f>IF($C76="","",MIN($HO76:$HS76))</f>
        <v/>
      </c>
      <c r="X76" s="248" t="inlineStr">
        <is>
          <t>No</t>
        </is>
      </c>
      <c r="Y76" s="254" t="inlineStr">
        <is>
          <t>First Lien</t>
        </is>
      </c>
      <c r="Z76" s="254" t="inlineStr">
        <is>
          <t>Term</t>
        </is>
      </c>
      <c r="AA76" s="531" t="inlineStr">
        <is>
          <t>NR</t>
        </is>
      </c>
      <c r="AB76" s="531" t="inlineStr">
        <is>
          <t xml:space="preserve"> NR</t>
        </is>
      </c>
      <c r="AC76" s="532" t="n">
        <v>1.35204287753508</v>
      </c>
      <c r="AD76" s="532" t="n">
        <v>2.92</v>
      </c>
      <c r="AE76" s="532" t="n">
        <v>1.93</v>
      </c>
      <c r="AF76" s="257" t="n">
        <v>0.6871045166921231</v>
      </c>
      <c r="AG76" s="533" t="n">
        <v>4.912636505460219</v>
      </c>
      <c r="AH76" s="533" t="n">
        <v>4.912636505460219</v>
      </c>
      <c r="AI76" s="533" t="n">
        <v>5.627212251082573</v>
      </c>
      <c r="AJ76" s="533" t="n">
        <v>5.627212251082573</v>
      </c>
      <c r="AK76" s="534" t="n">
        <v>64099999.99999999</v>
      </c>
      <c r="AL76" s="534" t="n">
        <v>56230394</v>
      </c>
      <c r="AM76" s="276" t="n">
        <v>45838</v>
      </c>
      <c r="AN76" s="529">
        <f>IF(C76="","",(IF(AK76&gt;=50000000,"Tier 1",(IF(OR(AK76&gt;=20000000,AND(AK76&gt;5000000,AC76&gt;=1.25,AF76&lt;=0.65)),"Tier 2","Tier 3")))))</f>
        <v/>
      </c>
      <c r="AO76" s="244" t="n">
        <v>46317</v>
      </c>
      <c r="AP76" s="535" t="n">
        <v>1.227777777777778</v>
      </c>
      <c r="AQ76" s="535">
        <f>IF(C76="","",AP76)</f>
        <v/>
      </c>
      <c r="AR76" s="248" t="inlineStr">
        <is>
          <t>No</t>
        </is>
      </c>
      <c r="AS76" s="250" t="n">
        <v>0</v>
      </c>
      <c r="AT76" s="248" t="inlineStr">
        <is>
          <t>Yes</t>
        </is>
      </c>
      <c r="AU76" s="250" t="n">
        <v>0.01</v>
      </c>
      <c r="AV76" s="250" t="n">
        <v>0.0575</v>
      </c>
      <c r="AW76" s="250" t="n">
        <v>0.04369600000000001</v>
      </c>
      <c r="AX76" s="262">
        <f>IF(C76="","",MAX(AU76,AW76))</f>
        <v/>
      </c>
      <c r="AY76" s="250" t="n">
        <v>0</v>
      </c>
      <c r="AZ76" s="250" t="n">
        <v>0</v>
      </c>
      <c r="BA76" s="250" t="n">
        <v>0</v>
      </c>
      <c r="BB76" s="412">
        <f>IF(B76="","",IF(AR76="No",AV76-AZ76,""))</f>
        <v/>
      </c>
      <c r="BC76" s="412">
        <f>IF(B76="","",IF(AR76="Yes",AS76-BA76,""))</f>
        <v/>
      </c>
      <c r="BD76" s="254" t="inlineStr">
        <is>
          <t>Quarterly</t>
        </is>
      </c>
      <c r="BE76" s="536" t="inlineStr">
        <is>
          <t>Diversified Consumer Services</t>
        </is>
      </c>
      <c r="BF76" s="254" t="inlineStr">
        <is>
          <t>USD</t>
        </is>
      </c>
      <c r="BG76" s="254" t="inlineStr">
        <is>
          <t>United States</t>
        </is>
      </c>
      <c r="BH76" s="248" t="inlineStr">
        <is>
          <t>No</t>
        </is>
      </c>
      <c r="BI76" s="413">
        <f>IF(B76="","",IF(OR(AND(AZ76&gt;0,BB76&gt;=2.5%,BB76&lt;4%),AND(BA76&gt;0,BC76&gt;=6%,BC76&lt;8%)),"Yes","No"))</f>
        <v/>
      </c>
      <c r="BJ76" s="413">
        <f>IF(B76="","",IF(OR(AND(AZ76&gt;0,BB76&lt;2.5%),AND(BA76&gt;0,BC76&lt;6%)),"Yes","No"))</f>
        <v/>
      </c>
      <c r="BK76" s="248" t="inlineStr">
        <is>
          <t>No</t>
        </is>
      </c>
      <c r="BL76" s="248" t="inlineStr">
        <is>
          <t>No</t>
        </is>
      </c>
      <c r="BM76" s="248" t="inlineStr">
        <is>
          <t>No</t>
        </is>
      </c>
      <c r="BN76" s="248" t="inlineStr">
        <is>
          <t>No</t>
        </is>
      </c>
      <c r="BO76" s="248" t="inlineStr">
        <is>
          <t>No</t>
        </is>
      </c>
      <c r="BP76" s="248" t="inlineStr">
        <is>
          <t>No</t>
        </is>
      </c>
      <c r="BQ76" s="248" t="inlineStr">
        <is>
          <t>No</t>
        </is>
      </c>
      <c r="BR76" s="248" t="inlineStr">
        <is>
          <t>No</t>
        </is>
      </c>
      <c r="BS76" s="248" t="inlineStr">
        <is>
          <t>No</t>
        </is>
      </c>
      <c r="BT76" s="248" t="inlineStr">
        <is>
          <t>No</t>
        </is>
      </c>
      <c r="BU76" s="248" t="inlineStr">
        <is>
          <t>No</t>
        </is>
      </c>
      <c r="BV76" s="248" t="inlineStr">
        <is>
          <t>No</t>
        </is>
      </c>
      <c r="BW76" s="248" t="inlineStr">
        <is>
          <t>No</t>
        </is>
      </c>
      <c r="BX76" s="248" t="inlineStr">
        <is>
          <t>No</t>
        </is>
      </c>
      <c r="BY76" s="248" t="inlineStr">
        <is>
          <t>No</t>
        </is>
      </c>
      <c r="BZ76" s="248" t="inlineStr">
        <is>
          <t>No</t>
        </is>
      </c>
      <c r="CA76" s="248" t="inlineStr">
        <is>
          <t>Yes</t>
        </is>
      </c>
      <c r="CB76" s="537">
        <f>IF(B76="","",IF(AT76="No",((BB76+AW76)-$AZ$4),((BB76+AX76)-$AZ$4))*IF(DD76&gt;0,0,M76))</f>
        <v/>
      </c>
      <c r="CC76" s="537">
        <f>IF(B76="","",AY76*(L76-M76)*IF(DD76&gt;0,0,1))</f>
        <v/>
      </c>
      <c r="CD76" s="265" t="n"/>
      <c r="CE76" s="265">
        <f>IF(AND(B76&lt;&gt;"",R76&lt;=85%),1,0)</f>
        <v/>
      </c>
      <c r="CF76" s="265">
        <f>IF(B76="",0,(IF(OR(BF76="USD",BF76="CAD",BF76="GBP",BF76="AUD",BF76="EUR"),0,1)))</f>
        <v/>
      </c>
      <c r="CG76" s="265">
        <f>IF(B76="",0,(IF(OR(BG76="United States",BG76="Canada",BG76="United Kingdom",BG76="Australia",BG76="Netherlands Antilles",BG76="Bermuda",BG76="Cayman Islands",BG76="British Virgin Islands",BG76="Channel Islands",BG76="Isle of Man",BG76="Australia",BG76="Netherlands",BG76="Germany",BG76="Sweden",BG76="Switzerland",BG76="Austria",BG76="Belgium",BG76="Denmark",BG76="Finland",BG76="Iceland",BG76="Ireland",BG76="Lichtenstein",BG76="Luxemborg",BG76="Norway"),0,1)))</f>
        <v/>
      </c>
      <c r="CH76" s="265">
        <f>IF(BN76="Yes",1,0)</f>
        <v/>
      </c>
      <c r="CI76" s="265">
        <f>IF(BO76="Yes",1,0)</f>
        <v/>
      </c>
      <c r="CJ76" s="265">
        <f>IF(BP76="Yes",1,0)</f>
        <v/>
      </c>
      <c r="CK76" s="265">
        <f>IF(BQ76="Yes",1,0)</f>
        <v/>
      </c>
      <c r="CL76" s="265">
        <f>IF(BR76="Yes",1,0)</f>
        <v/>
      </c>
      <c r="CM76" s="265">
        <f>IF(BS76="Yes",1,0)</f>
        <v/>
      </c>
      <c r="CN76" s="265">
        <f>IF(OR(AND(BJ76="Yes",N76="No"),AND(BJ76="Yes",N76="Yes",P76&gt;=6)),1,0)</f>
        <v/>
      </c>
      <c r="CO76" s="265">
        <f>IF(BT76="Yes",1,0)</f>
        <v/>
      </c>
      <c r="CP76" s="265">
        <f>IF(AND(BU76="Yes",BV76="No"),1,0)</f>
        <v/>
      </c>
      <c r="CQ76" s="265">
        <f>IF(BW76="Yes",1,0)</f>
        <v/>
      </c>
      <c r="CR76" s="265">
        <f>IF(AP76="",0,IF(AP76&gt;7,1,0))</f>
        <v/>
      </c>
      <c r="CS76" s="265">
        <f>IF(OR(BD76&lt;&gt;"Monthly",BD76&lt;&gt;"Quarterly",BD76&lt;&gt;"Semi-Annually"),0,1)</f>
        <v/>
      </c>
      <c r="CT76" s="265">
        <f>IF(BX76="Yes",1,0)</f>
        <v/>
      </c>
      <c r="CU76" s="265">
        <f>IF(BY76="Yes",1,0)</f>
        <v/>
      </c>
      <c r="CV76" s="265">
        <f>IF(BZ76="Yes",1,0)</f>
        <v/>
      </c>
      <c r="CW76" s="265">
        <f>IF(CA76="No",1,0)</f>
        <v/>
      </c>
      <c r="CX76" s="265">
        <f>IF(B76="",0,IF(AK76&gt;=5000000,0,1))</f>
        <v/>
      </c>
      <c r="CY76" s="265">
        <f>IF(B76="",0,IF(AL76&gt;=5000000,0,1))</f>
        <v/>
      </c>
      <c r="CZ76" s="265">
        <f>IF(OR(DA76=1,DB76=1,DC76=1),0,IF(B76="",0,IF(OR(AND(AN76="Tier 1",X76="No",OR(AI76&gt;$AJ$3,AJ76&gt;$AJ$4)),(AND(AN76="Tier 1",X76="Yes",AJ76&gt;$AJ$5)),(AND(AN76="Tier 2",X76="No",OR(AI76&gt;$AK$3,AJ76&gt;$AK$4))),(AND(AN76="Tier 2",X76="Yes",AJ76&gt;$AK$5)),(AND(AN76="Tier 3",X76="No",OR(AI76&gt;$AL$3,AJ76&gt;$AL$4))),(AND(AN76="Tier 3",X76="Yes",AJ76&gt;$AL$5))),1,0)))</f>
        <v/>
      </c>
      <c r="DA76" s="265">
        <f>IF(OR(DB76=1,DC76=1),0,IF(B76="",0,IF(OR(AND(AN76="Tier 1",X76="No",OR(AI76&gt;$AM$3,AJ76&gt;$AM$4)),(AND(AN76="Tier 1",X76="Yes",AJ76&gt;$AM$5)),(AND(AN76="Tier 2",X76="No",OR(AI76&gt;$AN$3,AJ76&gt;$AN$4))),(AND(AN76="Tier 2",X76="Yes",AJ76&gt;$AN$5)),(AND(AN76="Tier 3",X76="No",OR(AI76&gt;$AO$3,AJ76&gt;$AO$4))),(AND(AN76="Tier 3",X76="Yes",AJ76&gt;$AO$5))),1,0)))</f>
        <v/>
      </c>
      <c r="DB76" s="265">
        <f>IF(DC76=1,0,IF(B76="",0,IF(OR(AND(AN76="Tier 1",X76="No",OR(AI76&gt;$AP$3,AJ76&gt;$AP$4)),(AND(AN76="Tier 1",X76="Yes",AJ76&gt;$AP$5)),(AND(AN76="Tier 2",X76="No",OR(AI76&gt;$AQ$3,AJ76&gt;$AQ$4))),(AND(AN76="Tier 2",X76="Yes",AJ76&gt;$AQ$5)),(AND(AN76="Tier 3",X76="No",OR(AI76&gt;$AR$3,AJ76&gt;$AR$4))),(AND(AN76="Tier 3",X76="Yes",AJ76&gt;$AR$5))),1,0)))</f>
        <v/>
      </c>
      <c r="DC76" s="265">
        <f>IF(B76="",0,IF(OR(AND(AN76="Tier 1",X76="No",OR(AI76&gt;$AS$3,AJ76&gt;$AS$4)),(AND(AN76="Tier 1",X76="Yes",AJ76&gt;$AS$5)),(AND(AN76="Tier 2",X76="No",OR(AI76&gt;$AT$3,AJ76&gt;$AT$4))),(AND(AN76="Tier 2",X76="Yes",AJ76&gt;$AT$5)),(AND(AN76="Tier 3",X76="No",OR(AI76&gt;$AU$3,AJ76&gt;$AU$4))),(AND(AN76="Tier 3",X76="Yes",AJ76&gt;$AU$5))),1,0))</f>
        <v/>
      </c>
      <c r="DD76" s="265">
        <f>IF((SUM(CE76:CX76)=0),0,W76)</f>
        <v/>
      </c>
      <c r="DE76" s="265">
        <f>IF(OR(B76="",DD76&gt;0),0,W76)</f>
        <v/>
      </c>
      <c r="DF76" s="265">
        <f>IF(B76="",0,IF(COUNTIF(CE76:CX76,1)&gt;0,0,L76-M76))</f>
        <v/>
      </c>
      <c r="DG76" s="265">
        <f>DE76+IF(DD76&gt;0,0,DF76)</f>
        <v/>
      </c>
      <c r="DH76" s="265">
        <f>IF(B76="","",M76+DF76)</f>
        <v/>
      </c>
      <c r="DI76" s="265">
        <f>IF(B76="",0,J76-K76)</f>
        <v/>
      </c>
      <c r="DJ76" s="265">
        <f>IF(OR(BF76="EUR",BF76="CAD",BF76="GBP",BF76="AUD"),(GA76*(1-V76))+(HG76)+IF(HX76="",0,HX76*(1-U76)),0)</f>
        <v/>
      </c>
      <c r="DK76" s="265">
        <f>IF(BF76="EUR",33%,IF(BF76="CAD",38%,IF(BF76="GBP",51%,IF(BF76="AUD",61%,0))))</f>
        <v/>
      </c>
      <c r="DL76" s="265">
        <f>DJ76*DK76</f>
        <v/>
      </c>
      <c r="DN76" s="538">
        <f>IF(OR(Y76="Second Lien",Y76="Tier 1 Split Lien",Y76="Tier 2 Split Lien"),DG76,0)</f>
        <v/>
      </c>
      <c r="DO76" s="539">
        <f>DN76*DN$6</f>
        <v/>
      </c>
      <c r="DP76" s="538">
        <f>DG76-DO76</f>
        <v/>
      </c>
      <c r="DQ76" s="538">
        <f>IF(Y76="Second Lien",DP76,0)</f>
        <v/>
      </c>
      <c r="DR76" s="539">
        <f>DQ76*DQ$6</f>
        <v/>
      </c>
      <c r="DS76" s="538">
        <f>DP76-DR76</f>
        <v/>
      </c>
      <c r="DT76" s="538">
        <f>IF(BH76="Yes",DS76,0)</f>
        <v/>
      </c>
      <c r="DU76" s="539">
        <f>DT76*DT$6</f>
        <v/>
      </c>
      <c r="DV76" s="538">
        <f>DS76-DU76</f>
        <v/>
      </c>
      <c r="DW76" s="538">
        <f>IF(OR(BG76="Canada",BG76="United Kingdom",BG76="Australia",BG76="Netherlands Antilles",BG76="Bermuda",BG76="Cayman Islands",BG76="British Virgin Islands",BG76="Channel Islands",BG76="Isle of Man",BG76="Australia",BG76="Netherlands",BG76="Germany",BG76="Sweden",BG76="Switzerland",BG76="Austria",BG76="Belgium",BG76="Denmark",BG76="Finland",BG76="Iceland",BG76="Ireland",BG76="Lichtenstein",BG76="Luxemborg",BG76="Norway"),DV76,0)</f>
        <v/>
      </c>
      <c r="DX76" s="539">
        <f>DW76*DW$6</f>
        <v/>
      </c>
      <c r="DY76" s="538">
        <f>DV76-DX76</f>
        <v/>
      </c>
      <c r="DZ76" s="538">
        <f>IF(BI76="Yes",DY76,0)</f>
        <v/>
      </c>
      <c r="EA76" s="539">
        <f>DZ76*DZ$6</f>
        <v/>
      </c>
      <c r="EB76" s="538">
        <f>DY76-EA76</f>
        <v/>
      </c>
      <c r="EC76" s="538">
        <f>IF(OR(Z76="Delayed Draw",Z76="Revolver"),EB76,0)</f>
        <v/>
      </c>
      <c r="ED76" s="539">
        <f>EC76*EC$6</f>
        <v/>
      </c>
      <c r="EE76" s="538">
        <f>EB76-ED76</f>
        <v/>
      </c>
      <c r="EF76" s="538">
        <f>IF(S76="Yes",EE76,0)</f>
        <v/>
      </c>
      <c r="EG76" s="539">
        <f>EF76*EF$6</f>
        <v/>
      </c>
      <c r="EH76" s="538">
        <f>EE76-EG76</f>
        <v/>
      </c>
      <c r="EI76" s="538">
        <f>IF(Q76="Yes",EH76,0)</f>
        <v/>
      </c>
      <c r="EJ76" s="539">
        <f>EI76*EI$6</f>
        <v/>
      </c>
      <c r="EK76" s="538">
        <f>EH76-EJ76</f>
        <v/>
      </c>
      <c r="EL76" s="538">
        <f>IF(BD76="Semi-Annually",EK76,0)</f>
        <v/>
      </c>
      <c r="EM76" s="539">
        <f>EL76*EL$6</f>
        <v/>
      </c>
      <c r="EN76" s="538">
        <f>EK76-EM76</f>
        <v/>
      </c>
      <c r="EO76" s="538">
        <f>IF(BK76="Yes",EN76,0)</f>
        <v/>
      </c>
      <c r="EP76" s="539">
        <f>EO76*EO$6</f>
        <v/>
      </c>
      <c r="EQ76" s="538">
        <f>EN76-EP76</f>
        <v/>
      </c>
      <c r="ER76" s="538">
        <f>IF(BL76="Yes",EQ76,0)</f>
        <v/>
      </c>
      <c r="ES76" s="539">
        <f>ER76*ER$6</f>
        <v/>
      </c>
      <c r="ET76" s="538">
        <f>EQ76-ES76</f>
        <v/>
      </c>
      <c r="EU76" s="538">
        <f>IF(BM76="Yes",ET76,0)</f>
        <v/>
      </c>
      <c r="EV76" s="539">
        <f>EU76*EU$6</f>
        <v/>
      </c>
      <c r="EW76" s="538">
        <f>ET76-EV76</f>
        <v/>
      </c>
      <c r="EX76" s="538">
        <f>IF(BV76="Yes",EW76,0)</f>
        <v/>
      </c>
      <c r="EY76" s="539">
        <f>EX76*EX$6</f>
        <v/>
      </c>
      <c r="EZ76" s="538">
        <f>EW76-EY76</f>
        <v/>
      </c>
      <c r="FA76" s="538">
        <f>IF(AR76="Yes",EZ76,0)</f>
        <v/>
      </c>
      <c r="FB76" s="539">
        <f>FA76*FA$6</f>
        <v/>
      </c>
      <c r="FC76" s="538">
        <f>EZ76-FB76</f>
        <v/>
      </c>
      <c r="FD76" s="538">
        <f>IF(OR(BF76="EUR",BF76="AUD",BF76="CAD",BF76="GBP"),FC76,0)</f>
        <v/>
      </c>
      <c r="FE76" s="539">
        <f>FD76*FD$6</f>
        <v/>
      </c>
      <c r="FF76" s="538">
        <f>FC76-FE76</f>
        <v/>
      </c>
      <c r="FG76" s="538">
        <f>FF76</f>
        <v/>
      </c>
      <c r="FH76" s="538">
        <f>IF(FF76=0,0,VLOOKUP(C76,$GU$10:$GV$406,2,FALSE)*FF76)</f>
        <v/>
      </c>
      <c r="FI76" s="538">
        <f>FF76-FH76</f>
        <v/>
      </c>
      <c r="FJ76" s="538">
        <f>FI76</f>
        <v/>
      </c>
      <c r="FK76" s="538">
        <f>IF(OR(IB76="",FI76&lt;0.01),,VLOOKUP(IB76,$GL$10:$GM$406,2,FALSE)*FI76)</f>
        <v/>
      </c>
      <c r="FL76" s="538">
        <f>FI76-FK76</f>
        <v/>
      </c>
      <c r="FM76" s="538">
        <f>FL76</f>
        <v/>
      </c>
      <c r="FN76" s="538">
        <f>IF(FL76=0,0,VLOOKUP(C76,$HD$10:$HE$406,2,FALSE)*FL76)</f>
        <v/>
      </c>
      <c r="FO76" s="538">
        <f>FL76-FN76</f>
        <v/>
      </c>
      <c r="FP76" s="538">
        <f>IF(SUM(CY76:DC76)&gt;0,0,IF(AND(AL76&gt;=5000000,AL76&lt;7500000),FO76,0))</f>
        <v/>
      </c>
      <c r="FQ76" s="539">
        <f>IF(B76="",0,FP76*FP$6*(1-$U76))</f>
        <v/>
      </c>
      <c r="FR76" s="538">
        <f>FO76-FQ76</f>
        <v/>
      </c>
      <c r="FS76" s="538">
        <f>IF(SUM(CY76:DC76)&gt;0,0,IF(AL76&lt;15000000,FR76,0))</f>
        <v/>
      </c>
      <c r="FT76" s="539">
        <f>IF(B76="",0,FS76*FS$6*(1-$U76))</f>
        <v/>
      </c>
      <c r="FU76" s="538">
        <f>FR76-FT76</f>
        <v/>
      </c>
      <c r="FV76" s="538">
        <f>IF(SUM(CY76:DC76)&gt;0,0,IF(OR(AND(X76="No",AN76="Tier 1",AI76&gt;$AG$3),AND(X76="No",AN76="Tier 2",AI76&gt;$AH$3),AND(X76="No",AN76="Tier 3",AI76&gt;$AI$3)),FU76,0))</f>
        <v/>
      </c>
      <c r="FW76" s="538">
        <f>IF(SUM(CY76:DC76)&gt;0,0,IF(OR(AND(X76="No",AN76="Tier 1",AJ76&gt;$AG$4),AND(X76="No",AN76="Tier 2",AJ76&gt;$AH$4),AND(X76="No",AN76="Tier 3",AJ76&gt;$AI$4)),FU76,0))</f>
        <v/>
      </c>
      <c r="FX76" s="538">
        <f>IF(SUM(CY76:DC76)&gt;0,0,IF(OR(AND(X76="Yes",AN76="Tier 1",AJ76&gt;$AG$5),AND(X76="Yes",AN76="Tier 2",AJ76&gt;$AH$5),AND(X76="Yes",AN76="Tier 3",AJ76&gt;$AI$5)),FU76,0))</f>
        <v/>
      </c>
      <c r="FY76" s="538">
        <f>IF(SUM(FV76:FX76)&gt;0,FU76,0)</f>
        <v/>
      </c>
      <c r="FZ76" s="539">
        <f>IF(B76="",0,FY76*FV$6*(1-MIN(90%,T76)))</f>
        <v/>
      </c>
      <c r="GA76" s="538">
        <f>FU76-FZ76</f>
        <v/>
      </c>
      <c r="GB76" s="538">
        <f>IF(AND(N76="No",DI76=0),GA76,IF(AND(N76="No",DI76&lt;&gt;0,K76=0),0,IF(AND(N76="No",DI76&lt;&gt;0,K76&gt;0,J76&lt;&gt;K76),MAX(0,M76-(DH76-GA76)),DG76)))</f>
        <v/>
      </c>
      <c r="GC76" s="540">
        <f>+GB76*V76</f>
        <v/>
      </c>
      <c r="GD76" s="138">
        <f>IFERROR(GC76/K76,"")</f>
        <v/>
      </c>
      <c r="GE76" s="541">
        <f>IF(IB76="","",IB76)</f>
        <v/>
      </c>
      <c r="GF76" s="538">
        <f t="array" ref="GF76">IF(SUM(IF(IB$9:IB75=IB76,1,0))&gt;0,0,SUMIF($IB$10:$IB$406,IB76,$FI$10:$FI$406))</f>
        <v/>
      </c>
      <c r="GG76" s="270">
        <f>GF76</f>
        <v/>
      </c>
      <c r="GH76" s="137">
        <f>GH75+1</f>
        <v/>
      </c>
      <c r="GI76" s="542">
        <f>LARGE($GG$10:$GG$406,GH76)</f>
        <v/>
      </c>
      <c r="GJ76" s="542">
        <f>IF(GH76&gt;GH$6,0,IF(GH76=$GH$2,$GJ$2,IF(GH76&lt;4,$GJ$3,$GJ$4)))</f>
        <v/>
      </c>
      <c r="GK76" s="489">
        <f>MAX(0,GI76-GJ76)</f>
        <v/>
      </c>
      <c r="GL76" s="137">
        <f t="array" ref="GL76">IF(GI76=0,0,LARGE(IF($GF$10:$GF$406=GI76,$GE$10:$GE$406,0),COUNTIF($GI$10:$GI$406,GI76)-COUNTIF(GI$9:GI75,GI76)))</f>
        <v/>
      </c>
      <c r="GM76" s="272">
        <f>IF(GI76=0,0,GK76/GI76)</f>
        <v/>
      </c>
      <c r="GO76" s="137">
        <f>IF(C76="","",IF(ISERROR(MATCH(C76,C$10:C75,0)),MAX(GO$10:GO75)+1,INDEX(GO$10:GO75,MATCH(C76,C$10:C75,0))))</f>
        <v/>
      </c>
      <c r="GP76" s="538">
        <f>IF(COUNTIF($A$10:A76,A76)&lt;=1,SUMIF($A$10:$A$406,A76,$FG$10:$FG$406),0)</f>
        <v/>
      </c>
      <c r="GQ76" s="137">
        <f>GQ75+1</f>
        <v/>
      </c>
      <c r="GR76" s="542">
        <f>LARGE($GP$10:$GP$406,GQ76)</f>
        <v/>
      </c>
      <c r="GS76" s="542">
        <f>IF(GQ76&gt;GQ$6,0,IF(GQ76&lt;=GQ$2,GS$2,IF(AND(GQ76&lt;=$GQ$3,GQ76&gt;$GQ$2),GS$3,GS$4)))</f>
        <v/>
      </c>
      <c r="GT76" s="489">
        <f>MAX(0,GR76-GS76)</f>
        <v/>
      </c>
      <c r="GU76" s="137">
        <f t="array" ref="GU76">IF(GR76=0,0,LARGE(IF($GP$10:$GP$406=GR76,$GO$10:$GO$406,0),COUNTIF($GR$10:$GR$406,GR76)-COUNTIF(GR$9:GR75,GR76)))</f>
        <v/>
      </c>
      <c r="GV76" s="272">
        <f>IF(GR76=0,0,GT76/GR76)</f>
        <v/>
      </c>
      <c r="GW76" s="272" t="n"/>
      <c r="GX76" s="137">
        <f>IF(C76="","",IF(ISERROR(MATCH(C76,C$10:C75,0)),MAX(GO$10:GO75)+1,INDEX(GO$10:GO75,MATCH(C76,C$10:C75,0))))</f>
        <v/>
      </c>
      <c r="GY76" s="538">
        <f>IF(COUNTIF($A$10:A76,A76)&lt;=1,SUMIF($A$10:$A$406,A76,$FG$10:$FG$406),0)</f>
        <v/>
      </c>
      <c r="GZ76" s="137">
        <f>GZ75+1</f>
        <v/>
      </c>
      <c r="HA76" s="542">
        <f>LARGE($GY$10:$GY$406,GZ76)</f>
        <v/>
      </c>
      <c r="HB76" s="543" t="inlineStr">
        <is>
          <t>-</t>
        </is>
      </c>
      <c r="HC76" s="489">
        <f>IF(GZ76&lt;6,MAX(0,$HC$2/5),0)</f>
        <v/>
      </c>
      <c r="HD76" s="137">
        <f t="array" ref="HD76">IF(HA76=0,0,LARGE(IF($GY$10:$GY$406=HA76,$GX$10:$GX$406,0),COUNTIF($HA$10:$HA$406,HA76)-COUNTIF(HA$9:HA75,HA76)))</f>
        <v/>
      </c>
      <c r="HE76" s="272">
        <f>IF(HA76=0,0,HC76/HA76)</f>
        <v/>
      </c>
      <c r="HF76" s="272" t="n"/>
      <c r="HG76" s="270">
        <f>DG76-GA76</f>
        <v/>
      </c>
      <c r="HH76" s="544" t="n">
        <v>0</v>
      </c>
      <c r="HI76" s="538">
        <f>MIN(HH76,DE76)</f>
        <v/>
      </c>
      <c r="HK76" s="137">
        <f>IF(COUNTIF($C$10:$C$406,HK75+1),HK75+1,"")</f>
        <v/>
      </c>
      <c r="HL76" s="538">
        <f>SUMIF($C$10:$C$406,HK76,$DG$10:$DG$406)</f>
        <v/>
      </c>
      <c r="HN76" s="521">
        <f>MIN(HO76:HS76)</f>
        <v/>
      </c>
      <c r="HO76" s="521">
        <f>IF(B76="","",$M76)</f>
        <v/>
      </c>
      <c r="HP76" s="521">
        <f>IF($N76="Yes",IF(P76&gt;=6,0,MIN($T76*$M76,$U76*$M76)),"")</f>
        <v/>
      </c>
      <c r="HQ76" s="521">
        <f>IF(AND(N76="Yes",P76&gt;=6),"",IF($S76="Yes",$R76*$M76,""))</f>
        <v/>
      </c>
      <c r="HR76" s="521">
        <f>IF($Q76="Yes",MIN($M76,$T76*$M76),"")</f>
        <v/>
      </c>
      <c r="HS76" s="521">
        <f>IF(AND($N76="Yes",$P76&gt;=6),"",IF(OR(CY76=1,DC76=1,),MIN($T76*$M76,$U76*$M76),IF(OR(CZ76=1,DA76=1,DB76=1),IF(AK76&gt;=5000000,MIN($T76*$M76,$IE76*$M76),MIN($T76*$M76,$U76*$M76)),"")))</f>
        <v/>
      </c>
      <c r="HT76" s="521">
        <f>IF(DD76&gt;0,DD76,"")</f>
        <v/>
      </c>
      <c r="HU76" s="522">
        <f>IF(B76="",0,$L76-$M76)</f>
        <v/>
      </c>
      <c r="HV76" s="274">
        <f>IF(OR(SUM(HP76:HT76)&gt;0,P76&gt;=6),"",IF($B76="","",1))</f>
        <v/>
      </c>
      <c r="HW76" s="522">
        <f>IF(AND($HT76&lt;&gt;0,OR(HT76&lt;=MIN(HP76:HS76),SUM(HP76:HS76)=0)),$HT76,0)</f>
        <v/>
      </c>
      <c r="HX76" s="522">
        <f>IF(AND($HS76&lt;&gt;0,OR(AND($HS76&lt;&gt;$HT76,$HS76&lt;&gt;$HR76,$HS76&lt;&gt;$HQ76,$HS76&lt;&gt;$HP76,$HS76&lt;MIN($HP76:$HR76),$HS76&lt;HT76),SUM($HP76:$HR76)+SUM(HT76)=0),IA76&lt;=0),$HS76,0)</f>
        <v/>
      </c>
      <c r="HY76" s="522">
        <f>IF(AND($HR76&lt;&gt;0,OR(AND($HR76&lt;&gt;$HT76,$HR76&lt;&gt;$HS76,$HR76&lt;&gt;$HQ76,$HR76&lt;&gt;$HP76),$HR76&lt;MIN($HP76:$HQ76),$HR76&lt;MIN($HS76:$HT76),SUM($HP76:$HQ76)+SUM($HS76:$HT76)=0)),$HR76,0)</f>
        <v/>
      </c>
      <c r="HZ76" s="522">
        <f>IF(AND($HQ76&lt;&gt;0,OR(AND($HQ76&lt;&gt;$HT76,HQ76&lt;&gt;HS76,HQ76&lt;&gt;HR76,HQ76&lt;&gt;HP76,HQ76&lt;MIN(HR76:HT76)),SUM(HP76)+SUM(HR76:HT76)=0)),$HQ76,0)</f>
        <v/>
      </c>
      <c r="IA76" s="522">
        <f>IF(AND($HP76&lt;&gt;0,OR(HP76&lt;=MIN(HQ76:HT76),SUM(HQ76:HT76)=0)),$HP76,0)</f>
        <v/>
      </c>
      <c r="IB76" s="545" t="n">
        <v>19</v>
      </c>
      <c r="IC76">
        <f>HU76=DF76</f>
        <v/>
      </c>
      <c r="IE76" s="351">
        <f>IF(B76="","",IF(AND(Y76="Second Lien",OR(CZ76=1,DA76=1,DB76=1)),50%,IF(CZ76=1,90%,IF(DA76=1,80%,IF(DB76=1,65%,"No Initial Haircut")))))</f>
        <v/>
      </c>
    </row>
    <row r="77">
      <c r="A77">
        <f>D77</f>
        <v/>
      </c>
      <c r="B77" s="242">
        <f>IF(D77="","",B76+1)</f>
        <v/>
      </c>
      <c r="C77" s="242">
        <f>IF(COUNTIF($A$10:A76,A77)&gt;0,C76,C76+1)</f>
        <v/>
      </c>
      <c r="D77" s="243" t="inlineStr">
        <is>
          <t>Clearview Industries, Inc.</t>
        </is>
      </c>
      <c r="E77" s="243" t="inlineStr">
        <is>
          <t>Clearview (First Lien Term Loan)</t>
        </is>
      </c>
      <c r="F77" s="244" t="n"/>
      <c r="G77" s="528" t="n">
        <v>412657.25</v>
      </c>
      <c r="H77" s="528" t="n">
        <v>412657.25</v>
      </c>
      <c r="I77" s="246" t="n">
        <v>1</v>
      </c>
      <c r="J77" s="529">
        <f>IF(B77="","",G77*I77)</f>
        <v/>
      </c>
      <c r="K77" s="529">
        <f>IF(B77="","",H77*I77)</f>
        <v/>
      </c>
      <c r="L77" s="529">
        <f>IF(B77="","",IF(COUNTIF($CE77:$CX77,1)&gt;0,0,J77))</f>
        <v/>
      </c>
      <c r="M77" s="529">
        <f>IF(B77="","",IF(COUNTIF($CE77:$CX77,1)&gt;0,0,K77))</f>
        <v/>
      </c>
      <c r="N77" s="248" t="inlineStr">
        <is>
          <t>No</t>
        </is>
      </c>
      <c r="O77" s="248" t="inlineStr">
        <is>
          <t>N/A</t>
        </is>
      </c>
      <c r="P77" s="249">
        <f>IF(B77="","",IF(OR(O77="N/A",O77=""),0,YEARFRAC('Borrowing Base'!$J$4,'Loan List'!O77)*12))</f>
        <v/>
      </c>
      <c r="Q77" s="248" t="inlineStr">
        <is>
          <t>No</t>
        </is>
      </c>
      <c r="R77" s="250" t="n">
        <v>0.9863307275759475</v>
      </c>
      <c r="S77" s="251">
        <f>IF(B77="","",IF(R77&lt;95%,"Yes","No"))</f>
        <v/>
      </c>
      <c r="T77" s="250" t="n">
        <v>0.9975000075728707</v>
      </c>
      <c r="U77" s="252">
        <f>IF(B77="","",IF(OR(Y77="First Lien",Y77="Split First Lien",Y77="Tier 1 Split Lien",Y77="Tier 2 Split Lien"),50%,30%))</f>
        <v/>
      </c>
      <c r="V77" s="252">
        <f>IF(B77="",0,IF(AND(Y77="First Lien",AN77="Tier 1"),IF(AND(X77="Yes",MIN(AH77,$AJ$5)&gt;4.5),(((4.5/MIN(AH77,$AJ$5))*72.5%)+(((MIN(AH77,$AJ$5)-4.5)/MIN(AH77,$AJ$5))*35%)),72.5%),IF(AND(Y77="First Lien",AN77="Tier 2"),IF(AND(X77="Yes",MIN(AH77,$AK$5)&gt;4.5),(((4.5/MIN(AH77,$AK$5))*72.5%)+(((MIN(AH77,$AK$5)-4.5)/MIN(AH77,$AK$5))*35%)),72.5%),IF(AND(X77="Yes",MIN(AH77,$AL$5)&gt;4),(((4/MIN(AH77,$AL$5))*72.5%)+(((MIN(AH77,$AL$5)-4)/MIN(AH77,$AL$5))*35%)),IF(OR(Y77="First Lien",Y77="Split First Lien"),72.5%,IF(Y77="Split Lien", 53%,35%))))))</f>
        <v/>
      </c>
      <c r="W77" s="530">
        <f>IF($C77="","",MIN($HO77:$HS77))</f>
        <v/>
      </c>
      <c r="X77" s="248" t="inlineStr">
        <is>
          <t>No</t>
        </is>
      </c>
      <c r="Y77" s="254" t="inlineStr">
        <is>
          <t>First Lien</t>
        </is>
      </c>
      <c r="Z77" s="254" t="inlineStr">
        <is>
          <t>Term</t>
        </is>
      </c>
      <c r="AA77" s="531" t="inlineStr">
        <is>
          <t>B2</t>
        </is>
      </c>
      <c r="AB77" s="531" t="inlineStr">
        <is>
          <t xml:space="preserve"> B-</t>
        </is>
      </c>
      <c r="AC77" s="532" t="n">
        <v>2.083470801715606</v>
      </c>
      <c r="AD77" s="532" t="n">
        <v>5.559006211180124</v>
      </c>
      <c r="AE77" s="532" t="n">
        <v>3.793661731943101</v>
      </c>
      <c r="AF77" s="257" t="n">
        <v>0.445273631840796</v>
      </c>
      <c r="AG77" s="533" t="n">
        <v>3.928571428571428</v>
      </c>
      <c r="AH77" s="533" t="n">
        <v>5.559006211180124</v>
      </c>
      <c r="AI77" s="533" t="n">
        <v>3.30423530056656</v>
      </c>
      <c r="AJ77" s="533" t="n">
        <v>3.793661731943101</v>
      </c>
      <c r="AK77" s="534" t="n">
        <v>64400000.00000001</v>
      </c>
      <c r="AL77" s="534" t="n">
        <v>255401000</v>
      </c>
      <c r="AM77" s="276" t="n">
        <v>45747</v>
      </c>
      <c r="AN77" s="529">
        <f>IF(C77="","",(IF(AK77&gt;=50000000,"Tier 1",(IF(OR(AK77&gt;=20000000,AND(AK77&gt;5000000,AC77&gt;=1.25,AF77&lt;=0.65)),"Tier 2","Tier 3")))))</f>
        <v/>
      </c>
      <c r="AO77" s="244" t="n">
        <v>46741</v>
      </c>
      <c r="AP77" s="535" t="n">
        <v>2.388888888888889</v>
      </c>
      <c r="AQ77" s="535">
        <f>IF(C77="","",AP77)</f>
        <v/>
      </c>
      <c r="AR77" s="248" t="inlineStr">
        <is>
          <t>No</t>
        </is>
      </c>
      <c r="AS77" s="250" t="n">
        <v>0</v>
      </c>
      <c r="AT77" s="248" t="inlineStr">
        <is>
          <t>Yes</t>
        </is>
      </c>
      <c r="AU77" s="250" t="n">
        <v>0.01</v>
      </c>
      <c r="AV77" s="250" t="n">
        <v>0.0525</v>
      </c>
      <c r="AW77" s="250" t="n">
        <v>0.043079</v>
      </c>
      <c r="AX77" s="262">
        <f>IF(C77="","",MAX(AU77,AW77))</f>
        <v/>
      </c>
      <c r="AY77" s="250" t="n">
        <v>0</v>
      </c>
      <c r="AZ77" s="250" t="n">
        <v>0</v>
      </c>
      <c r="BA77" s="250" t="n">
        <v>0</v>
      </c>
      <c r="BB77" s="412">
        <f>IF(B77="","",IF(AR77="No",AV77-AZ77,""))</f>
        <v/>
      </c>
      <c r="BC77" s="412">
        <f>IF(B77="","",IF(AR77="Yes",AS77-BA77,""))</f>
        <v/>
      </c>
      <c r="BD77" s="254" t="inlineStr">
        <is>
          <t>Quarterly</t>
        </is>
      </c>
      <c r="BE77" s="536" t="inlineStr">
        <is>
          <t>Health Care Providers &amp; Services</t>
        </is>
      </c>
      <c r="BF77" s="254" t="inlineStr">
        <is>
          <t>USD</t>
        </is>
      </c>
      <c r="BG77" s="254" t="inlineStr">
        <is>
          <t>United States</t>
        </is>
      </c>
      <c r="BH77" s="248" t="inlineStr">
        <is>
          <t>No</t>
        </is>
      </c>
      <c r="BI77" s="413">
        <f>IF(B77="","",IF(OR(AND(AZ77&gt;0,BB77&gt;=2.5%,BB77&lt;4%),AND(BA77&gt;0,BC77&gt;=6%,BC77&lt;8%)),"Yes","No"))</f>
        <v/>
      </c>
      <c r="BJ77" s="413">
        <f>IF(B77="","",IF(OR(AND(AZ77&gt;0,BB77&lt;2.5%),AND(BA77&gt;0,BC77&lt;6%)),"Yes","No"))</f>
        <v/>
      </c>
      <c r="BK77" s="248" t="inlineStr">
        <is>
          <t>No</t>
        </is>
      </c>
      <c r="BL77" s="248" t="inlineStr">
        <is>
          <t>No</t>
        </is>
      </c>
      <c r="BM77" s="248" t="inlineStr">
        <is>
          <t>No</t>
        </is>
      </c>
      <c r="BN77" s="248" t="inlineStr">
        <is>
          <t>No</t>
        </is>
      </c>
      <c r="BO77" s="248" t="inlineStr">
        <is>
          <t>No</t>
        </is>
      </c>
      <c r="BP77" s="248" t="inlineStr">
        <is>
          <t>No</t>
        </is>
      </c>
      <c r="BQ77" s="248" t="inlineStr">
        <is>
          <t>No</t>
        </is>
      </c>
      <c r="BR77" s="248" t="inlineStr">
        <is>
          <t>No</t>
        </is>
      </c>
      <c r="BS77" s="248" t="inlineStr">
        <is>
          <t>No</t>
        </is>
      </c>
      <c r="BT77" s="248" t="inlineStr">
        <is>
          <t>No</t>
        </is>
      </c>
      <c r="BU77" s="248" t="inlineStr">
        <is>
          <t>No</t>
        </is>
      </c>
      <c r="BV77" s="248" t="inlineStr">
        <is>
          <t>No</t>
        </is>
      </c>
      <c r="BW77" s="248" t="inlineStr">
        <is>
          <t>No</t>
        </is>
      </c>
      <c r="BX77" s="248" t="inlineStr">
        <is>
          <t>No</t>
        </is>
      </c>
      <c r="BY77" s="248" t="inlineStr">
        <is>
          <t>No</t>
        </is>
      </c>
      <c r="BZ77" s="248" t="inlineStr">
        <is>
          <t>No</t>
        </is>
      </c>
      <c r="CA77" s="248" t="inlineStr">
        <is>
          <t>Yes</t>
        </is>
      </c>
      <c r="CB77" s="537">
        <f>IF(B77="","",IF(AT77="No",((BB77+AW77)-$AZ$4),((BB77+AX77)-$AZ$4))*IF(DD77&gt;0,0,M77))</f>
        <v/>
      </c>
      <c r="CC77" s="537">
        <f>IF(B77="","",AY77*(L77-M77)*IF(DD77&gt;0,0,1))</f>
        <v/>
      </c>
      <c r="CD77" s="265" t="n"/>
      <c r="CE77" s="265">
        <f>IF(AND(B77&lt;&gt;"",R77&lt;=85%),1,0)</f>
        <v/>
      </c>
      <c r="CF77" s="265">
        <f>IF(B77="",0,(IF(OR(BF77="USD",BF77="CAD",BF77="GBP",BF77="AUD",BF77="EUR"),0,1)))</f>
        <v/>
      </c>
      <c r="CG77" s="265">
        <f>IF(B77="",0,(IF(OR(BG77="United States",BG77="Canada",BG77="United Kingdom",BG77="Australia",BG77="Netherlands Antilles",BG77="Bermuda",BG77="Cayman Islands",BG77="British Virgin Islands",BG77="Channel Islands",BG77="Isle of Man",BG77="Australia",BG77="Netherlands",BG77="Germany",BG77="Sweden",BG77="Switzerland",BG77="Austria",BG77="Belgium",BG77="Denmark",BG77="Finland",BG77="Iceland",BG77="Ireland",BG77="Lichtenstein",BG77="Luxemborg",BG77="Norway"),0,1)))</f>
        <v/>
      </c>
      <c r="CH77" s="265">
        <f>IF(BN77="Yes",1,0)</f>
        <v/>
      </c>
      <c r="CI77" s="265">
        <f>IF(BO77="Yes",1,0)</f>
        <v/>
      </c>
      <c r="CJ77" s="265">
        <f>IF(BP77="Yes",1,0)</f>
        <v/>
      </c>
      <c r="CK77" s="265">
        <f>IF(BQ77="Yes",1,0)</f>
        <v/>
      </c>
      <c r="CL77" s="265">
        <f>IF(BR77="Yes",1,0)</f>
        <v/>
      </c>
      <c r="CM77" s="265">
        <f>IF(BS77="Yes",1,0)</f>
        <v/>
      </c>
      <c r="CN77" s="265">
        <f>IF(OR(AND(BJ77="Yes",N77="No"),AND(BJ77="Yes",N77="Yes",P77&gt;=6)),1,0)</f>
        <v/>
      </c>
      <c r="CO77" s="265">
        <f>IF(BT77="Yes",1,0)</f>
        <v/>
      </c>
      <c r="CP77" s="265">
        <f>IF(AND(BU77="Yes",BV77="No"),1,0)</f>
        <v/>
      </c>
      <c r="CQ77" s="265">
        <f>IF(BW77="Yes",1,0)</f>
        <v/>
      </c>
      <c r="CR77" s="265">
        <f>IF(AP77="",0,IF(AP77&gt;7,1,0))</f>
        <v/>
      </c>
      <c r="CS77" s="265">
        <f>IF(OR(BD77&lt;&gt;"Monthly",BD77&lt;&gt;"Quarterly",BD77&lt;&gt;"Semi-Annually"),0,1)</f>
        <v/>
      </c>
      <c r="CT77" s="265">
        <f>IF(BX77="Yes",1,0)</f>
        <v/>
      </c>
      <c r="CU77" s="265">
        <f>IF(BY77="Yes",1,0)</f>
        <v/>
      </c>
      <c r="CV77" s="265">
        <f>IF(BZ77="Yes",1,0)</f>
        <v/>
      </c>
      <c r="CW77" s="265">
        <f>IF(CA77="No",1,0)</f>
        <v/>
      </c>
      <c r="CX77" s="265">
        <f>IF(B77="",0,IF(AK77&gt;=5000000,0,1))</f>
        <v/>
      </c>
      <c r="CY77" s="265">
        <f>IF(B77="",0,IF(AL77&gt;=5000000,0,1))</f>
        <v/>
      </c>
      <c r="CZ77" s="265">
        <f>IF(OR(DA77=1,DB77=1,DC77=1),0,IF(B77="",0,IF(OR(AND(AN77="Tier 1",X77="No",OR(AI77&gt;$AJ$3,AJ77&gt;$AJ$4)),(AND(AN77="Tier 1",X77="Yes",AJ77&gt;$AJ$5)),(AND(AN77="Tier 2",X77="No",OR(AI77&gt;$AK$3,AJ77&gt;$AK$4))),(AND(AN77="Tier 2",X77="Yes",AJ77&gt;$AK$5)),(AND(AN77="Tier 3",X77="No",OR(AI77&gt;$AL$3,AJ77&gt;$AL$4))),(AND(AN77="Tier 3",X77="Yes",AJ77&gt;$AL$5))),1,0)))</f>
        <v/>
      </c>
      <c r="DA77" s="265">
        <f>IF(OR(DB77=1,DC77=1),0,IF(B77="",0,IF(OR(AND(AN77="Tier 1",X77="No",OR(AI77&gt;$AM$3,AJ77&gt;$AM$4)),(AND(AN77="Tier 1",X77="Yes",AJ77&gt;$AM$5)),(AND(AN77="Tier 2",X77="No",OR(AI77&gt;$AN$3,AJ77&gt;$AN$4))),(AND(AN77="Tier 2",X77="Yes",AJ77&gt;$AN$5)),(AND(AN77="Tier 3",X77="No",OR(AI77&gt;$AO$3,AJ77&gt;$AO$4))),(AND(AN77="Tier 3",X77="Yes",AJ77&gt;$AO$5))),1,0)))</f>
        <v/>
      </c>
      <c r="DB77" s="265">
        <f>IF(DC77=1,0,IF(B77="",0,IF(OR(AND(AN77="Tier 1",X77="No",OR(AI77&gt;$AP$3,AJ77&gt;$AP$4)),(AND(AN77="Tier 1",X77="Yes",AJ77&gt;$AP$5)),(AND(AN77="Tier 2",X77="No",OR(AI77&gt;$AQ$3,AJ77&gt;$AQ$4))),(AND(AN77="Tier 2",X77="Yes",AJ77&gt;$AQ$5)),(AND(AN77="Tier 3",X77="No",OR(AI77&gt;$AR$3,AJ77&gt;$AR$4))),(AND(AN77="Tier 3",X77="Yes",AJ77&gt;$AR$5))),1,0)))</f>
        <v/>
      </c>
      <c r="DC77" s="265">
        <f>IF(B77="",0,IF(OR(AND(AN77="Tier 1",X77="No",OR(AI77&gt;$AS$3,AJ77&gt;$AS$4)),(AND(AN77="Tier 1",X77="Yes",AJ77&gt;$AS$5)),(AND(AN77="Tier 2",X77="No",OR(AI77&gt;$AT$3,AJ77&gt;$AT$4))),(AND(AN77="Tier 2",X77="Yes",AJ77&gt;$AT$5)),(AND(AN77="Tier 3",X77="No",OR(AI77&gt;$AU$3,AJ77&gt;$AU$4))),(AND(AN77="Tier 3",X77="Yes",AJ77&gt;$AU$5))),1,0))</f>
        <v/>
      </c>
      <c r="DD77" s="265">
        <f>IF((SUM(CE77:CX77)=0),0,W77)</f>
        <v/>
      </c>
      <c r="DE77" s="265">
        <f>IF(OR(B77="",DD77&gt;0),0,W77)</f>
        <v/>
      </c>
      <c r="DF77" s="265">
        <f>IF(B77="",0,IF(COUNTIF(CE77:CX77,1)&gt;0,0,L77-M77))</f>
        <v/>
      </c>
      <c r="DG77" s="265">
        <f>DE77+IF(DD77&gt;0,0,DF77)</f>
        <v/>
      </c>
      <c r="DH77" s="265">
        <f>IF(B77="","",M77+DF77)</f>
        <v/>
      </c>
      <c r="DI77" s="265">
        <f>IF(B77="",0,J77-K77)</f>
        <v/>
      </c>
      <c r="DJ77" s="265">
        <f>IF(OR(BF77="EUR",BF77="CAD",BF77="GBP",BF77="AUD"),(GA77*(1-V77))+(HG77)+IF(HX77="",0,HX77*(1-U77)),0)</f>
        <v/>
      </c>
      <c r="DK77" s="265">
        <f>IF(BF77="EUR",33%,IF(BF77="CAD",38%,IF(BF77="GBP",51%,IF(BF77="AUD",61%,0))))</f>
        <v/>
      </c>
      <c r="DL77" s="265">
        <f>DJ77*DK77</f>
        <v/>
      </c>
      <c r="DN77" s="538">
        <f>IF(OR(Y77="Second Lien",Y77="Tier 1 Split Lien",Y77="Tier 2 Split Lien"),DG77,0)</f>
        <v/>
      </c>
      <c r="DO77" s="539">
        <f>DN77*DN$6</f>
        <v/>
      </c>
      <c r="DP77" s="538">
        <f>DG77-DO77</f>
        <v/>
      </c>
      <c r="DQ77" s="538">
        <f>IF(Y77="Second Lien",DP77,0)</f>
        <v/>
      </c>
      <c r="DR77" s="539">
        <f>DQ77*DQ$6</f>
        <v/>
      </c>
      <c r="DS77" s="538">
        <f>DP77-DR77</f>
        <v/>
      </c>
      <c r="DT77" s="538">
        <f>IF(BH77="Yes",DS77,0)</f>
        <v/>
      </c>
      <c r="DU77" s="539">
        <f>DT77*DT$6</f>
        <v/>
      </c>
      <c r="DV77" s="538">
        <f>DS77-DU77</f>
        <v/>
      </c>
      <c r="DW77" s="538">
        <f>IF(OR(BG77="Canada",BG77="United Kingdom",BG77="Australia",BG77="Netherlands Antilles",BG77="Bermuda",BG77="Cayman Islands",BG77="British Virgin Islands",BG77="Channel Islands",BG77="Isle of Man",BG77="Australia",BG77="Netherlands",BG77="Germany",BG77="Sweden",BG77="Switzerland",BG77="Austria",BG77="Belgium",BG77="Denmark",BG77="Finland",BG77="Iceland",BG77="Ireland",BG77="Lichtenstein",BG77="Luxemborg",BG77="Norway"),DV77,0)</f>
        <v/>
      </c>
      <c r="DX77" s="539">
        <f>DW77*DW$6</f>
        <v/>
      </c>
      <c r="DY77" s="538">
        <f>DV77-DX77</f>
        <v/>
      </c>
      <c r="DZ77" s="538">
        <f>IF(BI77="Yes",DY77,0)</f>
        <v/>
      </c>
      <c r="EA77" s="539">
        <f>DZ77*DZ$6</f>
        <v/>
      </c>
      <c r="EB77" s="538">
        <f>DY77-EA77</f>
        <v/>
      </c>
      <c r="EC77" s="538">
        <f>IF(OR(Z77="Delayed Draw",Z77="Revolver"),EB77,0)</f>
        <v/>
      </c>
      <c r="ED77" s="539">
        <f>EC77*EC$6</f>
        <v/>
      </c>
      <c r="EE77" s="538">
        <f>EB77-ED77</f>
        <v/>
      </c>
      <c r="EF77" s="538">
        <f>IF(S77="Yes",EE77,0)</f>
        <v/>
      </c>
      <c r="EG77" s="539">
        <f>EF77*EF$6</f>
        <v/>
      </c>
      <c r="EH77" s="538">
        <f>EE77-EG77</f>
        <v/>
      </c>
      <c r="EI77" s="538">
        <f>IF(Q77="Yes",EH77,0)</f>
        <v/>
      </c>
      <c r="EJ77" s="539">
        <f>EI77*EI$6</f>
        <v/>
      </c>
      <c r="EK77" s="538">
        <f>EH77-EJ77</f>
        <v/>
      </c>
      <c r="EL77" s="538">
        <f>IF(BD77="Semi-Annually",EK77,0)</f>
        <v/>
      </c>
      <c r="EM77" s="539">
        <f>EL77*EL$6</f>
        <v/>
      </c>
      <c r="EN77" s="538">
        <f>EK77-EM77</f>
        <v/>
      </c>
      <c r="EO77" s="538">
        <f>IF(BK77="Yes",EN77,0)</f>
        <v/>
      </c>
      <c r="EP77" s="539">
        <f>EO77*EO$6</f>
        <v/>
      </c>
      <c r="EQ77" s="538">
        <f>EN77-EP77</f>
        <v/>
      </c>
      <c r="ER77" s="538">
        <f>IF(BL77="Yes",EQ77,0)</f>
        <v/>
      </c>
      <c r="ES77" s="539">
        <f>ER77*ER$6</f>
        <v/>
      </c>
      <c r="ET77" s="538">
        <f>EQ77-ES77</f>
        <v/>
      </c>
      <c r="EU77" s="538">
        <f>IF(BM77="Yes",ET77,0)</f>
        <v/>
      </c>
      <c r="EV77" s="539">
        <f>EU77*EU$6</f>
        <v/>
      </c>
      <c r="EW77" s="538">
        <f>ET77-EV77</f>
        <v/>
      </c>
      <c r="EX77" s="538">
        <f>IF(BV77="Yes",EW77,0)</f>
        <v/>
      </c>
      <c r="EY77" s="539">
        <f>EX77*EX$6</f>
        <v/>
      </c>
      <c r="EZ77" s="538">
        <f>EW77-EY77</f>
        <v/>
      </c>
      <c r="FA77" s="538">
        <f>IF(AR77="Yes",EZ77,0)</f>
        <v/>
      </c>
      <c r="FB77" s="539">
        <f>FA77*FA$6</f>
        <v/>
      </c>
      <c r="FC77" s="538">
        <f>EZ77-FB77</f>
        <v/>
      </c>
      <c r="FD77" s="538">
        <f>IF(OR(BF77="EUR",BF77="AUD",BF77="CAD",BF77="GBP"),FC77,0)</f>
        <v/>
      </c>
      <c r="FE77" s="539">
        <f>FD77*FD$6</f>
        <v/>
      </c>
      <c r="FF77" s="538">
        <f>FC77-FE77</f>
        <v/>
      </c>
      <c r="FG77" s="538">
        <f>FF77</f>
        <v/>
      </c>
      <c r="FH77" s="538">
        <f>IF(FF77=0,0,VLOOKUP(C77,$GU$10:$GV$406,2,FALSE)*FF77)</f>
        <v/>
      </c>
      <c r="FI77" s="538">
        <f>FF77-FH77</f>
        <v/>
      </c>
      <c r="FJ77" s="538">
        <f>FI77</f>
        <v/>
      </c>
      <c r="FK77" s="538">
        <f>IF(OR(IB77="",FI77&lt;0.01),,VLOOKUP(IB77,$GL$10:$GM$406,2,FALSE)*FI77)</f>
        <v/>
      </c>
      <c r="FL77" s="538">
        <f>FI77-FK77</f>
        <v/>
      </c>
      <c r="FM77" s="538">
        <f>FL77</f>
        <v/>
      </c>
      <c r="FN77" s="538">
        <f>IF(FL77=0,0,VLOOKUP(C77,$HD$10:$HE$406,2,FALSE)*FL77)</f>
        <v/>
      </c>
      <c r="FO77" s="538">
        <f>FL77-FN77</f>
        <v/>
      </c>
      <c r="FP77" s="538">
        <f>IF(SUM(CY77:DC77)&gt;0,0,IF(AND(AL77&gt;=5000000,AL77&lt;7500000),FO77,0))</f>
        <v/>
      </c>
      <c r="FQ77" s="539">
        <f>IF(B77="",0,FP77*FP$6*(1-$U77))</f>
        <v/>
      </c>
      <c r="FR77" s="538">
        <f>FO77-FQ77</f>
        <v/>
      </c>
      <c r="FS77" s="538">
        <f>IF(SUM(CY77:DC77)&gt;0,0,IF(AL77&lt;15000000,FR77,0))</f>
        <v/>
      </c>
      <c r="FT77" s="539">
        <f>IF(B77="",0,FS77*FS$6*(1-$U77))</f>
        <v/>
      </c>
      <c r="FU77" s="538">
        <f>FR77-FT77</f>
        <v/>
      </c>
      <c r="FV77" s="538">
        <f>IF(SUM(CY77:DC77)&gt;0,0,IF(OR(AND(X77="No",AN77="Tier 1",AI77&gt;$AG$3),AND(X77="No",AN77="Tier 2",AI77&gt;$AH$3),AND(X77="No",AN77="Tier 3",AI77&gt;$AI$3)),FU77,0))</f>
        <v/>
      </c>
      <c r="FW77" s="538">
        <f>IF(SUM(CY77:DC77)&gt;0,0,IF(OR(AND(X77="No",AN77="Tier 1",AJ77&gt;$AG$4),AND(X77="No",AN77="Tier 2",AJ77&gt;$AH$4),AND(X77="No",AN77="Tier 3",AJ77&gt;$AI$4)),FU77,0))</f>
        <v/>
      </c>
      <c r="FX77" s="538">
        <f>IF(SUM(CY77:DC77)&gt;0,0,IF(OR(AND(X77="Yes",AN77="Tier 1",AJ77&gt;$AG$5),AND(X77="Yes",AN77="Tier 2",AJ77&gt;$AH$5),AND(X77="Yes",AN77="Tier 3",AJ77&gt;$AI$5)),FU77,0))</f>
        <v/>
      </c>
      <c r="FY77" s="538">
        <f>IF(SUM(FV77:FX77)&gt;0,FU77,0)</f>
        <v/>
      </c>
      <c r="FZ77" s="539">
        <f>IF(B77="",0,FY77*FV$6*(1-MIN(90%,T77)))</f>
        <v/>
      </c>
      <c r="GA77" s="538">
        <f>FU77-FZ77</f>
        <v/>
      </c>
      <c r="GB77" s="538">
        <f>IF(AND(N77="No",DI77=0),GA77,IF(AND(N77="No",DI77&lt;&gt;0,K77=0),0,IF(AND(N77="No",DI77&lt;&gt;0,K77&gt;0,J77&lt;&gt;K77),MAX(0,M77-(DH77-GA77)),DG77)))</f>
        <v/>
      </c>
      <c r="GC77" s="540">
        <f>+GB77*V77</f>
        <v/>
      </c>
      <c r="GD77" s="138">
        <f>IFERROR(GC77/K77,"")</f>
        <v/>
      </c>
      <c r="GE77" s="541">
        <f>IF(IB77="","",IB77)</f>
        <v/>
      </c>
      <c r="GF77" s="538">
        <f t="array" ref="GF77">IF(SUM(IF(IB$9:IB76=IB77,1,0))&gt;0,0,SUMIF($IB$10:$IB$406,IB77,$FI$10:$FI$406))</f>
        <v/>
      </c>
      <c r="GG77" s="270">
        <f>GF77</f>
        <v/>
      </c>
      <c r="GH77" s="137">
        <f>GH76+1</f>
        <v/>
      </c>
      <c r="GI77" s="542">
        <f>LARGE($GG$10:$GG$406,GH77)</f>
        <v/>
      </c>
      <c r="GJ77" s="542">
        <f>IF(GH77&gt;GH$6,0,IF(GH77=$GH$2,$GJ$2,IF(GH77&lt;4,$GJ$3,$GJ$4)))</f>
        <v/>
      </c>
      <c r="GK77" s="489">
        <f>MAX(0,GI77-GJ77)</f>
        <v/>
      </c>
      <c r="GL77" s="137">
        <f t="array" ref="GL77">IF(GI77=0,0,LARGE(IF($GF$10:$GF$406=GI77,$GE$10:$GE$406,0),COUNTIF($GI$10:$GI$406,GI77)-COUNTIF(GI$9:GI76,GI77)))</f>
        <v/>
      </c>
      <c r="GM77" s="272">
        <f>IF(GI77=0,0,GK77/GI77)</f>
        <v/>
      </c>
      <c r="GO77" s="137">
        <f>IF(C77="","",IF(ISERROR(MATCH(C77,C$10:C76,0)),MAX(GO$10:GO76)+1,INDEX(GO$10:GO76,MATCH(C77,C$10:C76,0))))</f>
        <v/>
      </c>
      <c r="GP77" s="538">
        <f>IF(COUNTIF($A$10:A77,A77)&lt;=1,SUMIF($A$10:$A$406,A77,$FG$10:$FG$406),0)</f>
        <v/>
      </c>
      <c r="GQ77" s="137">
        <f>GQ76+1</f>
        <v/>
      </c>
      <c r="GR77" s="542">
        <f>LARGE($GP$10:$GP$406,GQ77)</f>
        <v/>
      </c>
      <c r="GS77" s="542">
        <f>IF(GQ77&gt;GQ$6,0,IF(GQ77&lt;=GQ$2,GS$2,IF(AND(GQ77&lt;=$GQ$3,GQ77&gt;$GQ$2),GS$3,GS$4)))</f>
        <v/>
      </c>
      <c r="GT77" s="489">
        <f>MAX(0,GR77-GS77)</f>
        <v/>
      </c>
      <c r="GU77" s="137">
        <f t="array" ref="GU77">IF(GR77=0,0,LARGE(IF($GP$10:$GP$406=GR77,$GO$10:$GO$406,0),COUNTIF($GR$10:$GR$406,GR77)-COUNTIF(GR$9:GR76,GR77)))</f>
        <v/>
      </c>
      <c r="GV77" s="272">
        <f>IF(GR77=0,0,GT77/GR77)</f>
        <v/>
      </c>
      <c r="GW77" s="272" t="n"/>
      <c r="GX77" s="137">
        <f>IF(C77="","",IF(ISERROR(MATCH(C77,C$10:C76,0)),MAX(GO$10:GO76)+1,INDEX(GO$10:GO76,MATCH(C77,C$10:C76,0))))</f>
        <v/>
      </c>
      <c r="GY77" s="538">
        <f>IF(COUNTIF($A$10:A77,A77)&lt;=1,SUMIF($A$10:$A$406,A77,$FG$10:$FG$406),0)</f>
        <v/>
      </c>
      <c r="GZ77" s="137">
        <f>GZ76+1</f>
        <v/>
      </c>
      <c r="HA77" s="542">
        <f>LARGE($GY$10:$GY$406,GZ77)</f>
        <v/>
      </c>
      <c r="HB77" s="543" t="inlineStr">
        <is>
          <t>-</t>
        </is>
      </c>
      <c r="HC77" s="489">
        <f>IF(GZ77&lt;6,MAX(0,$HC$2/5),0)</f>
        <v/>
      </c>
      <c r="HD77" s="137">
        <f t="array" ref="HD77">IF(HA77=0,0,LARGE(IF($GY$10:$GY$406=HA77,$GX$10:$GX$406,0),COUNTIF($HA$10:$HA$406,HA77)-COUNTIF(HA$9:HA76,HA77)))</f>
        <v/>
      </c>
      <c r="HE77" s="272">
        <f>IF(HA77=0,0,HC77/HA77)</f>
        <v/>
      </c>
      <c r="HF77" s="272" t="n"/>
      <c r="HG77" s="270">
        <f>DG77-GA77</f>
        <v/>
      </c>
      <c r="HH77" s="544" t="n">
        <v>0</v>
      </c>
      <c r="HI77" s="538">
        <f>MIN(HH77,DE77)</f>
        <v/>
      </c>
      <c r="HK77" s="137">
        <f>IF(COUNTIF($C$10:$C$406,HK76+1),HK76+1,"")</f>
        <v/>
      </c>
      <c r="HL77" s="538">
        <f>SUMIF($C$10:$C$406,HK77,$DG$10:$DG$406)</f>
        <v/>
      </c>
      <c r="HN77" s="521">
        <f>MIN(HO77:HS77)</f>
        <v/>
      </c>
      <c r="HO77" s="521">
        <f>IF(B77="","",$M77)</f>
        <v/>
      </c>
      <c r="HP77" s="521">
        <f>IF($N77="Yes",IF(P77&gt;=6,0,MIN($T77*$M77,$U77*$M77)),"")</f>
        <v/>
      </c>
      <c r="HQ77" s="521">
        <f>IF(AND(N77="Yes",P77&gt;=6),"",IF($S77="Yes",$R77*$M77,""))</f>
        <v/>
      </c>
      <c r="HR77" s="521">
        <f>IF($Q77="Yes",MIN($M77,$T77*$M77),"")</f>
        <v/>
      </c>
      <c r="HS77" s="521">
        <f>IF(AND($N77="Yes",$P77&gt;=6),"",IF(OR(CY77=1,DC77=1,),MIN($T77*$M77,$U77*$M77),IF(OR(CZ77=1,DA77=1,DB77=1),IF(AK77&gt;=5000000,MIN($T77*$M77,$IE77*$M77),MIN($T77*$M77,$U77*$M77)),"")))</f>
        <v/>
      </c>
      <c r="HT77" s="521">
        <f>IF(DD77&gt;0,DD77,"")</f>
        <v/>
      </c>
      <c r="HU77" s="522">
        <f>IF(B77="",0,$L77-$M77)</f>
        <v/>
      </c>
      <c r="HV77" s="274">
        <f>IF(OR(SUM(HP77:HT77)&gt;0,P77&gt;=6),"",IF($B77="","",1))</f>
        <v/>
      </c>
      <c r="HW77" s="522">
        <f>IF(AND($HT77&lt;&gt;0,OR(HT77&lt;=MIN(HP77:HS77),SUM(HP77:HS77)=0)),$HT77,0)</f>
        <v/>
      </c>
      <c r="HX77" s="522">
        <f>IF(AND($HS77&lt;&gt;0,OR(AND($HS77&lt;&gt;$HT77,$HS77&lt;&gt;$HR77,$HS77&lt;&gt;$HQ77,$HS77&lt;&gt;$HP77,$HS77&lt;MIN($HP77:$HR77),$HS77&lt;HT77),SUM($HP77:$HR77)+SUM(HT77)=0),IA77&lt;=0),$HS77,0)</f>
        <v/>
      </c>
      <c r="HY77" s="522">
        <f>IF(AND($HR77&lt;&gt;0,OR(AND($HR77&lt;&gt;$HT77,$HR77&lt;&gt;$HS77,$HR77&lt;&gt;$HQ77,$HR77&lt;&gt;$HP77),$HR77&lt;MIN($HP77:$HQ77),$HR77&lt;MIN($HS77:$HT77),SUM($HP77:$HQ77)+SUM($HS77:$HT77)=0)),$HR77,0)</f>
        <v/>
      </c>
      <c r="HZ77" s="522">
        <f>IF(AND($HQ77&lt;&gt;0,OR(AND($HQ77&lt;&gt;$HT77,HQ77&lt;&gt;HS77,HQ77&lt;&gt;HR77,HQ77&lt;&gt;HP77,HQ77&lt;MIN(HR77:HT77)),SUM(HP77)+SUM(HR77:HT77)=0)),$HQ77,0)</f>
        <v/>
      </c>
      <c r="IA77" s="522">
        <f>IF(AND($HP77&lt;&gt;0,OR(HP77&lt;=MIN(HQ77:HT77),SUM(HQ77:HT77)=0)),$HP77,0)</f>
        <v/>
      </c>
      <c r="IB77" s="545" t="n">
        <v>31</v>
      </c>
      <c r="IC77">
        <f>HU77=DF77</f>
        <v/>
      </c>
      <c r="IE77" s="351">
        <f>IF(B77="","",IF(AND(Y77="Second Lien",OR(CZ77=1,DA77=1,DB77=1)),50%,IF(CZ77=1,90%,IF(DA77=1,80%,IF(DB77=1,65%,"No Initial Haircut")))))</f>
        <v/>
      </c>
    </row>
    <row r="78">
      <c r="A78">
        <f>D78</f>
        <v/>
      </c>
      <c r="B78" s="242">
        <f>IF(D78="","",B77+1)</f>
        <v/>
      </c>
      <c r="C78" s="242">
        <f>IF(COUNTIF($A$10:A77,A78)&gt;0,C77,C77+1)</f>
        <v/>
      </c>
      <c r="D78" s="243" t="inlineStr">
        <is>
          <t>Lakeshore Industries, Inc.</t>
        </is>
      </c>
      <c r="E78" s="243" t="inlineStr">
        <is>
          <t>Lakeshore (Term Loan)</t>
        </is>
      </c>
      <c r="F78" s="244" t="n"/>
      <c r="G78" s="528" t="n">
        <v>3963790.73</v>
      </c>
      <c r="H78" s="528" t="n">
        <v>3963790.73</v>
      </c>
      <c r="I78" s="246" t="n">
        <v>1</v>
      </c>
      <c r="J78" s="529">
        <f>IF(B78="","",G78*I78)</f>
        <v/>
      </c>
      <c r="K78" s="529">
        <f>IF(B78="","",H78*I78)</f>
        <v/>
      </c>
      <c r="L78" s="529">
        <f>IF(B78="","",IF(COUNTIF($CE78:$CX78,1)&gt;0,0,J78))</f>
        <v/>
      </c>
      <c r="M78" s="529">
        <f>IF(B78="","",IF(COUNTIF($CE78:$CX78,1)&gt;0,0,K78))</f>
        <v/>
      </c>
      <c r="N78" s="248" t="inlineStr">
        <is>
          <t>No</t>
        </is>
      </c>
      <c r="O78" s="248" t="inlineStr">
        <is>
          <t>N/A</t>
        </is>
      </c>
      <c r="P78" s="249">
        <f>IF(B78="","",IF(OR(O78="N/A",O78=""),0,YEARFRAC('Borrowing Base'!$J$4,'Loan List'!O78)*12))</f>
        <v/>
      </c>
      <c r="Q78" s="248" t="inlineStr">
        <is>
          <t>No</t>
        </is>
      </c>
      <c r="R78" s="250" t="n">
        <v>0.99</v>
      </c>
      <c r="S78" s="251">
        <f>IF(B78="","",IF(R78&lt;95%,"Yes","No"))</f>
        <v/>
      </c>
      <c r="T78" s="250" t="n">
        <v>1.010000000681166</v>
      </c>
      <c r="U78" s="252">
        <f>IF(B78="","",IF(OR(Y78="First Lien",Y78="Split First Lien",Y78="Tier 1 Split Lien",Y78="Tier 2 Split Lien"),50%,30%))</f>
        <v/>
      </c>
      <c r="V78" s="252">
        <f>IF(B78="",0,IF(AND(Y78="First Lien",AN78="Tier 1"),IF(AND(X78="Yes",MIN(AH78,$AJ$5)&gt;4.5),(((4.5/MIN(AH78,$AJ$5))*72.5%)+(((MIN(AH78,$AJ$5)-4.5)/MIN(AH78,$AJ$5))*35%)),72.5%),IF(AND(Y78="First Lien",AN78="Tier 2"),IF(AND(X78="Yes",MIN(AH78,$AK$5)&gt;4.5),(((4.5/MIN(AH78,$AK$5))*72.5%)+(((MIN(AH78,$AK$5)-4.5)/MIN(AH78,$AK$5))*35%)),72.5%),IF(AND(X78="Yes",MIN(AH78,$AL$5)&gt;4),(((4/MIN(AH78,$AL$5))*72.5%)+(((MIN(AH78,$AL$5)-4)/MIN(AH78,$AL$5))*35%)),IF(OR(Y78="First Lien",Y78="Split First Lien"),72.5%,IF(Y78="Split Lien", 53%,35%))))))</f>
        <v/>
      </c>
      <c r="W78" s="530">
        <f>IF($C78="","",MIN($HO78:$HS78))</f>
        <v/>
      </c>
      <c r="X78" s="248" t="inlineStr">
        <is>
          <t>No</t>
        </is>
      </c>
      <c r="Y78" s="254" t="inlineStr">
        <is>
          <t>First Lien</t>
        </is>
      </c>
      <c r="Z78" s="254" t="inlineStr">
        <is>
          <t>Term</t>
        </is>
      </c>
      <c r="AA78" s="531" t="inlineStr">
        <is>
          <t>NR</t>
        </is>
      </c>
      <c r="AB78" s="531" t="inlineStr">
        <is>
          <t xml:space="preserve"> NR</t>
        </is>
      </c>
      <c r="AC78" s="532" t="n">
        <v>2.35</v>
      </c>
      <c r="AD78" s="532" t="n">
        <v>2.791887336900249</v>
      </c>
      <c r="AE78" s="532" t="n">
        <v>1.588852094415291</v>
      </c>
      <c r="AF78" s="257" t="n">
        <v>0.4451699065143196</v>
      </c>
      <c r="AG78" s="533" t="n">
        <v>2.791887336900249</v>
      </c>
      <c r="AH78" s="533" t="n">
        <v>2.791887336900249</v>
      </c>
      <c r="AI78" s="533" t="n">
        <v>1.588852094415291</v>
      </c>
      <c r="AJ78" s="533" t="n">
        <v>1.588852094415291</v>
      </c>
      <c r="AK78" s="534" t="n">
        <v>107500000</v>
      </c>
      <c r="AL78" s="534" t="n">
        <v>119026182.9057133</v>
      </c>
      <c r="AM78" s="276" t="n">
        <v>45777</v>
      </c>
      <c r="AN78" s="529">
        <f>IF(C78="","",(IF(AK78&gt;=50000000,"Tier 1",(IF(OR(AK78&gt;=20000000,AND(AK78&gt;5000000,AC78&gt;=1.25,AF78&lt;=0.65)),"Tier 2","Tier 3")))))</f>
        <v/>
      </c>
      <c r="AO78" s="244" t="n">
        <v>47848</v>
      </c>
      <c r="AP78" s="535" t="n">
        <v>5.416666666666667</v>
      </c>
      <c r="AQ78" s="535">
        <f>IF(C78="","",AP78)</f>
        <v/>
      </c>
      <c r="AR78" s="248" t="inlineStr">
        <is>
          <t>No</t>
        </is>
      </c>
      <c r="AS78" s="250" t="n">
        <v>0</v>
      </c>
      <c r="AT78" s="248" t="inlineStr">
        <is>
          <t>Yes</t>
        </is>
      </c>
      <c r="AU78" s="250" t="n">
        <v>0.01</v>
      </c>
      <c r="AV78" s="250" t="n">
        <v>0.0575</v>
      </c>
      <c r="AW78" s="250" t="n">
        <v>0.042956</v>
      </c>
      <c r="AX78" s="262">
        <f>IF(C78="","",MAX(AU78,AW78))</f>
        <v/>
      </c>
      <c r="AY78" s="250" t="n">
        <v>0</v>
      </c>
      <c r="AZ78" s="250" t="n">
        <v>0</v>
      </c>
      <c r="BA78" s="250" t="n">
        <v>0</v>
      </c>
      <c r="BB78" s="412">
        <f>IF(B78="","",IF(AR78="No",AV78-AZ78,""))</f>
        <v/>
      </c>
      <c r="BC78" s="412">
        <f>IF(B78="","",IF(AR78="Yes",AS78-BA78,""))</f>
        <v/>
      </c>
      <c r="BD78" s="254" t="inlineStr">
        <is>
          <t>Monthly</t>
        </is>
      </c>
      <c r="BE78" s="536" t="inlineStr">
        <is>
          <t>Insurance</t>
        </is>
      </c>
      <c r="BF78" s="254" t="inlineStr">
        <is>
          <t>USD</t>
        </is>
      </c>
      <c r="BG78" s="254" t="inlineStr">
        <is>
          <t>United States</t>
        </is>
      </c>
      <c r="BH78" s="248" t="inlineStr">
        <is>
          <t>No</t>
        </is>
      </c>
      <c r="BI78" s="413">
        <f>IF(B78="","",IF(OR(AND(AZ78&gt;0,BB78&gt;=2.5%,BB78&lt;4%),AND(BA78&gt;0,BC78&gt;=6%,BC78&lt;8%)),"Yes","No"))</f>
        <v/>
      </c>
      <c r="BJ78" s="413">
        <f>IF(B78="","",IF(OR(AND(AZ78&gt;0,BB78&lt;2.5%),AND(BA78&gt;0,BC78&lt;6%)),"Yes","No"))</f>
        <v/>
      </c>
      <c r="BK78" s="248" t="inlineStr">
        <is>
          <t>No</t>
        </is>
      </c>
      <c r="BL78" s="248" t="inlineStr">
        <is>
          <t>No</t>
        </is>
      </c>
      <c r="BM78" s="248" t="inlineStr">
        <is>
          <t>No</t>
        </is>
      </c>
      <c r="BN78" s="248" t="inlineStr">
        <is>
          <t>No</t>
        </is>
      </c>
      <c r="BO78" s="248" t="inlineStr">
        <is>
          <t>No</t>
        </is>
      </c>
      <c r="BP78" s="248" t="inlineStr">
        <is>
          <t>No</t>
        </is>
      </c>
      <c r="BQ78" s="248" t="inlineStr">
        <is>
          <t>No</t>
        </is>
      </c>
      <c r="BR78" s="248" t="inlineStr">
        <is>
          <t>No</t>
        </is>
      </c>
      <c r="BS78" s="248" t="inlineStr">
        <is>
          <t>No</t>
        </is>
      </c>
      <c r="BT78" s="248" t="inlineStr">
        <is>
          <t>No</t>
        </is>
      </c>
      <c r="BU78" s="248" t="inlineStr">
        <is>
          <t>No</t>
        </is>
      </c>
      <c r="BV78" s="248" t="inlineStr">
        <is>
          <t>No</t>
        </is>
      </c>
      <c r="BW78" s="248" t="inlineStr">
        <is>
          <t>No</t>
        </is>
      </c>
      <c r="BX78" s="248" t="inlineStr">
        <is>
          <t>No</t>
        </is>
      </c>
      <c r="BY78" s="248" t="inlineStr">
        <is>
          <t>No</t>
        </is>
      </c>
      <c r="BZ78" s="248" t="inlineStr">
        <is>
          <t>No</t>
        </is>
      </c>
      <c r="CA78" s="248" t="inlineStr">
        <is>
          <t>Yes</t>
        </is>
      </c>
      <c r="CB78" s="537">
        <f>IF(B78="","",IF(AT78="No",((BB78+AW78)-$AZ$4),((BB78+AX78)-$AZ$4))*IF(DD78&gt;0,0,M78))</f>
        <v/>
      </c>
      <c r="CC78" s="537">
        <f>IF(B78="","",AY78*(L78-M78)*IF(DD78&gt;0,0,1))</f>
        <v/>
      </c>
      <c r="CD78" s="265" t="n"/>
      <c r="CE78" s="265">
        <f>IF(AND(B78&lt;&gt;"",R78&lt;=85%),1,0)</f>
        <v/>
      </c>
      <c r="CF78" s="265">
        <f>IF(B78="",0,(IF(OR(BF78="USD",BF78="CAD",BF78="GBP",BF78="AUD",BF78="EUR"),0,1)))</f>
        <v/>
      </c>
      <c r="CG78" s="265">
        <f>IF(B78="",0,(IF(OR(BG78="United States",BG78="Canada",BG78="United Kingdom",BG78="Australia",BG78="Netherlands Antilles",BG78="Bermuda",BG78="Cayman Islands",BG78="British Virgin Islands",BG78="Channel Islands",BG78="Isle of Man",BG78="Australia",BG78="Netherlands",BG78="Germany",BG78="Sweden",BG78="Switzerland",BG78="Austria",BG78="Belgium",BG78="Denmark",BG78="Finland",BG78="Iceland",BG78="Ireland",BG78="Lichtenstein",BG78="Luxemborg",BG78="Norway"),0,1)))</f>
        <v/>
      </c>
      <c r="CH78" s="265">
        <f>IF(BN78="Yes",1,0)</f>
        <v/>
      </c>
      <c r="CI78" s="265">
        <f>IF(BO78="Yes",1,0)</f>
        <v/>
      </c>
      <c r="CJ78" s="265">
        <f>IF(BP78="Yes",1,0)</f>
        <v/>
      </c>
      <c r="CK78" s="265">
        <f>IF(BQ78="Yes",1,0)</f>
        <v/>
      </c>
      <c r="CL78" s="265">
        <f>IF(BR78="Yes",1,0)</f>
        <v/>
      </c>
      <c r="CM78" s="265">
        <f>IF(BS78="Yes",1,0)</f>
        <v/>
      </c>
      <c r="CN78" s="265">
        <f>IF(OR(AND(BJ78="Yes",N78="No"),AND(BJ78="Yes",N78="Yes",P78&gt;=6)),1,0)</f>
        <v/>
      </c>
      <c r="CO78" s="265">
        <f>IF(BT78="Yes",1,0)</f>
        <v/>
      </c>
      <c r="CP78" s="265">
        <f>IF(AND(BU78="Yes",BV78="No"),1,0)</f>
        <v/>
      </c>
      <c r="CQ78" s="265">
        <f>IF(BW78="Yes",1,0)</f>
        <v/>
      </c>
      <c r="CR78" s="265">
        <f>IF(AP78="",0,IF(AP78&gt;7,1,0))</f>
        <v/>
      </c>
      <c r="CS78" s="265">
        <f>IF(OR(BD78&lt;&gt;"Monthly",BD78&lt;&gt;"Quarterly",BD78&lt;&gt;"Semi-Annually"),0,1)</f>
        <v/>
      </c>
      <c r="CT78" s="265">
        <f>IF(BX78="Yes",1,0)</f>
        <v/>
      </c>
      <c r="CU78" s="265">
        <f>IF(BY78="Yes",1,0)</f>
        <v/>
      </c>
      <c r="CV78" s="265">
        <f>IF(BZ78="Yes",1,0)</f>
        <v/>
      </c>
      <c r="CW78" s="265">
        <f>IF(CA78="No",1,0)</f>
        <v/>
      </c>
      <c r="CX78" s="265">
        <f>IF(B78="",0,IF(AK78&gt;=5000000,0,1))</f>
        <v/>
      </c>
      <c r="CY78" s="265">
        <f>IF(B78="",0,IF(AL78&gt;=5000000,0,1))</f>
        <v/>
      </c>
      <c r="CZ78" s="265">
        <f>IF(OR(DA78=1,DB78=1,DC78=1),0,IF(B78="",0,IF(OR(AND(AN78="Tier 1",X78="No",OR(AI78&gt;$AJ$3,AJ78&gt;$AJ$4)),(AND(AN78="Tier 1",X78="Yes",AJ78&gt;$AJ$5)),(AND(AN78="Tier 2",X78="No",OR(AI78&gt;$AK$3,AJ78&gt;$AK$4))),(AND(AN78="Tier 2",X78="Yes",AJ78&gt;$AK$5)),(AND(AN78="Tier 3",X78="No",OR(AI78&gt;$AL$3,AJ78&gt;$AL$4))),(AND(AN78="Tier 3",X78="Yes",AJ78&gt;$AL$5))),1,0)))</f>
        <v/>
      </c>
      <c r="DA78" s="265">
        <f>IF(OR(DB78=1,DC78=1),0,IF(B78="",0,IF(OR(AND(AN78="Tier 1",X78="No",OR(AI78&gt;$AM$3,AJ78&gt;$AM$4)),(AND(AN78="Tier 1",X78="Yes",AJ78&gt;$AM$5)),(AND(AN78="Tier 2",X78="No",OR(AI78&gt;$AN$3,AJ78&gt;$AN$4))),(AND(AN78="Tier 2",X78="Yes",AJ78&gt;$AN$5)),(AND(AN78="Tier 3",X78="No",OR(AI78&gt;$AO$3,AJ78&gt;$AO$4))),(AND(AN78="Tier 3",X78="Yes",AJ78&gt;$AO$5))),1,0)))</f>
        <v/>
      </c>
      <c r="DB78" s="265">
        <f>IF(DC78=1,0,IF(B78="",0,IF(OR(AND(AN78="Tier 1",X78="No",OR(AI78&gt;$AP$3,AJ78&gt;$AP$4)),(AND(AN78="Tier 1",X78="Yes",AJ78&gt;$AP$5)),(AND(AN78="Tier 2",X78="No",OR(AI78&gt;$AQ$3,AJ78&gt;$AQ$4))),(AND(AN78="Tier 2",X78="Yes",AJ78&gt;$AQ$5)),(AND(AN78="Tier 3",X78="No",OR(AI78&gt;$AR$3,AJ78&gt;$AR$4))),(AND(AN78="Tier 3",X78="Yes",AJ78&gt;$AR$5))),1,0)))</f>
        <v/>
      </c>
      <c r="DC78" s="265">
        <f>IF(B78="",0,IF(OR(AND(AN78="Tier 1",X78="No",OR(AI78&gt;$AS$3,AJ78&gt;$AS$4)),(AND(AN78="Tier 1",X78="Yes",AJ78&gt;$AS$5)),(AND(AN78="Tier 2",X78="No",OR(AI78&gt;$AT$3,AJ78&gt;$AT$4))),(AND(AN78="Tier 2",X78="Yes",AJ78&gt;$AT$5)),(AND(AN78="Tier 3",X78="No",OR(AI78&gt;$AU$3,AJ78&gt;$AU$4))),(AND(AN78="Tier 3",X78="Yes",AJ78&gt;$AU$5))),1,0))</f>
        <v/>
      </c>
      <c r="DD78" s="265">
        <f>IF((SUM(CE78:CX78)=0),0,W78)</f>
        <v/>
      </c>
      <c r="DE78" s="265">
        <f>IF(OR(B78="",DD78&gt;0),0,W78)</f>
        <v/>
      </c>
      <c r="DF78" s="265">
        <f>IF(B78="",0,IF(COUNTIF(CE78:CX78,1)&gt;0,0,L78-M78))</f>
        <v/>
      </c>
      <c r="DG78" s="265">
        <f>DE78+IF(DD78&gt;0,0,DF78)</f>
        <v/>
      </c>
      <c r="DH78" s="265">
        <f>IF(B78="","",M78+DF78)</f>
        <v/>
      </c>
      <c r="DI78" s="265">
        <f>IF(B78="",0,J78-K78)</f>
        <v/>
      </c>
      <c r="DJ78" s="265">
        <f>IF(OR(BF78="EUR",BF78="CAD",BF78="GBP",BF78="AUD"),(GA78*(1-V78))+(HG78)+IF(HX78="",0,HX78*(1-U78)),0)</f>
        <v/>
      </c>
      <c r="DK78" s="265">
        <f>IF(BF78="EUR",33%,IF(BF78="CAD",38%,IF(BF78="GBP",51%,IF(BF78="AUD",61%,0))))</f>
        <v/>
      </c>
      <c r="DL78" s="265">
        <f>DJ78*DK78</f>
        <v/>
      </c>
      <c r="DN78" s="538">
        <f>IF(OR(Y78="Second Lien",Y78="Tier 1 Split Lien",Y78="Tier 2 Split Lien"),DG78,0)</f>
        <v/>
      </c>
      <c r="DO78" s="539">
        <f>DN78*DN$6</f>
        <v/>
      </c>
      <c r="DP78" s="538">
        <f>DG78-DO78</f>
        <v/>
      </c>
      <c r="DQ78" s="538">
        <f>IF(Y78="Second Lien",DP78,0)</f>
        <v/>
      </c>
      <c r="DR78" s="539">
        <f>DQ78*DQ$6</f>
        <v/>
      </c>
      <c r="DS78" s="538">
        <f>DP78-DR78</f>
        <v/>
      </c>
      <c r="DT78" s="538">
        <f>IF(BH78="Yes",DS78,0)</f>
        <v/>
      </c>
      <c r="DU78" s="539">
        <f>DT78*DT$6</f>
        <v/>
      </c>
      <c r="DV78" s="538">
        <f>DS78-DU78</f>
        <v/>
      </c>
      <c r="DW78" s="538">
        <f>IF(OR(BG78="Canada",BG78="United Kingdom",BG78="Australia",BG78="Netherlands Antilles",BG78="Bermuda",BG78="Cayman Islands",BG78="British Virgin Islands",BG78="Channel Islands",BG78="Isle of Man",BG78="Australia",BG78="Netherlands",BG78="Germany",BG78="Sweden",BG78="Switzerland",BG78="Austria",BG78="Belgium",BG78="Denmark",BG78="Finland",BG78="Iceland",BG78="Ireland",BG78="Lichtenstein",BG78="Luxemborg",BG78="Norway"),DV78,0)</f>
        <v/>
      </c>
      <c r="DX78" s="539">
        <f>DW78*DW$6</f>
        <v/>
      </c>
      <c r="DY78" s="538">
        <f>DV78-DX78</f>
        <v/>
      </c>
      <c r="DZ78" s="538">
        <f>IF(BI78="Yes",DY78,0)</f>
        <v/>
      </c>
      <c r="EA78" s="539">
        <f>DZ78*DZ$6</f>
        <v/>
      </c>
      <c r="EB78" s="538">
        <f>DY78-EA78</f>
        <v/>
      </c>
      <c r="EC78" s="538">
        <f>IF(OR(Z78="Delayed Draw",Z78="Revolver"),EB78,0)</f>
        <v/>
      </c>
      <c r="ED78" s="539">
        <f>EC78*EC$6</f>
        <v/>
      </c>
      <c r="EE78" s="538">
        <f>EB78-ED78</f>
        <v/>
      </c>
      <c r="EF78" s="538">
        <f>IF(S78="Yes",EE78,0)</f>
        <v/>
      </c>
      <c r="EG78" s="539">
        <f>EF78*EF$6</f>
        <v/>
      </c>
      <c r="EH78" s="538">
        <f>EE78-EG78</f>
        <v/>
      </c>
      <c r="EI78" s="538">
        <f>IF(Q78="Yes",EH78,0)</f>
        <v/>
      </c>
      <c r="EJ78" s="539">
        <f>EI78*EI$6</f>
        <v/>
      </c>
      <c r="EK78" s="538">
        <f>EH78-EJ78</f>
        <v/>
      </c>
      <c r="EL78" s="538">
        <f>IF(BD78="Semi-Annually",EK78,0)</f>
        <v/>
      </c>
      <c r="EM78" s="539">
        <f>EL78*EL$6</f>
        <v/>
      </c>
      <c r="EN78" s="538">
        <f>EK78-EM78</f>
        <v/>
      </c>
      <c r="EO78" s="538">
        <f>IF(BK78="Yes",EN78,0)</f>
        <v/>
      </c>
      <c r="EP78" s="539">
        <f>EO78*EO$6</f>
        <v/>
      </c>
      <c r="EQ78" s="538">
        <f>EN78-EP78</f>
        <v/>
      </c>
      <c r="ER78" s="538">
        <f>IF(BL78="Yes",EQ78,0)</f>
        <v/>
      </c>
      <c r="ES78" s="539">
        <f>ER78*ER$6</f>
        <v/>
      </c>
      <c r="ET78" s="538">
        <f>EQ78-ES78</f>
        <v/>
      </c>
      <c r="EU78" s="538">
        <f>IF(BM78="Yes",ET78,0)</f>
        <v/>
      </c>
      <c r="EV78" s="539">
        <f>EU78*EU$6</f>
        <v/>
      </c>
      <c r="EW78" s="538">
        <f>ET78-EV78</f>
        <v/>
      </c>
      <c r="EX78" s="538">
        <f>IF(BV78="Yes",EW78,0)</f>
        <v/>
      </c>
      <c r="EY78" s="539">
        <f>EX78*EX$6</f>
        <v/>
      </c>
      <c r="EZ78" s="538">
        <f>EW78-EY78</f>
        <v/>
      </c>
      <c r="FA78" s="538">
        <f>IF(AR78="Yes",EZ78,0)</f>
        <v/>
      </c>
      <c r="FB78" s="539">
        <f>FA78*FA$6</f>
        <v/>
      </c>
      <c r="FC78" s="538">
        <f>EZ78-FB78</f>
        <v/>
      </c>
      <c r="FD78" s="538">
        <f>IF(OR(BF78="EUR",BF78="AUD",BF78="CAD",BF78="GBP"),FC78,0)</f>
        <v/>
      </c>
      <c r="FE78" s="539">
        <f>FD78*FD$6</f>
        <v/>
      </c>
      <c r="FF78" s="538">
        <f>FC78-FE78</f>
        <v/>
      </c>
      <c r="FG78" s="538">
        <f>FF78</f>
        <v/>
      </c>
      <c r="FH78" s="538">
        <f>IF(FF78=0,0,VLOOKUP(C78,$GU$10:$GV$406,2,FALSE)*FF78)</f>
        <v/>
      </c>
      <c r="FI78" s="538">
        <f>FF78-FH78</f>
        <v/>
      </c>
      <c r="FJ78" s="538">
        <f>FI78</f>
        <v/>
      </c>
      <c r="FK78" s="538">
        <f>IF(OR(IB78="",FI78&lt;0.01),,VLOOKUP(IB78,$GL$10:$GM$406,2,FALSE)*FI78)</f>
        <v/>
      </c>
      <c r="FL78" s="538">
        <f>FI78-FK78</f>
        <v/>
      </c>
      <c r="FM78" s="538">
        <f>FL78</f>
        <v/>
      </c>
      <c r="FN78" s="538">
        <f>IF(FL78=0,0,VLOOKUP(C78,$HD$10:$HE$406,2,FALSE)*FL78)</f>
        <v/>
      </c>
      <c r="FO78" s="538">
        <f>FL78-FN78</f>
        <v/>
      </c>
      <c r="FP78" s="538">
        <f>IF(SUM(CY78:DC78)&gt;0,0,IF(AND(AL78&gt;=5000000,AL78&lt;7500000),FO78,0))</f>
        <v/>
      </c>
      <c r="FQ78" s="539">
        <f>IF(B78="",0,FP78*FP$6*(1-$U78))</f>
        <v/>
      </c>
      <c r="FR78" s="538">
        <f>FO78-FQ78</f>
        <v/>
      </c>
      <c r="FS78" s="538">
        <f>IF(SUM(CY78:DC78)&gt;0,0,IF(AL78&lt;15000000,FR78,0))</f>
        <v/>
      </c>
      <c r="FT78" s="539">
        <f>IF(B78="",0,FS78*FS$6*(1-$U78))</f>
        <v/>
      </c>
      <c r="FU78" s="538">
        <f>FR78-FT78</f>
        <v/>
      </c>
      <c r="FV78" s="538">
        <f>IF(SUM(CY78:DC78)&gt;0,0,IF(OR(AND(X78="No",AN78="Tier 1",AI78&gt;$AG$3),AND(X78="No",AN78="Tier 2",AI78&gt;$AH$3),AND(X78="No",AN78="Tier 3",AI78&gt;$AI$3)),FU78,0))</f>
        <v/>
      </c>
      <c r="FW78" s="538">
        <f>IF(SUM(CY78:DC78)&gt;0,0,IF(OR(AND(X78="No",AN78="Tier 1",AJ78&gt;$AG$4),AND(X78="No",AN78="Tier 2",AJ78&gt;$AH$4),AND(X78="No",AN78="Tier 3",AJ78&gt;$AI$4)),FU78,0))</f>
        <v/>
      </c>
      <c r="FX78" s="538">
        <f>IF(SUM(CY78:DC78)&gt;0,0,IF(OR(AND(X78="Yes",AN78="Tier 1",AJ78&gt;$AG$5),AND(X78="Yes",AN78="Tier 2",AJ78&gt;$AH$5),AND(X78="Yes",AN78="Tier 3",AJ78&gt;$AI$5)),FU78,0))</f>
        <v/>
      </c>
      <c r="FY78" s="538">
        <f>IF(SUM(FV78:FX78)&gt;0,FU78,0)</f>
        <v/>
      </c>
      <c r="FZ78" s="539">
        <f>IF(B78="",0,FY78*FV$6*(1-MIN(90%,T78)))</f>
        <v/>
      </c>
      <c r="GA78" s="538">
        <f>FU78-FZ78</f>
        <v/>
      </c>
      <c r="GB78" s="538">
        <f>IF(AND(N78="No",DI78=0),GA78,IF(AND(N78="No",DI78&lt;&gt;0,K78=0),0,IF(AND(N78="No",DI78&lt;&gt;0,K78&gt;0,J78&lt;&gt;K78),MAX(0,M78-(DH78-GA78)),DG78)))</f>
        <v/>
      </c>
      <c r="GC78" s="540">
        <f>+GB78*V78</f>
        <v/>
      </c>
      <c r="GD78" s="138">
        <f>IFERROR(GC78/K78,"")</f>
        <v/>
      </c>
      <c r="GE78" s="541">
        <f>IF(IB78="","",IB78)</f>
        <v/>
      </c>
      <c r="GF78" s="538">
        <f t="array" ref="GF78">IF(SUM(IF(IB$9:IB77=IB78,1,0))&gt;0,0,SUMIF($IB$10:$IB$406,IB78,$FI$10:$FI$406))</f>
        <v/>
      </c>
      <c r="GG78" s="270">
        <f>GF78</f>
        <v/>
      </c>
      <c r="GH78" s="137">
        <f>GH77+1</f>
        <v/>
      </c>
      <c r="GI78" s="542">
        <f>LARGE($GG$10:$GG$406,GH78)</f>
        <v/>
      </c>
      <c r="GJ78" s="542">
        <f>IF(GH78&gt;GH$6,0,IF(GH78=$GH$2,$GJ$2,IF(GH78&lt;4,$GJ$3,$GJ$4)))</f>
        <v/>
      </c>
      <c r="GK78" s="489">
        <f>MAX(0,GI78-GJ78)</f>
        <v/>
      </c>
      <c r="GL78" s="137">
        <f t="array" ref="GL78">IF(GI78=0,0,LARGE(IF($GF$10:$GF$406=GI78,$GE$10:$GE$406,0),COUNTIF($GI$10:$GI$406,GI78)-COUNTIF(GI$9:GI77,GI78)))</f>
        <v/>
      </c>
      <c r="GM78" s="272">
        <f>IF(GI78=0,0,GK78/GI78)</f>
        <v/>
      </c>
      <c r="GO78" s="137">
        <f>IF(C78="","",IF(ISERROR(MATCH(C78,C$10:C77,0)),MAX(GO$10:GO77)+1,INDEX(GO$10:GO77,MATCH(C78,C$10:C77,0))))</f>
        <v/>
      </c>
      <c r="GP78" s="538">
        <f>IF(COUNTIF($A$10:A78,A78)&lt;=1,SUMIF($A$10:$A$406,A78,$FG$10:$FG$406),0)</f>
        <v/>
      </c>
      <c r="GQ78" s="137">
        <f>GQ77+1</f>
        <v/>
      </c>
      <c r="GR78" s="542">
        <f>LARGE($GP$10:$GP$406,GQ78)</f>
        <v/>
      </c>
      <c r="GS78" s="542">
        <f>IF(GQ78&gt;GQ$6,0,IF(GQ78&lt;=GQ$2,GS$2,IF(AND(GQ78&lt;=$GQ$3,GQ78&gt;$GQ$2),GS$3,GS$4)))</f>
        <v/>
      </c>
      <c r="GT78" s="489">
        <f>MAX(0,GR78-GS78)</f>
        <v/>
      </c>
      <c r="GU78" s="137">
        <f t="array" ref="GU78">IF(GR78=0,0,LARGE(IF($GP$10:$GP$406=GR78,$GO$10:$GO$406,0),COUNTIF($GR$10:$GR$406,GR78)-COUNTIF(GR$9:GR77,GR78)))</f>
        <v/>
      </c>
      <c r="GV78" s="272">
        <f>IF(GR78=0,0,GT78/GR78)</f>
        <v/>
      </c>
      <c r="GW78" s="272" t="n"/>
      <c r="GX78" s="137">
        <f>IF(C78="","",IF(ISERROR(MATCH(C78,C$10:C77,0)),MAX(GO$10:GO77)+1,INDEX(GO$10:GO77,MATCH(C78,C$10:C77,0))))</f>
        <v/>
      </c>
      <c r="GY78" s="538">
        <f>IF(COUNTIF($A$10:A78,A78)&lt;=1,SUMIF($A$10:$A$406,A78,$FG$10:$FG$406),0)</f>
        <v/>
      </c>
      <c r="GZ78" s="137">
        <f>GZ77+1</f>
        <v/>
      </c>
      <c r="HA78" s="542">
        <f>LARGE($GY$10:$GY$406,GZ78)</f>
        <v/>
      </c>
      <c r="HB78" s="543" t="inlineStr">
        <is>
          <t>-</t>
        </is>
      </c>
      <c r="HC78" s="489">
        <f>IF(GZ78&lt;6,MAX(0,$HC$2/5),0)</f>
        <v/>
      </c>
      <c r="HD78" s="137">
        <f t="array" ref="HD78">IF(HA78=0,0,LARGE(IF($GY$10:$GY$406=HA78,$GX$10:$GX$406,0),COUNTIF($HA$10:$HA$406,HA78)-COUNTIF(HA$9:HA77,HA78)))</f>
        <v/>
      </c>
      <c r="HE78" s="272">
        <f>IF(HA78=0,0,HC78/HA78)</f>
        <v/>
      </c>
      <c r="HG78" s="270">
        <f>DG78-GA78</f>
        <v/>
      </c>
      <c r="HH78" s="544" t="n">
        <v>0</v>
      </c>
      <c r="HI78" s="538">
        <f>MIN(HH78,DE78)</f>
        <v/>
      </c>
      <c r="HK78" s="137">
        <f>IF(COUNTIF($C$10:$C$406,HK77+1),HK77+1,"")</f>
        <v/>
      </c>
      <c r="HL78" s="538">
        <f>SUMIF($C$10:$C$406,HK78,$DG$10:$DG$406)</f>
        <v/>
      </c>
      <c r="HN78" s="521">
        <f>MIN(HO78:HS78)</f>
        <v/>
      </c>
      <c r="HO78" s="521">
        <f>IF(B78="","",$M78)</f>
        <v/>
      </c>
      <c r="HP78" s="521">
        <f>IF($N78="Yes",IF(P78&gt;=6,0,MIN($T78*$M78,$U78*$M78)),"")</f>
        <v/>
      </c>
      <c r="HQ78" s="521">
        <f>IF(AND(N78="Yes",P78&gt;=6),"",IF($S78="Yes",$R78*$M78,""))</f>
        <v/>
      </c>
      <c r="HR78" s="521">
        <f>IF($Q78="Yes",MIN($M78,$T78*$M78),"")</f>
        <v/>
      </c>
      <c r="HS78" s="521">
        <f>IF(AND($N78="Yes",$P78&gt;=6),"",IF(OR(CY78=1,DC78=1,),MIN($T78*$M78,$U78*$M78),IF(OR(CZ78=1,DA78=1,DB78=1),IF(AK78&gt;=5000000,MIN($T78*$M78,$IE78*$M78),MIN($T78*$M78,$U78*$M78)),"")))</f>
        <v/>
      </c>
      <c r="HT78" s="521">
        <f>IF(DD78&gt;0,DD78,"")</f>
        <v/>
      </c>
      <c r="HU78" s="522">
        <f>IF(B78="",0,$L78-$M78)</f>
        <v/>
      </c>
      <c r="HV78" s="274">
        <f>IF(OR(SUM(HP78:HT78)&gt;0,P78&gt;=6),"",IF($B78="","",1))</f>
        <v/>
      </c>
      <c r="HW78" s="522">
        <f>IF(AND($HT78&lt;&gt;0,OR(HT78&lt;=MIN(HP78:HS78),SUM(HP78:HS78)=0)),$HT78,0)</f>
        <v/>
      </c>
      <c r="HX78" s="522">
        <f>IF(AND($HS78&lt;&gt;0,OR(AND($HS78&lt;&gt;$HT78,$HS78&lt;&gt;$HR78,$HS78&lt;&gt;$HQ78,$HS78&lt;&gt;$HP78,$HS78&lt;MIN($HP78:$HR78),$HS78&lt;HT78),SUM($HP78:$HR78)+SUM(HT78)=0),IA78&lt;=0),$HS78,0)</f>
        <v/>
      </c>
      <c r="HY78" s="522">
        <f>IF(AND($HR78&lt;&gt;0,OR(AND($HR78&lt;&gt;$HT78,$HR78&lt;&gt;$HS78,$HR78&lt;&gt;$HQ78,$HR78&lt;&gt;$HP78),$HR78&lt;MIN($HP78:$HQ78),$HR78&lt;MIN($HS78:$HT78),SUM($HP78:$HQ78)+SUM($HS78:$HT78)=0)),$HR78,0)</f>
        <v/>
      </c>
      <c r="HZ78" s="522">
        <f>IF(AND($HQ78&lt;&gt;0,OR(AND($HQ78&lt;&gt;$HT78,HQ78&lt;&gt;HS78,HQ78&lt;&gt;HR78,HQ78&lt;&gt;HP78,HQ78&lt;MIN(HR78:HT78)),SUM(HP78)+SUM(HR78:HT78)=0)),$HQ78,0)</f>
        <v/>
      </c>
      <c r="IA78" s="522">
        <f>IF(AND($HP78&lt;&gt;0,OR(HP78&lt;=MIN(HQ78:HT78),SUM(HQ78:HT78)=0)),$HP78,0)</f>
        <v/>
      </c>
      <c r="IB78" s="545" t="n">
        <v>38</v>
      </c>
      <c r="IC78">
        <f>HU78=DF78</f>
        <v/>
      </c>
      <c r="IE78" s="351">
        <f>IF(B78="","",IF(AND(Y78="Second Lien",OR(CZ78=1,DA78=1,DB78=1)),50%,IF(CZ78=1,90%,IF(DA78=1,80%,IF(DB78=1,65%,"No Initial Haircut")))))</f>
        <v/>
      </c>
    </row>
    <row r="79">
      <c r="A79">
        <f>D79</f>
        <v/>
      </c>
      <c r="B79" s="242">
        <f>IF(D79="","",B78+1)</f>
        <v/>
      </c>
      <c r="C79" s="242">
        <f>IF(COUNTIF($A$10:A78,A79)&gt;0,C78,C78+1)</f>
        <v/>
      </c>
      <c r="D79" s="243" t="inlineStr">
        <is>
          <t>Windermere Industries, Inc.</t>
        </is>
      </c>
      <c r="E79" s="243" t="inlineStr">
        <is>
          <t>Windermere (Term Loan)</t>
        </is>
      </c>
      <c r="F79" s="244" t="n"/>
      <c r="G79" s="528" t="n">
        <v>2078717.2</v>
      </c>
      <c r="H79" s="528" t="n">
        <v>2078717.2</v>
      </c>
      <c r="I79" s="246" t="n">
        <v>1</v>
      </c>
      <c r="J79" s="529">
        <f>IF(B79="","",G79*I79)</f>
        <v/>
      </c>
      <c r="K79" s="529">
        <f>IF(B79="","",H79*I79)</f>
        <v/>
      </c>
      <c r="L79" s="529">
        <f>IF(B79="","",IF(COUNTIF($CE79:$CX79,1)&gt;0,0,J79))</f>
        <v/>
      </c>
      <c r="M79" s="529">
        <f>IF(B79="","",IF(COUNTIF($CE79:$CX79,1)&gt;0,0,K79))</f>
        <v/>
      </c>
      <c r="N79" s="248" t="inlineStr">
        <is>
          <t>No</t>
        </is>
      </c>
      <c r="O79" s="248" t="inlineStr">
        <is>
          <t>N/A</t>
        </is>
      </c>
      <c r="P79" s="249">
        <f>IF(B79="","",IF(OR(O79="N/A",O79=""),0,YEARFRAC('Borrowing Base'!$J$4,'Loan List'!O79)*12))</f>
        <v/>
      </c>
      <c r="Q79" s="248" t="inlineStr">
        <is>
          <t>No</t>
        </is>
      </c>
      <c r="R79" s="250" t="n">
        <v>0.98</v>
      </c>
      <c r="S79" s="251">
        <f>IF(B79="","",IF(R79&lt;95%,"Yes","No"))</f>
        <v/>
      </c>
      <c r="T79" s="250" t="n">
        <v>0.99800000211669</v>
      </c>
      <c r="U79" s="252">
        <f>IF(B79="","",IF(OR(Y79="First Lien",Y79="Split First Lien",Y79="Tier 1 Split Lien",Y79="Tier 2 Split Lien"),50%,30%))</f>
        <v/>
      </c>
      <c r="V79" s="252">
        <f>IF(B79="",0,IF(AND(Y79="First Lien",AN79="Tier 1"),IF(AND(X79="Yes",MIN(AH79,$AJ$5)&gt;4.5),(((4.5/MIN(AH79,$AJ$5))*72.5%)+(((MIN(AH79,$AJ$5)-4.5)/MIN(AH79,$AJ$5))*35%)),72.5%),IF(AND(Y79="First Lien",AN79="Tier 2"),IF(AND(X79="Yes",MIN(AH79,$AK$5)&gt;4.5),(((4.5/MIN(AH79,$AK$5))*72.5%)+(((MIN(AH79,$AK$5)-4.5)/MIN(AH79,$AK$5))*35%)),72.5%),IF(AND(X79="Yes",MIN(AH79,$AL$5)&gt;4),(((4/MIN(AH79,$AL$5))*72.5%)+(((MIN(AH79,$AL$5)-4)/MIN(AH79,$AL$5))*35%)),IF(OR(Y79="First Lien",Y79="Split First Lien"),72.5%,IF(Y79="Split Lien", 53%,35%))))))</f>
        <v/>
      </c>
      <c r="W79" s="530">
        <f>IF($C79="","",MIN($HO79:$HS79))</f>
        <v/>
      </c>
      <c r="X79" s="248" t="inlineStr">
        <is>
          <t>Yes</t>
        </is>
      </c>
      <c r="Y79" s="254" t="inlineStr">
        <is>
          <t>First Lien</t>
        </is>
      </c>
      <c r="Z79" s="254" t="inlineStr">
        <is>
          <t>Term</t>
        </is>
      </c>
      <c r="AA79" s="531" t="inlineStr">
        <is>
          <t>NR</t>
        </is>
      </c>
      <c r="AB79" s="531" t="inlineStr">
        <is>
          <t xml:space="preserve"> NR</t>
        </is>
      </c>
      <c r="AC79" s="532" t="n">
        <v>1.94</v>
      </c>
      <c r="AD79" s="532" t="n">
        <v>5.513895015438906</v>
      </c>
      <c r="AE79" s="532" t="n">
        <v>5.419319918492104</v>
      </c>
      <c r="AF79" s="257" t="n">
        <v>0.4763347506663765</v>
      </c>
      <c r="AG79" s="533" t="n">
        <v>5.513895015438906</v>
      </c>
      <c r="AH79" s="533" t="n">
        <v>5.513895015438906</v>
      </c>
      <c r="AI79" s="533" t="n">
        <v>5.419319918492104</v>
      </c>
      <c r="AJ79" s="533" t="n">
        <v>5.419319918492104</v>
      </c>
      <c r="AK79" s="534" t="n">
        <v>13602000</v>
      </c>
      <c r="AL79" s="534" t="n">
        <v>31408000</v>
      </c>
      <c r="AM79" s="276" t="n">
        <v>45777</v>
      </c>
      <c r="AN79" s="529">
        <f>IF(C79="","",(IF(AK79&gt;=50000000,"Tier 1",(IF(OR(AK79&gt;=20000000,AND(AK79&gt;5000000,AC79&gt;=1.25,AF79&lt;=0.65)),"Tier 2","Tier 3")))))</f>
        <v/>
      </c>
      <c r="AO79" s="244" t="n">
        <v>46996</v>
      </c>
      <c r="AP79" s="535" t="n">
        <v>3.083333333333333</v>
      </c>
      <c r="AQ79" s="535">
        <f>IF(C79="","",AP79)</f>
        <v/>
      </c>
      <c r="AR79" s="248" t="inlineStr">
        <is>
          <t>No</t>
        </is>
      </c>
      <c r="AS79" s="250" t="n">
        <v>0</v>
      </c>
      <c r="AT79" s="248" t="inlineStr">
        <is>
          <t>Yes</t>
        </is>
      </c>
      <c r="AU79" s="250" t="n">
        <v>0.01</v>
      </c>
      <c r="AV79" s="250" t="n">
        <v>0.051</v>
      </c>
      <c r="AW79" s="250" t="n">
        <v>0.042357</v>
      </c>
      <c r="AX79" s="262">
        <f>IF(C79="","",MAX(AU79,AW79))</f>
        <v/>
      </c>
      <c r="AY79" s="250" t="n">
        <v>0</v>
      </c>
      <c r="AZ79" s="250" t="n">
        <v>0</v>
      </c>
      <c r="BA79" s="250" t="n">
        <v>0</v>
      </c>
      <c r="BB79" s="412">
        <f>IF(B79="","",IF(AR79="No",AV79-AZ79,""))</f>
        <v/>
      </c>
      <c r="BC79" s="412">
        <f>IF(B79="","",IF(AR79="Yes",AS79-BA79,""))</f>
        <v/>
      </c>
      <c r="BD79" s="254" t="inlineStr">
        <is>
          <t>Quarterly</t>
        </is>
      </c>
      <c r="BE79" s="536" t="inlineStr">
        <is>
          <t>Construction &amp; Engineering</t>
        </is>
      </c>
      <c r="BF79" s="254" t="inlineStr">
        <is>
          <t>USD</t>
        </is>
      </c>
      <c r="BG79" s="254" t="inlineStr">
        <is>
          <t>United States</t>
        </is>
      </c>
      <c r="BH79" s="248" t="inlineStr">
        <is>
          <t>No</t>
        </is>
      </c>
      <c r="BI79" s="413">
        <f>IF(B79="","",IF(OR(AND(AZ79&gt;0,BB79&gt;=2.5%,BB79&lt;4%),AND(BA79&gt;0,BC79&gt;=6%,BC79&lt;8%)),"Yes","No"))</f>
        <v/>
      </c>
      <c r="BJ79" s="413">
        <f>IF(B79="","",IF(OR(AND(AZ79&gt;0,BB79&lt;2.5%),AND(BA79&gt;0,BC79&lt;6%)),"Yes","No"))</f>
        <v/>
      </c>
      <c r="BK79" s="248" t="inlineStr">
        <is>
          <t>No</t>
        </is>
      </c>
      <c r="BL79" s="248" t="inlineStr">
        <is>
          <t>No</t>
        </is>
      </c>
      <c r="BM79" s="248" t="inlineStr">
        <is>
          <t>No</t>
        </is>
      </c>
      <c r="BN79" s="248" t="inlineStr">
        <is>
          <t>No</t>
        </is>
      </c>
      <c r="BO79" s="248" t="inlineStr">
        <is>
          <t>No</t>
        </is>
      </c>
      <c r="BP79" s="248" t="inlineStr">
        <is>
          <t>No</t>
        </is>
      </c>
      <c r="BQ79" s="248" t="inlineStr">
        <is>
          <t>No</t>
        </is>
      </c>
      <c r="BR79" s="248" t="inlineStr">
        <is>
          <t>No</t>
        </is>
      </c>
      <c r="BS79" s="248" t="inlineStr">
        <is>
          <t>No</t>
        </is>
      </c>
      <c r="BT79" s="248" t="inlineStr">
        <is>
          <t>No</t>
        </is>
      </c>
      <c r="BU79" s="248" t="inlineStr">
        <is>
          <t>No</t>
        </is>
      </c>
      <c r="BV79" s="248" t="inlineStr">
        <is>
          <t>No</t>
        </is>
      </c>
      <c r="BW79" s="248" t="inlineStr">
        <is>
          <t>No</t>
        </is>
      </c>
      <c r="BX79" s="248" t="inlineStr">
        <is>
          <t>No</t>
        </is>
      </c>
      <c r="BY79" s="248" t="inlineStr">
        <is>
          <t>No</t>
        </is>
      </c>
      <c r="BZ79" s="248" t="inlineStr">
        <is>
          <t>No</t>
        </is>
      </c>
      <c r="CA79" s="248" t="inlineStr">
        <is>
          <t>Yes</t>
        </is>
      </c>
      <c r="CB79" s="537">
        <f>IF(B79="","",IF(AT79="No",((BB79+AW79)-$AZ$4),((BB79+AX79)-$AZ$4))*IF(DD79&gt;0,0,M79))</f>
        <v/>
      </c>
      <c r="CC79" s="537">
        <f>IF(B79="","",AY79*(L79-M79)*IF(DD79&gt;0,0,1))</f>
        <v/>
      </c>
      <c r="CD79" s="265" t="n"/>
      <c r="CE79" s="265">
        <f>IF(AND(B79&lt;&gt;"",R79&lt;=85%),1,0)</f>
        <v/>
      </c>
      <c r="CF79" s="265">
        <f>IF(B79="",0,(IF(OR(BF79="USD",BF79="CAD",BF79="GBP",BF79="AUD",BF79="EUR"),0,1)))</f>
        <v/>
      </c>
      <c r="CG79" s="265">
        <f>IF(B79="",0,(IF(OR(BG79="United States",BG79="Canada",BG79="United Kingdom",BG79="Australia",BG79="Netherlands Antilles",BG79="Bermuda",BG79="Cayman Islands",BG79="British Virgin Islands",BG79="Channel Islands",BG79="Isle of Man",BG79="Australia",BG79="Netherlands",BG79="Germany",BG79="Sweden",BG79="Switzerland",BG79="Austria",BG79="Belgium",BG79="Denmark",BG79="Finland",BG79="Iceland",BG79="Ireland",BG79="Lichtenstein",BG79="Luxemborg",BG79="Norway"),0,1)))</f>
        <v/>
      </c>
      <c r="CH79" s="265">
        <f>IF(BN79="Yes",1,0)</f>
        <v/>
      </c>
      <c r="CI79" s="265">
        <f>IF(BO79="Yes",1,0)</f>
        <v/>
      </c>
      <c r="CJ79" s="265">
        <f>IF(BP79="Yes",1,0)</f>
        <v/>
      </c>
      <c r="CK79" s="265">
        <f>IF(BQ79="Yes",1,0)</f>
        <v/>
      </c>
      <c r="CL79" s="265">
        <f>IF(BR79="Yes",1,0)</f>
        <v/>
      </c>
      <c r="CM79" s="265">
        <f>IF(BS79="Yes",1,0)</f>
        <v/>
      </c>
      <c r="CN79" s="265">
        <f>IF(OR(AND(BJ79="Yes",N79="No"),AND(BJ79="Yes",N79="Yes",P79&gt;=6)),1,0)</f>
        <v/>
      </c>
      <c r="CO79" s="265">
        <f>IF(BT79="Yes",1,0)</f>
        <v/>
      </c>
      <c r="CP79" s="265">
        <f>IF(AND(BU79="Yes",BV79="No"),1,0)</f>
        <v/>
      </c>
      <c r="CQ79" s="265">
        <f>IF(BW79="Yes",1,0)</f>
        <v/>
      </c>
      <c r="CR79" s="265">
        <f>IF(AP79="",0,IF(AP79&gt;7,1,0))</f>
        <v/>
      </c>
      <c r="CS79" s="265">
        <f>IF(OR(BD79&lt;&gt;"Monthly",BD79&lt;&gt;"Quarterly",BD79&lt;&gt;"Semi-Annually"),0,1)</f>
        <v/>
      </c>
      <c r="CT79" s="265">
        <f>IF(BX79="Yes",1,0)</f>
        <v/>
      </c>
      <c r="CU79" s="265">
        <f>IF(BY79="Yes",1,0)</f>
        <v/>
      </c>
      <c r="CV79" s="265">
        <f>IF(BZ79="Yes",1,0)</f>
        <v/>
      </c>
      <c r="CW79" s="265">
        <f>IF(CA79="No",1,0)</f>
        <v/>
      </c>
      <c r="CX79" s="265">
        <f>IF(B79="",0,IF(AK79&gt;=5000000,0,1))</f>
        <v/>
      </c>
      <c r="CY79" s="265">
        <f>IF(B79="",0,IF(AL79&gt;=5000000,0,1))</f>
        <v/>
      </c>
      <c r="CZ79" s="265">
        <f>IF(OR(DA79=1,DB79=1,DC79=1),0,IF(B79="",0,IF(OR(AND(AN79="Tier 1",X79="No",OR(AI79&gt;$AJ$3,AJ79&gt;$AJ$4)),(AND(AN79="Tier 1",X79="Yes",AJ79&gt;$AJ$5)),(AND(AN79="Tier 2",X79="No",OR(AI79&gt;$AK$3,AJ79&gt;$AK$4))),(AND(AN79="Tier 2",X79="Yes",AJ79&gt;$AK$5)),(AND(AN79="Tier 3",X79="No",OR(AI79&gt;$AL$3,AJ79&gt;$AL$4))),(AND(AN79="Tier 3",X79="Yes",AJ79&gt;$AL$5))),1,0)))</f>
        <v/>
      </c>
      <c r="DA79" s="265">
        <f>IF(OR(DB79=1,DC79=1),0,IF(B79="",0,IF(OR(AND(AN79="Tier 1",X79="No",OR(AI79&gt;$AM$3,AJ79&gt;$AM$4)),(AND(AN79="Tier 1",X79="Yes",AJ79&gt;$AM$5)),(AND(AN79="Tier 2",X79="No",OR(AI79&gt;$AN$3,AJ79&gt;$AN$4))),(AND(AN79="Tier 2",X79="Yes",AJ79&gt;$AN$5)),(AND(AN79="Tier 3",X79="No",OR(AI79&gt;$AO$3,AJ79&gt;$AO$4))),(AND(AN79="Tier 3",X79="Yes",AJ79&gt;$AO$5))),1,0)))</f>
        <v/>
      </c>
      <c r="DB79" s="265">
        <f>IF(DC79=1,0,IF(B79="",0,IF(OR(AND(AN79="Tier 1",X79="No",OR(AI79&gt;$AP$3,AJ79&gt;$AP$4)),(AND(AN79="Tier 1",X79="Yes",AJ79&gt;$AP$5)),(AND(AN79="Tier 2",X79="No",OR(AI79&gt;$AQ$3,AJ79&gt;$AQ$4))),(AND(AN79="Tier 2",X79="Yes",AJ79&gt;$AQ$5)),(AND(AN79="Tier 3",X79="No",OR(AI79&gt;$AR$3,AJ79&gt;$AR$4))),(AND(AN79="Tier 3",X79="Yes",AJ79&gt;$AR$5))),1,0)))</f>
        <v/>
      </c>
      <c r="DC79" s="265">
        <f>IF(B79="",0,IF(OR(AND(AN79="Tier 1",X79="No",OR(AI79&gt;$AS$3,AJ79&gt;$AS$4)),(AND(AN79="Tier 1",X79="Yes",AJ79&gt;$AS$5)),(AND(AN79="Tier 2",X79="No",OR(AI79&gt;$AT$3,AJ79&gt;$AT$4))),(AND(AN79="Tier 2",X79="Yes",AJ79&gt;$AT$5)),(AND(AN79="Tier 3",X79="No",OR(AI79&gt;$AU$3,AJ79&gt;$AU$4))),(AND(AN79="Tier 3",X79="Yes",AJ79&gt;$AU$5))),1,0))</f>
        <v/>
      </c>
      <c r="DD79" s="265">
        <f>IF((SUM(CE79:CX79)=0),0,W79)</f>
        <v/>
      </c>
      <c r="DE79" s="265">
        <f>IF(OR(B79="",DD79&gt;0),0,W79)</f>
        <v/>
      </c>
      <c r="DF79" s="265">
        <f>IF(B79="",0,IF(COUNTIF(CE79:CX79,1)&gt;0,0,L79-M79))</f>
        <v/>
      </c>
      <c r="DG79" s="265">
        <f>DE79+IF(DD79&gt;0,0,DF79)</f>
        <v/>
      </c>
      <c r="DH79" s="265">
        <f>IF(B79="","",M79+DF79)</f>
        <v/>
      </c>
      <c r="DI79" s="265">
        <f>IF(B79="",0,J79-K79)</f>
        <v/>
      </c>
      <c r="DJ79" s="265">
        <f>IF(OR(BF79="EUR",BF79="CAD",BF79="GBP",BF79="AUD"),(GA79*(1-V79))+(HG79)+IF(HX79="",0,HX79*(1-U79)),0)</f>
        <v/>
      </c>
      <c r="DK79" s="265">
        <f>IF(BF79="EUR",33%,IF(BF79="CAD",38%,IF(BF79="GBP",51%,IF(BF79="AUD",61%,0))))</f>
        <v/>
      </c>
      <c r="DL79" s="265">
        <f>DJ79*DK79</f>
        <v/>
      </c>
      <c r="DN79" s="538">
        <f>IF(OR(Y79="Second Lien",Y79="Tier 1 Split Lien",Y79="Tier 2 Split Lien"),DG79,0)</f>
        <v/>
      </c>
      <c r="DO79" s="539">
        <f>DN79*DN$6</f>
        <v/>
      </c>
      <c r="DP79" s="538">
        <f>DG79-DO79</f>
        <v/>
      </c>
      <c r="DQ79" s="538">
        <f>IF(Y79="Second Lien",DP79,0)</f>
        <v/>
      </c>
      <c r="DR79" s="539">
        <f>DQ79*DQ$6</f>
        <v/>
      </c>
      <c r="DS79" s="538">
        <f>DP79-DR79</f>
        <v/>
      </c>
      <c r="DT79" s="538">
        <f>IF(BH79="Yes",DS79,0)</f>
        <v/>
      </c>
      <c r="DU79" s="539">
        <f>DT79*DT$6</f>
        <v/>
      </c>
      <c r="DV79" s="538">
        <f>DS79-DU79</f>
        <v/>
      </c>
      <c r="DW79" s="538">
        <f>IF(OR(BG79="Canada",BG79="United Kingdom",BG79="Australia",BG79="Netherlands Antilles",BG79="Bermuda",BG79="Cayman Islands",BG79="British Virgin Islands",BG79="Channel Islands",BG79="Isle of Man",BG79="Australia",BG79="Netherlands",BG79="Germany",BG79="Sweden",BG79="Switzerland",BG79="Austria",BG79="Belgium",BG79="Denmark",BG79="Finland",BG79="Iceland",BG79="Ireland",BG79="Lichtenstein",BG79="Luxemborg",BG79="Norway"),DV79,0)</f>
        <v/>
      </c>
      <c r="DX79" s="539">
        <f>DW79*DW$6</f>
        <v/>
      </c>
      <c r="DY79" s="538">
        <f>DV79-DX79</f>
        <v/>
      </c>
      <c r="DZ79" s="538">
        <f>IF(BI79="Yes",DY79,0)</f>
        <v/>
      </c>
      <c r="EA79" s="539">
        <f>DZ79*DZ$6</f>
        <v/>
      </c>
      <c r="EB79" s="538">
        <f>DY79-EA79</f>
        <v/>
      </c>
      <c r="EC79" s="538">
        <f>IF(OR(Z79="Delayed Draw",Z79="Revolver"),EB79,0)</f>
        <v/>
      </c>
      <c r="ED79" s="539">
        <f>EC79*EC$6</f>
        <v/>
      </c>
      <c r="EE79" s="538">
        <f>EB79-ED79</f>
        <v/>
      </c>
      <c r="EF79" s="538">
        <f>IF(S79="Yes",EE79,0)</f>
        <v/>
      </c>
      <c r="EG79" s="539">
        <f>EF79*EF$6</f>
        <v/>
      </c>
      <c r="EH79" s="538">
        <f>EE79-EG79</f>
        <v/>
      </c>
      <c r="EI79" s="538">
        <f>IF(Q79="Yes",EH79,0)</f>
        <v/>
      </c>
      <c r="EJ79" s="539">
        <f>EI79*EI$6</f>
        <v/>
      </c>
      <c r="EK79" s="538">
        <f>EH79-EJ79</f>
        <v/>
      </c>
      <c r="EL79" s="538">
        <f>IF(BD79="Semi-Annually",EK79,0)</f>
        <v/>
      </c>
      <c r="EM79" s="539">
        <f>EL79*EL$6</f>
        <v/>
      </c>
      <c r="EN79" s="538">
        <f>EK79-EM79</f>
        <v/>
      </c>
      <c r="EO79" s="538">
        <f>IF(BK79="Yes",EN79,0)</f>
        <v/>
      </c>
      <c r="EP79" s="539">
        <f>EO79*EO$6</f>
        <v/>
      </c>
      <c r="EQ79" s="538">
        <f>EN79-EP79</f>
        <v/>
      </c>
      <c r="ER79" s="538">
        <f>IF(BL79="Yes",EQ79,0)</f>
        <v/>
      </c>
      <c r="ES79" s="539">
        <f>ER79*ER$6</f>
        <v/>
      </c>
      <c r="ET79" s="538">
        <f>EQ79-ES79</f>
        <v/>
      </c>
      <c r="EU79" s="538">
        <f>IF(BM79="Yes",ET79,0)</f>
        <v/>
      </c>
      <c r="EV79" s="539">
        <f>EU79*EU$6</f>
        <v/>
      </c>
      <c r="EW79" s="538">
        <f>ET79-EV79</f>
        <v/>
      </c>
      <c r="EX79" s="538">
        <f>IF(BV79="Yes",EW79,0)</f>
        <v/>
      </c>
      <c r="EY79" s="539">
        <f>EX79*EX$6</f>
        <v/>
      </c>
      <c r="EZ79" s="538">
        <f>EW79-EY79</f>
        <v/>
      </c>
      <c r="FA79" s="538">
        <f>IF(AR79="Yes",EZ79,0)</f>
        <v/>
      </c>
      <c r="FB79" s="539">
        <f>FA79*FA$6</f>
        <v/>
      </c>
      <c r="FC79" s="538">
        <f>EZ79-FB79</f>
        <v/>
      </c>
      <c r="FD79" s="538">
        <f>IF(OR(BF79="EUR",BF79="AUD",BF79="CAD",BF79="GBP"),FC79,0)</f>
        <v/>
      </c>
      <c r="FE79" s="539">
        <f>FD79*FD$6</f>
        <v/>
      </c>
      <c r="FF79" s="538">
        <f>FC79-FE79</f>
        <v/>
      </c>
      <c r="FG79" s="538">
        <f>FF79</f>
        <v/>
      </c>
      <c r="FH79" s="538">
        <f>IF(FF79=0,0,VLOOKUP(C79,$GU$10:$GV$406,2,FALSE)*FF79)</f>
        <v/>
      </c>
      <c r="FI79" s="538">
        <f>FF79-FH79</f>
        <v/>
      </c>
      <c r="FJ79" s="538">
        <f>FI79</f>
        <v/>
      </c>
      <c r="FK79" s="538">
        <f>IF(OR(IB79="",FI79&lt;0.01),,VLOOKUP(IB79,$GL$10:$GM$406,2,FALSE)*FI79)</f>
        <v/>
      </c>
      <c r="FL79" s="538">
        <f>FI79-FK79</f>
        <v/>
      </c>
      <c r="FM79" s="538">
        <f>FL79</f>
        <v/>
      </c>
      <c r="FN79" s="538">
        <f>IF(FL79=0,0,VLOOKUP(C79,$HD$10:$HE$406,2,FALSE)*FL79)</f>
        <v/>
      </c>
      <c r="FO79" s="538">
        <f>FL79-FN79</f>
        <v/>
      </c>
      <c r="FP79" s="538">
        <f>IF(SUM(CY79:DC79)&gt;0,0,IF(AND(AL79&gt;=5000000,AL79&lt;7500000),FO79,0))</f>
        <v/>
      </c>
      <c r="FQ79" s="539">
        <f>IF(B79="",0,FP79*FP$6*(1-$U79))</f>
        <v/>
      </c>
      <c r="FR79" s="538">
        <f>FO79-FQ79</f>
        <v/>
      </c>
      <c r="FS79" s="538">
        <f>IF(SUM(CY79:DC79)&gt;0,0,IF(AL79&lt;15000000,FR79,0))</f>
        <v/>
      </c>
      <c r="FT79" s="539">
        <f>IF(B79="",0,FS79*FS$6*(1-$U79))</f>
        <v/>
      </c>
      <c r="FU79" s="538">
        <f>FR79-FT79</f>
        <v/>
      </c>
      <c r="FV79" s="538">
        <f>IF(SUM(CY79:DC79)&gt;0,0,IF(OR(AND(X79="No",AN79="Tier 1",AI79&gt;$AG$3),AND(X79="No",AN79="Tier 2",AI79&gt;$AH$3),AND(X79="No",AN79="Tier 3",AI79&gt;$AI$3)),FU79,0))</f>
        <v/>
      </c>
      <c r="FW79" s="538">
        <f>IF(SUM(CY79:DC79)&gt;0,0,IF(OR(AND(X79="No",AN79="Tier 1",AJ79&gt;$AG$4),AND(X79="No",AN79="Tier 2",AJ79&gt;$AH$4),AND(X79="No",AN79="Tier 3",AJ79&gt;$AI$4)),FU79,0))</f>
        <v/>
      </c>
      <c r="FX79" s="538">
        <f>IF(SUM(CY79:DC79)&gt;0,0,IF(OR(AND(X79="Yes",AN79="Tier 1",AJ79&gt;$AG$5),AND(X79="Yes",AN79="Tier 2",AJ79&gt;$AH$5),AND(X79="Yes",AN79="Tier 3",AJ79&gt;$AI$5)),FU79,0))</f>
        <v/>
      </c>
      <c r="FY79" s="538">
        <f>IF(SUM(FV79:FX79)&gt;0,FU79,0)</f>
        <v/>
      </c>
      <c r="FZ79" s="539">
        <f>IF(B79="",0,FY79*FV$6*(1-MIN(90%,T79)))</f>
        <v/>
      </c>
      <c r="GA79" s="538">
        <f>FU79-FZ79</f>
        <v/>
      </c>
      <c r="GB79" s="538">
        <f>IF(AND(N79="No",DI79=0),GA79,IF(AND(N79="No",DI79&lt;&gt;0,K79=0),0,IF(AND(N79="No",DI79&lt;&gt;0,K79&gt;0,J79&lt;&gt;K79),MAX(0,M79-(DH79-GA79)),DG79)))</f>
        <v/>
      </c>
      <c r="GC79" s="540">
        <f>+GB79*V79</f>
        <v/>
      </c>
      <c r="GD79" s="138">
        <f>IFERROR(GC79/K79,"")</f>
        <v/>
      </c>
      <c r="GE79" s="541">
        <f>IF(IB79="","",IB79)</f>
        <v/>
      </c>
      <c r="GF79" s="538">
        <f t="array" ref="GF79">IF(SUM(IF(IB$9:IB78=IB79,1,0))&gt;0,0,SUMIF($IB$10:$IB$406,IB79,$FI$10:$FI$406))</f>
        <v/>
      </c>
      <c r="GG79" s="270">
        <f>GF79</f>
        <v/>
      </c>
      <c r="GH79" s="137">
        <f>GH78+1</f>
        <v/>
      </c>
      <c r="GI79" s="542">
        <f>LARGE($GG$10:$GG$406,GH79)</f>
        <v/>
      </c>
      <c r="GJ79" s="542">
        <f>IF(GH79&gt;GH$6,0,IF(GH79=$GH$2,$GJ$2,IF(GH79&lt;4,$GJ$3,$GJ$4)))</f>
        <v/>
      </c>
      <c r="GK79" s="489">
        <f>MAX(0,GI79-GJ79)</f>
        <v/>
      </c>
      <c r="GL79" s="137">
        <f t="array" ref="GL79">IF(GI79=0,0,LARGE(IF($GF$10:$GF$406=GI79,$GE$10:$GE$406,0),COUNTIF($GI$10:$GI$406,GI79)-COUNTIF(GI$9:GI78,GI79)))</f>
        <v/>
      </c>
      <c r="GM79" s="272">
        <f>IF(GI79=0,0,GK79/GI79)</f>
        <v/>
      </c>
      <c r="GO79" s="137">
        <f>IF(C79="","",IF(ISERROR(MATCH(C79,C$10:C78,0)),MAX(GO$10:GO78)+1,INDEX(GO$10:GO78,MATCH(C79,C$10:C78,0))))</f>
        <v/>
      </c>
      <c r="GP79" s="538">
        <f>IF(COUNTIF($A$10:A79,A79)&lt;=1,SUMIF($A$10:$A$406,A79,$FG$10:$FG$406),0)</f>
        <v/>
      </c>
      <c r="GQ79" s="137">
        <f>GQ78+1</f>
        <v/>
      </c>
      <c r="GR79" s="542">
        <f>LARGE($GP$10:$GP$406,GQ79)</f>
        <v/>
      </c>
      <c r="GS79" s="542">
        <f>IF(GQ79&gt;GQ$6,0,IF(GQ79&lt;=GQ$2,GS$2,IF(AND(GQ79&lt;=$GQ$3,GQ79&gt;$GQ$2),GS$3,GS$4)))</f>
        <v/>
      </c>
      <c r="GT79" s="489">
        <f>MAX(0,GR79-GS79)</f>
        <v/>
      </c>
      <c r="GU79" s="137">
        <f t="array" ref="GU79">IF(GR79=0,0,LARGE(IF($GP$10:$GP$406=GR79,$GO$10:$GO$406,0),COUNTIF($GR$10:$GR$406,GR79)-COUNTIF(GR$9:GR78,GR79)))</f>
        <v/>
      </c>
      <c r="GV79" s="272">
        <f>IF(GR79=0,0,GT79/GR79)</f>
        <v/>
      </c>
      <c r="GW79" s="272" t="n"/>
      <c r="GX79" s="137">
        <f>IF(C79="","",IF(ISERROR(MATCH(C79,C$10:C78,0)),MAX(GO$10:GO78)+1,INDEX(GO$10:GO78,MATCH(C79,C$10:C78,0))))</f>
        <v/>
      </c>
      <c r="GY79" s="538">
        <f>IF(COUNTIF($A$10:A79,A79)&lt;=1,SUMIF($A$10:$A$406,A79,$FG$10:$FG$406),0)</f>
        <v/>
      </c>
      <c r="GZ79" s="137">
        <f>GZ78+1</f>
        <v/>
      </c>
      <c r="HA79" s="542">
        <f>LARGE($GY$10:$GY$406,GZ79)</f>
        <v/>
      </c>
      <c r="HB79" s="543" t="inlineStr">
        <is>
          <t>-</t>
        </is>
      </c>
      <c r="HC79" s="489">
        <f>IF(GZ79&lt;6,MAX(0,$HC$2/5),0)</f>
        <v/>
      </c>
      <c r="HD79" s="137">
        <f t="array" ref="HD79">IF(HA79=0,0,LARGE(IF($GY$10:$GY$406=HA79,$GX$10:$GX$406,0),COUNTIF($HA$10:$HA$406,HA79)-COUNTIF(HA$9:HA78,HA79)))</f>
        <v/>
      </c>
      <c r="HE79" s="272">
        <f>IF(HA79=0,0,HC79/HA79)</f>
        <v/>
      </c>
      <c r="HF79" s="272" t="n"/>
      <c r="HG79" s="270">
        <f>DG79-GA79</f>
        <v/>
      </c>
      <c r="HH79" s="544" t="n">
        <v>0</v>
      </c>
      <c r="HI79" s="538">
        <f>MIN(HH79,DE79)</f>
        <v/>
      </c>
      <c r="HK79" s="137">
        <f>IF(COUNTIF($C$10:$C$406,HK78+1),HK78+1,"")</f>
        <v/>
      </c>
      <c r="HL79" s="538">
        <f>SUMIF($C$10:$C$406,HK79,$DG$10:$DG$406)</f>
        <v/>
      </c>
      <c r="HN79" s="521">
        <f>MIN(HO79:HS79)</f>
        <v/>
      </c>
      <c r="HO79" s="521">
        <f>IF(B79="","",$M79)</f>
        <v/>
      </c>
      <c r="HP79" s="521">
        <f>IF($N79="Yes",IF(P79&gt;=6,0,MIN($T79*$M79,$U79*$M79)),"")</f>
        <v/>
      </c>
      <c r="HQ79" s="521">
        <f>IF(AND(N79="Yes",P79&gt;=6),"",IF($S79="Yes",$R79*$M79,""))</f>
        <v/>
      </c>
      <c r="HR79" s="521">
        <f>IF($Q79="Yes",MIN($M79,$T79*$M79),"")</f>
        <v/>
      </c>
      <c r="HS79" s="521">
        <f>IF(AND($N79="Yes",$P79&gt;=6),"",IF(OR(CY79=1,DC79=1,),MIN($T79*$M79,$U79*$M79),IF(OR(CZ79=1,DA79=1,DB79=1),IF(AK79&gt;=5000000,MIN($T79*$M79,$IE79*$M79),MIN($T79*$M79,$U79*$M79)),"")))</f>
        <v/>
      </c>
      <c r="HT79" s="521">
        <f>IF(DD79&gt;0,DD79,"")</f>
        <v/>
      </c>
      <c r="HU79" s="522">
        <f>IF(B79="",0,$L79-$M79)</f>
        <v/>
      </c>
      <c r="HV79" s="274">
        <f>IF(OR(SUM(HP79:HT79)&gt;0,P79&gt;=6),"",IF($B79="","",1))</f>
        <v/>
      </c>
      <c r="HW79" s="522">
        <f>IF(AND($HT79&lt;&gt;0,OR(HT79&lt;=MIN(HP79:HS79),SUM(HP79:HS79)=0)),$HT79,0)</f>
        <v/>
      </c>
      <c r="HX79" s="522">
        <f>IF(AND($HS79&lt;&gt;0,OR(AND($HS79&lt;&gt;$HT79,$HS79&lt;&gt;$HR79,$HS79&lt;&gt;$HQ79,$HS79&lt;&gt;$HP79,$HS79&lt;MIN($HP79:$HR79),$HS79&lt;HT79),SUM($HP79:$HR79)+SUM(HT79)=0),IA79&lt;=0),$HS79,0)</f>
        <v/>
      </c>
      <c r="HY79" s="522">
        <f>IF(AND($HR79&lt;&gt;0,OR(AND($HR79&lt;&gt;$HT79,$HR79&lt;&gt;$HS79,$HR79&lt;&gt;$HQ79,$HR79&lt;&gt;$HP79),$HR79&lt;MIN($HP79:$HQ79),$HR79&lt;MIN($HS79:$HT79),SUM($HP79:$HQ79)+SUM($HS79:$HT79)=0)),$HR79,0)</f>
        <v/>
      </c>
      <c r="HZ79" s="522">
        <f>IF(AND($HQ79&lt;&gt;0,OR(AND($HQ79&lt;&gt;$HT79,HQ79&lt;&gt;HS79,HQ79&lt;&gt;HR79,HQ79&lt;&gt;HP79,HQ79&lt;MIN(HR79:HT79)),SUM(HP79)+SUM(HR79:HT79)=0)),$HQ79,0)</f>
        <v/>
      </c>
      <c r="IA79" s="522">
        <f>IF(AND($HP79&lt;&gt;0,OR(HP79&lt;=MIN(HQ79:HT79),SUM(HQ79:HT79)=0)),$HP79,0)</f>
        <v/>
      </c>
      <c r="IB79" s="545" t="n">
        <v>14</v>
      </c>
      <c r="IC79">
        <f>HU79=DF79</f>
        <v/>
      </c>
      <c r="IE79" s="351">
        <f>IF(B79="","",IF(AND(Y79="Second Lien",OR(CZ79=1,DA79=1,DB79=1)),50%,IF(CZ79=1,90%,IF(DA79=1,80%,IF(DB79=1,65%,"No Initial Haircut")))))</f>
        <v/>
      </c>
    </row>
    <row r="80">
      <c r="A80" t="inlineStr">
        <is>
          <t>Walker Edison Furniture, LLC</t>
        </is>
      </c>
      <c r="B80" s="242">
        <f>IF(D80="","",B79+1)</f>
        <v/>
      </c>
      <c r="C80" s="242">
        <f>IF(COUNTIF($A$10:A79,A80)&gt;0,C79,C79+1)</f>
        <v/>
      </c>
      <c r="D80" s="243" t="inlineStr">
        <is>
          <t>Ashford Industries, Inc.</t>
        </is>
      </c>
      <c r="E80" s="243" t="inlineStr">
        <is>
          <t>Ashford (TL)</t>
        </is>
      </c>
      <c r="F80" s="244" t="n"/>
      <c r="G80" s="528" t="n">
        <v>1679427.61</v>
      </c>
      <c r="H80" s="528" t="n">
        <v>1679427.61</v>
      </c>
      <c r="I80" s="246" t="n">
        <v>1</v>
      </c>
      <c r="J80" s="529">
        <f>IF(B80="","",G80*I80)</f>
        <v/>
      </c>
      <c r="K80" s="529">
        <f>IF(B80="","",H80*I80)</f>
        <v/>
      </c>
      <c r="L80" s="529">
        <f>IF(B80="","",IF(COUNTIF($CE80:$CX80,1)&gt;0,0,J80))</f>
        <v/>
      </c>
      <c r="M80" s="529">
        <f>IF(B80="","",IF(COUNTIF($CE80:$CX80,1)&gt;0,0,K80))</f>
        <v/>
      </c>
      <c r="N80" s="248" t="inlineStr">
        <is>
          <t>Yes</t>
        </is>
      </c>
      <c r="O80" s="404" t="n">
        <v>44925</v>
      </c>
      <c r="P80" s="249">
        <f>IF(B80="","",IF(OR(O80="N/A",O80=""),0,YEARFRAC('Borrowing Base'!$J$4,'Loan List'!O80)*12))</f>
        <v/>
      </c>
      <c r="Q80" s="248" t="inlineStr">
        <is>
          <t>No</t>
        </is>
      </c>
      <c r="R80" s="250" t="n">
        <v>1</v>
      </c>
      <c r="S80" s="251">
        <f>IF(B80="","",IF(R80&lt;95%,"Yes","No"))</f>
        <v/>
      </c>
      <c r="T80" s="250" t="n">
        <v>0</v>
      </c>
      <c r="U80" s="252">
        <f>IF(B80="","",IF(OR(Y80="First Lien",Y80="Split First Lien",Y80="Tier 1 Split Lien",Y80="Tier 2 Split Lien"),50%,30%))</f>
        <v/>
      </c>
      <c r="V80" s="252">
        <f>IF(B80="",0,IF(AND(Y80="First Lien",AN80="Tier 1"),IF(AND(X80="Yes",MIN(AH80,$AJ$5)&gt;4.5),(((4.5/MIN(AH80,$AJ$5))*72.5%)+(((MIN(AH80,$AJ$5)-4.5)/MIN(AH80,$AJ$5))*35%)),72.5%),IF(AND(Y80="First Lien",AN80="Tier 2"),IF(AND(X80="Yes",MIN(AH80,$AK$5)&gt;4.5),(((4.5/MIN(AH80,$AK$5))*72.5%)+(((MIN(AH80,$AK$5)-4.5)/MIN(AH80,$AK$5))*35%)),72.5%),IF(AND(X80="Yes",MIN(AH80,$AL$5)&gt;4),(((4/MIN(AH80,$AL$5))*72.5%)+(((MIN(AH80,$AL$5)-4)/MIN(AH80,$AL$5))*35%)),IF(OR(Y80="First Lien",Y80="Split First Lien"),72.5%,IF(Y80="Split Lien", 53%,35%))))))</f>
        <v/>
      </c>
      <c r="W80" s="530">
        <f>IF($C80="","",MIN($HO80:$HS80))</f>
        <v/>
      </c>
      <c r="X80" s="248" t="inlineStr">
        <is>
          <t>Yes</t>
        </is>
      </c>
      <c r="Y80" s="254" t="inlineStr">
        <is>
          <t>Second Lien</t>
        </is>
      </c>
      <c r="Z80" s="254" t="inlineStr">
        <is>
          <t>Term</t>
        </is>
      </c>
      <c r="AA80" s="531" t="inlineStr">
        <is>
          <t>NR</t>
        </is>
      </c>
      <c r="AB80" s="531" t="inlineStr">
        <is>
          <t xml:space="preserve"> NR</t>
        </is>
      </c>
      <c r="AC80" s="532" t="n">
        <v>2.60448818897638</v>
      </c>
      <c r="AD80" s="532" t="n">
        <v>3.521480004431151</v>
      </c>
      <c r="AE80" s="532" t="inlineStr">
        <is>
          <t>NM</t>
        </is>
      </c>
      <c r="AF80" s="257" t="n">
        <v>0.33002358653567</v>
      </c>
      <c r="AG80" s="533" t="n">
        <v>3.521480004431151</v>
      </c>
      <c r="AH80" s="533" t="n">
        <v>3.521480004431151</v>
      </c>
      <c r="AI80" s="533" t="n">
        <v>-10.81965649823016</v>
      </c>
      <c r="AJ80" s="533" t="n">
        <v>-10.81965649823016</v>
      </c>
      <c r="AK80" s="534" t="n">
        <v>90270000</v>
      </c>
      <c r="AL80" s="534" t="n">
        <v>-20855560.43640675</v>
      </c>
      <c r="AM80" s="276" t="n">
        <v>45808</v>
      </c>
      <c r="AN80" s="529">
        <f>IF(C80="","",(IF(AK80&gt;=50000000,"Tier 1",(IF(OR(AK80&gt;=20000000,AND(AK80&gt;5000000,AC80&gt;=1.25,AF80&lt;=0.65)),"Tier 2","Tier 3")))))</f>
        <v/>
      </c>
      <c r="AO80" s="244" t="n">
        <v>47178</v>
      </c>
      <c r="AP80" s="535" t="n">
        <v>3.586111111111111</v>
      </c>
      <c r="AQ80" s="535">
        <f>IF(C80="","",AP80)</f>
        <v/>
      </c>
      <c r="AR80" s="248" t="inlineStr">
        <is>
          <t>No</t>
        </is>
      </c>
      <c r="AS80" s="250" t="n">
        <v>0</v>
      </c>
      <c r="AT80" s="248" t="inlineStr">
        <is>
          <t>Yes</t>
        </is>
      </c>
      <c r="AU80" s="250" t="n">
        <v>0.01</v>
      </c>
      <c r="AV80" s="250" t="n">
        <v>0.201742</v>
      </c>
      <c r="AW80" s="250" t="n">
        <v>0</v>
      </c>
      <c r="AX80" s="262">
        <f>IF(C80="","",MAX(AU80,AW80))</f>
        <v/>
      </c>
      <c r="AY80" s="250" t="n">
        <v>0</v>
      </c>
      <c r="AZ80" s="250" t="n">
        <v>0.144242</v>
      </c>
      <c r="BA80" s="250" t="n">
        <v>0</v>
      </c>
      <c r="BB80" s="412">
        <f>IF(B80="","",IF(AR80="No",AV80-AZ80,""))</f>
        <v/>
      </c>
      <c r="BC80" s="412">
        <f>IF(B80="","",IF(AR80="Yes",AS80-BA80,""))</f>
        <v/>
      </c>
      <c r="BD80" s="254" t="inlineStr">
        <is>
          <t>Quarterly</t>
        </is>
      </c>
      <c r="BE80" s="536" t="inlineStr">
        <is>
          <t>Household Products</t>
        </is>
      </c>
      <c r="BF80" s="254" t="inlineStr">
        <is>
          <t>USD</t>
        </is>
      </c>
      <c r="BG80" s="254" t="inlineStr">
        <is>
          <t>United States</t>
        </is>
      </c>
      <c r="BH80" s="248" t="inlineStr">
        <is>
          <t>No</t>
        </is>
      </c>
      <c r="BI80" s="413">
        <f>IF(B80="","",IF(OR(AND(AZ80&gt;0,BB80&gt;=2.5%,BB80&lt;4%),AND(BA80&gt;0,BC80&gt;=6%,BC80&lt;8%)),"Yes","No"))</f>
        <v/>
      </c>
      <c r="BJ80" s="413">
        <f>IF(B80="","",IF(OR(AND(AZ80&gt;0,BB80&lt;2.5%),AND(BA80&gt;0,BC80&lt;6%)),"Yes","No"))</f>
        <v/>
      </c>
      <c r="BK80" s="248" t="inlineStr">
        <is>
          <t>No</t>
        </is>
      </c>
      <c r="BL80" s="248" t="inlineStr">
        <is>
          <t>No</t>
        </is>
      </c>
      <c r="BM80" s="248" t="inlineStr">
        <is>
          <t>No</t>
        </is>
      </c>
      <c r="BN80" s="248" t="inlineStr">
        <is>
          <t>No</t>
        </is>
      </c>
      <c r="BO80" s="248" t="inlineStr">
        <is>
          <t>No</t>
        </is>
      </c>
      <c r="BP80" s="248" t="inlineStr">
        <is>
          <t>No</t>
        </is>
      </c>
      <c r="BQ80" s="248" t="inlineStr">
        <is>
          <t>No</t>
        </is>
      </c>
      <c r="BR80" s="248" t="inlineStr">
        <is>
          <t>No</t>
        </is>
      </c>
      <c r="BS80" s="248" t="inlineStr">
        <is>
          <t>No</t>
        </is>
      </c>
      <c r="BT80" s="248" t="inlineStr">
        <is>
          <t>No</t>
        </is>
      </c>
      <c r="BU80" s="248" t="inlineStr">
        <is>
          <t>No</t>
        </is>
      </c>
      <c r="BV80" s="248" t="inlineStr">
        <is>
          <t>No</t>
        </is>
      </c>
      <c r="BW80" s="248" t="inlineStr">
        <is>
          <t>No</t>
        </is>
      </c>
      <c r="BX80" s="248" t="inlineStr">
        <is>
          <t>No</t>
        </is>
      </c>
      <c r="BY80" s="248" t="inlineStr">
        <is>
          <t>No</t>
        </is>
      </c>
      <c r="BZ80" s="248" t="inlineStr">
        <is>
          <t>No</t>
        </is>
      </c>
      <c r="CA80" s="248" t="inlineStr">
        <is>
          <t>Yes</t>
        </is>
      </c>
      <c r="CB80" s="537">
        <f>IF(B80="","",IF(AT80="No",((BB80+AW80)-$AZ$4),((BB80+AX80)-$AZ$4))*IF(DD80&gt;0,0,M80))</f>
        <v/>
      </c>
      <c r="CC80" s="537">
        <f>IF(B80="","",AY80*(L80-M80)*IF(DD80&gt;0,0,1))</f>
        <v/>
      </c>
      <c r="CD80" s="265" t="n"/>
      <c r="CE80" s="265">
        <f>IF(AND(B80&lt;&gt;"",R80&lt;=85%),1,0)</f>
        <v/>
      </c>
      <c r="CF80" s="265">
        <f>IF(B80="",0,(IF(OR(BF80="USD",BF80="CAD",BF80="GBP",BF80="AUD",BF80="EUR"),0,1)))</f>
        <v/>
      </c>
      <c r="CG80" s="265">
        <f>IF(B80="",0,(IF(OR(BG80="United States",BG80="Canada",BG80="United Kingdom",BG80="Australia",BG80="Netherlands Antilles",BG80="Bermuda",BG80="Cayman Islands",BG80="British Virgin Islands",BG80="Channel Islands",BG80="Isle of Man",BG80="Australia",BG80="Netherlands",BG80="Germany",BG80="Sweden",BG80="Switzerland",BG80="Austria",BG80="Belgium",BG80="Denmark",BG80="Finland",BG80="Iceland",BG80="Ireland",BG80="Lichtenstein",BG80="Luxemborg",BG80="Norway"),0,1)))</f>
        <v/>
      </c>
      <c r="CH80" s="265">
        <f>IF(BN80="Yes",1,0)</f>
        <v/>
      </c>
      <c r="CI80" s="265">
        <f>IF(BO80="Yes",1,0)</f>
        <v/>
      </c>
      <c r="CJ80" s="265">
        <f>IF(BP80="Yes",1,0)</f>
        <v/>
      </c>
      <c r="CK80" s="265">
        <f>IF(BQ80="Yes",1,0)</f>
        <v/>
      </c>
      <c r="CL80" s="265">
        <f>IF(BR80="Yes",1,0)</f>
        <v/>
      </c>
      <c r="CM80" s="265">
        <f>IF(BS80="Yes",1,0)</f>
        <v/>
      </c>
      <c r="CN80" s="265">
        <f>IF(OR(AND(BJ80="Yes",N80="No"),AND(BJ80="Yes",N80="Yes",P80&gt;=6)),1,0)</f>
        <v/>
      </c>
      <c r="CO80" s="265">
        <f>IF(BT80="Yes",1,0)</f>
        <v/>
      </c>
      <c r="CP80" s="265">
        <f>IF(AND(BU80="Yes",BV80="No"),1,0)</f>
        <v/>
      </c>
      <c r="CQ80" s="265">
        <f>IF(BW80="Yes",1,0)</f>
        <v/>
      </c>
      <c r="CR80" s="265">
        <f>IF(AP80="",0,IF(AP80&gt;7,1,0))</f>
        <v/>
      </c>
      <c r="CS80" s="265">
        <f>IF(OR(BD80&lt;&gt;"Monthly",BD80&lt;&gt;"Quarterly",BD80&lt;&gt;"Semi-Annually"),0,1)</f>
        <v/>
      </c>
      <c r="CT80" s="265">
        <f>IF(BX80="Yes",1,0)</f>
        <v/>
      </c>
      <c r="CU80" s="265">
        <f>IF(BY80="Yes",1,0)</f>
        <v/>
      </c>
      <c r="CV80" s="265">
        <f>IF(BZ80="Yes",1,0)</f>
        <v/>
      </c>
      <c r="CW80" s="265">
        <f>IF(CA80="No",1,0)</f>
        <v/>
      </c>
      <c r="CX80" s="265">
        <f>IF(B80="",0,IF(AK80&gt;=5000000,0,1))</f>
        <v/>
      </c>
      <c r="CY80" s="265">
        <f>IF(B80="",0,IF(AL80&gt;=5000000,0,1))</f>
        <v/>
      </c>
      <c r="CZ80" s="265">
        <f>IF(OR(DA80=1,DB80=1,DC80=1),0,IF(B80="",0,IF(OR(AND(AN80="Tier 1",X80="No",OR(AI80&gt;$AJ$3,AJ80&gt;$AJ$4)),(AND(AN80="Tier 1",X80="Yes",AJ80&gt;$AJ$5)),(AND(AN80="Tier 2",X80="No",OR(AI80&gt;$AK$3,AJ80&gt;$AK$4))),(AND(AN80="Tier 2",X80="Yes",AJ80&gt;$AK$5)),(AND(AN80="Tier 3",X80="No",OR(AI80&gt;$AL$3,AJ80&gt;$AL$4))),(AND(AN80="Tier 3",X80="Yes",AJ80&gt;$AL$5))),1,0)))</f>
        <v/>
      </c>
      <c r="DA80" s="265">
        <f>IF(OR(DB80=1,DC80=1),0,IF(B80="",0,IF(OR(AND(AN80="Tier 1",X80="No",OR(AI80&gt;$AM$3,AJ80&gt;$AM$4)),(AND(AN80="Tier 1",X80="Yes",AJ80&gt;$AM$5)),(AND(AN80="Tier 2",X80="No",OR(AI80&gt;$AN$3,AJ80&gt;$AN$4))),(AND(AN80="Tier 2",X80="Yes",AJ80&gt;$AN$5)),(AND(AN80="Tier 3",X80="No",OR(AI80&gt;$AO$3,AJ80&gt;$AO$4))),(AND(AN80="Tier 3",X80="Yes",AJ80&gt;$AO$5))),1,0)))</f>
        <v/>
      </c>
      <c r="DB80" s="265">
        <f>IF(DC80=1,0,IF(B80="",0,IF(OR(AND(AN80="Tier 1",X80="No",OR(AI80&gt;$AP$3,AJ80&gt;$AP$4)),(AND(AN80="Tier 1",X80="Yes",AJ80&gt;$AP$5)),(AND(AN80="Tier 2",X80="No",OR(AI80&gt;$AQ$3,AJ80&gt;$AQ$4))),(AND(AN80="Tier 2",X80="Yes",AJ80&gt;$AQ$5)),(AND(AN80="Tier 3",X80="No",OR(AI80&gt;$AR$3,AJ80&gt;$AR$4))),(AND(AN80="Tier 3",X80="Yes",AJ80&gt;$AR$5))),1,0)))</f>
        <v/>
      </c>
      <c r="DC80" s="265">
        <f>IF(B80="",0,IF(OR(AND(AN80="Tier 1",X80="No",OR(AI80&gt;$AS$3,AJ80&gt;$AS$4)),(AND(AN80="Tier 1",X80="Yes",AJ80&gt;$AS$5)),(AND(AN80="Tier 2",X80="No",OR(AI80&gt;$AT$3,AJ80&gt;$AT$4))),(AND(AN80="Tier 2",X80="Yes",AJ80&gt;$AT$5)),(AND(AN80="Tier 3",X80="No",OR(AI80&gt;$AU$3,AJ80&gt;$AU$4))),(AND(AN80="Tier 3",X80="Yes",AJ80&gt;$AU$5))),1,0))</f>
        <v/>
      </c>
      <c r="DD80" s="265">
        <f>IF((SUM(CE80:CX80)=0),0,W80)</f>
        <v/>
      </c>
      <c r="DE80" s="265">
        <f>IF(OR(B80="",DD80&gt;0),0,W80)</f>
        <v/>
      </c>
      <c r="DF80" s="265">
        <f>IF(B80="",0,IF(COUNTIF(CE80:CX80,1)&gt;0,0,L80-M80))</f>
        <v/>
      </c>
      <c r="DG80" s="265">
        <f>DE80+IF(DD80&gt;0,0,DF80)</f>
        <v/>
      </c>
      <c r="DH80" s="265">
        <f>IF(B80="","",M80+DF80)</f>
        <v/>
      </c>
      <c r="DI80" s="265">
        <f>IF(B80="",0,J80-K80)</f>
        <v/>
      </c>
      <c r="DJ80" s="265">
        <f>IF(OR(BF80="EUR",BF80="CAD",BF80="GBP",BF80="AUD"),(GA80*(1-V80))+(HG80)+IF(HX80="",0,HX80*(1-U80)),0)</f>
        <v/>
      </c>
      <c r="DK80" s="265">
        <f>IF(BF80="EUR",33%,IF(BF80="CAD",38%,IF(BF80="GBP",51%,IF(BF80="AUD",61%,0))))</f>
        <v/>
      </c>
      <c r="DL80" s="265">
        <f>DJ80*DK80</f>
        <v/>
      </c>
      <c r="DN80" s="538">
        <f>IF(OR(Y80="Second Lien",Y80="Tier 1 Split Lien",Y80="Tier 2 Split Lien"),DG80,0)</f>
        <v/>
      </c>
      <c r="DO80" s="539">
        <f>DN80*DN$6</f>
        <v/>
      </c>
      <c r="DP80" s="538">
        <f>DG80-DO80</f>
        <v/>
      </c>
      <c r="DQ80" s="538">
        <f>IF(Y80="Second Lien",DP80,0)</f>
        <v/>
      </c>
      <c r="DR80" s="539">
        <f>DQ80*DQ$6</f>
        <v/>
      </c>
      <c r="DS80" s="538">
        <f>DP80-DR80</f>
        <v/>
      </c>
      <c r="DT80" s="538">
        <f>IF(BH80="Yes",DS80,0)</f>
        <v/>
      </c>
      <c r="DU80" s="539">
        <f>DT80*DT$6</f>
        <v/>
      </c>
      <c r="DV80" s="538">
        <f>DS80-DU80</f>
        <v/>
      </c>
      <c r="DW80" s="538">
        <f>IF(OR(BG80="Canada",BG80="United Kingdom",BG80="Australia",BG80="Netherlands Antilles",BG80="Bermuda",BG80="Cayman Islands",BG80="British Virgin Islands",BG80="Channel Islands",BG80="Isle of Man",BG80="Australia",BG80="Netherlands",BG80="Germany",BG80="Sweden",BG80="Switzerland",BG80="Austria",BG80="Belgium",BG80="Denmark",BG80="Finland",BG80="Iceland",BG80="Ireland",BG80="Lichtenstein",BG80="Luxemborg",BG80="Norway"),DV80,0)</f>
        <v/>
      </c>
      <c r="DX80" s="539">
        <f>DW80*DW$6</f>
        <v/>
      </c>
      <c r="DY80" s="538">
        <f>DV80-DX80</f>
        <v/>
      </c>
      <c r="DZ80" s="538">
        <f>IF(BI80="Yes",DY80,0)</f>
        <v/>
      </c>
      <c r="EA80" s="539">
        <f>DZ80*DZ$6</f>
        <v/>
      </c>
      <c r="EB80" s="538">
        <f>DY80-EA80</f>
        <v/>
      </c>
      <c r="EC80" s="538">
        <f>IF(OR(Z80="Delayed Draw",Z80="Revolver"),EB80,0)</f>
        <v/>
      </c>
      <c r="ED80" s="539">
        <f>EC80*EC$6</f>
        <v/>
      </c>
      <c r="EE80" s="538">
        <f>EB80-ED80</f>
        <v/>
      </c>
      <c r="EF80" s="538">
        <f>IF(S80="Yes",EE80,0)</f>
        <v/>
      </c>
      <c r="EG80" s="539">
        <f>EF80*EF$6</f>
        <v/>
      </c>
      <c r="EH80" s="538">
        <f>EE80-EG80</f>
        <v/>
      </c>
      <c r="EI80" s="538">
        <f>IF(Q80="Yes",EH80,0)</f>
        <v/>
      </c>
      <c r="EJ80" s="539">
        <f>EI80*EI$6</f>
        <v/>
      </c>
      <c r="EK80" s="538">
        <f>EH80-EJ80</f>
        <v/>
      </c>
      <c r="EL80" s="538">
        <f>IF(BD80="Semi-Annually",EK80,0)</f>
        <v/>
      </c>
      <c r="EM80" s="539">
        <f>EL80*EL$6</f>
        <v/>
      </c>
      <c r="EN80" s="538">
        <f>EK80-EM80</f>
        <v/>
      </c>
      <c r="EO80" s="538">
        <f>IF(BK80="Yes",EN80,0)</f>
        <v/>
      </c>
      <c r="EP80" s="539">
        <f>EO80*EO$6</f>
        <v/>
      </c>
      <c r="EQ80" s="538">
        <f>EN80-EP80</f>
        <v/>
      </c>
      <c r="ER80" s="538">
        <f>IF(BL80="Yes",EQ80,0)</f>
        <v/>
      </c>
      <c r="ES80" s="539">
        <f>ER80*ER$6</f>
        <v/>
      </c>
      <c r="ET80" s="538">
        <f>EQ80-ES80</f>
        <v/>
      </c>
      <c r="EU80" s="538">
        <f>IF(BM80="Yes",ET80,0)</f>
        <v/>
      </c>
      <c r="EV80" s="539">
        <f>EU80*EU$6</f>
        <v/>
      </c>
      <c r="EW80" s="538">
        <f>ET80-EV80</f>
        <v/>
      </c>
      <c r="EX80" s="538">
        <f>IF(BV80="Yes",EW80,0)</f>
        <v/>
      </c>
      <c r="EY80" s="539">
        <f>EX80*EX$6</f>
        <v/>
      </c>
      <c r="EZ80" s="538">
        <f>EW80-EY80</f>
        <v/>
      </c>
      <c r="FA80" s="538">
        <f>IF(AR80="Yes",EZ80,0)</f>
        <v/>
      </c>
      <c r="FB80" s="539">
        <f>FA80*FA$6</f>
        <v/>
      </c>
      <c r="FC80" s="538">
        <f>EZ80-FB80</f>
        <v/>
      </c>
      <c r="FD80" s="538">
        <f>IF(OR(BF80="EUR",BF80="AUD",BF80="CAD",BF80="GBP"),FC80,0)</f>
        <v/>
      </c>
      <c r="FE80" s="539">
        <f>FD80*FD$6</f>
        <v/>
      </c>
      <c r="FF80" s="538">
        <f>FC80-FE80</f>
        <v/>
      </c>
      <c r="FG80" s="538">
        <f>FF80</f>
        <v/>
      </c>
      <c r="FH80" s="538">
        <f>IF(FF80=0,0,VLOOKUP(C80,$GU$10:$GV$406,2,FALSE)*FF80)</f>
        <v/>
      </c>
      <c r="FI80" s="538">
        <f>FF80-FH80</f>
        <v/>
      </c>
      <c r="FJ80" s="538">
        <f>FI80</f>
        <v/>
      </c>
      <c r="FK80" s="538">
        <f>IF(OR(IB80="",FI80&lt;0.01),,VLOOKUP(IB80,$GL$10:$GM$406,2,FALSE)*FI80)</f>
        <v/>
      </c>
      <c r="FL80" s="538">
        <f>FI80-FK80</f>
        <v/>
      </c>
      <c r="FM80" s="538">
        <f>FL80</f>
        <v/>
      </c>
      <c r="FN80" s="538">
        <f>IF(FL80=0,0,VLOOKUP(C80,$HD$10:$HE$406,2,FALSE)*FL80)</f>
        <v/>
      </c>
      <c r="FO80" s="538">
        <f>FL80-FN80</f>
        <v/>
      </c>
      <c r="FP80" s="538">
        <f>IF(SUM(CY80:DC80)&gt;0,0,IF(AND(AL80&gt;=5000000,AL80&lt;7500000),FO80,0))</f>
        <v/>
      </c>
      <c r="FQ80" s="539">
        <f>IF(B80="",0,FP80*FP$6*(1-$U80))</f>
        <v/>
      </c>
      <c r="FR80" s="538">
        <f>FO80-FQ80</f>
        <v/>
      </c>
      <c r="FS80" s="538">
        <f>IF(SUM(CY80:DC80)&gt;0,0,IF(AL80&lt;15000000,FR80,0))</f>
        <v/>
      </c>
      <c r="FT80" s="539">
        <f>IF(B80="",0,FS80*FS$6*(1-$U80))</f>
        <v/>
      </c>
      <c r="FU80" s="538">
        <f>FR80-FT80</f>
        <v/>
      </c>
      <c r="FV80" s="538">
        <f>IF(SUM(CY80:DC80)&gt;0,0,IF(OR(AND(X80="No",AN80="Tier 1",AI80&gt;$AG$3),AND(X80="No",AN80="Tier 2",AI80&gt;$AH$3),AND(X80="No",AN80="Tier 3",AI80&gt;$AI$3)),FU80,0))</f>
        <v/>
      </c>
      <c r="FW80" s="538">
        <f>IF(SUM(CY80:DC80)&gt;0,0,IF(OR(AND(X80="No",AN80="Tier 1",AJ80&gt;$AG$4),AND(X80="No",AN80="Tier 2",AJ80&gt;$AH$4),AND(X80="No",AN80="Tier 3",AJ80&gt;$AI$4)),FU80,0))</f>
        <v/>
      </c>
      <c r="FX80" s="538">
        <f>IF(SUM(CY80:DC80)&gt;0,0,IF(OR(AND(X80="Yes",AN80="Tier 1",AJ80&gt;$AG$5),AND(X80="Yes",AN80="Tier 2",AJ80&gt;$AH$5),AND(X80="Yes",AN80="Tier 3",AJ80&gt;$AI$5)),FU80,0))</f>
        <v/>
      </c>
      <c r="FY80" s="538">
        <f>IF(SUM(FV80:FX80)&gt;0,FU80,0)</f>
        <v/>
      </c>
      <c r="FZ80" s="539">
        <f>IF(B80="",0,FY80*FV$6*(1-MIN(90%,T80)))</f>
        <v/>
      </c>
      <c r="GA80" s="538">
        <f>FU80-FZ80</f>
        <v/>
      </c>
      <c r="GB80" s="538">
        <f>IF(AND(N80="No",DI80=0),GA80,IF(AND(N80="No",DI80&lt;&gt;0,K80=0),0,IF(AND(N80="No",DI80&lt;&gt;0,K80&gt;0,J80&lt;&gt;K80),MAX(0,M80-(DH80-GA80)),DG80)))</f>
        <v/>
      </c>
      <c r="GC80" s="540">
        <f>+GB80*V80</f>
        <v/>
      </c>
      <c r="GD80" s="138">
        <f>IFERROR(GC80/K80,"")</f>
        <v/>
      </c>
      <c r="GE80" s="541">
        <f>IF(IB80="","",IB80)</f>
        <v/>
      </c>
      <c r="GF80" s="538">
        <f t="array" ref="GF80">IF(SUM(IF(IB$9:IB79=IB80,1,0))&gt;0,0,SUMIF($IB$10:$IB$406,IB80,$FI$10:$FI$406))</f>
        <v/>
      </c>
      <c r="GG80" s="270">
        <f>GF80</f>
        <v/>
      </c>
      <c r="GH80" s="137">
        <f>GH79+1</f>
        <v/>
      </c>
      <c r="GI80" s="542">
        <f>LARGE($GG$10:$GG$406,GH80)</f>
        <v/>
      </c>
      <c r="GJ80" s="542">
        <f>IF(GH80&gt;GH$6,0,IF(GH80=$GH$2,$GJ$2,IF(GH80&lt;4,$GJ$3,$GJ$4)))</f>
        <v/>
      </c>
      <c r="GK80" s="489">
        <f>MAX(0,GI80-GJ80)</f>
        <v/>
      </c>
      <c r="GL80" s="137">
        <f t="array" ref="GL80">IF(GI80=0,0,LARGE(IF($GF$10:$GF$406=GI80,$GE$10:$GE$406,0),COUNTIF($GI$10:$GI$406,GI80)-COUNTIF(GI$9:GI79,GI80)))</f>
        <v/>
      </c>
      <c r="GM80" s="272">
        <f>IF(GI80=0,0,GK80/GI80)</f>
        <v/>
      </c>
      <c r="GO80" s="137">
        <f>IF(C80="","",IF(ISERROR(MATCH(C80,C$10:C79,0)),MAX(GO$10:GO79)+1,INDEX(GO$10:GO79,MATCH(C80,C$10:C79,0))))</f>
        <v/>
      </c>
      <c r="GP80" s="538">
        <f>IF(COUNTIF($A$10:A80,A80)&lt;=1,SUMIF($A$10:$A$406,A80,$FG$10:$FG$406),0)</f>
        <v/>
      </c>
      <c r="GQ80" s="137">
        <f>GQ79+1</f>
        <v/>
      </c>
      <c r="GR80" s="542">
        <f>LARGE($GP$10:$GP$406,GQ80)</f>
        <v/>
      </c>
      <c r="GS80" s="542">
        <f>IF(GQ80&gt;GQ$6,0,IF(GQ80&lt;=GQ$2,GS$2,IF(AND(GQ80&lt;=$GQ$3,GQ80&gt;$GQ$2),GS$3,GS$4)))</f>
        <v/>
      </c>
      <c r="GT80" s="489">
        <f>MAX(0,GR80-GS80)</f>
        <v/>
      </c>
      <c r="GU80" s="137">
        <f t="array" ref="GU80">IF(GR80=0,0,LARGE(IF($GP$10:$GP$406=GR80,$GO$10:$GO$406,0),COUNTIF($GR$10:$GR$406,GR80)-COUNTIF(GR$9:GR79,GR80)))</f>
        <v/>
      </c>
      <c r="GV80" s="272">
        <f>IF(GR80=0,0,GT80/GR80)</f>
        <v/>
      </c>
      <c r="GW80" s="272" t="n"/>
      <c r="GX80" s="137">
        <f>IF(C80="","",IF(ISERROR(MATCH(C80,C$10:C79,0)),MAX(GO$10:GO79)+1,INDEX(GO$10:GO79,MATCH(C80,C$10:C79,0))))</f>
        <v/>
      </c>
      <c r="GY80" s="538">
        <f>IF(COUNTIF($A$10:A80,A80)&lt;=1,SUMIF($A$10:$A$406,A80,$FG$10:$FG$406),0)</f>
        <v/>
      </c>
      <c r="GZ80" s="137">
        <f>GZ79+1</f>
        <v/>
      </c>
      <c r="HA80" s="542">
        <f>LARGE($GY$10:$GY$406,GZ80)</f>
        <v/>
      </c>
      <c r="HB80" s="543" t="inlineStr">
        <is>
          <t>-</t>
        </is>
      </c>
      <c r="HC80" s="489">
        <f>IF(GZ80&lt;6,MAX(0,$HC$2/5),0)</f>
        <v/>
      </c>
      <c r="HD80" s="137">
        <f t="array" ref="HD80">IF(HA80=0,0,LARGE(IF($GY$10:$GY$406=HA80,$GX$10:$GX$406,0),COUNTIF($HA$10:$HA$406,HA80)-COUNTIF(HA$9:HA79,HA80)))</f>
        <v/>
      </c>
      <c r="HE80" s="272">
        <f>IF(HA80=0,0,HC80/HA80)</f>
        <v/>
      </c>
      <c r="HF80" s="272" t="n"/>
      <c r="HG80" s="270">
        <f>DG80-GA80</f>
        <v/>
      </c>
      <c r="HH80" s="544" t="n">
        <v>0</v>
      </c>
      <c r="HI80" s="538">
        <f>MIN(HH80,DE80)</f>
        <v/>
      </c>
      <c r="HK80" s="137">
        <f>IF(COUNTIF($C$10:$C$406,HK79+1),HK79+1,"")</f>
        <v/>
      </c>
      <c r="HL80" s="538">
        <f>SUMIF($C$10:$C$406,HK80,$DG$10:$DG$406)</f>
        <v/>
      </c>
      <c r="HN80" s="521">
        <f>MIN(HO80:HS80)</f>
        <v/>
      </c>
      <c r="HO80" s="521">
        <f>IF(B80="","",$M80)</f>
        <v/>
      </c>
      <c r="HP80" s="521">
        <f>IF($N80="Yes",IF(P80&gt;=6,0,MIN($T80*$M80,$U80*$M80)),"")</f>
        <v/>
      </c>
      <c r="HQ80" s="521">
        <f>IF(AND(N80="Yes",P80&gt;=6),"",IF($S80="Yes",$R80*$M80,""))</f>
        <v/>
      </c>
      <c r="HR80" s="521">
        <f>IF($Q80="Yes",MIN($M80,$T80*$M80),"")</f>
        <v/>
      </c>
      <c r="HS80" s="521">
        <f>IF(AND($N80="Yes",$P80&gt;=6),"",IF(OR(CY80=1,DC80=1,),MIN($T80*$M80,$U80*$M80),IF(OR(CZ80=1,DA80=1,DB80=1),IF(AK80&gt;=5000000,MIN($T80*$M80,$IE80*$M80),MIN($T80*$M80,$U80*$M80)),"")))</f>
        <v/>
      </c>
      <c r="HT80" s="521">
        <f>IF(DD80&gt;0,DD80,"")</f>
        <v/>
      </c>
      <c r="HU80" s="522">
        <f>IF(B80="",0,$L80-$M80)</f>
        <v/>
      </c>
      <c r="HV80" s="274">
        <f>IF(OR(SUM(HP80:HT80)&gt;0,P80&gt;=6),"",IF($B80="","",1))</f>
        <v/>
      </c>
      <c r="HW80" s="522">
        <f>IF(AND($HT80&lt;&gt;0,OR(HT80&lt;=MIN(HP80:HS80),SUM(HP80:HS80)=0)),$HT80,0)</f>
        <v/>
      </c>
      <c r="HX80" s="522">
        <f>IF(AND($HS80&lt;&gt;0,OR(AND($HS80&lt;&gt;$HT80,$HS80&lt;&gt;$HR80,$HS80&lt;&gt;$HQ80,$HS80&lt;&gt;$HP80,$HS80&lt;MIN($HP80:$HR80),$HS80&lt;HT80),SUM($HP80:$HR80)+SUM(HT80)=0),IA80&lt;=0),$HS80,0)</f>
        <v/>
      </c>
      <c r="HY80" s="522">
        <f>IF(AND($HR80&lt;&gt;0,OR(AND($HR80&lt;&gt;$HT80,$HR80&lt;&gt;$HS80,$HR80&lt;&gt;$HQ80,$HR80&lt;&gt;$HP80),$HR80&lt;MIN($HP80:$HQ80),$HR80&lt;MIN($HS80:$HT80),SUM($HP80:$HQ80)+SUM($HS80:$HT80)=0)),$HR80,0)</f>
        <v/>
      </c>
      <c r="HZ80" s="522">
        <f>IF(AND($HQ80&lt;&gt;0,OR(AND($HQ80&lt;&gt;$HT80,HQ80&lt;&gt;HS80,HQ80&lt;&gt;HR80,HQ80&lt;&gt;HP80,HQ80&lt;MIN(HR80:HT80)),SUM(HP80)+SUM(HR80:HT80)=0)),$HQ80,0)</f>
        <v/>
      </c>
      <c r="IA80" s="522">
        <f>IF(AND($HP80&lt;&gt;0,OR(HP80&lt;=MIN(HQ80:HT80),SUM(HQ80:HT80)=0)),$HP80,0)</f>
        <v/>
      </c>
      <c r="IB80" s="545" t="n">
        <v>35</v>
      </c>
      <c r="IC80">
        <f>HU80=DF80</f>
        <v/>
      </c>
      <c r="IE80" s="351">
        <f>IF(B80="","",IF(AND(Y80="Second Lien",OR(CZ80=1,DA80=1,DB80=1)),50%,IF(CZ80=1,90%,IF(DA80=1,80%,IF(DB80=1,65%,"No Initial Haircut")))))</f>
        <v/>
      </c>
    </row>
    <row r="81">
      <c r="A81">
        <f>D81</f>
        <v/>
      </c>
      <c r="B81" s="242">
        <f>IF(D81="","",B80+1)</f>
        <v/>
      </c>
      <c r="C81" s="242">
        <f>IF(COUNTIF($A$10:A80,A81)&gt;0,C80,C80+1)</f>
        <v/>
      </c>
      <c r="D81" s="243" t="inlineStr">
        <is>
          <t>Highgate Industries, Inc.</t>
        </is>
      </c>
      <c r="E81" s="243" t="inlineStr">
        <is>
          <t>Highgate (New OpCo Term Loan)</t>
        </is>
      </c>
      <c r="F81" s="244" t="n"/>
      <c r="G81" s="528" t="n">
        <v>6992939.560000001</v>
      </c>
      <c r="H81" s="528" t="n">
        <v>6992939.560000001</v>
      </c>
      <c r="I81" s="246" t="n">
        <v>1</v>
      </c>
      <c r="J81" s="529">
        <f>IF(B81="","",G81*I81)</f>
        <v/>
      </c>
      <c r="K81" s="529">
        <f>IF(B81="","",H81*I81)</f>
        <v/>
      </c>
      <c r="L81" s="529">
        <f>IF(B81="","",IF(COUNTIF($CE81:$CX81,1)&gt;0,0,J81))</f>
        <v/>
      </c>
      <c r="M81" s="529">
        <f>IF(B81="","",IF(COUNTIF($CE81:$CX81,1)&gt;0,0,K81))</f>
        <v/>
      </c>
      <c r="N81" s="248" t="inlineStr">
        <is>
          <t>No</t>
        </is>
      </c>
      <c r="O81" s="248" t="inlineStr">
        <is>
          <t>N/A</t>
        </is>
      </c>
      <c r="P81" s="249">
        <f>IF(B81="","",IF(OR(O81="N/A",O81=""),0,YEARFRAC('Borrowing Base'!$J$4,'Loan List'!O81)*12))</f>
        <v/>
      </c>
      <c r="Q81" s="248" t="inlineStr">
        <is>
          <t>No</t>
        </is>
      </c>
      <c r="R81" s="250" t="n">
        <v>1</v>
      </c>
      <c r="S81" s="251">
        <f>IF(B81="","",IF(R81&lt;95%,"Yes","No"))</f>
        <v/>
      </c>
      <c r="T81" s="250" t="n">
        <v>1.01999999968452</v>
      </c>
      <c r="U81" s="252">
        <f>IF(B81="","",IF(OR(Y81="First Lien",Y81="Split First Lien",Y81="Tier 1 Split Lien",Y81="Tier 2 Split Lien"),50%,30%))</f>
        <v/>
      </c>
      <c r="V81" s="252">
        <f>IF(B81="",0,IF(AND(Y81="First Lien",AN81="Tier 1"),IF(AND(X81="Yes",MIN(AH81,$AJ$5)&gt;4.5),(((4.5/MIN(AH81,$AJ$5))*72.5%)+(((MIN(AH81,$AJ$5)-4.5)/MIN(AH81,$AJ$5))*35%)),72.5%),IF(AND(Y81="First Lien",AN81="Tier 2"),IF(AND(X81="Yes",MIN(AH81,$AK$5)&gt;4.5),(((4.5/MIN(AH81,$AK$5))*72.5%)+(((MIN(AH81,$AK$5)-4.5)/MIN(AH81,$AK$5))*35%)),72.5%),IF(AND(X81="Yes",MIN(AH81,$AL$5)&gt;4),(((4/MIN(AH81,$AL$5))*72.5%)+(((MIN(AH81,$AL$5)-4)/MIN(AH81,$AL$5))*35%)),IF(OR(Y81="First Lien",Y81="Split First Lien"),72.5%,IF(Y81="Split Lien", 53%,35%))))))</f>
        <v/>
      </c>
      <c r="W81" s="530">
        <f>IF($C81="","",MIN($HO81:$HS81))</f>
        <v/>
      </c>
      <c r="X81" s="248" t="inlineStr">
        <is>
          <t>No</t>
        </is>
      </c>
      <c r="Y81" s="254" t="inlineStr">
        <is>
          <t>First Lien</t>
        </is>
      </c>
      <c r="Z81" s="254" t="inlineStr">
        <is>
          <t>Term</t>
        </is>
      </c>
      <c r="AA81" s="531" t="inlineStr">
        <is>
          <t>NR</t>
        </is>
      </c>
      <c r="AB81" s="531" t="inlineStr">
        <is>
          <t xml:space="preserve"> NR</t>
        </is>
      </c>
      <c r="AC81" s="532" t="n">
        <v>1.013964533940399</v>
      </c>
      <c r="AD81" s="532" t="n">
        <v>6.969589618331998</v>
      </c>
      <c r="AE81" s="532" t="n">
        <v>6.983349600964575</v>
      </c>
      <c r="AF81" s="257" t="n">
        <v>0.3295737512816757</v>
      </c>
      <c r="AG81" s="533" t="n">
        <v>4.172804057203588</v>
      </c>
      <c r="AH81" s="533" t="n">
        <v>6.969589618331998</v>
      </c>
      <c r="AI81" s="533" t="n">
        <v>4.082926642552295</v>
      </c>
      <c r="AJ81" s="533" t="n">
        <v>4.082926642552295</v>
      </c>
      <c r="AK81" s="534" t="n">
        <v>53632999.99999999</v>
      </c>
      <c r="AL81" s="534" t="n">
        <v>52251000</v>
      </c>
      <c r="AM81" s="276" t="n">
        <v>45838</v>
      </c>
      <c r="AN81" s="529">
        <f>IF(C81="","",(IF(AK81&gt;=50000000,"Tier 1",(IF(OR(AK81&gt;=20000000,AND(AK81&gt;5000000,AC81&gt;=1.25,AF81&lt;=0.65)),"Tier 2","Tier 3")))))</f>
        <v/>
      </c>
      <c r="AO81" s="244" t="n">
        <v>46873</v>
      </c>
      <c r="AP81" s="535" t="n">
        <v>2.75</v>
      </c>
      <c r="AQ81" s="535">
        <f>IF(C81="","",AP81)</f>
        <v/>
      </c>
      <c r="AR81" s="248" t="inlineStr">
        <is>
          <t>No</t>
        </is>
      </c>
      <c r="AS81" s="250" t="n">
        <v>0</v>
      </c>
      <c r="AT81" s="248" t="inlineStr">
        <is>
          <t>Yes</t>
        </is>
      </c>
      <c r="AU81" s="250" t="n">
        <v>0.01</v>
      </c>
      <c r="AV81" s="250" t="n">
        <v>0.0735</v>
      </c>
      <c r="AW81" s="250" t="n">
        <v>0.04279699999999999</v>
      </c>
      <c r="AX81" s="262">
        <f>IF(C81="","",MAX(AU81,AW81))</f>
        <v/>
      </c>
      <c r="AY81" s="250" t="n">
        <v>0</v>
      </c>
      <c r="AZ81" s="250" t="n">
        <v>0.0735</v>
      </c>
      <c r="BA81" s="250" t="n">
        <v>0</v>
      </c>
      <c r="BB81" s="412">
        <f>IF(B81="","",IF(AR81="No",AV81-AZ81,""))</f>
        <v/>
      </c>
      <c r="BC81" s="412">
        <f>IF(B81="","",IF(AR81="Yes",AS81-BA81,""))</f>
        <v/>
      </c>
      <c r="BD81" s="254" t="inlineStr">
        <is>
          <t>Quarterly</t>
        </is>
      </c>
      <c r="BE81" s="536" t="inlineStr">
        <is>
          <t>Consumer Finance</t>
        </is>
      </c>
      <c r="BF81" s="254" t="inlineStr">
        <is>
          <t>USD</t>
        </is>
      </c>
      <c r="BG81" s="254" t="inlineStr">
        <is>
          <t>United States</t>
        </is>
      </c>
      <c r="BH81" s="248" t="inlineStr">
        <is>
          <t>No</t>
        </is>
      </c>
      <c r="BI81" s="413">
        <f>IF(B81="","",IF(OR(AND(AZ81&gt;0,BB81&gt;=2.5%,BB81&lt;4%),AND(BA81&gt;0,BC81&gt;=6%,BC81&lt;8%)),"Yes","No"))</f>
        <v/>
      </c>
      <c r="BJ81" s="413">
        <f>IF(B81="","",IF(OR(AND(AZ81&gt;0,BB81&lt;2.5%),AND(BA81&gt;0,BC81&lt;6%)),"Yes","No"))</f>
        <v/>
      </c>
      <c r="BK81" s="248" t="inlineStr">
        <is>
          <t>No</t>
        </is>
      </c>
      <c r="BL81" s="248" t="inlineStr">
        <is>
          <t>No</t>
        </is>
      </c>
      <c r="BM81" s="248" t="inlineStr">
        <is>
          <t>No</t>
        </is>
      </c>
      <c r="BN81" s="248" t="inlineStr">
        <is>
          <t>No</t>
        </is>
      </c>
      <c r="BO81" s="248" t="inlineStr">
        <is>
          <t>No</t>
        </is>
      </c>
      <c r="BP81" s="248" t="inlineStr">
        <is>
          <t>No</t>
        </is>
      </c>
      <c r="BQ81" s="248" t="inlineStr">
        <is>
          <t>No</t>
        </is>
      </c>
      <c r="BR81" s="248" t="inlineStr">
        <is>
          <t>No</t>
        </is>
      </c>
      <c r="BS81" s="248" t="inlineStr">
        <is>
          <t>No</t>
        </is>
      </c>
      <c r="BT81" s="248" t="inlineStr">
        <is>
          <t>No</t>
        </is>
      </c>
      <c r="BU81" s="248" t="inlineStr">
        <is>
          <t>No</t>
        </is>
      </c>
      <c r="BV81" s="248" t="inlineStr">
        <is>
          <t>No</t>
        </is>
      </c>
      <c r="BW81" s="248" t="inlineStr">
        <is>
          <t>No</t>
        </is>
      </c>
      <c r="BX81" s="248" t="inlineStr">
        <is>
          <t>No</t>
        </is>
      </c>
      <c r="BY81" s="248" t="inlineStr">
        <is>
          <t>No</t>
        </is>
      </c>
      <c r="BZ81" s="248" t="inlineStr">
        <is>
          <t>No</t>
        </is>
      </c>
      <c r="CA81" s="248" t="inlineStr">
        <is>
          <t>Yes</t>
        </is>
      </c>
      <c r="CB81" s="537">
        <f>IF(B81="","",IF(AT81="No",((BB81+AW81)-$AZ$4),((BB81+AX81)-$AZ$4))*IF(DD81&gt;0,0,M81))</f>
        <v/>
      </c>
      <c r="CC81" s="537">
        <f>IF(B81="","",AY81*(L81-M81)*IF(DD81&gt;0,0,1))</f>
        <v/>
      </c>
      <c r="CD81" s="265" t="n"/>
      <c r="CE81" s="265">
        <f>IF(AND(B81&lt;&gt;"",R81&lt;=85%),1,0)</f>
        <v/>
      </c>
      <c r="CF81" s="265">
        <f>IF(B81="",0,(IF(OR(BF81="USD",BF81="CAD",BF81="GBP",BF81="AUD",BF81="EUR"),0,1)))</f>
        <v/>
      </c>
      <c r="CG81" s="265">
        <f>IF(B81="",0,(IF(OR(BG81="United States",BG81="Canada",BG81="United Kingdom",BG81="Australia",BG81="Netherlands Antilles",BG81="Bermuda",BG81="Cayman Islands",BG81="British Virgin Islands",BG81="Channel Islands",BG81="Isle of Man",BG81="Australia",BG81="Netherlands",BG81="Germany",BG81="Sweden",BG81="Switzerland",BG81="Austria",BG81="Belgium",BG81="Denmark",BG81="Finland",BG81="Iceland",BG81="Ireland",BG81="Lichtenstein",BG81="Luxemborg",BG81="Norway"),0,1)))</f>
        <v/>
      </c>
      <c r="CH81" s="265">
        <f>IF(BN81="Yes",1,0)</f>
        <v/>
      </c>
      <c r="CI81" s="265">
        <f>IF(BO81="Yes",1,0)</f>
        <v/>
      </c>
      <c r="CJ81" s="265">
        <f>IF(BP81="Yes",1,0)</f>
        <v/>
      </c>
      <c r="CK81" s="265">
        <f>IF(BQ81="Yes",1,0)</f>
        <v/>
      </c>
      <c r="CL81" s="265">
        <f>IF(BR81="Yes",1,0)</f>
        <v/>
      </c>
      <c r="CM81" s="265">
        <f>IF(BS81="Yes",1,0)</f>
        <v/>
      </c>
      <c r="CN81" s="265">
        <f>IF(OR(AND(BJ81="Yes",N81="No"),AND(BJ81="Yes",N81="Yes",P81&gt;=6)),1,0)</f>
        <v/>
      </c>
      <c r="CO81" s="265">
        <f>IF(BT81="Yes",1,0)</f>
        <v/>
      </c>
      <c r="CP81" s="265">
        <f>IF(AND(BU81="Yes",BV81="No"),1,0)</f>
        <v/>
      </c>
      <c r="CQ81" s="265">
        <f>IF(BW81="Yes",1,0)</f>
        <v/>
      </c>
      <c r="CR81" s="265">
        <f>IF(AP81="",0,IF(AP81&gt;7,1,0))</f>
        <v/>
      </c>
      <c r="CS81" s="265">
        <f>IF(OR(BD81&lt;&gt;"Monthly",BD81&lt;&gt;"Quarterly",BD81&lt;&gt;"Semi-Annually"),0,1)</f>
        <v/>
      </c>
      <c r="CT81" s="265">
        <f>IF(BX81="Yes",1,0)</f>
        <v/>
      </c>
      <c r="CU81" s="265">
        <f>IF(BY81="Yes",1,0)</f>
        <v/>
      </c>
      <c r="CV81" s="265">
        <f>IF(BZ81="Yes",1,0)</f>
        <v/>
      </c>
      <c r="CW81" s="265">
        <f>IF(CA81="No",1,0)</f>
        <v/>
      </c>
      <c r="CX81" s="265">
        <f>IF(B81="",0,IF(AK81&gt;=5000000,0,1))</f>
        <v/>
      </c>
      <c r="CY81" s="265">
        <f>IF(B81="",0,IF(AL81&gt;=5000000,0,1))</f>
        <v/>
      </c>
      <c r="CZ81" s="265">
        <f>IF(OR(DA81=1,DB81=1,DC81=1),0,IF(B81="",0,IF(OR(AND(AN81="Tier 1",X81="No",OR(AI81&gt;$AJ$3,AJ81&gt;$AJ$4)),(AND(AN81="Tier 1",X81="Yes",AJ81&gt;$AJ$5)),(AND(AN81="Tier 2",X81="No",OR(AI81&gt;$AK$3,AJ81&gt;$AK$4))),(AND(AN81="Tier 2",X81="Yes",AJ81&gt;$AK$5)),(AND(AN81="Tier 3",X81="No",OR(AI81&gt;$AL$3,AJ81&gt;$AL$4))),(AND(AN81="Tier 3",X81="Yes",AJ81&gt;$AL$5))),1,0)))</f>
        <v/>
      </c>
      <c r="DA81" s="265">
        <f>IF(OR(DB81=1,DC81=1),0,IF(B81="",0,IF(OR(AND(AN81="Tier 1",X81="No",OR(AI81&gt;$AM$3,AJ81&gt;$AM$4)),(AND(AN81="Tier 1",X81="Yes",AJ81&gt;$AM$5)),(AND(AN81="Tier 2",X81="No",OR(AI81&gt;$AN$3,AJ81&gt;$AN$4))),(AND(AN81="Tier 2",X81="Yes",AJ81&gt;$AN$5)),(AND(AN81="Tier 3",X81="No",OR(AI81&gt;$AO$3,AJ81&gt;$AO$4))),(AND(AN81="Tier 3",X81="Yes",AJ81&gt;$AO$5))),1,0)))</f>
        <v/>
      </c>
      <c r="DB81" s="265">
        <f>IF(DC81=1,0,IF(B81="",0,IF(OR(AND(AN81="Tier 1",X81="No",OR(AI81&gt;$AP$3,AJ81&gt;$AP$4)),(AND(AN81="Tier 1",X81="Yes",AJ81&gt;$AP$5)),(AND(AN81="Tier 2",X81="No",OR(AI81&gt;$AQ$3,AJ81&gt;$AQ$4))),(AND(AN81="Tier 2",X81="Yes",AJ81&gt;$AQ$5)),(AND(AN81="Tier 3",X81="No",OR(AI81&gt;$AR$3,AJ81&gt;$AR$4))),(AND(AN81="Tier 3",X81="Yes",AJ81&gt;$AR$5))),1,0)))</f>
        <v/>
      </c>
      <c r="DC81" s="265">
        <f>IF(B81="",0,IF(OR(AND(AN81="Tier 1",X81="No",OR(AI81&gt;$AS$3,AJ81&gt;$AS$4)),(AND(AN81="Tier 1",X81="Yes",AJ81&gt;$AS$5)),(AND(AN81="Tier 2",X81="No",OR(AI81&gt;$AT$3,AJ81&gt;$AT$4))),(AND(AN81="Tier 2",X81="Yes",AJ81&gt;$AT$5)),(AND(AN81="Tier 3",X81="No",OR(AI81&gt;$AU$3,AJ81&gt;$AU$4))),(AND(AN81="Tier 3",X81="Yes",AJ81&gt;$AU$5))),1,0))</f>
        <v/>
      </c>
      <c r="DD81" s="265">
        <f>IF((SUM(CE81:CX81)=0),0,W81)</f>
        <v/>
      </c>
      <c r="DE81" s="265">
        <f>IF(OR(B81="",DD81&gt;0),0,W81)</f>
        <v/>
      </c>
      <c r="DF81" s="265">
        <f>IF(B81="",0,IF(COUNTIF(CE81:CX81,1)&gt;0,0,L81-M81))</f>
        <v/>
      </c>
      <c r="DG81" s="265">
        <f>DE81+IF(DD81&gt;0,0,DF81)</f>
        <v/>
      </c>
      <c r="DH81" s="265">
        <f>IF(B81="","",M81+DF81)</f>
        <v/>
      </c>
      <c r="DI81" s="265">
        <f>IF(B81="",0,J81-K81)</f>
        <v/>
      </c>
      <c r="DJ81" s="265">
        <f>IF(OR(BF81="EUR",BF81="CAD",BF81="GBP",BF81="AUD"),(GA81*(1-V81))+(HG81)+IF(HX81="",0,HX81*(1-U81)),0)</f>
        <v/>
      </c>
      <c r="DK81" s="265">
        <f>IF(BF81="EUR",33%,IF(BF81="CAD",38%,IF(BF81="GBP",51%,IF(BF81="AUD",61%,0))))</f>
        <v/>
      </c>
      <c r="DL81" s="265">
        <f>DJ81*DK81</f>
        <v/>
      </c>
      <c r="DN81" s="538">
        <f>IF(OR(Y81="Second Lien",Y81="Tier 1 Split Lien",Y81="Tier 2 Split Lien"),DG81,0)</f>
        <v/>
      </c>
      <c r="DO81" s="539">
        <f>DN81*DN$6</f>
        <v/>
      </c>
      <c r="DP81" s="538">
        <f>DG81-DO81</f>
        <v/>
      </c>
      <c r="DQ81" s="538">
        <f>IF(Y81="Second Lien",DP81,0)</f>
        <v/>
      </c>
      <c r="DR81" s="539">
        <f>DQ81*DQ$6</f>
        <v/>
      </c>
      <c r="DS81" s="538">
        <f>DP81-DR81</f>
        <v/>
      </c>
      <c r="DT81" s="538">
        <f>IF(BH81="Yes",DS81,0)</f>
        <v/>
      </c>
      <c r="DU81" s="539">
        <f>DT81*DT$6</f>
        <v/>
      </c>
      <c r="DV81" s="538">
        <f>DS81-DU81</f>
        <v/>
      </c>
      <c r="DW81" s="538">
        <f>IF(OR(BG81="Canada",BG81="United Kingdom",BG81="Australia",BG81="Netherlands Antilles",BG81="Bermuda",BG81="Cayman Islands",BG81="British Virgin Islands",BG81="Channel Islands",BG81="Isle of Man",BG81="Australia",BG81="Netherlands",BG81="Germany",BG81="Sweden",BG81="Switzerland",BG81="Austria",BG81="Belgium",BG81="Denmark",BG81="Finland",BG81="Iceland",BG81="Ireland",BG81="Lichtenstein",BG81="Luxemborg",BG81="Norway"),DV81,0)</f>
        <v/>
      </c>
      <c r="DX81" s="539">
        <f>DW81*DW$6</f>
        <v/>
      </c>
      <c r="DY81" s="538">
        <f>DV81-DX81</f>
        <v/>
      </c>
      <c r="DZ81" s="538">
        <f>IF(BI81="Yes",DY81,0)</f>
        <v/>
      </c>
      <c r="EA81" s="539">
        <f>DZ81*DZ$6</f>
        <v/>
      </c>
      <c r="EB81" s="538">
        <f>DY81-EA81</f>
        <v/>
      </c>
      <c r="EC81" s="538">
        <f>IF(OR(Z81="Delayed Draw",Z81="Revolver"),EB81,0)</f>
        <v/>
      </c>
      <c r="ED81" s="539">
        <f>EC81*EC$6</f>
        <v/>
      </c>
      <c r="EE81" s="538">
        <f>EB81-ED81</f>
        <v/>
      </c>
      <c r="EF81" s="538">
        <f>IF(S81="Yes",EE81,0)</f>
        <v/>
      </c>
      <c r="EG81" s="539">
        <f>EF81*EF$6</f>
        <v/>
      </c>
      <c r="EH81" s="538">
        <f>EE81-EG81</f>
        <v/>
      </c>
      <c r="EI81" s="538">
        <f>IF(Q81="Yes",EH81,0)</f>
        <v/>
      </c>
      <c r="EJ81" s="539">
        <f>EI81*EI$6</f>
        <v/>
      </c>
      <c r="EK81" s="538">
        <f>EH81-EJ81</f>
        <v/>
      </c>
      <c r="EL81" s="538">
        <f>IF(BD81="Semi-Annually",EK81,0)</f>
        <v/>
      </c>
      <c r="EM81" s="539">
        <f>EL81*EL$6</f>
        <v/>
      </c>
      <c r="EN81" s="538">
        <f>EK81-EM81</f>
        <v/>
      </c>
      <c r="EO81" s="538">
        <f>IF(BK81="Yes",EN81,0)</f>
        <v/>
      </c>
      <c r="EP81" s="539">
        <f>EO81*EO$6</f>
        <v/>
      </c>
      <c r="EQ81" s="538">
        <f>EN81-EP81</f>
        <v/>
      </c>
      <c r="ER81" s="538">
        <f>IF(BL81="Yes",EQ81,0)</f>
        <v/>
      </c>
      <c r="ES81" s="539">
        <f>ER81*ER$6</f>
        <v/>
      </c>
      <c r="ET81" s="538">
        <f>EQ81-ES81</f>
        <v/>
      </c>
      <c r="EU81" s="538">
        <f>IF(BM81="Yes",ET81,0)</f>
        <v/>
      </c>
      <c r="EV81" s="539">
        <f>EU81*EU$6</f>
        <v/>
      </c>
      <c r="EW81" s="538">
        <f>ET81-EV81</f>
        <v/>
      </c>
      <c r="EX81" s="538">
        <f>IF(BV81="Yes",EW81,0)</f>
        <v/>
      </c>
      <c r="EY81" s="539">
        <f>EX81*EX$6</f>
        <v/>
      </c>
      <c r="EZ81" s="538">
        <f>EW81-EY81</f>
        <v/>
      </c>
      <c r="FA81" s="538">
        <f>IF(AR81="Yes",EZ81,0)</f>
        <v/>
      </c>
      <c r="FB81" s="539">
        <f>FA81*FA$6</f>
        <v/>
      </c>
      <c r="FC81" s="538">
        <f>EZ81-FB81</f>
        <v/>
      </c>
      <c r="FD81" s="538">
        <f>IF(OR(BF81="EUR",BF81="AUD",BF81="CAD",BF81="GBP"),FC81,0)</f>
        <v/>
      </c>
      <c r="FE81" s="539">
        <f>FD81*FD$6</f>
        <v/>
      </c>
      <c r="FF81" s="538">
        <f>FC81-FE81</f>
        <v/>
      </c>
      <c r="FG81" s="538">
        <f>FF81</f>
        <v/>
      </c>
      <c r="FH81" s="538">
        <f>IF(FF81=0,0,VLOOKUP(C81,$GU$10:$GV$406,2,FALSE)*FF81)</f>
        <v/>
      </c>
      <c r="FI81" s="538">
        <f>FF81-FH81</f>
        <v/>
      </c>
      <c r="FJ81" s="538">
        <f>FI81</f>
        <v/>
      </c>
      <c r="FK81" s="538">
        <f>IF(OR(IB81="",FI81&lt;0.01),,VLOOKUP(IB81,$GL$10:$GM$406,2,FALSE)*FI81)</f>
        <v/>
      </c>
      <c r="FL81" s="538">
        <f>FI81-FK81</f>
        <v/>
      </c>
      <c r="FM81" s="538">
        <f>FL81</f>
        <v/>
      </c>
      <c r="FN81" s="538">
        <f>IF(FL81=0,0,VLOOKUP(C81,$HD$10:$HE$406,2,FALSE)*FL81)</f>
        <v/>
      </c>
      <c r="FO81" s="538">
        <f>FL81-FN81</f>
        <v/>
      </c>
      <c r="FP81" s="538">
        <f>IF(SUM(CY81:DC81)&gt;0,0,IF(AND(AL81&gt;=5000000,AL81&lt;7500000),FO81,0))</f>
        <v/>
      </c>
      <c r="FQ81" s="539">
        <f>IF(B81="",0,FP81*FP$6*(1-$U81))</f>
        <v/>
      </c>
      <c r="FR81" s="538">
        <f>FO81-FQ81</f>
        <v/>
      </c>
      <c r="FS81" s="538">
        <f>IF(SUM(CY81:DC81)&gt;0,0,IF(AL81&lt;15000000,FR81,0))</f>
        <v/>
      </c>
      <c r="FT81" s="539">
        <f>IF(B81="",0,FS81*FS$6*(1-$U81))</f>
        <v/>
      </c>
      <c r="FU81" s="538">
        <f>FR81-FT81</f>
        <v/>
      </c>
      <c r="FV81" s="538">
        <f>IF(SUM(CY81:DC81)&gt;0,0,IF(OR(AND(X81="No",AN81="Tier 1",AI81&gt;$AG$3),AND(X81="No",AN81="Tier 2",AI81&gt;$AH$3),AND(X81="No",AN81="Tier 3",AI81&gt;$AI$3)),FU81,0))</f>
        <v/>
      </c>
      <c r="FW81" s="538">
        <f>IF(SUM(CY81:DC81)&gt;0,0,IF(OR(AND(X81="No",AN81="Tier 1",AJ81&gt;$AG$4),AND(X81="No",AN81="Tier 2",AJ81&gt;$AH$4),AND(X81="No",AN81="Tier 3",AJ81&gt;$AI$4)),FU81,0))</f>
        <v/>
      </c>
      <c r="FX81" s="538">
        <f>IF(SUM(CY81:DC81)&gt;0,0,IF(OR(AND(X81="Yes",AN81="Tier 1",AJ81&gt;$AG$5),AND(X81="Yes",AN81="Tier 2",AJ81&gt;$AH$5),AND(X81="Yes",AN81="Tier 3",AJ81&gt;$AI$5)),FU81,0))</f>
        <v/>
      </c>
      <c r="FY81" s="538">
        <f>IF(SUM(FV81:FX81)&gt;0,FU81,0)</f>
        <v/>
      </c>
      <c r="FZ81" s="539">
        <f>IF(B81="",0,FY81*FV$6*(1-MIN(90%,T81)))</f>
        <v/>
      </c>
      <c r="GA81" s="538">
        <f>FU81-FZ81</f>
        <v/>
      </c>
      <c r="GB81" s="538">
        <f>IF(AND(N81="No",DI81=0),GA81,IF(AND(N81="No",DI81&lt;&gt;0,K81=0),0,IF(AND(N81="No",DI81&lt;&gt;0,K81&gt;0,J81&lt;&gt;K81),MAX(0,M81-(DH81-GA81)),DG81)))</f>
        <v/>
      </c>
      <c r="GC81" s="540">
        <f>+GB81*V81</f>
        <v/>
      </c>
      <c r="GD81" s="138">
        <f>IFERROR(GC81/K81,"")</f>
        <v/>
      </c>
      <c r="GE81" s="541">
        <f>IF(IB81="","",IB81)</f>
        <v/>
      </c>
      <c r="GF81" s="538">
        <f t="array" ref="GF81">IF(SUM(IF(IB$9:IB80=IB81,1,0))&gt;0,0,SUMIF($IB$10:$IB$406,IB81,$FI$10:$FI$406))</f>
        <v/>
      </c>
      <c r="GG81" s="270">
        <f>GF81</f>
        <v/>
      </c>
      <c r="GH81" s="137">
        <f>GH80+1</f>
        <v/>
      </c>
      <c r="GI81" s="542">
        <f>LARGE($GG$10:$GG$406,GH81)</f>
        <v/>
      </c>
      <c r="GJ81" s="542">
        <f>IF(GH81&gt;GH$6,0,IF(GH81=$GH$2,$GJ$2,IF(GH81&lt;4,$GJ$3,$GJ$4)))</f>
        <v/>
      </c>
      <c r="GK81" s="489">
        <f>MAX(0,GI81-GJ81)</f>
        <v/>
      </c>
      <c r="GL81" s="137">
        <f t="array" ref="GL81">IF(GI81=0,0,LARGE(IF($GF$10:$GF$406=GI81,$GE$10:$GE$406,0),COUNTIF($GI$10:$GI$406,GI81)-COUNTIF(GI$9:GI80,GI81)))</f>
        <v/>
      </c>
      <c r="GM81" s="272">
        <f>IF(GI81=0,0,GK81/GI81)</f>
        <v/>
      </c>
      <c r="GO81" s="137">
        <f>IF(C81="","",IF(ISERROR(MATCH(C81,C$10:C80,0)),MAX(GO$10:GO80)+1,INDEX(GO$10:GO80,MATCH(C81,C$10:C80,0))))</f>
        <v/>
      </c>
      <c r="GP81" s="538">
        <f>IF(COUNTIF($A$10:A81,A81)&lt;=1,SUMIF($A$10:$A$406,A81,$FG$10:$FG$406),0)</f>
        <v/>
      </c>
      <c r="GQ81" s="137">
        <f>GQ80+1</f>
        <v/>
      </c>
      <c r="GR81" s="542">
        <f>LARGE($GP$10:$GP$406,GQ81)</f>
        <v/>
      </c>
      <c r="GS81" s="542">
        <f>IF(GQ81&gt;GQ$6,0,IF(GQ81&lt;=GQ$2,GS$2,IF(AND(GQ81&lt;=$GQ$3,GQ81&gt;$GQ$2),GS$3,GS$4)))</f>
        <v/>
      </c>
      <c r="GT81" s="489">
        <f>MAX(0,GR81-GS81)</f>
        <v/>
      </c>
      <c r="GU81" s="137">
        <f t="array" ref="GU81">IF(GR81=0,0,LARGE(IF($GP$10:$GP$406=GR81,$GO$10:$GO$406,0),COUNTIF($GR$10:$GR$406,GR81)-COUNTIF(GR$9:GR80,GR81)))</f>
        <v/>
      </c>
      <c r="GV81" s="272">
        <f>IF(GR81=0,0,GT81/GR81)</f>
        <v/>
      </c>
      <c r="GW81" s="272" t="n"/>
      <c r="GX81" s="137">
        <f>IF(C81="","",IF(ISERROR(MATCH(C81,C$10:C80,0)),MAX(GO$10:GO80)+1,INDEX(GO$10:GO80,MATCH(C81,C$10:C80,0))))</f>
        <v/>
      </c>
      <c r="GY81" s="538">
        <f>IF(COUNTIF($A$10:A81,A81)&lt;=1,SUMIF($A$10:$A$406,A81,$FG$10:$FG$406),0)</f>
        <v/>
      </c>
      <c r="GZ81" s="137">
        <f>GZ80+1</f>
        <v/>
      </c>
      <c r="HA81" s="542">
        <f>LARGE($GY$10:$GY$406,GZ81)</f>
        <v/>
      </c>
      <c r="HB81" s="543" t="inlineStr">
        <is>
          <t>-</t>
        </is>
      </c>
      <c r="HC81" s="489">
        <f>IF(GZ81&lt;6,MAX(0,$HC$2/5),0)</f>
        <v/>
      </c>
      <c r="HD81" s="137">
        <f t="array" ref="HD81">IF(HA81=0,0,LARGE(IF($GY$10:$GY$406=HA81,$GX$10:$GX$406,0),COUNTIF($HA$10:$HA$406,HA81)-COUNTIF(HA$9:HA80,HA81)))</f>
        <v/>
      </c>
      <c r="HE81" s="272">
        <f>IF(HA81=0,0,HC81/HA81)</f>
        <v/>
      </c>
      <c r="HF81" s="272" t="n"/>
      <c r="HG81" s="270">
        <f>DG81-GA81</f>
        <v/>
      </c>
      <c r="HH81" s="544" t="n">
        <v>0</v>
      </c>
      <c r="HI81" s="538">
        <f>MIN(HH81,DE81)</f>
        <v/>
      </c>
      <c r="HK81" s="137">
        <f>IF(COUNTIF($C$10:$C$406,HK80+1),HK80+1,"")</f>
        <v/>
      </c>
      <c r="HL81" s="538">
        <f>SUMIF($C$10:$C$406,HK81,$DG$10:$DG$406)</f>
        <v/>
      </c>
      <c r="HN81" s="521">
        <f>MIN(HO81:HS81)</f>
        <v/>
      </c>
      <c r="HO81" s="521">
        <f>IF(B81="","",$M81)</f>
        <v/>
      </c>
      <c r="HP81" s="521">
        <f>IF($N81="Yes",IF(P81&gt;=6,0,MIN($T81*$M81,$U81*$M81)),"")</f>
        <v/>
      </c>
      <c r="HQ81" s="521">
        <f>IF(AND(N81="Yes",P81&gt;=6),"",IF($S81="Yes",$R81*$M81,""))</f>
        <v/>
      </c>
      <c r="HR81" s="521">
        <f>IF($Q81="Yes",MIN($M81,$T81*$M81),"")</f>
        <v/>
      </c>
      <c r="HS81" s="521">
        <f>IF(AND($N81="Yes",$P81&gt;=6),"",IF(OR(CY81=1,DC81=1,),MIN($T81*$M81,$U81*$M81),IF(OR(CZ81=1,DA81=1,DB81=1),IF(AK81&gt;=5000000,MIN($T81*$M81,$IE81*$M81),MIN($T81*$M81,$U81*$M81)),"")))</f>
        <v/>
      </c>
      <c r="HT81" s="521">
        <f>IF(DD81&gt;0,DD81,"")</f>
        <v/>
      </c>
      <c r="HU81" s="522">
        <f>IF(B81="",0,$L81-$M81)</f>
        <v/>
      </c>
      <c r="HV81" s="274">
        <f>IF(OR(SUM(HP81:HT81)&gt;0,P81&gt;=6),"",IF($B81="","",1))</f>
        <v/>
      </c>
      <c r="HW81" s="522">
        <f>IF(AND($HT81&lt;&gt;0,OR(HT81&lt;=MIN(HP81:HS81),SUM(HP81:HS81)=0)),$HT81,0)</f>
        <v/>
      </c>
      <c r="HX81" s="522">
        <f>IF(AND($HS81&lt;&gt;0,OR(AND($HS81&lt;&gt;$HT81,$HS81&lt;&gt;$HR81,$HS81&lt;&gt;$HQ81,$HS81&lt;&gt;$HP81,$HS81&lt;MIN($HP81:$HR81),$HS81&lt;HT81),SUM($HP81:$HR81)+SUM(HT81)=0),IA81&lt;=0),$HS81,0)</f>
        <v/>
      </c>
      <c r="HY81" s="522">
        <f>IF(AND($HR81&lt;&gt;0,OR(AND($HR81&lt;&gt;$HT81,$HR81&lt;&gt;$HS81,$HR81&lt;&gt;$HQ81,$HR81&lt;&gt;$HP81),$HR81&lt;MIN($HP81:$HQ81),$HR81&lt;MIN($HS81:$HT81),SUM($HP81:$HQ81)+SUM($HS81:$HT81)=0)),$HR81,0)</f>
        <v/>
      </c>
      <c r="HZ81" s="522">
        <f>IF(AND($HQ81&lt;&gt;0,OR(AND($HQ81&lt;&gt;$HT81,HQ81&lt;&gt;HS81,HQ81&lt;&gt;HR81,HQ81&lt;&gt;HP81,HQ81&lt;MIN(HR81:HT81)),SUM(HP81)+SUM(HR81:HT81)=0)),$HQ81,0)</f>
        <v/>
      </c>
      <c r="IA81" s="522">
        <f>IF(AND($HP81&lt;&gt;0,OR(HP81&lt;=MIN(HQ81:HT81),SUM(HQ81:HT81)=0)),$HP81,0)</f>
        <v/>
      </c>
      <c r="IB81" s="545" t="n">
        <v>16</v>
      </c>
      <c r="IC81">
        <f>HU81=DF81</f>
        <v/>
      </c>
      <c r="IE81" s="351">
        <f>IF(B81="","",IF(AND(Y81="Second Lien",OR(CZ81=1,DA81=1,DB81=1)),50%,IF(CZ81=1,90%,IF(DA81=1,80%,IF(DB81=1,65%,"No Initial Haircut")))))</f>
        <v/>
      </c>
    </row>
    <row r="82">
      <c r="A82">
        <f>D82</f>
        <v/>
      </c>
      <c r="B82" s="242">
        <f>IF(D82="","",B81+1)</f>
        <v/>
      </c>
      <c r="C82" s="242">
        <f>IF(COUNTIF($A$10:A81,A82)&gt;0,C81,C81+1)</f>
        <v/>
      </c>
      <c r="D82" s="243" t="inlineStr">
        <is>
          <t>Brookstone Industries, Inc.</t>
        </is>
      </c>
      <c r="E82" s="243" t="inlineStr">
        <is>
          <t>Brookstone (Common Equity)</t>
        </is>
      </c>
      <c r="F82" s="244" t="n"/>
      <c r="G82" s="528" t="n">
        <v>80170</v>
      </c>
      <c r="H82" s="528" t="n">
        <v>80170</v>
      </c>
      <c r="I82" s="246" t="n">
        <v>1</v>
      </c>
      <c r="J82" s="529">
        <f>IF(B82="","",G82*I82)</f>
        <v/>
      </c>
      <c r="K82" s="529">
        <f>IF(B82="","",H82*I82)</f>
        <v/>
      </c>
      <c r="L82" s="529">
        <f>IF(B82="","",IF(COUNTIF($CE82:$CX82,1)&gt;0,0,J82))</f>
        <v/>
      </c>
      <c r="M82" s="529">
        <f>IF(B82="","",IF(COUNTIF($CE82:$CX82,1)&gt;0,0,K82))</f>
        <v/>
      </c>
      <c r="N82" s="248" t="inlineStr">
        <is>
          <t>No</t>
        </is>
      </c>
      <c r="O82" s="248" t="inlineStr">
        <is>
          <t>N/A</t>
        </is>
      </c>
      <c r="P82" s="249">
        <f>IF(B82="","",IF(OR(O82="N/A",O82=""),0,YEARFRAC('Borrowing Base'!$J$4,'Loan List'!O82)*12))</f>
        <v/>
      </c>
      <c r="Q82" s="248" t="inlineStr">
        <is>
          <t>No</t>
        </is>
      </c>
      <c r="R82" s="250" t="n">
        <v>0</v>
      </c>
      <c r="S82" s="251">
        <f>IF(B82="","",IF(R82&lt;95%,"Yes","No"))</f>
        <v/>
      </c>
      <c r="T82" s="250" t="n">
        <v>0.11</v>
      </c>
      <c r="U82" s="252">
        <f>IF(B82="","",IF(OR(Y82="First Lien",Y82="Split First Lien",Y82="Tier 1 Split Lien",Y82="Tier 2 Split Lien"),50%,30%))</f>
        <v/>
      </c>
      <c r="V82" s="252">
        <f>IF(B82="",0,IF(AND(Y82="First Lien",AN82="Tier 1"),IF(AND(X82="Yes",MIN(AH82,$AJ$5)&gt;4.5),(((4.5/MIN(AH82,$AJ$5))*72.5%)+(((MIN(AH82,$AJ$5)-4.5)/MIN(AH82,$AJ$5))*35%)),72.5%),IF(AND(Y82="First Lien",AN82="Tier 2"),IF(AND(X82="Yes",MIN(AH82,$AK$5)&gt;4.5),(((4.5/MIN(AH82,$AK$5))*72.5%)+(((MIN(AH82,$AK$5)-4.5)/MIN(AH82,$AK$5))*35%)),72.5%),IF(AND(X82="Yes",MIN(AH82,$AL$5)&gt;4),(((4/MIN(AH82,$AL$5))*72.5%)+(((MIN(AH82,$AL$5)-4)/MIN(AH82,$AL$5))*35%)),IF(OR(Y82="First Lien",Y82="Split First Lien"),72.5%,IF(Y82="Split Lien", 53%,35%))))))</f>
        <v/>
      </c>
      <c r="W82" s="530">
        <f>IF($C82="","",MIN($HO82:$HS82))</f>
        <v/>
      </c>
      <c r="X82" s="248" t="inlineStr">
        <is>
          <t>No</t>
        </is>
      </c>
      <c r="Y82" s="254" t="inlineStr">
        <is>
          <t>First Lien</t>
        </is>
      </c>
      <c r="Z82" s="254" t="inlineStr">
        <is>
          <t>Term</t>
        </is>
      </c>
      <c r="AA82" s="531" t="inlineStr">
        <is>
          <t>Caa1</t>
        </is>
      </c>
      <c r="AB82" s="531" t="inlineStr">
        <is>
          <t xml:space="preserve"> B</t>
        </is>
      </c>
      <c r="AC82" s="532" t="n">
        <v>1.3</v>
      </c>
      <c r="AD82" s="532" t="n">
        <v>5.206082382597207</v>
      </c>
      <c r="AE82" s="532" t="n">
        <v>3.49167211964687</v>
      </c>
      <c r="AF82" s="257" t="n">
        <v>0.7433999999999999</v>
      </c>
      <c r="AG82" s="533" t="n">
        <v>3.99</v>
      </c>
      <c r="AH82" s="533" t="n">
        <v>5.2</v>
      </c>
      <c r="AI82" s="533" t="n">
        <v>0.9749837258811069</v>
      </c>
      <c r="AJ82" s="533" t="n">
        <v>3.49167211964687</v>
      </c>
      <c r="AK82" s="534" t="n">
        <v>52980000</v>
      </c>
      <c r="AL82" s="534" t="n">
        <v>53641921.00000001</v>
      </c>
      <c r="AM82" s="276" t="n">
        <v>45808</v>
      </c>
      <c r="AN82" s="529">
        <f>IF(C82="","",(IF(AK82&gt;=50000000,"Tier 1",(IF(OR(AK82&gt;=20000000,AND(AK82&gt;5000000,AC82&gt;=1.25,AF82&lt;=0.65)),"Tier 2","Tier 3")))))</f>
        <v/>
      </c>
      <c r="AO82" s="244" t="n"/>
      <c r="AP82" s="535" t="n">
        <v>-125.5833333333333</v>
      </c>
      <c r="AQ82" s="535">
        <f>IF(C82="","",AP82)</f>
        <v/>
      </c>
      <c r="AR82" s="248" t="inlineStr">
        <is>
          <t>No</t>
        </is>
      </c>
      <c r="AS82" s="250" t="n">
        <v>0</v>
      </c>
      <c r="AT82" s="248" t="n"/>
      <c r="AU82" s="250" t="inlineStr"/>
      <c r="AV82" s="250" t="n">
        <v>0</v>
      </c>
      <c r="AW82" s="250" t="inlineStr">
        <is>
          <t xml:space="preserve">N/A   </t>
        </is>
      </c>
      <c r="AX82" s="262">
        <f>IF(C82="","",MAX(AU82,AW82))</f>
        <v/>
      </c>
      <c r="AY82" s="250" t="n">
        <v>0</v>
      </c>
      <c r="AZ82" s="250" t="n">
        <v>0</v>
      </c>
      <c r="BA82" s="250" t="n">
        <v>0</v>
      </c>
      <c r="BB82" s="412">
        <f>IF(B82="","",IF(AR82="No",AV82-AZ82,""))</f>
        <v/>
      </c>
      <c r="BC82" s="412">
        <f>IF(B82="","",IF(AR82="Yes",AS82-BA82,""))</f>
        <v/>
      </c>
      <c r="BD82" s="254" t="inlineStr">
        <is>
          <t>Quarterly</t>
        </is>
      </c>
      <c r="BE82" s="536" t="inlineStr">
        <is>
          <t>Professional Services</t>
        </is>
      </c>
      <c r="BF82" s="254" t="inlineStr">
        <is>
          <t>USD</t>
        </is>
      </c>
      <c r="BG82" s="254" t="inlineStr">
        <is>
          <t>United States</t>
        </is>
      </c>
      <c r="BH82" s="248" t="inlineStr">
        <is>
          <t>No</t>
        </is>
      </c>
      <c r="BI82" s="413">
        <f>IF(B82="","",IF(OR(AND(AZ82&gt;0,BB82&gt;=2.5%,BB82&lt;4%),AND(BA82&gt;0,BC82&gt;=6%,BC82&lt;8%)),"Yes","No"))</f>
        <v/>
      </c>
      <c r="BJ82" s="413">
        <f>IF(B82="","",IF(OR(AND(AZ82&gt;0,BB82&lt;2.5%),AND(BA82&gt;0,BC82&lt;6%)),"Yes","No"))</f>
        <v/>
      </c>
      <c r="BK82" s="248" t="inlineStr">
        <is>
          <t>No</t>
        </is>
      </c>
      <c r="BL82" s="248" t="inlineStr">
        <is>
          <t>No</t>
        </is>
      </c>
      <c r="BM82" s="248" t="inlineStr">
        <is>
          <t>No</t>
        </is>
      </c>
      <c r="BN82" s="248" t="inlineStr">
        <is>
          <t>No</t>
        </is>
      </c>
      <c r="BO82" s="248" t="inlineStr">
        <is>
          <t>Yes</t>
        </is>
      </c>
      <c r="BP82" s="248" t="inlineStr">
        <is>
          <t>No</t>
        </is>
      </c>
      <c r="BQ82" s="248" t="inlineStr">
        <is>
          <t>No</t>
        </is>
      </c>
      <c r="BR82" s="248" t="inlineStr">
        <is>
          <t>No</t>
        </is>
      </c>
      <c r="BS82" s="248" t="inlineStr">
        <is>
          <t>No</t>
        </is>
      </c>
      <c r="BT82" s="248" t="inlineStr">
        <is>
          <t>No</t>
        </is>
      </c>
      <c r="BU82" s="248" t="inlineStr">
        <is>
          <t>No</t>
        </is>
      </c>
      <c r="BV82" s="248" t="inlineStr">
        <is>
          <t>No</t>
        </is>
      </c>
      <c r="BW82" s="248" t="inlineStr">
        <is>
          <t>No</t>
        </is>
      </c>
      <c r="BX82" s="248" t="inlineStr">
        <is>
          <t>No</t>
        </is>
      </c>
      <c r="BY82" s="248" t="inlineStr">
        <is>
          <t>No</t>
        </is>
      </c>
      <c r="BZ82" s="248" t="inlineStr">
        <is>
          <t>No</t>
        </is>
      </c>
      <c r="CA82" s="248" t="inlineStr">
        <is>
          <t>Yes</t>
        </is>
      </c>
      <c r="CB82" s="537">
        <f>IF(B82="","",IF(AT82="No",((BB82+AW82)-$AZ$4),((BB82+AX82)-$AZ$4))*IF(DD82&gt;0,0,M82))</f>
        <v/>
      </c>
      <c r="CC82" s="537">
        <f>IF(B82="","",AY82*(L82-M82)*IF(DD82&gt;0,0,1))</f>
        <v/>
      </c>
      <c r="CD82" s="265" t="n"/>
      <c r="CE82" s="265">
        <f>IF(AND(B82&lt;&gt;"",R82&lt;=85%),1,0)</f>
        <v/>
      </c>
      <c r="CF82" s="265">
        <f>IF(B82="",0,(IF(OR(BF82="USD",BF82="CAD",BF82="GBP",BF82="AUD",BF82="EUR"),0,1)))</f>
        <v/>
      </c>
      <c r="CG82" s="265">
        <f>IF(B82="",0,(IF(OR(BG82="United States",BG82="Canada",BG82="United Kingdom",BG82="Australia",BG82="Netherlands Antilles",BG82="Bermuda",BG82="Cayman Islands",BG82="British Virgin Islands",BG82="Channel Islands",BG82="Isle of Man",BG82="Australia",BG82="Netherlands",BG82="Germany",BG82="Sweden",BG82="Switzerland",BG82="Austria",BG82="Belgium",BG82="Denmark",BG82="Finland",BG82="Iceland",BG82="Ireland",BG82="Lichtenstein",BG82="Luxemborg",BG82="Norway"),0,1)))</f>
        <v/>
      </c>
      <c r="CH82" s="265">
        <f>IF(BN82="Yes",1,0)</f>
        <v/>
      </c>
      <c r="CI82" s="265">
        <f>IF(BO82="Yes",1,0)</f>
        <v/>
      </c>
      <c r="CJ82" s="265">
        <f>IF(BP82="Yes",1,0)</f>
        <v/>
      </c>
      <c r="CK82" s="265">
        <f>IF(BQ82="Yes",1,0)</f>
        <v/>
      </c>
      <c r="CL82" s="265">
        <f>IF(BR82="Yes",1,0)</f>
        <v/>
      </c>
      <c r="CM82" s="265">
        <f>IF(BS82="Yes",1,0)</f>
        <v/>
      </c>
      <c r="CN82" s="265">
        <f>IF(OR(AND(BJ82="Yes",N82="No"),AND(BJ82="Yes",N82="Yes",P82&gt;=6)),1,0)</f>
        <v/>
      </c>
      <c r="CO82" s="265">
        <f>IF(BT82="Yes",1,0)</f>
        <v/>
      </c>
      <c r="CP82" s="265">
        <f>IF(AND(BU82="Yes",BV82="No"),1,0)</f>
        <v/>
      </c>
      <c r="CQ82" s="265">
        <f>IF(BW82="Yes",1,0)</f>
        <v/>
      </c>
      <c r="CR82" s="265">
        <f>IF(AP82="",0,IF(AP82&gt;7,1,0))</f>
        <v/>
      </c>
      <c r="CS82" s="265">
        <f>IF(OR(BD82&lt;&gt;"Monthly",BD82&lt;&gt;"Quarterly",BD82&lt;&gt;"Semi-Annually"),0,1)</f>
        <v/>
      </c>
      <c r="CT82" s="265">
        <f>IF(BX82="Yes",1,0)</f>
        <v/>
      </c>
      <c r="CU82" s="265">
        <f>IF(BY82="Yes",1,0)</f>
        <v/>
      </c>
      <c r="CV82" s="265">
        <f>IF(BZ82="Yes",1,0)</f>
        <v/>
      </c>
      <c r="CW82" s="265">
        <f>IF(CA82="No",1,0)</f>
        <v/>
      </c>
      <c r="CX82" s="265">
        <f>IF(B82="",0,IF(AK82&gt;=5000000,0,1))</f>
        <v/>
      </c>
      <c r="CY82" s="265">
        <f>IF(B82="",0,IF(AL82&gt;=5000000,0,1))</f>
        <v/>
      </c>
      <c r="CZ82" s="265">
        <f>IF(OR(DA82=1,DB82=1,DC82=1),0,IF(B82="",0,IF(OR(AND(AN82="Tier 1",X82="No",OR(AI82&gt;$AJ$3,AJ82&gt;$AJ$4)),(AND(AN82="Tier 1",X82="Yes",AJ82&gt;$AJ$5)),(AND(AN82="Tier 2",X82="No",OR(AI82&gt;$AK$3,AJ82&gt;$AK$4))),(AND(AN82="Tier 2",X82="Yes",AJ82&gt;$AK$5)),(AND(AN82="Tier 3",X82="No",OR(AI82&gt;$AL$3,AJ82&gt;$AL$4))),(AND(AN82="Tier 3",X82="Yes",AJ82&gt;$AL$5))),1,0)))</f>
        <v/>
      </c>
      <c r="DA82" s="265">
        <f>IF(OR(DB82=1,DC82=1),0,IF(B82="",0,IF(OR(AND(AN82="Tier 1",X82="No",OR(AI82&gt;$AM$3,AJ82&gt;$AM$4)),(AND(AN82="Tier 1",X82="Yes",AJ82&gt;$AM$5)),(AND(AN82="Tier 2",X82="No",OR(AI82&gt;$AN$3,AJ82&gt;$AN$4))),(AND(AN82="Tier 2",X82="Yes",AJ82&gt;$AN$5)),(AND(AN82="Tier 3",X82="No",OR(AI82&gt;$AO$3,AJ82&gt;$AO$4))),(AND(AN82="Tier 3",X82="Yes",AJ82&gt;$AO$5))),1,0)))</f>
        <v/>
      </c>
      <c r="DB82" s="265">
        <f>IF(DC82=1,0,IF(B82="",0,IF(OR(AND(AN82="Tier 1",X82="No",OR(AI82&gt;$AP$3,AJ82&gt;$AP$4)),(AND(AN82="Tier 1",X82="Yes",AJ82&gt;$AP$5)),(AND(AN82="Tier 2",X82="No",OR(AI82&gt;$AQ$3,AJ82&gt;$AQ$4))),(AND(AN82="Tier 2",X82="Yes",AJ82&gt;$AQ$5)),(AND(AN82="Tier 3",X82="No",OR(AI82&gt;$AR$3,AJ82&gt;$AR$4))),(AND(AN82="Tier 3",X82="Yes",AJ82&gt;$AR$5))),1,0)))</f>
        <v/>
      </c>
      <c r="DC82" s="265">
        <f>IF(B82="",0,IF(OR(AND(AN82="Tier 1",X82="No",OR(AI82&gt;$AS$3,AJ82&gt;$AS$4)),(AND(AN82="Tier 1",X82="Yes",AJ82&gt;$AS$5)),(AND(AN82="Tier 2",X82="No",OR(AI82&gt;$AT$3,AJ82&gt;$AT$4))),(AND(AN82="Tier 2",X82="Yes",AJ82&gt;$AT$5)),(AND(AN82="Tier 3",X82="No",OR(AI82&gt;$AU$3,AJ82&gt;$AU$4))),(AND(AN82="Tier 3",X82="Yes",AJ82&gt;$AU$5))),1,0))</f>
        <v/>
      </c>
      <c r="DD82" s="265">
        <f>IF((SUM(CE82:CX82)=0),0,W82)</f>
        <v/>
      </c>
      <c r="DE82" s="265">
        <f>IF(OR(B82="",DD82&gt;0),0,W82)</f>
        <v/>
      </c>
      <c r="DF82" s="265">
        <f>IF(B82="",0,IF(COUNTIF(CE82:CX82,1)&gt;0,0,L82-M82))</f>
        <v/>
      </c>
      <c r="DG82" s="265">
        <f>DE82+IF(DD82&gt;0,0,DF82)</f>
        <v/>
      </c>
      <c r="DH82" s="265">
        <f>IF(B82="","",M82+DF82)</f>
        <v/>
      </c>
      <c r="DI82" s="265">
        <f>IF(B82="",0,J82-K82)</f>
        <v/>
      </c>
      <c r="DJ82" s="265">
        <f>IF(OR(BF82="EUR",BF82="CAD",BF82="GBP",BF82="AUD"),(GA82*(1-V82))+(HG82)+IF(HX82="",0,HX82*(1-U82)),0)</f>
        <v/>
      </c>
      <c r="DK82" s="265">
        <f>IF(BF82="EUR",33%,IF(BF82="CAD",38%,IF(BF82="GBP",51%,IF(BF82="AUD",61%,0))))</f>
        <v/>
      </c>
      <c r="DL82" s="265">
        <f>DJ82*DK82</f>
        <v/>
      </c>
      <c r="DN82" s="538">
        <f>IF(OR(Y82="Second Lien",Y82="Tier 1 Split Lien",Y82="Tier 2 Split Lien"),DG82,0)</f>
        <v/>
      </c>
      <c r="DO82" s="539">
        <f>DN82*DN$6</f>
        <v/>
      </c>
      <c r="DP82" s="538">
        <f>DG82-DO82</f>
        <v/>
      </c>
      <c r="DQ82" s="538">
        <f>IF(Y82="Second Lien",DP82,0)</f>
        <v/>
      </c>
      <c r="DR82" s="539">
        <f>DQ82*DQ$6</f>
        <v/>
      </c>
      <c r="DS82" s="538">
        <f>DP82-DR82</f>
        <v/>
      </c>
      <c r="DT82" s="538">
        <f>IF(BH82="Yes",DS82,0)</f>
        <v/>
      </c>
      <c r="DU82" s="539">
        <f>DT82*DT$6</f>
        <v/>
      </c>
      <c r="DV82" s="538">
        <f>DS82-DU82</f>
        <v/>
      </c>
      <c r="DW82" s="538">
        <f>IF(OR(BG82="Canada",BG82="United Kingdom",BG82="Australia",BG82="Netherlands Antilles",BG82="Bermuda",BG82="Cayman Islands",BG82="British Virgin Islands",BG82="Channel Islands",BG82="Isle of Man",BG82="Australia",BG82="Netherlands",BG82="Germany",BG82="Sweden",BG82="Switzerland",BG82="Austria",BG82="Belgium",BG82="Denmark",BG82="Finland",BG82="Iceland",BG82="Ireland",BG82="Lichtenstein",BG82="Luxemborg",BG82="Norway"),DV82,0)</f>
        <v/>
      </c>
      <c r="DX82" s="539">
        <f>DW82*DW$6</f>
        <v/>
      </c>
      <c r="DY82" s="538">
        <f>DV82-DX82</f>
        <v/>
      </c>
      <c r="DZ82" s="538">
        <f>IF(BI82="Yes",DY82,0)</f>
        <v/>
      </c>
      <c r="EA82" s="539">
        <f>DZ82*DZ$6</f>
        <v/>
      </c>
      <c r="EB82" s="538">
        <f>DY82-EA82</f>
        <v/>
      </c>
      <c r="EC82" s="538">
        <f>IF(OR(Z82="Delayed Draw",Z82="Revolver"),EB82,0)</f>
        <v/>
      </c>
      <c r="ED82" s="539">
        <f>EC82*EC$6</f>
        <v/>
      </c>
      <c r="EE82" s="538">
        <f>EB82-ED82</f>
        <v/>
      </c>
      <c r="EF82" s="538">
        <f>IF(S82="Yes",EE82,0)</f>
        <v/>
      </c>
      <c r="EG82" s="539">
        <f>EF82*EF$6</f>
        <v/>
      </c>
      <c r="EH82" s="538">
        <f>EE82-EG82</f>
        <v/>
      </c>
      <c r="EI82" s="538">
        <f>IF(Q82="Yes",EH82,0)</f>
        <v/>
      </c>
      <c r="EJ82" s="539">
        <f>EI82*EI$6</f>
        <v/>
      </c>
      <c r="EK82" s="538">
        <f>EH82-EJ82</f>
        <v/>
      </c>
      <c r="EL82" s="538">
        <f>IF(BD82="Semi-Annually",EK82,0)</f>
        <v/>
      </c>
      <c r="EM82" s="539">
        <f>EL82*EL$6</f>
        <v/>
      </c>
      <c r="EN82" s="538">
        <f>EK82-EM82</f>
        <v/>
      </c>
      <c r="EO82" s="538">
        <f>IF(BK82="Yes",EN82,0)</f>
        <v/>
      </c>
      <c r="EP82" s="539">
        <f>EO82*EO$6</f>
        <v/>
      </c>
      <c r="EQ82" s="538">
        <f>EN82-EP82</f>
        <v/>
      </c>
      <c r="ER82" s="538">
        <f>IF(BL82="Yes",EQ82,0)</f>
        <v/>
      </c>
      <c r="ES82" s="539">
        <f>ER82*ER$6</f>
        <v/>
      </c>
      <c r="ET82" s="538">
        <f>EQ82-ES82</f>
        <v/>
      </c>
      <c r="EU82" s="538">
        <f>IF(BM82="Yes",ET82,0)</f>
        <v/>
      </c>
      <c r="EV82" s="539">
        <f>EU82*EU$6</f>
        <v/>
      </c>
      <c r="EW82" s="538">
        <f>ET82-EV82</f>
        <v/>
      </c>
      <c r="EX82" s="538">
        <f>IF(BV82="Yes",EW82,0)</f>
        <v/>
      </c>
      <c r="EY82" s="539">
        <f>EX82*EX$6</f>
        <v/>
      </c>
      <c r="EZ82" s="538">
        <f>EW82-EY82</f>
        <v/>
      </c>
      <c r="FA82" s="538">
        <f>IF(AR82="Yes",EZ82,0)</f>
        <v/>
      </c>
      <c r="FB82" s="539">
        <f>FA82*FA$6</f>
        <v/>
      </c>
      <c r="FC82" s="538">
        <f>EZ82-FB82</f>
        <v/>
      </c>
      <c r="FD82" s="538">
        <f>IF(OR(BF82="EUR",BF82="AUD",BF82="CAD",BF82="GBP"),FC82,0)</f>
        <v/>
      </c>
      <c r="FE82" s="539">
        <f>FD82*FD$6</f>
        <v/>
      </c>
      <c r="FF82" s="538">
        <f>FC82-FE82</f>
        <v/>
      </c>
      <c r="FG82" s="538">
        <f>FF82</f>
        <v/>
      </c>
      <c r="FH82" s="538">
        <f>IF(FF82=0,0,VLOOKUP(C82,$GU$10:$GV$406,2,FALSE)*FF82)</f>
        <v/>
      </c>
      <c r="FI82" s="538">
        <f>FF82-FH82</f>
        <v/>
      </c>
      <c r="FJ82" s="538">
        <f>FI82</f>
        <v/>
      </c>
      <c r="FK82" s="538">
        <f>IF(OR(IB82="",FI82&lt;0.01),,VLOOKUP(IB82,$GL$10:$GM$406,2,FALSE)*FI82)</f>
        <v/>
      </c>
      <c r="FL82" s="538">
        <f>FI82-FK82</f>
        <v/>
      </c>
      <c r="FM82" s="538">
        <f>FL82</f>
        <v/>
      </c>
      <c r="FN82" s="538">
        <f>IF(FL82=0,0,VLOOKUP(C82,$HD$10:$HE$406,2,FALSE)*FL82)</f>
        <v/>
      </c>
      <c r="FO82" s="538">
        <f>FL82-FN82</f>
        <v/>
      </c>
      <c r="FP82" s="538">
        <f>IF(SUM(CY82:DC82)&gt;0,0,IF(AND(AL82&gt;=5000000,AL82&lt;7500000),FO82,0))</f>
        <v/>
      </c>
      <c r="FQ82" s="539">
        <f>IF(B82="",0,FP82*FP$6*(1-$U82))</f>
        <v/>
      </c>
      <c r="FR82" s="538">
        <f>FO82-FQ82</f>
        <v/>
      </c>
      <c r="FS82" s="538">
        <f>IF(SUM(CY82:DC82)&gt;0,0,IF(AL82&lt;15000000,FR82,0))</f>
        <v/>
      </c>
      <c r="FT82" s="539">
        <f>IF(B82="",0,FS82*FS$6*(1-$U82))</f>
        <v/>
      </c>
      <c r="FU82" s="538">
        <f>FR82-FT82</f>
        <v/>
      </c>
      <c r="FV82" s="538">
        <f>IF(SUM(CY82:DC82)&gt;0,0,IF(OR(AND(X82="No",AN82="Tier 1",AI82&gt;$AG$3),AND(X82="No",AN82="Tier 2",AI82&gt;$AH$3),AND(X82="No",AN82="Tier 3",AI82&gt;$AI$3)),FU82,0))</f>
        <v/>
      </c>
      <c r="FW82" s="538">
        <f>IF(SUM(CY82:DC82)&gt;0,0,IF(OR(AND(X82="No",AN82="Tier 1",AJ82&gt;$AG$4),AND(X82="No",AN82="Tier 2",AJ82&gt;$AH$4),AND(X82="No",AN82="Tier 3",AJ82&gt;$AI$4)),FU82,0))</f>
        <v/>
      </c>
      <c r="FX82" s="538">
        <f>IF(SUM(CY82:DC82)&gt;0,0,IF(OR(AND(X82="Yes",AN82="Tier 1",AJ82&gt;$AG$5),AND(X82="Yes",AN82="Tier 2",AJ82&gt;$AH$5),AND(X82="Yes",AN82="Tier 3",AJ82&gt;$AI$5)),FU82,0))</f>
        <v/>
      </c>
      <c r="FY82" s="538">
        <f>IF(SUM(FV82:FX82)&gt;0,FU82,0)</f>
        <v/>
      </c>
      <c r="FZ82" s="539">
        <f>IF(B82="",0,FY82*FV$6*(1-MIN(90%,T82)))</f>
        <v/>
      </c>
      <c r="GA82" s="538">
        <f>FU82-FZ82</f>
        <v/>
      </c>
      <c r="GB82" s="538">
        <f>IF(AND(N82="No",DI82=0),GA82,IF(AND(N82="No",DI82&lt;&gt;0,K82=0),0,IF(AND(N82="No",DI82&lt;&gt;0,K82&gt;0,J82&lt;&gt;K82),MAX(0,M82-(DH82-GA82)),DG82)))</f>
        <v/>
      </c>
      <c r="GC82" s="540">
        <f>+GB82*V82</f>
        <v/>
      </c>
      <c r="GD82" s="138">
        <f>IFERROR(GC82/K82,"")</f>
        <v/>
      </c>
      <c r="GE82" s="541">
        <f>IF(IB82="","",IB82)</f>
        <v/>
      </c>
      <c r="GF82" s="538">
        <f t="array" ref="GF82">IF(SUM(IF(IB$9:IB81=IB82,1,0))&gt;0,0,SUMIF($IB$10:$IB$406,IB82,$FI$10:$FI$406))</f>
        <v/>
      </c>
      <c r="GG82" s="270">
        <f>GF82</f>
        <v/>
      </c>
      <c r="GH82" s="137">
        <f>GH81+1</f>
        <v/>
      </c>
      <c r="GI82" s="542">
        <f>LARGE($GG$10:$GG$406,GH82)</f>
        <v/>
      </c>
      <c r="GJ82" s="542">
        <f>IF(GH82&gt;GH$6,0,IF(GH82=$GH$2,$GJ$2,IF(GH82&lt;4,$GJ$3,$GJ$4)))</f>
        <v/>
      </c>
      <c r="GK82" s="489">
        <f>MAX(0,GI82-GJ82)</f>
        <v/>
      </c>
      <c r="GL82" s="137">
        <f t="array" ref="GL82">IF(GI82=0,0,LARGE(IF($GF$10:$GF$406=GI82,$GE$10:$GE$406,0),COUNTIF($GI$10:$GI$406,GI82)-COUNTIF(GI$9:GI81,GI82)))</f>
        <v/>
      </c>
      <c r="GM82" s="272">
        <f>IF(GI82=0,0,GK82/GI82)</f>
        <v/>
      </c>
      <c r="GO82" s="137">
        <f>IF(C82="","",IF(ISERROR(MATCH(C82,C$10:C81,0)),MAX(GO$10:GO81)+1,INDEX(GO$10:GO81,MATCH(C82,C$10:C81,0))))</f>
        <v/>
      </c>
      <c r="GP82" s="538">
        <f>IF(COUNTIF($A$10:A82,A82)&lt;=1,SUMIF($A$10:$A$406,A82,$FG$10:$FG$406),0)</f>
        <v/>
      </c>
      <c r="GQ82" s="137">
        <f>GQ81+1</f>
        <v/>
      </c>
      <c r="GR82" s="542">
        <f>LARGE($GP$10:$GP$406,GQ82)</f>
        <v/>
      </c>
      <c r="GS82" s="542">
        <f>IF(GQ82&gt;GQ$6,0,IF(GQ82&lt;=GQ$2,GS$2,IF(AND(GQ82&lt;=$GQ$3,GQ82&gt;$GQ$2),GS$3,GS$4)))</f>
        <v/>
      </c>
      <c r="GT82" s="489">
        <f>MAX(0,GR82-GS82)</f>
        <v/>
      </c>
      <c r="GU82" s="137">
        <f t="array" ref="GU82">IF(GR82=0,0,LARGE(IF($GP$10:$GP$406=GR82,$GO$10:$GO$406,0),COUNTIF($GR$10:$GR$406,GR82)-COUNTIF(GR$9:GR81,GR82)))</f>
        <v/>
      </c>
      <c r="GV82" s="272">
        <f>IF(GR82=0,0,GT82/GR82)</f>
        <v/>
      </c>
      <c r="GW82" s="272" t="n"/>
      <c r="GX82" s="137">
        <f>IF(C82="","",IF(ISERROR(MATCH(C82,C$10:C81,0)),MAX(GO$10:GO81)+1,INDEX(GO$10:GO81,MATCH(C82,C$10:C81,0))))</f>
        <v/>
      </c>
      <c r="GY82" s="538">
        <f>IF(COUNTIF($A$10:A82,A82)&lt;=1,SUMIF($A$10:$A$406,A82,$FG$10:$FG$406),0)</f>
        <v/>
      </c>
      <c r="GZ82" s="137">
        <f>GZ81+1</f>
        <v/>
      </c>
      <c r="HA82" s="542">
        <f>LARGE($GY$10:$GY$406,GZ82)</f>
        <v/>
      </c>
      <c r="HB82" s="543" t="inlineStr">
        <is>
          <t>-</t>
        </is>
      </c>
      <c r="HC82" s="489">
        <f>IF(GZ82&lt;6,MAX(0,$HC$2/5),0)</f>
        <v/>
      </c>
      <c r="HD82" s="137">
        <f t="array" ref="HD82">IF(HA82=0,0,LARGE(IF($GY$10:$GY$406=HA82,$GX$10:$GX$406,0),COUNTIF($HA$10:$HA$406,HA82)-COUNTIF(HA$9:HA81,HA82)))</f>
        <v/>
      </c>
      <c r="HE82" s="272">
        <f>IF(HA82=0,0,HC82/HA82)</f>
        <v/>
      </c>
      <c r="HF82" s="272" t="n"/>
      <c r="HG82" s="270">
        <f>DG82-GA82</f>
        <v/>
      </c>
      <c r="HH82" s="544" t="n">
        <v>0</v>
      </c>
      <c r="HI82" s="538">
        <f>MIN(HH82,DE82)</f>
        <v/>
      </c>
      <c r="HK82" s="137">
        <f>IF(COUNTIF($C$10:$C$406,HK81+1),HK81+1,"")</f>
        <v/>
      </c>
      <c r="HL82" s="538">
        <f>SUMIF($C$10:$C$406,HK82,$DG$10:$DG$406)</f>
        <v/>
      </c>
      <c r="HN82" s="521">
        <f>MIN(HO82:HS82)</f>
        <v/>
      </c>
      <c r="HO82" s="521">
        <f>IF(B82="","",$M82)</f>
        <v/>
      </c>
      <c r="HP82" s="521">
        <f>IF($N82="Yes",IF(P82&gt;=6,0,MIN($T82*$M82,$U82*$M82)),"")</f>
        <v/>
      </c>
      <c r="HQ82" s="521">
        <f>IF(AND(N82="Yes",P82&gt;=6),"",IF($S82="Yes",$R82*$M82,""))</f>
        <v/>
      </c>
      <c r="HR82" s="521">
        <f>IF($Q82="Yes",MIN($M82,$T82*$M82),"")</f>
        <v/>
      </c>
      <c r="HS82" s="521">
        <f>IF(AND($N82="Yes",$P82&gt;=6),"",IF(OR(CY82=1,DC82=1,),MIN($T82*$M82,$U82*$M82),IF(OR(CZ82=1,DA82=1,DB82=1),IF(AK82&gt;=5000000,MIN($T82*$M82,$IE82*$M82),MIN($T82*$M82,$U82*$M82)),"")))</f>
        <v/>
      </c>
      <c r="HT82" s="521">
        <f>IF(DD82&gt;0,DD82,"")</f>
        <v/>
      </c>
      <c r="HU82" s="522">
        <f>IF(B82="",0,$L82-$M82)</f>
        <v/>
      </c>
      <c r="HV82" s="274">
        <f>IF(OR(SUM(HP82:HT82)&gt;0,P82&gt;=6),"",IF($B82="","",1))</f>
        <v/>
      </c>
      <c r="HW82" s="522">
        <f>IF(AND($HT82&lt;&gt;0,OR(HT82&lt;=MIN(HP82:HS82),SUM(HP82:HS82)=0)),$HT82,0)</f>
        <v/>
      </c>
      <c r="HX82" s="522">
        <f>IF(AND($HS82&lt;&gt;0,OR(AND($HS82&lt;&gt;$HT82,$HS82&lt;&gt;$HR82,$HS82&lt;&gt;$HQ82,$HS82&lt;&gt;$HP82,$HS82&lt;MIN($HP82:$HR82),$HS82&lt;HT82),SUM($HP82:$HR82)+SUM(HT82)=0),IA82&lt;=0),$HS82,0)</f>
        <v/>
      </c>
      <c r="HY82" s="522">
        <f>IF(AND($HR82&lt;&gt;0,OR(AND($HR82&lt;&gt;$HT82,$HR82&lt;&gt;$HS82,$HR82&lt;&gt;$HQ82,$HR82&lt;&gt;$HP82),$HR82&lt;MIN($HP82:$HQ82),$HR82&lt;MIN($HS82:$HT82),SUM($HP82:$HQ82)+SUM($HS82:$HT82)=0)),$HR82,0)</f>
        <v/>
      </c>
      <c r="HZ82" s="522">
        <f>IF(AND($HQ82&lt;&gt;0,OR(AND($HQ82&lt;&gt;$HT82,HQ82&lt;&gt;HS82,HQ82&lt;&gt;HR82,HQ82&lt;&gt;HP82,HQ82&lt;MIN(HR82:HT82)),SUM(HP82)+SUM(HR82:HT82)=0)),$HQ82,0)</f>
        <v/>
      </c>
      <c r="IA82" s="522">
        <f>IF(AND($HP82&lt;&gt;0,OR(HP82&lt;=MIN(HQ82:HT82),SUM(HQ82:HT82)=0)),$HP82,0)</f>
        <v/>
      </c>
      <c r="IB82" s="545" t="n">
        <v>55</v>
      </c>
      <c r="IC82">
        <f>HU82=DF82</f>
        <v/>
      </c>
      <c r="IE82" s="351">
        <f>IF(B82="","",IF(AND(Y82="Second Lien",OR(CZ82=1,DA82=1,DB82=1)),50%,IF(CZ82=1,90%,IF(DA82=1,80%,IF(DB82=1,65%,"No Initial Haircut")))))</f>
        <v/>
      </c>
    </row>
    <row r="83">
      <c r="A83" t="inlineStr">
        <is>
          <t>Walker Edison Furniture, LLC</t>
        </is>
      </c>
      <c r="B83" s="242">
        <f>IF(D83="","",B82+1)</f>
        <v/>
      </c>
      <c r="C83" s="242">
        <f>IF(COUNTIF($A$10:A82,A83)&gt;0,C82,C82+1)</f>
        <v/>
      </c>
      <c r="D83" s="243" t="inlineStr">
        <is>
          <t>Cobalt Industries, Inc.</t>
        </is>
      </c>
      <c r="E83" s="243" t="inlineStr">
        <is>
          <t>Cobalt (Common)</t>
        </is>
      </c>
      <c r="F83" s="244" t="n"/>
      <c r="G83" s="528" t="n">
        <v>21875</v>
      </c>
      <c r="H83" s="528" t="n">
        <v>21875</v>
      </c>
      <c r="I83" s="246" t="n">
        <v>1</v>
      </c>
      <c r="J83" s="529">
        <f>IF(B83="","",G83*I83)</f>
        <v/>
      </c>
      <c r="K83" s="529">
        <f>IF(B83="","",H83*I83)</f>
        <v/>
      </c>
      <c r="L83" s="529">
        <f>IF(B83="","",IF(COUNTIF($CE83:$CX83,1)&gt;0,0,J83))</f>
        <v/>
      </c>
      <c r="M83" s="529">
        <f>IF(B83="","",IF(COUNTIF($CE83:$CX83,1)&gt;0,0,K83))</f>
        <v/>
      </c>
      <c r="N83" s="248" t="inlineStr">
        <is>
          <t>Yes</t>
        </is>
      </c>
      <c r="O83" s="248" t="inlineStr">
        <is>
          <t>N/A</t>
        </is>
      </c>
      <c r="P83" s="249">
        <f>IF(B83="","",IF(OR(O83="N/A",O83=""),0,YEARFRAC('Borrowing Base'!$J$4,'Loan List'!O83)*12))</f>
        <v/>
      </c>
      <c r="Q83" s="248" t="inlineStr">
        <is>
          <t>No</t>
        </is>
      </c>
      <c r="R83" s="250" t="n">
        <v>0</v>
      </c>
      <c r="S83" s="251">
        <f>IF(B83="","",IF(R83&lt;95%,"Yes","No"))</f>
        <v/>
      </c>
      <c r="T83" s="250" t="n">
        <v>0</v>
      </c>
      <c r="U83" s="252">
        <f>IF(B83="","",IF(OR(Y83="First Lien",Y83="Split First Lien",Y83="Tier 1 Split Lien",Y83="Tier 2 Split Lien"),50%,30%))</f>
        <v/>
      </c>
      <c r="V83" s="252">
        <f>IF(B83="",0,IF(AND(Y83="First Lien",AN83="Tier 1"),IF(AND(X83="Yes",MIN(AH83,$AJ$5)&gt;4.5),(((4.5/MIN(AH83,$AJ$5))*72.5%)+(((MIN(AH83,$AJ$5)-4.5)/MIN(AH83,$AJ$5))*35%)),72.5%),IF(AND(Y83="First Lien",AN83="Tier 2"),IF(AND(X83="Yes",MIN(AH83,$AK$5)&gt;4.5),(((4.5/MIN(AH83,$AK$5))*72.5%)+(((MIN(AH83,$AK$5)-4.5)/MIN(AH83,$AK$5))*35%)),72.5%),IF(AND(X83="Yes",MIN(AH83,$AL$5)&gt;4),(((4/MIN(AH83,$AL$5))*72.5%)+(((MIN(AH83,$AL$5)-4)/MIN(AH83,$AL$5))*35%)),IF(OR(Y83="First Lien",Y83="Split First Lien"),72.5%,IF(Y83="Split Lien", 53%,35%))))))</f>
        <v/>
      </c>
      <c r="W83" s="530">
        <f>IF($C83="","",MIN($HO83:$HS83))</f>
        <v/>
      </c>
      <c r="X83" s="248" t="inlineStr">
        <is>
          <t>No</t>
        </is>
      </c>
      <c r="Y83" s="254" t="inlineStr">
        <is>
          <t>Ineligible</t>
        </is>
      </c>
      <c r="Z83" s="254" t="inlineStr">
        <is>
          <t>Ineligible</t>
        </is>
      </c>
      <c r="AA83" s="531" t="inlineStr">
        <is>
          <t>NR</t>
        </is>
      </c>
      <c r="AB83" s="531" t="inlineStr">
        <is>
          <t xml:space="preserve"> NR</t>
        </is>
      </c>
      <c r="AC83" s="532" t="n">
        <v>2.60448818897638</v>
      </c>
      <c r="AD83" s="532" t="n">
        <v>3.521480004431151</v>
      </c>
      <c r="AE83" s="532" t="inlineStr">
        <is>
          <t>NM</t>
        </is>
      </c>
      <c r="AF83" s="257" t="n">
        <v>0.33002358653567</v>
      </c>
      <c r="AG83" s="533" t="n">
        <v>3.521480004431151</v>
      </c>
      <c r="AH83" s="533" t="n">
        <v>3.521480004431151</v>
      </c>
      <c r="AI83" s="533" t="n">
        <v>-10.81965649823016</v>
      </c>
      <c r="AJ83" s="533" t="n">
        <v>-10.81965649823016</v>
      </c>
      <c r="AK83" s="534" t="n">
        <v>90270000</v>
      </c>
      <c r="AL83" s="534" t="n">
        <v>-20855560.43640675</v>
      </c>
      <c r="AM83" s="276" t="n">
        <v>45808</v>
      </c>
      <c r="AN83" s="529">
        <f>IF(C83="","",(IF(AK83&gt;=50000000,"Tier 1",(IF(OR(AK83&gt;=20000000,AND(AK83&gt;5000000,AC83&gt;=1.25,AF83&lt;=0.65)),"Tier 2","Tier 3")))))</f>
        <v/>
      </c>
      <c r="AO83" s="244" t="n"/>
      <c r="AP83" s="535" t="n">
        <v>-125.5833333333333</v>
      </c>
      <c r="AQ83" s="535">
        <f>IF(C83="","",AP83)</f>
        <v/>
      </c>
      <c r="AR83" s="248" t="inlineStr">
        <is>
          <t>No</t>
        </is>
      </c>
      <c r="AS83" s="250" t="n">
        <v>1</v>
      </c>
      <c r="AT83" s="248" t="n"/>
      <c r="AU83" s="250" t="inlineStr"/>
      <c r="AV83" s="250" t="n">
        <v>1</v>
      </c>
      <c r="AW83" s="250" t="inlineStr">
        <is>
          <t xml:space="preserve">N/A   </t>
        </is>
      </c>
      <c r="AX83" s="262">
        <f>IF(C83="","",MAX(AU83,AW83))</f>
        <v/>
      </c>
      <c r="AY83" s="250" t="n">
        <v>0</v>
      </c>
      <c r="AZ83" s="250" t="n">
        <v>0</v>
      </c>
      <c r="BA83" s="250" t="n">
        <v>0</v>
      </c>
      <c r="BB83" s="412">
        <f>IF(B83="","",IF(AR83="No",AV83-AZ83,""))</f>
        <v/>
      </c>
      <c r="BC83" s="412">
        <f>IF(B83="","",IF(AR83="Yes",AS83-BA83,""))</f>
        <v/>
      </c>
      <c r="BD83" s="254" t="inlineStr">
        <is>
          <t>Quarterly</t>
        </is>
      </c>
      <c r="BE83" s="536" t="inlineStr">
        <is>
          <t>Household Products</t>
        </is>
      </c>
      <c r="BF83" s="254" t="inlineStr">
        <is>
          <t>USD</t>
        </is>
      </c>
      <c r="BG83" s="254" t="inlineStr">
        <is>
          <t>United States</t>
        </is>
      </c>
      <c r="BH83" s="248" t="inlineStr">
        <is>
          <t>No</t>
        </is>
      </c>
      <c r="BI83" s="413">
        <f>IF(B83="","",IF(OR(AND(AZ83&gt;0,BB83&gt;=2.5%,BB83&lt;4%),AND(BA83&gt;0,BC83&gt;=6%,BC83&lt;8%)),"Yes","No"))</f>
        <v/>
      </c>
      <c r="BJ83" s="413">
        <f>IF(B83="","",IF(OR(AND(AZ83&gt;0,BB83&lt;2.5%),AND(BA83&gt;0,BC83&lt;6%)),"Yes","No"))</f>
        <v/>
      </c>
      <c r="BK83" s="248" t="inlineStr">
        <is>
          <t>No</t>
        </is>
      </c>
      <c r="BL83" s="248" t="inlineStr">
        <is>
          <t>No</t>
        </is>
      </c>
      <c r="BM83" s="248" t="inlineStr">
        <is>
          <t>No</t>
        </is>
      </c>
      <c r="BN83" s="248" t="inlineStr">
        <is>
          <t>No</t>
        </is>
      </c>
      <c r="BO83" s="248" t="inlineStr">
        <is>
          <t>Yes</t>
        </is>
      </c>
      <c r="BP83" s="248" t="inlineStr">
        <is>
          <t>No</t>
        </is>
      </c>
      <c r="BQ83" s="248" t="inlineStr">
        <is>
          <t>No</t>
        </is>
      </c>
      <c r="BR83" s="248" t="inlineStr">
        <is>
          <t>No</t>
        </is>
      </c>
      <c r="BS83" s="248" t="inlineStr">
        <is>
          <t>No</t>
        </is>
      </c>
      <c r="BT83" s="248" t="inlineStr">
        <is>
          <t>No</t>
        </is>
      </c>
      <c r="BU83" s="248" t="inlineStr">
        <is>
          <t>No</t>
        </is>
      </c>
      <c r="BV83" s="248" t="inlineStr">
        <is>
          <t>No</t>
        </is>
      </c>
      <c r="BW83" s="248" t="inlineStr">
        <is>
          <t>No</t>
        </is>
      </c>
      <c r="BX83" s="248" t="inlineStr">
        <is>
          <t>No</t>
        </is>
      </c>
      <c r="BY83" s="248" t="inlineStr">
        <is>
          <t>No</t>
        </is>
      </c>
      <c r="BZ83" s="248" t="inlineStr">
        <is>
          <t>No</t>
        </is>
      </c>
      <c r="CA83" s="248" t="inlineStr">
        <is>
          <t>Yes</t>
        </is>
      </c>
      <c r="CB83" s="537">
        <f>IF(B83="","",IF(AT83="No",((BB83+AW83)-$AZ$4),((BB83+AX83)-$AZ$4))*IF(DD83&gt;0,0,M83))</f>
        <v/>
      </c>
      <c r="CC83" s="537">
        <f>IF(B83="","",AY83*(L83-M83)*IF(DD83&gt;0,0,1))</f>
        <v/>
      </c>
      <c r="CD83" s="265" t="n"/>
      <c r="CE83" s="265">
        <f>IF(AND(B83&lt;&gt;"",R83&lt;=85%),1,0)</f>
        <v/>
      </c>
      <c r="CF83" s="265">
        <f>IF(B83="",0,(IF(OR(BF83="USD",BF83="CAD",BF83="GBP",BF83="AUD",BF83="EUR"),0,1)))</f>
        <v/>
      </c>
      <c r="CG83" s="265">
        <f>IF(B83="",0,(IF(OR(BG83="United States",BG83="Canada",BG83="United Kingdom",BG83="Australia",BG83="Netherlands Antilles",BG83="Bermuda",BG83="Cayman Islands",BG83="British Virgin Islands",BG83="Channel Islands",BG83="Isle of Man",BG83="Australia",BG83="Netherlands",BG83="Germany",BG83="Sweden",BG83="Switzerland",BG83="Austria",BG83="Belgium",BG83="Denmark",BG83="Finland",BG83="Iceland",BG83="Ireland",BG83="Lichtenstein",BG83="Luxemborg",BG83="Norway"),0,1)))</f>
        <v/>
      </c>
      <c r="CH83" s="265">
        <f>IF(BN83="Yes",1,0)</f>
        <v/>
      </c>
      <c r="CI83" s="265">
        <f>IF(BO83="Yes",1,0)</f>
        <v/>
      </c>
      <c r="CJ83" s="265">
        <f>IF(BP83="Yes",1,0)</f>
        <v/>
      </c>
      <c r="CK83" s="265">
        <f>IF(BQ83="Yes",1,0)</f>
        <v/>
      </c>
      <c r="CL83" s="265">
        <f>IF(BR83="Yes",1,0)</f>
        <v/>
      </c>
      <c r="CM83" s="265">
        <f>IF(BS83="Yes",1,0)</f>
        <v/>
      </c>
      <c r="CN83" s="265">
        <f>IF(OR(AND(BJ83="Yes",N83="No"),AND(BJ83="Yes",N83="Yes",P83&gt;=6)),1,0)</f>
        <v/>
      </c>
      <c r="CO83" s="265">
        <f>IF(BT83="Yes",1,0)</f>
        <v/>
      </c>
      <c r="CP83" s="265">
        <f>IF(AND(BU83="Yes",BV83="No"),1,0)</f>
        <v/>
      </c>
      <c r="CQ83" s="265">
        <f>IF(BW83="Yes",1,0)</f>
        <v/>
      </c>
      <c r="CR83" s="265">
        <f>IF(AP83="",0,IF(AP83&gt;7,1,0))</f>
        <v/>
      </c>
      <c r="CS83" s="265">
        <f>IF(OR(BD83&lt;&gt;"Monthly",BD83&lt;&gt;"Quarterly",BD83&lt;&gt;"Semi-Annually"),0,1)</f>
        <v/>
      </c>
      <c r="CT83" s="265">
        <f>IF(BX83="Yes",1,0)</f>
        <v/>
      </c>
      <c r="CU83" s="265">
        <f>IF(BY83="Yes",1,0)</f>
        <v/>
      </c>
      <c r="CV83" s="265">
        <f>IF(BZ83="Yes",1,0)</f>
        <v/>
      </c>
      <c r="CW83" s="265">
        <f>IF(CA83="No",1,0)</f>
        <v/>
      </c>
      <c r="CX83" s="265">
        <f>IF(B83="",0,IF(AK83&gt;=5000000,0,1))</f>
        <v/>
      </c>
      <c r="CY83" s="265">
        <f>IF(B83="",0,IF(AL83&gt;=5000000,0,1))</f>
        <v/>
      </c>
      <c r="CZ83" s="265">
        <f>IF(OR(DA83=1,DB83=1,DC83=1),0,IF(B83="",0,IF(OR(AND(AN83="Tier 1",X83="No",OR(AI83&gt;$AJ$3,AJ83&gt;$AJ$4)),(AND(AN83="Tier 1",X83="Yes",AJ83&gt;$AJ$5)),(AND(AN83="Tier 2",X83="No",OR(AI83&gt;$AK$3,AJ83&gt;$AK$4))),(AND(AN83="Tier 2",X83="Yes",AJ83&gt;$AK$5)),(AND(AN83="Tier 3",X83="No",OR(AI83&gt;$AL$3,AJ83&gt;$AL$4))),(AND(AN83="Tier 3",X83="Yes",AJ83&gt;$AL$5))),1,0)))</f>
        <v/>
      </c>
      <c r="DA83" s="265">
        <f>IF(OR(DB83=1,DC83=1),0,IF(B83="",0,IF(OR(AND(AN83="Tier 1",X83="No",OR(AI83&gt;$AM$3,AJ83&gt;$AM$4)),(AND(AN83="Tier 1",X83="Yes",AJ83&gt;$AM$5)),(AND(AN83="Tier 2",X83="No",OR(AI83&gt;$AN$3,AJ83&gt;$AN$4))),(AND(AN83="Tier 2",X83="Yes",AJ83&gt;$AN$5)),(AND(AN83="Tier 3",X83="No",OR(AI83&gt;$AO$3,AJ83&gt;$AO$4))),(AND(AN83="Tier 3",X83="Yes",AJ83&gt;$AO$5))),1,0)))</f>
        <v/>
      </c>
      <c r="DB83" s="265">
        <f>IF(DC83=1,0,IF(B83="",0,IF(OR(AND(AN83="Tier 1",X83="No",OR(AI83&gt;$AP$3,AJ83&gt;$AP$4)),(AND(AN83="Tier 1",X83="Yes",AJ83&gt;$AP$5)),(AND(AN83="Tier 2",X83="No",OR(AI83&gt;$AQ$3,AJ83&gt;$AQ$4))),(AND(AN83="Tier 2",X83="Yes",AJ83&gt;$AQ$5)),(AND(AN83="Tier 3",X83="No",OR(AI83&gt;$AR$3,AJ83&gt;$AR$4))),(AND(AN83="Tier 3",X83="Yes",AJ83&gt;$AR$5))),1,0)))</f>
        <v/>
      </c>
      <c r="DC83" s="265">
        <f>IF(B83="",0,IF(OR(AND(AN83="Tier 1",X83="No",OR(AI83&gt;$AS$3,AJ83&gt;$AS$4)),(AND(AN83="Tier 1",X83="Yes",AJ83&gt;$AS$5)),(AND(AN83="Tier 2",X83="No",OR(AI83&gt;$AT$3,AJ83&gt;$AT$4))),(AND(AN83="Tier 2",X83="Yes",AJ83&gt;$AT$5)),(AND(AN83="Tier 3",X83="No",OR(AI83&gt;$AU$3,AJ83&gt;$AU$4))),(AND(AN83="Tier 3",X83="Yes",AJ83&gt;$AU$5))),1,0))</f>
        <v/>
      </c>
      <c r="DD83" s="265">
        <f>IF((SUM(CE83:CX83)=0),0,W83)</f>
        <v/>
      </c>
      <c r="DE83" s="265">
        <f>IF(OR(B83="",DD83&gt;0),0,W83)</f>
        <v/>
      </c>
      <c r="DF83" s="265">
        <f>IF(B83="",0,IF(COUNTIF(CE83:CX83,1)&gt;0,0,L83-M83))</f>
        <v/>
      </c>
      <c r="DG83" s="265">
        <f>DE83+IF(DD83&gt;0,0,DF83)</f>
        <v/>
      </c>
      <c r="DH83" s="265">
        <f>IF(B83="","",M83+DF83)</f>
        <v/>
      </c>
      <c r="DI83" s="265">
        <f>IF(B83="",0,J83-K83)</f>
        <v/>
      </c>
      <c r="DJ83" s="265">
        <f>IF(OR(BF83="EUR",BF83="CAD",BF83="GBP",BF83="AUD"),(GA83*(1-V83))+(HG83)+IF(HX83="",0,HX83*(1-U83)),0)</f>
        <v/>
      </c>
      <c r="DK83" s="265">
        <f>IF(BF83="EUR",33%,IF(BF83="CAD",38%,IF(BF83="GBP",51%,IF(BF83="AUD",61%,0))))</f>
        <v/>
      </c>
      <c r="DL83" s="265">
        <f>DJ83*DK83</f>
        <v/>
      </c>
      <c r="DN83" s="538">
        <f>IF(OR(Y83="Second Lien",Y83="Tier 1 Split Lien",Y83="Tier 2 Split Lien"),DG83,0)</f>
        <v/>
      </c>
      <c r="DO83" s="539">
        <f>DN83*DN$6</f>
        <v/>
      </c>
      <c r="DP83" s="538">
        <f>DG83-DO83</f>
        <v/>
      </c>
      <c r="DQ83" s="538">
        <f>IF(Y83="Second Lien",DP83,0)</f>
        <v/>
      </c>
      <c r="DR83" s="539">
        <f>DQ83*DQ$6</f>
        <v/>
      </c>
      <c r="DS83" s="538">
        <f>DP83-DR83</f>
        <v/>
      </c>
      <c r="DT83" s="538">
        <f>IF(BH83="Yes",DS83,0)</f>
        <v/>
      </c>
      <c r="DU83" s="539">
        <f>DT83*DT$6</f>
        <v/>
      </c>
      <c r="DV83" s="538">
        <f>DS83-DU83</f>
        <v/>
      </c>
      <c r="DW83" s="538">
        <f>IF(OR(BG83="Canada",BG83="United Kingdom",BG83="Australia",BG83="Netherlands Antilles",BG83="Bermuda",BG83="Cayman Islands",BG83="British Virgin Islands",BG83="Channel Islands",BG83="Isle of Man",BG83="Australia",BG83="Netherlands",BG83="Germany",BG83="Sweden",BG83="Switzerland",BG83="Austria",BG83="Belgium",BG83="Denmark",BG83="Finland",BG83="Iceland",BG83="Ireland",BG83="Lichtenstein",BG83="Luxemborg",BG83="Norway"),DV83,0)</f>
        <v/>
      </c>
      <c r="DX83" s="539">
        <f>DW83*DW$6</f>
        <v/>
      </c>
      <c r="DY83" s="538">
        <f>DV83-DX83</f>
        <v/>
      </c>
      <c r="DZ83" s="538">
        <f>IF(BI83="Yes",DY83,0)</f>
        <v/>
      </c>
      <c r="EA83" s="539">
        <f>DZ83*DZ$6</f>
        <v/>
      </c>
      <c r="EB83" s="538">
        <f>DY83-EA83</f>
        <v/>
      </c>
      <c r="EC83" s="538">
        <f>IF(OR(Z83="Delayed Draw",Z83="Revolver"),EB83,0)</f>
        <v/>
      </c>
      <c r="ED83" s="539">
        <f>EC83*EC$6</f>
        <v/>
      </c>
      <c r="EE83" s="538">
        <f>EB83-ED83</f>
        <v/>
      </c>
      <c r="EF83" s="538">
        <f>IF(S83="Yes",EE83,0)</f>
        <v/>
      </c>
      <c r="EG83" s="539">
        <f>EF83*EF$6</f>
        <v/>
      </c>
      <c r="EH83" s="538">
        <f>EE83-EG83</f>
        <v/>
      </c>
      <c r="EI83" s="538">
        <f>IF(Q83="Yes",EH83,0)</f>
        <v/>
      </c>
      <c r="EJ83" s="539">
        <f>EI83*EI$6</f>
        <v/>
      </c>
      <c r="EK83" s="538">
        <f>EH83-EJ83</f>
        <v/>
      </c>
      <c r="EL83" s="538">
        <f>IF(BD83="Semi-Annually",EK83,0)</f>
        <v/>
      </c>
      <c r="EM83" s="539">
        <f>EL83*EL$6</f>
        <v/>
      </c>
      <c r="EN83" s="538">
        <f>EK83-EM83</f>
        <v/>
      </c>
      <c r="EO83" s="538">
        <f>IF(BK83="Yes",EN83,0)</f>
        <v/>
      </c>
      <c r="EP83" s="539">
        <f>EO83*EO$6</f>
        <v/>
      </c>
      <c r="EQ83" s="538">
        <f>EN83-EP83</f>
        <v/>
      </c>
      <c r="ER83" s="538">
        <f>IF(BL83="Yes",EQ83,0)</f>
        <v/>
      </c>
      <c r="ES83" s="539">
        <f>ER83*ER$6</f>
        <v/>
      </c>
      <c r="ET83" s="538">
        <f>EQ83-ES83</f>
        <v/>
      </c>
      <c r="EU83" s="538">
        <f>IF(BM83="Yes",ET83,0)</f>
        <v/>
      </c>
      <c r="EV83" s="539">
        <f>EU83*EU$6</f>
        <v/>
      </c>
      <c r="EW83" s="538">
        <f>ET83-EV83</f>
        <v/>
      </c>
      <c r="EX83" s="538">
        <f>IF(BV83="Yes",EW83,0)</f>
        <v/>
      </c>
      <c r="EY83" s="539">
        <f>EX83*EX$6</f>
        <v/>
      </c>
      <c r="EZ83" s="538">
        <f>EW83-EY83</f>
        <v/>
      </c>
      <c r="FA83" s="538">
        <f>IF(AR83="Yes",EZ83,0)</f>
        <v/>
      </c>
      <c r="FB83" s="539">
        <f>FA83*FA$6</f>
        <v/>
      </c>
      <c r="FC83" s="538">
        <f>EZ83-FB83</f>
        <v/>
      </c>
      <c r="FD83" s="538">
        <f>IF(OR(BF83="EUR",BF83="AUD",BF83="CAD",BF83="GBP"),FC83,0)</f>
        <v/>
      </c>
      <c r="FE83" s="539">
        <f>FD83*FD$6</f>
        <v/>
      </c>
      <c r="FF83" s="538">
        <f>FC83-FE83</f>
        <v/>
      </c>
      <c r="FG83" s="538">
        <f>FF83</f>
        <v/>
      </c>
      <c r="FH83" s="538">
        <f>IF(FF83=0,0,VLOOKUP(C83,$GU$10:$GV$406,2,FALSE)*FF83)</f>
        <v/>
      </c>
      <c r="FI83" s="538">
        <f>FF83-FH83</f>
        <v/>
      </c>
      <c r="FJ83" s="538">
        <f>FI83</f>
        <v/>
      </c>
      <c r="FK83" s="538">
        <f>IF(OR(IB83="",FI83&lt;0.01),,VLOOKUP(IB83,$GL$10:$GM$406,2,FALSE)*FI83)</f>
        <v/>
      </c>
      <c r="FL83" s="538">
        <f>FI83-FK83</f>
        <v/>
      </c>
      <c r="FM83" s="538">
        <f>FL83</f>
        <v/>
      </c>
      <c r="FN83" s="538">
        <f>IF(FL83=0,0,VLOOKUP(C83,$HD$10:$HE$406,2,FALSE)*FL83)</f>
        <v/>
      </c>
      <c r="FO83" s="538">
        <f>FL83-FN83</f>
        <v/>
      </c>
      <c r="FP83" s="538">
        <f>IF(SUM(CY83:DC83)&gt;0,0,IF(AND(AL83&gt;=5000000,AL83&lt;7500000),FO83,0))</f>
        <v/>
      </c>
      <c r="FQ83" s="539">
        <f>IF(B83="",0,FP83*FP$6*(1-$U83))</f>
        <v/>
      </c>
      <c r="FR83" s="538">
        <f>FO83-FQ83</f>
        <v/>
      </c>
      <c r="FS83" s="538">
        <f>IF(SUM(CY83:DC83)&gt;0,0,IF(AL83&lt;15000000,FR83,0))</f>
        <v/>
      </c>
      <c r="FT83" s="539">
        <f>IF(B83="",0,FS83*FS$6*(1-$U83))</f>
        <v/>
      </c>
      <c r="FU83" s="538">
        <f>FR83-FT83</f>
        <v/>
      </c>
      <c r="FV83" s="538">
        <f>IF(SUM(CY83:DC83)&gt;0,0,IF(OR(AND(X83="No",AN83="Tier 1",AI83&gt;$AG$3),AND(X83="No",AN83="Tier 2",AI83&gt;$AH$3),AND(X83="No",AN83="Tier 3",AI83&gt;$AI$3)),FU83,0))</f>
        <v/>
      </c>
      <c r="FW83" s="538">
        <f>IF(SUM(CY83:DC83)&gt;0,0,IF(OR(AND(X83="No",AN83="Tier 1",AJ83&gt;$AG$4),AND(X83="No",AN83="Tier 2",AJ83&gt;$AH$4),AND(X83="No",AN83="Tier 3",AJ83&gt;$AI$4)),FU83,0))</f>
        <v/>
      </c>
      <c r="FX83" s="538">
        <f>IF(SUM(CY83:DC83)&gt;0,0,IF(OR(AND(X83="Yes",AN83="Tier 1",AJ83&gt;$AG$5),AND(X83="Yes",AN83="Tier 2",AJ83&gt;$AH$5),AND(X83="Yes",AN83="Tier 3",AJ83&gt;$AI$5)),FU83,0))</f>
        <v/>
      </c>
      <c r="FY83" s="538">
        <f>IF(SUM(FV83:FX83)&gt;0,FU83,0)</f>
        <v/>
      </c>
      <c r="FZ83" s="539">
        <f>IF(B83="",0,FY83*FV$6*(1-MIN(90%,T83)))</f>
        <v/>
      </c>
      <c r="GA83" s="538">
        <f>FU83-FZ83</f>
        <v/>
      </c>
      <c r="GB83" s="538">
        <f>IF(AND(N83="No",DI83=0),GA83,IF(AND(N83="No",DI83&lt;&gt;0,K83=0),0,IF(AND(N83="No",DI83&lt;&gt;0,K83&gt;0,J83&lt;&gt;K83),MAX(0,M83-(DH83-GA83)),DG83)))</f>
        <v/>
      </c>
      <c r="GC83" s="540">
        <f>+GB83*V83</f>
        <v/>
      </c>
      <c r="GD83" s="138">
        <f>IFERROR(GC83/K83,"")</f>
        <v/>
      </c>
      <c r="GE83" s="541">
        <f>IF(IB83="","",IB83)</f>
        <v/>
      </c>
      <c r="GF83" s="538">
        <f t="array" ref="GF83">IF(SUM(IF(IB$9:IB82=IB83,1,0))&gt;0,0,SUMIF($IB$10:$IB$406,IB83,$FI$10:$FI$406))</f>
        <v/>
      </c>
      <c r="GG83" s="270">
        <f>GF83</f>
        <v/>
      </c>
      <c r="GH83" s="137">
        <f>GH82+1</f>
        <v/>
      </c>
      <c r="GI83" s="542">
        <f>LARGE($GG$10:$GG$406,GH83)</f>
        <v/>
      </c>
      <c r="GJ83" s="542">
        <f>IF(GH83&gt;GH$6,0,IF(GH83=$GH$2,$GJ$2,IF(GH83&lt;4,$GJ$3,$GJ$4)))</f>
        <v/>
      </c>
      <c r="GK83" s="489">
        <f>MAX(0,GI83-GJ83)</f>
        <v/>
      </c>
      <c r="GL83" s="137">
        <f t="array" ref="GL83">IF(GI83=0,0,LARGE(IF($GF$10:$GF$406=GI83,$GE$10:$GE$406,0),COUNTIF($GI$10:$GI$406,GI83)-COUNTIF(GI$9:GI82,GI83)))</f>
        <v/>
      </c>
      <c r="GM83" s="272">
        <f>IF(GI83=0,0,GK83/GI83)</f>
        <v/>
      </c>
      <c r="GO83" s="137">
        <f>IF(C83="","",IF(ISERROR(MATCH(C83,C$10:C82,0)),MAX(GO$10:GO82)+1,INDEX(GO$10:GO82,MATCH(C83,C$10:C82,0))))</f>
        <v/>
      </c>
      <c r="GP83" s="538">
        <f>IF(COUNTIF($A$10:A83,A83)&lt;=1,SUMIF($A$10:$A$406,A83,$FG$10:$FG$406),0)</f>
        <v/>
      </c>
      <c r="GQ83" s="137">
        <f>GQ82+1</f>
        <v/>
      </c>
      <c r="GR83" s="542">
        <f>LARGE($GP$10:$GP$406,GQ83)</f>
        <v/>
      </c>
      <c r="GS83" s="542">
        <f>IF(GQ83&gt;GQ$6,0,IF(GQ83&lt;=GQ$2,GS$2,IF(AND(GQ83&lt;=$GQ$3,GQ83&gt;$GQ$2),GS$3,GS$4)))</f>
        <v/>
      </c>
      <c r="GT83" s="489">
        <f>MAX(0,GR83-GS83)</f>
        <v/>
      </c>
      <c r="GU83" s="137">
        <f t="array" ref="GU83">IF(GR83=0,0,LARGE(IF($GP$10:$GP$406=GR83,$GO$10:$GO$406,0),COUNTIF($GR$10:$GR$406,GR83)-COUNTIF(GR$9:GR82,GR83)))</f>
        <v/>
      </c>
      <c r="GV83" s="272">
        <f>IF(GR83=0,0,GT83/GR83)</f>
        <v/>
      </c>
      <c r="GW83" s="272" t="n"/>
      <c r="GX83" s="137">
        <f>IF(C83="","",IF(ISERROR(MATCH(C83,C$10:C82,0)),MAX(GO$10:GO82)+1,INDEX(GO$10:GO82,MATCH(C83,C$10:C82,0))))</f>
        <v/>
      </c>
      <c r="GY83" s="538">
        <f>IF(COUNTIF($A$10:A83,A83)&lt;=1,SUMIF($A$10:$A$406,A83,$FG$10:$FG$406),0)</f>
        <v/>
      </c>
      <c r="GZ83" s="137">
        <f>GZ82+1</f>
        <v/>
      </c>
      <c r="HA83" s="542">
        <f>LARGE($GY$10:$GY$406,GZ83)</f>
        <v/>
      </c>
      <c r="HB83" s="543" t="inlineStr">
        <is>
          <t>-</t>
        </is>
      </c>
      <c r="HC83" s="489">
        <f>IF(GZ83&lt;6,MAX(0,$HC$2/5),0)</f>
        <v/>
      </c>
      <c r="HD83" s="137">
        <f t="array" ref="HD83">IF(HA83=0,0,LARGE(IF($GY$10:$GY$406=HA83,$GX$10:$GX$406,0),COUNTIF($HA$10:$HA$406,HA83)-COUNTIF(HA$9:HA82,HA83)))</f>
        <v/>
      </c>
      <c r="HE83" s="272">
        <f>IF(HA83=0,0,HC83/HA83)</f>
        <v/>
      </c>
      <c r="HF83" s="272" t="n"/>
      <c r="HG83" s="270">
        <f>DG83-GA83</f>
        <v/>
      </c>
      <c r="HH83" s="544" t="n">
        <v>0</v>
      </c>
      <c r="HI83" s="538">
        <f>MIN(HH83,DE83)</f>
        <v/>
      </c>
      <c r="HK83" s="137">
        <f>IF(COUNTIF($C$10:$C$406,HK82+1),HK82+1,"")</f>
        <v/>
      </c>
      <c r="HL83" s="538">
        <f>SUMIF($C$10:$C$406,HK83,$DG$10:$DG$406)</f>
        <v/>
      </c>
      <c r="HN83" s="521">
        <f>MIN(HO83:HS83)</f>
        <v/>
      </c>
      <c r="HO83" s="521">
        <f>IF(B83="","",$M83)</f>
        <v/>
      </c>
      <c r="HP83" s="521">
        <f>IF($N83="Yes",IF(P83&gt;=6,0,MIN($T83*$M83,$U83*$M83)),"")</f>
        <v/>
      </c>
      <c r="HQ83" s="521">
        <f>IF(AND(N83="Yes",P83&gt;=6),"",IF($S83="Yes",$R83*$M83,""))</f>
        <v/>
      </c>
      <c r="HR83" s="521">
        <f>IF($Q83="Yes",MIN($M83,$T83*$M83),"")</f>
        <v/>
      </c>
      <c r="HS83" s="521">
        <f>IF(AND($N83="Yes",$P83&gt;=6),"",IF(OR(CY83=1,DC83=1,),MIN($T83*$M83,$U83*$M83),IF(OR(CZ83=1,DA83=1,DB83=1),IF(AK83&gt;=5000000,MIN($T83*$M83,$IE83*$M83),MIN($T83*$M83,$U83*$M83)),"")))</f>
        <v/>
      </c>
      <c r="HT83" s="521">
        <f>IF(DD83&gt;0,DD83,"")</f>
        <v/>
      </c>
      <c r="HU83" s="522">
        <f>IF(B83="",0,$L83-$M83)</f>
        <v/>
      </c>
      <c r="HV83" s="274">
        <f>IF(OR(SUM(HP83:HT83)&gt;0,P83&gt;=6),"",IF($B83="","",1))</f>
        <v/>
      </c>
      <c r="HW83" s="522">
        <f>IF(AND($HT83&lt;&gt;0,OR(HT83&lt;=MIN(HP83:HS83),SUM(HP83:HS83)=0)),$HT83,0)</f>
        <v/>
      </c>
      <c r="HX83" s="522">
        <f>IF(AND($HS83&lt;&gt;0,OR(AND($HS83&lt;&gt;$HT83,$HS83&lt;&gt;$HR83,$HS83&lt;&gt;$HQ83,$HS83&lt;&gt;$HP83,$HS83&lt;MIN($HP83:$HR83),$HS83&lt;HT83),SUM($HP83:$HR83)+SUM(HT83)=0),IA83&lt;=0),$HS83,0)</f>
        <v/>
      </c>
      <c r="HY83" s="522">
        <f>IF(AND($HR83&lt;&gt;0,OR(AND($HR83&lt;&gt;$HT83,$HR83&lt;&gt;$HS83,$HR83&lt;&gt;$HQ83,$HR83&lt;&gt;$HP83),$HR83&lt;MIN($HP83:$HQ83),$HR83&lt;MIN($HS83:$HT83),SUM($HP83:$HQ83)+SUM($HS83:$HT83)=0)),$HR83,0)</f>
        <v/>
      </c>
      <c r="HZ83" s="522">
        <f>IF(AND($HQ83&lt;&gt;0,OR(AND($HQ83&lt;&gt;$HT83,HQ83&lt;&gt;HS83,HQ83&lt;&gt;HR83,HQ83&lt;&gt;HP83,HQ83&lt;MIN(HR83:HT83)),SUM(HP83)+SUM(HR83:HT83)=0)),$HQ83,0)</f>
        <v/>
      </c>
      <c r="IA83" s="522">
        <f>IF(AND($HP83&lt;&gt;0,OR(HP83&lt;=MIN(HQ83:HT83),SUM(HQ83:HT83)=0)),$HP83,0)</f>
        <v/>
      </c>
      <c r="IB83" s="545" t="n">
        <v>35</v>
      </c>
      <c r="IC83">
        <f>HU83=DF83</f>
        <v/>
      </c>
      <c r="IE83" s="351">
        <f>IF(B83="","",IF(AND(Y83="Second Lien",OR(CZ83=1,DA83=1,DB83=1)),50%,IF(CZ83=1,90%,IF(DA83=1,80%,IF(DB83=1,65%,"No Initial Haircut")))))</f>
        <v/>
      </c>
    </row>
    <row r="84" ht="15" customHeight="1">
      <c r="B84" s="242" t="n"/>
      <c r="C84" s="242" t="n"/>
      <c r="D84" s="243" t="n"/>
      <c r="E84" s="243" t="n"/>
      <c r="F84" s="244" t="n"/>
      <c r="G84" s="528" t="n"/>
      <c r="H84" s="528" t="n"/>
      <c r="I84" s="246" t="n"/>
      <c r="J84" s="529" t="n"/>
      <c r="K84" s="529" t="n"/>
      <c r="L84" s="529" t="n"/>
      <c r="M84" s="529" t="n"/>
      <c r="N84" s="248" t="n"/>
      <c r="O84" s="248" t="n"/>
      <c r="P84" s="249" t="n"/>
      <c r="Q84" s="248" t="n"/>
      <c r="R84" s="250" t="n"/>
      <c r="S84" s="251" t="n"/>
      <c r="T84" s="250" t="n"/>
      <c r="U84" s="252" t="n"/>
      <c r="V84" s="252" t="n"/>
      <c r="W84" s="530" t="n"/>
      <c r="X84" s="248" t="n"/>
      <c r="Y84" s="277" t="n"/>
      <c r="Z84" s="277" t="n"/>
      <c r="AA84" s="531" t="n"/>
      <c r="AB84" s="531" t="n"/>
      <c r="AC84" s="532" t="n"/>
      <c r="AD84" s="532" t="n"/>
      <c r="AE84" s="532" t="n"/>
      <c r="AF84" s="257" t="n"/>
      <c r="AG84" s="533" t="n"/>
      <c r="AH84" s="533" t="n"/>
      <c r="AI84" s="533" t="n"/>
      <c r="AJ84" s="533" t="n"/>
      <c r="AK84" s="534" t="n"/>
      <c r="AL84" s="534" t="n"/>
      <c r="AM84" s="276" t="n"/>
      <c r="AN84" s="529" t="n"/>
      <c r="AO84" s="244" t="n"/>
      <c r="AP84" s="535" t="n"/>
      <c r="AQ84" s="535" t="n"/>
      <c r="AR84" s="248" t="n"/>
      <c r="AS84" s="250" t="n"/>
      <c r="AT84" s="248" t="n"/>
      <c r="AU84" s="250" t="n"/>
      <c r="AV84" s="250" t="n"/>
      <c r="AW84" s="250" t="n"/>
      <c r="AX84" s="262" t="n"/>
      <c r="AY84" s="250" t="n"/>
      <c r="AZ84" s="250" t="n"/>
      <c r="BA84" s="250" t="n"/>
      <c r="BB84" s="412">
        <f>IF(B84="","",IF(AR84="No",AV84-AZ84,""))</f>
        <v/>
      </c>
      <c r="BC84" s="412">
        <f>IF(B84="","",IF(AR84="Yes",AS84-BA84,""))</f>
        <v/>
      </c>
      <c r="BD84" s="254" t="n"/>
      <c r="BE84" s="536" t="n"/>
      <c r="BF84" s="254" t="n"/>
      <c r="BG84" s="254" t="n"/>
      <c r="BH84" s="248" t="n"/>
      <c r="BI84" s="413">
        <f>IF(B84="","",IF(OR(AND(AZ84&gt;0,BB84&gt;=2.5%,BB84&lt;4%),AND(BA84&gt;0,BC84&gt;=6%,BC84&lt;8%)),"Yes","No"))</f>
        <v/>
      </c>
      <c r="BJ84" s="413">
        <f>IF(B84="","",IF(OR(AND(AZ84&gt;0,BB84&lt;2.5%),AND(BA84&gt;0,BC84&lt;6%)),"Yes","No"))</f>
        <v/>
      </c>
      <c r="BK84" s="248" t="n"/>
      <c r="BL84" s="248" t="n"/>
      <c r="BM84" s="248" t="n"/>
      <c r="BN84" s="248" t="n"/>
      <c r="BO84" s="248" t="n"/>
      <c r="BP84" s="248" t="n"/>
      <c r="BQ84" s="248" t="n"/>
      <c r="BR84" s="248" t="n"/>
      <c r="BS84" s="248" t="n"/>
      <c r="BT84" s="248" t="n"/>
      <c r="BU84" s="248" t="n"/>
      <c r="BV84" s="248" t="n"/>
      <c r="BW84" s="248" t="n"/>
      <c r="BX84" s="248" t="n"/>
      <c r="BY84" s="248" t="n"/>
      <c r="BZ84" s="248" t="n"/>
      <c r="CA84" s="248" t="n"/>
      <c r="CB84" s="537" t="n"/>
      <c r="CC84" s="537" t="n"/>
      <c r="CD84" s="265" t="n"/>
      <c r="CE84" s="265" t="n"/>
      <c r="CF84" s="265" t="n"/>
      <c r="CG84" s="265" t="n"/>
      <c r="CH84" s="265" t="n"/>
      <c r="CI84" s="265" t="n"/>
      <c r="CJ84" s="265" t="n"/>
      <c r="CK84" s="265" t="n"/>
      <c r="CL84" s="265" t="n"/>
      <c r="CM84" s="265" t="n"/>
      <c r="CN84" s="265" t="n"/>
      <c r="CO84" s="265" t="n"/>
      <c r="CP84" s="265" t="n"/>
      <c r="CQ84" s="265" t="n"/>
      <c r="CR84" s="265" t="n"/>
      <c r="CS84" s="265" t="n"/>
      <c r="CT84" s="265" t="n"/>
      <c r="CU84" s="265" t="n"/>
      <c r="CV84" s="265" t="n"/>
      <c r="CW84" s="265" t="n"/>
      <c r="CX84" s="265" t="n"/>
      <c r="CY84" s="265" t="n"/>
      <c r="CZ84" s="265" t="n"/>
      <c r="DA84" s="265" t="n"/>
      <c r="DB84" s="265" t="n"/>
      <c r="DC84" s="265" t="n"/>
      <c r="DD84" s="265" t="n"/>
      <c r="DE84" s="265" t="n"/>
      <c r="DF84" s="265" t="n"/>
      <c r="DG84" s="265" t="n"/>
      <c r="DH84" s="265" t="n"/>
      <c r="DI84" s="265" t="n"/>
      <c r="DJ84" s="265" t="n"/>
      <c r="DK84" s="265" t="n"/>
      <c r="DL84" s="265" t="n"/>
      <c r="DN84" s="538" t="n"/>
      <c r="DO84" s="539" t="n"/>
      <c r="DP84" s="538" t="n"/>
      <c r="DQ84" s="538" t="n"/>
      <c r="DR84" s="539" t="n"/>
      <c r="DS84" s="538" t="n"/>
      <c r="DT84" s="538" t="n"/>
      <c r="DU84" s="539" t="n"/>
      <c r="DV84" s="538" t="n"/>
      <c r="DW84" s="538" t="n"/>
      <c r="DX84" s="539" t="n"/>
      <c r="DY84" s="538" t="n"/>
      <c r="DZ84" s="538" t="n"/>
      <c r="EA84" s="539" t="n"/>
      <c r="EB84" s="538" t="n"/>
      <c r="EC84" s="538" t="n"/>
      <c r="ED84" s="539" t="n"/>
      <c r="EE84" s="538" t="n"/>
      <c r="EF84" s="538" t="n"/>
      <c r="EG84" s="539" t="n"/>
      <c r="EH84" s="538" t="n"/>
      <c r="EI84" s="538" t="n"/>
      <c r="EJ84" s="539" t="n"/>
      <c r="EK84" s="538" t="n"/>
      <c r="EL84" s="538" t="n"/>
      <c r="EM84" s="539" t="n"/>
      <c r="EN84" s="538" t="n"/>
      <c r="EO84" s="538" t="n"/>
      <c r="EP84" s="539" t="n"/>
      <c r="EQ84" s="538" t="n"/>
      <c r="ER84" s="538" t="n"/>
      <c r="ES84" s="539" t="n"/>
      <c r="ET84" s="538" t="n"/>
      <c r="EU84" s="538" t="n"/>
      <c r="EV84" s="539" t="n"/>
      <c r="EW84" s="538" t="n"/>
      <c r="EX84" s="538" t="n"/>
      <c r="EY84" s="539" t="n"/>
      <c r="EZ84" s="538" t="n"/>
      <c r="FA84" s="538" t="n"/>
      <c r="FB84" s="539" t="n"/>
      <c r="FC84" s="538" t="n"/>
      <c r="FD84" s="538" t="n"/>
      <c r="FE84" s="539" t="n"/>
      <c r="FF84" s="538" t="n"/>
      <c r="FG84" s="538" t="n"/>
      <c r="FH84" s="538" t="n"/>
      <c r="FI84" s="538" t="n"/>
      <c r="FJ84" s="538" t="n"/>
      <c r="FK84" s="538" t="n"/>
      <c r="FL84" s="538" t="n"/>
      <c r="FM84" s="538">
        <f>FL84</f>
        <v/>
      </c>
      <c r="FN84" s="538">
        <f>IF(FL84=0,0,VLOOKUP(C84,$HD$10:$HE$406,2,FALSE)*FL84)</f>
        <v/>
      </c>
      <c r="FO84" s="538">
        <f>FL84-FN84</f>
        <v/>
      </c>
      <c r="FP84" s="538" t="n"/>
      <c r="FQ84" s="539" t="n"/>
      <c r="FR84" s="538" t="n"/>
      <c r="FS84" s="538" t="n"/>
      <c r="FT84" s="539" t="n"/>
      <c r="FU84" s="538" t="n"/>
      <c r="FV84" s="538" t="n"/>
      <c r="FW84" s="538" t="n"/>
      <c r="FX84" s="538" t="n"/>
      <c r="FY84" s="538" t="n"/>
      <c r="FZ84" s="539" t="n"/>
      <c r="GA84" s="538" t="n"/>
      <c r="GB84" s="538" t="n"/>
      <c r="GC84" s="540" t="n"/>
      <c r="GD84" s="138" t="n"/>
      <c r="GE84" s="541" t="n"/>
      <c r="GF84" s="538" t="n"/>
      <c r="GG84" s="270" t="n"/>
      <c r="GH84" s="137" t="n"/>
      <c r="GI84" s="542" t="n"/>
      <c r="GJ84" s="542" t="n"/>
      <c r="GK84" s="489" t="n"/>
      <c r="GL84" s="137" t="n"/>
      <c r="GM84" s="272" t="n"/>
      <c r="GO84" s="137" t="n"/>
      <c r="GP84" s="538" t="n"/>
      <c r="GQ84" s="137" t="n"/>
      <c r="GR84" s="542" t="n"/>
      <c r="GS84" s="542" t="n"/>
      <c r="GT84" s="489" t="n"/>
      <c r="GU84" s="137" t="n"/>
      <c r="GV84" s="272" t="n"/>
      <c r="GW84" s="272" t="n"/>
      <c r="GX84" s="137" t="n"/>
      <c r="GY84" s="538" t="n"/>
      <c r="GZ84" s="137" t="n"/>
      <c r="HA84" s="542" t="n"/>
      <c r="HB84" s="543" t="n"/>
      <c r="HC84" s="489" t="n"/>
      <c r="HD84" s="137" t="n"/>
      <c r="HE84" s="272" t="n"/>
      <c r="HF84" s="272" t="n"/>
      <c r="HG84" s="270" t="n"/>
      <c r="HH84" s="544" t="n"/>
      <c r="HI84" s="538" t="n"/>
      <c r="HK84" s="137" t="n"/>
      <c r="HL84" s="538" t="n"/>
      <c r="HN84" s="521" t="n"/>
      <c r="HO84" s="521" t="n"/>
      <c r="HP84" s="521" t="n"/>
      <c r="HQ84" s="521" t="n"/>
      <c r="HR84" s="521" t="n"/>
      <c r="HS84" s="521" t="n"/>
      <c r="HT84" s="521" t="n"/>
      <c r="HU84" s="522" t="n"/>
      <c r="HV84" s="274" t="n"/>
      <c r="HW84" s="522" t="n"/>
      <c r="HX84" s="522" t="n"/>
      <c r="HY84" s="522" t="n"/>
      <c r="HZ84" s="522" t="n"/>
      <c r="IA84" s="522" t="n"/>
      <c r="IB84" s="545" t="n"/>
      <c r="IE84" s="351" t="n"/>
    </row>
    <row r="85" ht="15" customHeight="1">
      <c r="B85" s="242" t="n"/>
      <c r="C85" s="242" t="n"/>
      <c r="D85" s="243" t="n"/>
      <c r="E85" s="243" t="n"/>
      <c r="F85" s="244" t="n"/>
      <c r="G85" s="528" t="n"/>
      <c r="H85" s="528" t="n"/>
      <c r="I85" s="246" t="n"/>
      <c r="J85" s="529" t="n"/>
      <c r="K85" s="529" t="n"/>
      <c r="L85" s="529" t="n"/>
      <c r="M85" s="529" t="n"/>
      <c r="N85" s="248" t="n"/>
      <c r="O85" s="248" t="n"/>
      <c r="P85" s="249" t="n"/>
      <c r="Q85" s="248" t="n"/>
      <c r="R85" s="250" t="n"/>
      <c r="S85" s="251" t="n"/>
      <c r="T85" s="250" t="n"/>
      <c r="U85" s="252" t="n"/>
      <c r="V85" s="252" t="n"/>
      <c r="W85" s="530" t="n"/>
      <c r="X85" s="248" t="n"/>
      <c r="Y85" s="277" t="n"/>
      <c r="Z85" s="277" t="n"/>
      <c r="AA85" s="531" t="n"/>
      <c r="AB85" s="531" t="n"/>
      <c r="AC85" s="532" t="n"/>
      <c r="AD85" s="532" t="n"/>
      <c r="AE85" s="532" t="n"/>
      <c r="AF85" s="257" t="n"/>
      <c r="AG85" s="533" t="n"/>
      <c r="AH85" s="533" t="n"/>
      <c r="AI85" s="533" t="n"/>
      <c r="AJ85" s="533" t="n"/>
      <c r="AK85" s="534" t="n"/>
      <c r="AL85" s="534" t="n"/>
      <c r="AM85" s="276" t="n"/>
      <c r="AN85" s="529" t="n"/>
      <c r="AO85" s="244" t="n"/>
      <c r="AP85" s="535" t="n"/>
      <c r="AQ85" s="535" t="n"/>
      <c r="AR85" s="248" t="n"/>
      <c r="AS85" s="250" t="n"/>
      <c r="AT85" s="248" t="n"/>
      <c r="AU85" s="250" t="n"/>
      <c r="AV85" s="250" t="n"/>
      <c r="AW85" s="250" t="n"/>
      <c r="AX85" s="262" t="n"/>
      <c r="AY85" s="250" t="n"/>
      <c r="AZ85" s="250" t="n"/>
      <c r="BA85" s="250" t="n"/>
      <c r="BB85" s="412">
        <f>IF(B85="","",IF(AR85="No",AV85-AZ85,""))</f>
        <v/>
      </c>
      <c r="BC85" s="412">
        <f>IF(B85="","",IF(AR85="Yes",AS85-BA85,""))</f>
        <v/>
      </c>
      <c r="BD85" s="254" t="n"/>
      <c r="BE85" s="536" t="n"/>
      <c r="BF85" s="254" t="n"/>
      <c r="BG85" s="254" t="n"/>
      <c r="BH85" s="248" t="n"/>
      <c r="BI85" s="413">
        <f>IF(B85="","",IF(OR(AND(AZ85&gt;0,BB85&gt;=2.5%,BB85&lt;4%),AND(BA85&gt;0,BC85&gt;=6%,BC85&lt;8%)),"Yes","No"))</f>
        <v/>
      </c>
      <c r="BJ85" s="413">
        <f>IF(B85="","",IF(OR(AND(AZ85&gt;0,BB85&lt;2.5%),AND(BA85&gt;0,BC85&lt;6%)),"Yes","No"))</f>
        <v/>
      </c>
      <c r="BK85" s="248" t="n"/>
      <c r="BL85" s="248" t="n"/>
      <c r="BM85" s="248" t="n"/>
      <c r="BN85" s="248" t="n"/>
      <c r="BO85" s="248" t="n"/>
      <c r="BP85" s="248" t="n"/>
      <c r="BQ85" s="248" t="n"/>
      <c r="BR85" s="248" t="n"/>
      <c r="BS85" s="248" t="n"/>
      <c r="BT85" s="248" t="n"/>
      <c r="BU85" s="248" t="n"/>
      <c r="BV85" s="248" t="n"/>
      <c r="BW85" s="248" t="n"/>
      <c r="BX85" s="248" t="n"/>
      <c r="BY85" s="248" t="n"/>
      <c r="BZ85" s="248" t="n"/>
      <c r="CA85" s="248" t="n"/>
      <c r="CB85" s="537" t="n"/>
      <c r="CC85" s="537" t="n"/>
      <c r="CD85" s="265" t="n"/>
      <c r="CE85" s="265" t="n"/>
      <c r="CF85" s="265" t="n"/>
      <c r="CG85" s="265" t="n"/>
      <c r="CH85" s="265" t="n"/>
      <c r="CI85" s="265" t="n"/>
      <c r="CJ85" s="265" t="n"/>
      <c r="CK85" s="265" t="n"/>
      <c r="CL85" s="265" t="n"/>
      <c r="CM85" s="265" t="n"/>
      <c r="CN85" s="265" t="n"/>
      <c r="CO85" s="265" t="n"/>
      <c r="CP85" s="265" t="n"/>
      <c r="CQ85" s="265" t="n"/>
      <c r="CR85" s="265" t="n"/>
      <c r="CS85" s="265" t="n"/>
      <c r="CT85" s="265" t="n"/>
      <c r="CU85" s="265" t="n"/>
      <c r="CV85" s="265" t="n"/>
      <c r="CW85" s="265" t="n"/>
      <c r="CX85" s="265" t="n"/>
      <c r="CY85" s="265" t="n"/>
      <c r="CZ85" s="265" t="n"/>
      <c r="DA85" s="265" t="n"/>
      <c r="DB85" s="265" t="n"/>
      <c r="DC85" s="265" t="n"/>
      <c r="DD85" s="265" t="n"/>
      <c r="DE85" s="265" t="n"/>
      <c r="DF85" s="265" t="n"/>
      <c r="DG85" s="265" t="n"/>
      <c r="DH85" s="265" t="n"/>
      <c r="DI85" s="265" t="n"/>
      <c r="DJ85" s="265" t="n"/>
      <c r="DK85" s="265" t="n"/>
      <c r="DL85" s="265" t="n"/>
      <c r="DN85" s="538" t="n"/>
      <c r="DO85" s="539" t="n"/>
      <c r="DP85" s="538" t="n"/>
      <c r="DQ85" s="538" t="n"/>
      <c r="DR85" s="539" t="n"/>
      <c r="DS85" s="538" t="n"/>
      <c r="DT85" s="538" t="n"/>
      <c r="DU85" s="539" t="n"/>
      <c r="DV85" s="538" t="n"/>
      <c r="DW85" s="538" t="n"/>
      <c r="DX85" s="539" t="n"/>
      <c r="DY85" s="538" t="n"/>
      <c r="DZ85" s="538" t="n"/>
      <c r="EA85" s="539" t="n"/>
      <c r="EB85" s="538" t="n"/>
      <c r="EC85" s="538" t="n"/>
      <c r="ED85" s="539" t="n"/>
      <c r="EE85" s="538" t="n"/>
      <c r="EF85" s="538" t="n"/>
      <c r="EG85" s="539" t="n"/>
      <c r="EH85" s="538" t="n"/>
      <c r="EI85" s="538" t="n"/>
      <c r="EJ85" s="539" t="n"/>
      <c r="EK85" s="538" t="n"/>
      <c r="EL85" s="538" t="n"/>
      <c r="EM85" s="539" t="n"/>
      <c r="EN85" s="538" t="n"/>
      <c r="EO85" s="538" t="n"/>
      <c r="EP85" s="539" t="n"/>
      <c r="EQ85" s="538" t="n"/>
      <c r="ER85" s="538" t="n"/>
      <c r="ES85" s="539" t="n"/>
      <c r="ET85" s="538" t="n"/>
      <c r="EU85" s="538" t="n"/>
      <c r="EV85" s="539" t="n"/>
      <c r="EW85" s="538" t="n"/>
      <c r="EX85" s="538" t="n"/>
      <c r="EY85" s="539" t="n"/>
      <c r="EZ85" s="538" t="n"/>
      <c r="FA85" s="538" t="n"/>
      <c r="FB85" s="539" t="n"/>
      <c r="FC85" s="538" t="n"/>
      <c r="FD85" s="538" t="n"/>
      <c r="FE85" s="539" t="n"/>
      <c r="FF85" s="538" t="n"/>
      <c r="FG85" s="538" t="n"/>
      <c r="FH85" s="538" t="n"/>
      <c r="FI85" s="538" t="n"/>
      <c r="FJ85" s="538" t="n"/>
      <c r="FK85" s="538" t="n"/>
      <c r="FL85" s="538" t="n"/>
      <c r="FM85" s="538">
        <f>FL85</f>
        <v/>
      </c>
      <c r="FN85" s="538">
        <f>IF(FL85=0,0,VLOOKUP(C85,$HD$10:$HE$406,2,FALSE)*FL85)</f>
        <v/>
      </c>
      <c r="FO85" s="538">
        <f>FL85-FN85</f>
        <v/>
      </c>
      <c r="FP85" s="538" t="n"/>
      <c r="FQ85" s="539" t="n"/>
      <c r="FR85" s="538" t="n"/>
      <c r="FS85" s="538" t="n"/>
      <c r="FT85" s="539" t="n"/>
      <c r="FU85" s="538" t="n"/>
      <c r="FV85" s="538" t="n"/>
      <c r="FW85" s="538" t="n"/>
      <c r="FX85" s="538" t="n"/>
      <c r="FY85" s="538" t="n"/>
      <c r="FZ85" s="539" t="n"/>
      <c r="GA85" s="538" t="n"/>
      <c r="GB85" s="538" t="n"/>
      <c r="GC85" s="540" t="n"/>
      <c r="GD85" s="138" t="n"/>
      <c r="GE85" s="541" t="n"/>
      <c r="GF85" s="538" t="n"/>
      <c r="GG85" s="270" t="n"/>
      <c r="GH85" s="137" t="n"/>
      <c r="GI85" s="542" t="n"/>
      <c r="GJ85" s="542" t="n"/>
      <c r="GK85" s="489" t="n"/>
      <c r="GL85" s="137" t="n"/>
      <c r="GM85" s="272" t="n"/>
      <c r="GO85" s="137" t="n"/>
      <c r="GP85" s="538" t="n"/>
      <c r="GQ85" s="137" t="n"/>
      <c r="GR85" s="542" t="n"/>
      <c r="GS85" s="542" t="n"/>
      <c r="GT85" s="489" t="n"/>
      <c r="GU85" s="137" t="n"/>
      <c r="GV85" s="272" t="n"/>
      <c r="GW85" s="272" t="n"/>
      <c r="GX85" s="137" t="n"/>
      <c r="GY85" s="538" t="n"/>
      <c r="GZ85" s="137" t="n"/>
      <c r="HA85" s="542" t="n"/>
      <c r="HB85" s="543" t="n"/>
      <c r="HC85" s="489" t="n"/>
      <c r="HD85" s="137" t="n"/>
      <c r="HE85" s="272" t="n"/>
      <c r="HF85" s="272" t="n"/>
      <c r="HG85" s="270" t="n"/>
      <c r="HH85" s="544" t="n"/>
      <c r="HI85" s="538" t="n"/>
      <c r="HK85" s="137" t="n"/>
      <c r="HL85" s="538" t="n"/>
      <c r="HN85" s="521" t="n"/>
      <c r="HO85" s="521" t="n"/>
      <c r="HP85" s="521" t="n"/>
      <c r="HQ85" s="521" t="n"/>
      <c r="HR85" s="521" t="n"/>
      <c r="HS85" s="521" t="n"/>
      <c r="HT85" s="521" t="n"/>
      <c r="HU85" s="522" t="n"/>
      <c r="HV85" s="274" t="n"/>
      <c r="HW85" s="522" t="n"/>
      <c r="HX85" s="522" t="n"/>
      <c r="HY85" s="522" t="n"/>
      <c r="HZ85" s="522" t="n"/>
      <c r="IA85" s="522" t="n"/>
      <c r="IB85" s="545" t="n"/>
      <c r="IE85" s="351" t="n"/>
    </row>
    <row r="86">
      <c r="B86" s="242" t="n"/>
      <c r="C86" s="242" t="n"/>
      <c r="D86" s="243" t="n"/>
      <c r="E86" s="243" t="n"/>
      <c r="F86" s="244" t="n"/>
      <c r="G86" s="528" t="n"/>
      <c r="H86" s="528" t="n"/>
      <c r="I86" s="246" t="n"/>
      <c r="J86" s="529" t="n"/>
      <c r="K86" s="529" t="n"/>
      <c r="L86" s="529" t="n"/>
      <c r="M86" s="529" t="n"/>
      <c r="N86" s="248" t="n"/>
      <c r="O86" s="248" t="n"/>
      <c r="P86" s="249" t="n"/>
      <c r="Q86" s="248" t="n"/>
      <c r="R86" s="250" t="n"/>
      <c r="S86" s="251" t="n"/>
      <c r="T86" s="250" t="n"/>
      <c r="U86" s="252" t="n"/>
      <c r="V86" s="252" t="n"/>
      <c r="W86" s="530" t="n"/>
      <c r="X86" s="248" t="n"/>
      <c r="Y86" s="254" t="n"/>
      <c r="Z86" s="254" t="n"/>
      <c r="AA86" s="531" t="n"/>
      <c r="AB86" s="531" t="n"/>
      <c r="AC86" s="532" t="n"/>
      <c r="AD86" s="532" t="n"/>
      <c r="AE86" s="532" t="n"/>
      <c r="AF86" s="257" t="n"/>
      <c r="AG86" s="533" t="n"/>
      <c r="AH86" s="533" t="n"/>
      <c r="AI86" s="533" t="n"/>
      <c r="AJ86" s="533" t="n"/>
      <c r="AK86" s="534" t="n"/>
      <c r="AL86" s="534" t="n"/>
      <c r="AM86" s="276" t="n"/>
      <c r="AN86" s="529" t="n"/>
      <c r="AO86" s="244" t="n"/>
      <c r="AP86" s="535" t="n"/>
      <c r="AQ86" s="535" t="n"/>
      <c r="AR86" s="248" t="n"/>
      <c r="AS86" s="250" t="n"/>
      <c r="AT86" s="248" t="n"/>
      <c r="AU86" s="250" t="n"/>
      <c r="AV86" s="250" t="n"/>
      <c r="AW86" s="250" t="n"/>
      <c r="AX86" s="262" t="n"/>
      <c r="AY86" s="250" t="n"/>
      <c r="AZ86" s="250" t="n"/>
      <c r="BA86" s="250" t="n"/>
      <c r="BB86" s="412">
        <f>IF(B86="","",IF(AR86="No",AV86-AZ86,""))</f>
        <v/>
      </c>
      <c r="BC86" s="412">
        <f>IF(B86="","",IF(AR86="Yes",AS86-BA86,""))</f>
        <v/>
      </c>
      <c r="BD86" s="254" t="n"/>
      <c r="BE86" s="536" t="n"/>
      <c r="BF86" s="254" t="n"/>
      <c r="BG86" s="254" t="n"/>
      <c r="BH86" s="248" t="n"/>
      <c r="BI86" s="413">
        <f>IF(B86="","",IF(OR(AND(AZ86&gt;0,BB86&gt;=2.5%,BB86&lt;4%),AND(BA86&gt;0,BC86&gt;=6%,BC86&lt;8%)),"Yes","No"))</f>
        <v/>
      </c>
      <c r="BJ86" s="413">
        <f>IF(B86="","",IF(OR(AND(AZ86&gt;0,BB86&lt;2.5%),AND(BA86&gt;0,BC86&lt;6%)),"Yes","No"))</f>
        <v/>
      </c>
      <c r="BK86" s="248" t="n"/>
      <c r="BL86" s="248" t="n"/>
      <c r="BM86" s="248" t="n"/>
      <c r="BN86" s="248" t="n"/>
      <c r="BO86" s="248" t="n"/>
      <c r="BP86" s="248" t="n"/>
      <c r="BQ86" s="248" t="n"/>
      <c r="BR86" s="248" t="n"/>
      <c r="BS86" s="248" t="n"/>
      <c r="BT86" s="248" t="n"/>
      <c r="BU86" s="248" t="n"/>
      <c r="BV86" s="248" t="n"/>
      <c r="BW86" s="248" t="n"/>
      <c r="BX86" s="248" t="n"/>
      <c r="BY86" s="248" t="n"/>
      <c r="BZ86" s="248" t="n"/>
      <c r="CA86" s="248" t="n"/>
      <c r="CB86" s="537" t="n"/>
      <c r="CC86" s="537" t="n"/>
      <c r="CD86" s="265" t="n"/>
      <c r="CE86" s="265" t="n"/>
      <c r="CF86" s="265" t="n"/>
      <c r="CG86" s="265" t="n"/>
      <c r="CH86" s="265" t="n"/>
      <c r="CI86" s="265" t="n"/>
      <c r="CJ86" s="265" t="n"/>
      <c r="CK86" s="265" t="n"/>
      <c r="CL86" s="265" t="n"/>
      <c r="CM86" s="265" t="n"/>
      <c r="CN86" s="265" t="n"/>
      <c r="CO86" s="265" t="n"/>
      <c r="CP86" s="265" t="n"/>
      <c r="CQ86" s="265" t="n"/>
      <c r="CR86" s="265" t="n"/>
      <c r="CS86" s="265" t="n"/>
      <c r="CT86" s="265" t="n"/>
      <c r="CU86" s="265" t="n"/>
      <c r="CV86" s="265" t="n"/>
      <c r="CW86" s="265" t="n"/>
      <c r="CX86" s="265" t="n"/>
      <c r="CY86" s="265" t="n"/>
      <c r="CZ86" s="265" t="n"/>
      <c r="DA86" s="265" t="n"/>
      <c r="DB86" s="265" t="n"/>
      <c r="DC86" s="265" t="n"/>
      <c r="DD86" s="265" t="n"/>
      <c r="DE86" s="265" t="n"/>
      <c r="DF86" s="265" t="n"/>
      <c r="DG86" s="265" t="n"/>
      <c r="DH86" s="265" t="n"/>
      <c r="DI86" s="265" t="n"/>
      <c r="DJ86" s="265" t="n"/>
      <c r="DK86" s="265" t="n"/>
      <c r="DL86" s="265" t="n"/>
      <c r="DN86" s="538" t="n"/>
      <c r="DO86" s="539" t="n"/>
      <c r="DP86" s="538" t="n"/>
      <c r="DQ86" s="538" t="n"/>
      <c r="DR86" s="539" t="n"/>
      <c r="DS86" s="538" t="n"/>
      <c r="DT86" s="538" t="n"/>
      <c r="DU86" s="539" t="n"/>
      <c r="DV86" s="538" t="n"/>
      <c r="DW86" s="538" t="n"/>
      <c r="DX86" s="539" t="n"/>
      <c r="DY86" s="538" t="n"/>
      <c r="DZ86" s="538" t="n"/>
      <c r="EA86" s="539" t="n"/>
      <c r="EB86" s="538" t="n"/>
      <c r="EC86" s="538" t="n"/>
      <c r="ED86" s="539" t="n"/>
      <c r="EE86" s="538" t="n"/>
      <c r="EF86" s="538" t="n"/>
      <c r="EG86" s="539" t="n"/>
      <c r="EH86" s="538" t="n"/>
      <c r="EI86" s="538" t="n"/>
      <c r="EJ86" s="539" t="n"/>
      <c r="EK86" s="538" t="n"/>
      <c r="EL86" s="538" t="n"/>
      <c r="EM86" s="539" t="n"/>
      <c r="EN86" s="538" t="n"/>
      <c r="EO86" s="538" t="n"/>
      <c r="EP86" s="539" t="n"/>
      <c r="EQ86" s="538" t="n"/>
      <c r="ER86" s="538" t="n"/>
      <c r="ES86" s="539" t="n"/>
      <c r="ET86" s="538" t="n"/>
      <c r="EU86" s="538" t="n"/>
      <c r="EV86" s="539" t="n"/>
      <c r="EW86" s="538" t="n"/>
      <c r="EX86" s="538" t="n"/>
      <c r="EY86" s="539" t="n"/>
      <c r="EZ86" s="538" t="n"/>
      <c r="FA86" s="538" t="n"/>
      <c r="FB86" s="539" t="n"/>
      <c r="FC86" s="538" t="n"/>
      <c r="FD86" s="538" t="n"/>
      <c r="FE86" s="539" t="n"/>
      <c r="FF86" s="538" t="n"/>
      <c r="FG86" s="538" t="n"/>
      <c r="FH86" s="538" t="n"/>
      <c r="FI86" s="538" t="n"/>
      <c r="FJ86" s="538" t="n"/>
      <c r="FK86" s="538" t="n"/>
      <c r="FL86" s="538" t="n"/>
      <c r="FM86" s="538">
        <f>FL86</f>
        <v/>
      </c>
      <c r="FN86" s="538">
        <f>IF(FL86=0,0,VLOOKUP(C86,$HD$10:$HE$406,2,FALSE)*FL86)</f>
        <v/>
      </c>
      <c r="FO86" s="538">
        <f>FL86-FN86</f>
        <v/>
      </c>
      <c r="FP86" s="538" t="n"/>
      <c r="FQ86" s="539" t="n"/>
      <c r="FR86" s="538" t="n"/>
      <c r="FS86" s="538" t="n"/>
      <c r="FT86" s="539" t="n"/>
      <c r="FU86" s="538" t="n"/>
      <c r="FV86" s="538" t="n"/>
      <c r="FW86" s="538" t="n"/>
      <c r="FX86" s="538" t="n"/>
      <c r="FY86" s="538" t="n"/>
      <c r="FZ86" s="539" t="n"/>
      <c r="GA86" s="538" t="n"/>
      <c r="GB86" s="538" t="n"/>
      <c r="GC86" s="540" t="n"/>
      <c r="GD86" s="138" t="n"/>
      <c r="GE86" s="541" t="n"/>
      <c r="GF86" s="538" t="n"/>
      <c r="GG86" s="270" t="n"/>
      <c r="GH86" s="137" t="n"/>
      <c r="GI86" s="542" t="n"/>
      <c r="GJ86" s="542" t="n"/>
      <c r="GK86" s="489" t="n"/>
      <c r="GL86" s="137" t="n"/>
      <c r="GM86" s="272" t="n"/>
      <c r="GO86" s="137" t="n"/>
      <c r="GP86" s="538" t="n"/>
      <c r="GQ86" s="137" t="n"/>
      <c r="GR86" s="542" t="n"/>
      <c r="GS86" s="542" t="n"/>
      <c r="GT86" s="489" t="n"/>
      <c r="GU86" s="137" t="n"/>
      <c r="GV86" s="272" t="n"/>
      <c r="GW86" s="272" t="n"/>
      <c r="GX86" s="137" t="n"/>
      <c r="GY86" s="538" t="n"/>
      <c r="GZ86" s="137" t="n"/>
      <c r="HA86" s="542" t="n"/>
      <c r="HB86" s="543" t="n"/>
      <c r="HC86" s="489" t="n"/>
      <c r="HD86" s="137" t="n"/>
      <c r="HE86" s="272" t="n"/>
      <c r="HF86" s="272" t="n"/>
      <c r="HG86" s="270" t="n"/>
      <c r="HH86" s="544" t="n"/>
      <c r="HI86" s="538" t="n"/>
      <c r="HK86" s="137" t="n"/>
      <c r="HL86" s="538" t="n"/>
      <c r="HN86" s="521" t="n"/>
      <c r="HO86" s="521" t="n"/>
      <c r="HP86" s="521" t="n"/>
      <c r="HQ86" s="521" t="n"/>
      <c r="HR86" s="521" t="n"/>
      <c r="HS86" s="521" t="n"/>
      <c r="HT86" s="521" t="n"/>
      <c r="HU86" s="522" t="n"/>
      <c r="HV86" s="274" t="n"/>
      <c r="HW86" s="522" t="n"/>
      <c r="HX86" s="522" t="n"/>
      <c r="HY86" s="522" t="n"/>
      <c r="HZ86" s="522" t="n"/>
      <c r="IA86" s="522" t="n"/>
      <c r="IB86" s="545" t="n"/>
      <c r="IE86" s="351" t="n"/>
    </row>
    <row r="87" ht="15" customHeight="1">
      <c r="B87" s="242" t="n"/>
      <c r="C87" s="242" t="n"/>
      <c r="D87" s="243" t="n"/>
      <c r="E87" s="243" t="n"/>
      <c r="F87" s="244" t="n"/>
      <c r="G87" s="528" t="n"/>
      <c r="H87" s="528" t="n"/>
      <c r="I87" s="246" t="n"/>
      <c r="J87" s="529" t="n"/>
      <c r="K87" s="529" t="n"/>
      <c r="L87" s="529" t="n"/>
      <c r="M87" s="529" t="n"/>
      <c r="N87" s="248" t="n"/>
      <c r="O87" s="248" t="n"/>
      <c r="P87" s="249" t="n"/>
      <c r="Q87" s="248" t="n"/>
      <c r="R87" s="552" t="n"/>
      <c r="S87" s="251" t="n"/>
      <c r="T87" s="552" t="n"/>
      <c r="U87" s="252" t="n"/>
      <c r="V87" s="252" t="n"/>
      <c r="W87" s="530" t="n"/>
      <c r="X87" s="248" t="n"/>
      <c r="Y87" s="254" t="n"/>
      <c r="Z87" s="254" t="n"/>
      <c r="AA87" s="531" t="n"/>
      <c r="AB87" s="531" t="n"/>
      <c r="AC87" s="532" t="n"/>
      <c r="AD87" s="532" t="n"/>
      <c r="AE87" s="532" t="n"/>
      <c r="AF87" s="532" t="n"/>
      <c r="AG87" s="533" t="n"/>
      <c r="AH87" s="533" t="n"/>
      <c r="AI87" s="533" t="n"/>
      <c r="AJ87" s="533" t="n"/>
      <c r="AK87" s="534" t="n"/>
      <c r="AL87" s="534" t="n"/>
      <c r="AM87" s="553" t="n"/>
      <c r="AN87" s="529" t="n"/>
      <c r="AO87" s="244" t="n"/>
      <c r="AP87" s="535" t="n"/>
      <c r="AQ87" s="535" t="n"/>
      <c r="AR87" s="248" t="n"/>
      <c r="AS87" s="280" t="n"/>
      <c r="AT87" s="248" t="n"/>
      <c r="AU87" s="250" t="n"/>
      <c r="AV87" s="250" t="n"/>
      <c r="AW87" s="250" t="n"/>
      <c r="AX87" s="262" t="n"/>
      <c r="AY87" s="250" t="n"/>
      <c r="AZ87" s="250" t="n"/>
      <c r="BA87" s="250" t="n"/>
      <c r="BB87" s="412">
        <f>IF(B87="","",IF(AR87="No",AV87-AZ87,""))</f>
        <v/>
      </c>
      <c r="BC87" s="412">
        <f>IF(B87="","",IF(AR87="Yes",AS87-BA87,""))</f>
        <v/>
      </c>
      <c r="BD87" s="254" t="n"/>
      <c r="BE87" s="536" t="n"/>
      <c r="BF87" s="254" t="n"/>
      <c r="BG87" s="254" t="n"/>
      <c r="BH87" s="248" t="n"/>
      <c r="BI87" s="413">
        <f>IF(B87="","",IF(OR(AND(AZ87&gt;0,BB87&gt;=2.5%,BB87&lt;4%),AND(BA87&gt;0,BC87&gt;=6%,BC87&lt;8%)),"Yes","No"))</f>
        <v/>
      </c>
      <c r="BJ87" s="413">
        <f>IF(B87="","",IF(OR(AND(AZ87&gt;0,BB87&lt;2.5%),AND(BA87&gt;0,BC87&lt;6%)),"Yes","No"))</f>
        <v/>
      </c>
      <c r="BK87" s="248" t="n"/>
      <c r="BL87" s="248" t="n"/>
      <c r="BM87" s="248" t="n"/>
      <c r="BN87" s="248" t="n"/>
      <c r="BO87" s="248" t="n"/>
      <c r="BP87" s="248" t="n"/>
      <c r="BQ87" s="248" t="n"/>
      <c r="BR87" s="248" t="n"/>
      <c r="BS87" s="248" t="n"/>
      <c r="BT87" s="248" t="n"/>
      <c r="BU87" s="248" t="n"/>
      <c r="BV87" s="248" t="n"/>
      <c r="BW87" s="248" t="n"/>
      <c r="BX87" s="248" t="n"/>
      <c r="BY87" s="248" t="n"/>
      <c r="BZ87" s="248" t="n"/>
      <c r="CA87" s="248" t="n"/>
      <c r="CB87" s="537" t="n"/>
      <c r="CC87" s="537" t="n"/>
      <c r="CD87" s="265" t="n"/>
      <c r="CE87" s="265" t="n"/>
      <c r="CF87" s="265" t="n"/>
      <c r="CG87" s="265" t="n"/>
      <c r="CH87" s="265" t="n"/>
      <c r="CI87" s="265" t="n"/>
      <c r="CJ87" s="265" t="n"/>
      <c r="CK87" s="265" t="n"/>
      <c r="CL87" s="265" t="n"/>
      <c r="CM87" s="265" t="n"/>
      <c r="CN87" s="265" t="n"/>
      <c r="CO87" s="265" t="n"/>
      <c r="CP87" s="265" t="n"/>
      <c r="CQ87" s="265" t="n"/>
      <c r="CR87" s="265" t="n"/>
      <c r="CS87" s="265" t="n"/>
      <c r="CT87" s="265" t="n"/>
      <c r="CU87" s="265" t="n"/>
      <c r="CV87" s="265" t="n"/>
      <c r="CW87" s="265" t="n"/>
      <c r="CX87" s="265" t="n"/>
      <c r="CY87" s="265" t="n"/>
      <c r="CZ87" s="265" t="n"/>
      <c r="DA87" s="265" t="n"/>
      <c r="DB87" s="265" t="n"/>
      <c r="DC87" s="265" t="n"/>
      <c r="DD87" s="265" t="n"/>
      <c r="DE87" s="265" t="n"/>
      <c r="DF87" s="265" t="n"/>
      <c r="DG87" s="265" t="n"/>
      <c r="DH87" s="265" t="n"/>
      <c r="DI87" s="265" t="n"/>
      <c r="DJ87" s="265" t="n"/>
      <c r="DK87" s="265" t="n"/>
      <c r="DL87" s="265" t="n"/>
      <c r="DN87" s="538" t="n"/>
      <c r="DO87" s="539" t="n"/>
      <c r="DP87" s="538" t="n"/>
      <c r="DQ87" s="538" t="n"/>
      <c r="DR87" s="539" t="n"/>
      <c r="DS87" s="538" t="n"/>
      <c r="DT87" s="538" t="n"/>
      <c r="DU87" s="539" t="n"/>
      <c r="DV87" s="538" t="n"/>
      <c r="DW87" s="538" t="n"/>
      <c r="DX87" s="539" t="n"/>
      <c r="DY87" s="538" t="n"/>
      <c r="DZ87" s="538" t="n"/>
      <c r="EA87" s="539" t="n"/>
      <c r="EB87" s="538" t="n"/>
      <c r="EC87" s="538" t="n"/>
      <c r="ED87" s="539" t="n"/>
      <c r="EE87" s="538" t="n"/>
      <c r="EF87" s="538" t="n"/>
      <c r="EG87" s="539" t="n"/>
      <c r="EH87" s="538" t="n"/>
      <c r="EI87" s="538" t="n"/>
      <c r="EJ87" s="539" t="n"/>
      <c r="EK87" s="538" t="n"/>
      <c r="EL87" s="538" t="n"/>
      <c r="EM87" s="539" t="n"/>
      <c r="EN87" s="538" t="n"/>
      <c r="EO87" s="538" t="n"/>
      <c r="EP87" s="539" t="n"/>
      <c r="EQ87" s="538" t="n"/>
      <c r="ER87" s="538" t="n"/>
      <c r="ES87" s="539" t="n"/>
      <c r="ET87" s="538" t="n"/>
      <c r="EU87" s="538" t="n"/>
      <c r="EV87" s="539" t="n"/>
      <c r="EW87" s="538" t="n"/>
      <c r="EX87" s="538" t="n"/>
      <c r="EY87" s="539" t="n"/>
      <c r="EZ87" s="538" t="n"/>
      <c r="FA87" s="538" t="n"/>
      <c r="FB87" s="539" t="n"/>
      <c r="FC87" s="538" t="n"/>
      <c r="FD87" s="538" t="n"/>
      <c r="FE87" s="539" t="n"/>
      <c r="FF87" s="538" t="n"/>
      <c r="FG87" s="538" t="n"/>
      <c r="FH87" s="538" t="n"/>
      <c r="FI87" s="538" t="n"/>
      <c r="FJ87" s="538" t="n"/>
      <c r="FK87" s="538" t="n"/>
      <c r="FL87" s="538" t="n"/>
      <c r="FM87" s="538">
        <f>FL87</f>
        <v/>
      </c>
      <c r="FN87" s="538">
        <f>IF(FL87=0,0,VLOOKUP(C87,$HD$10:$HE$406,2,FALSE)*FL87)</f>
        <v/>
      </c>
      <c r="FO87" s="538">
        <f>FL87-FN87</f>
        <v/>
      </c>
      <c r="FP87" s="538" t="n"/>
      <c r="FQ87" s="539" t="n"/>
      <c r="FR87" s="538" t="n"/>
      <c r="FS87" s="538" t="n"/>
      <c r="FT87" s="539" t="n"/>
      <c r="FU87" s="538" t="n"/>
      <c r="FV87" s="538" t="n"/>
      <c r="FW87" s="538" t="n"/>
      <c r="FX87" s="538" t="n"/>
      <c r="FY87" s="538" t="n"/>
      <c r="FZ87" s="539" t="n"/>
      <c r="GA87" s="538" t="n"/>
      <c r="GB87" s="538" t="n"/>
      <c r="GC87" s="540" t="n"/>
      <c r="GD87" s="138" t="n"/>
      <c r="GE87" s="541" t="n"/>
      <c r="GF87" s="538" t="n"/>
      <c r="GG87" s="270" t="n"/>
      <c r="GH87" s="137" t="n"/>
      <c r="GI87" s="542" t="n"/>
      <c r="GJ87" s="542" t="n"/>
      <c r="GK87" s="489" t="n"/>
      <c r="GL87" s="137" t="n"/>
      <c r="GM87" s="272" t="n"/>
      <c r="GO87" s="137" t="n"/>
      <c r="GP87" s="538" t="n"/>
      <c r="GQ87" s="137" t="n"/>
      <c r="GR87" s="542" t="n"/>
      <c r="GS87" s="542" t="n"/>
      <c r="GT87" s="489" t="n"/>
      <c r="GU87" s="137" t="n"/>
      <c r="GV87" s="272" t="n"/>
      <c r="GW87" s="272" t="n"/>
      <c r="GX87" s="137" t="n"/>
      <c r="GY87" s="538" t="n"/>
      <c r="GZ87" s="137" t="n"/>
      <c r="HA87" s="542" t="n"/>
      <c r="HB87" s="543" t="n"/>
      <c r="HC87" s="489" t="n"/>
      <c r="HD87" s="137" t="n"/>
      <c r="HE87" s="272" t="n"/>
      <c r="HF87" s="272" t="n"/>
      <c r="HG87" s="270" t="n"/>
      <c r="HH87" s="544" t="n"/>
      <c r="HI87" s="538" t="n"/>
      <c r="HK87" s="137" t="n"/>
      <c r="HL87" s="538" t="n"/>
      <c r="HN87" s="521" t="n"/>
      <c r="HO87" s="521" t="n"/>
      <c r="HP87" s="521" t="n"/>
      <c r="HQ87" s="521" t="n"/>
      <c r="HR87" s="521" t="n"/>
      <c r="HS87" s="521" t="n"/>
      <c r="HT87" s="521" t="n"/>
      <c r="HU87" s="522" t="n"/>
      <c r="HV87" s="274" t="n"/>
      <c r="HW87" s="522" t="n"/>
      <c r="HX87" s="522" t="n"/>
      <c r="HY87" s="522" t="n"/>
      <c r="HZ87" s="522" t="n"/>
      <c r="IA87" s="522" t="n"/>
      <c r="IB87" s="545" t="n"/>
      <c r="IE87" s="351" t="n"/>
    </row>
    <row r="88" ht="15" customHeight="1">
      <c r="B88" s="242" t="n"/>
      <c r="C88" s="242" t="n"/>
      <c r="D88" s="243" t="n"/>
      <c r="E88" s="243" t="n"/>
      <c r="F88" s="244" t="n"/>
      <c r="G88" s="528" t="n"/>
      <c r="H88" s="528" t="n"/>
      <c r="I88" s="246" t="n"/>
      <c r="J88" s="529" t="n"/>
      <c r="K88" s="529" t="n"/>
      <c r="L88" s="529" t="n"/>
      <c r="M88" s="529" t="n"/>
      <c r="N88" s="248" t="n"/>
      <c r="O88" s="248" t="n"/>
      <c r="P88" s="249" t="n"/>
      <c r="Q88" s="248" t="n"/>
      <c r="R88" s="552" t="n"/>
      <c r="S88" s="251" t="n"/>
      <c r="T88" s="552" t="n"/>
      <c r="U88" s="252" t="n"/>
      <c r="V88" s="252" t="n"/>
      <c r="W88" s="530" t="n"/>
      <c r="X88" s="248" t="n"/>
      <c r="Y88" s="254" t="n"/>
      <c r="Z88" s="254" t="n"/>
      <c r="AA88" s="531" t="n"/>
      <c r="AB88" s="531" t="n"/>
      <c r="AC88" s="532" t="n"/>
      <c r="AD88" s="532" t="n"/>
      <c r="AE88" s="532" t="n"/>
      <c r="AF88" s="532" t="n"/>
      <c r="AG88" s="533" t="n"/>
      <c r="AH88" s="533" t="n"/>
      <c r="AI88" s="533" t="n"/>
      <c r="AJ88" s="533" t="n"/>
      <c r="AK88" s="534" t="n"/>
      <c r="AL88" s="534" t="n"/>
      <c r="AM88" s="553" t="n"/>
      <c r="AN88" s="529" t="n"/>
      <c r="AO88" s="244" t="n"/>
      <c r="AP88" s="535" t="n"/>
      <c r="AQ88" s="535" t="n"/>
      <c r="AR88" s="248" t="n"/>
      <c r="AS88" s="280" t="n"/>
      <c r="AT88" s="248" t="n"/>
      <c r="AU88" s="250" t="n"/>
      <c r="AV88" s="250" t="n"/>
      <c r="AW88" s="250" t="n"/>
      <c r="AX88" s="262" t="n"/>
      <c r="AY88" s="250" t="n"/>
      <c r="AZ88" s="250" t="n"/>
      <c r="BA88" s="250" t="n"/>
      <c r="BB88" s="412">
        <f>IF(B88="","",IF(AR88="No",AV88-AZ88,""))</f>
        <v/>
      </c>
      <c r="BC88" s="412">
        <f>IF(B88="","",IF(AR88="Yes",AS88-BA88,""))</f>
        <v/>
      </c>
      <c r="BD88" s="254" t="n"/>
      <c r="BE88" s="536" t="n"/>
      <c r="BF88" s="254" t="n"/>
      <c r="BG88" s="254" t="n"/>
      <c r="BH88" s="248" t="n"/>
      <c r="BI88" s="413">
        <f>IF(B88="","",IF(OR(AND(AZ88&gt;0,BB88&gt;=2.5%,BB88&lt;4%),AND(BA88&gt;0,BC88&gt;=6%,BC88&lt;8%)),"Yes","No"))</f>
        <v/>
      </c>
      <c r="BJ88" s="413">
        <f>IF(B88="","",IF(OR(AND(AZ88&gt;0,BB88&lt;2.5%),AND(BA88&gt;0,BC88&lt;6%)),"Yes","No"))</f>
        <v/>
      </c>
      <c r="BK88" s="248" t="n"/>
      <c r="BL88" s="248" t="n"/>
      <c r="BM88" s="248" t="n"/>
      <c r="BN88" s="248" t="n"/>
      <c r="BO88" s="248" t="n"/>
      <c r="BP88" s="248" t="n"/>
      <c r="BQ88" s="248" t="n"/>
      <c r="BR88" s="248" t="n"/>
      <c r="BS88" s="248" t="n"/>
      <c r="BT88" s="248" t="n"/>
      <c r="BU88" s="248" t="n"/>
      <c r="BV88" s="248" t="n"/>
      <c r="BW88" s="248" t="n"/>
      <c r="BX88" s="248" t="n"/>
      <c r="BY88" s="248" t="n"/>
      <c r="BZ88" s="248" t="n"/>
      <c r="CA88" s="248" t="n"/>
      <c r="CB88" s="537" t="n"/>
      <c r="CC88" s="537" t="n"/>
      <c r="CD88" s="265" t="n"/>
      <c r="CE88" s="265" t="n"/>
      <c r="CF88" s="265" t="n"/>
      <c r="CG88" s="265" t="n"/>
      <c r="CH88" s="265" t="n"/>
      <c r="CI88" s="265" t="n"/>
      <c r="CJ88" s="265" t="n"/>
      <c r="CK88" s="265" t="n"/>
      <c r="CL88" s="265" t="n"/>
      <c r="CM88" s="265" t="n"/>
      <c r="CN88" s="265" t="n"/>
      <c r="CO88" s="265" t="n"/>
      <c r="CP88" s="265" t="n"/>
      <c r="CQ88" s="265" t="n"/>
      <c r="CR88" s="265" t="n"/>
      <c r="CS88" s="265" t="n"/>
      <c r="CT88" s="265" t="n"/>
      <c r="CU88" s="265" t="n"/>
      <c r="CV88" s="265" t="n"/>
      <c r="CW88" s="265" t="n"/>
      <c r="CX88" s="265" t="n"/>
      <c r="CY88" s="265" t="n"/>
      <c r="CZ88" s="265" t="n"/>
      <c r="DA88" s="265" t="n"/>
      <c r="DB88" s="265" t="n"/>
      <c r="DC88" s="265" t="n"/>
      <c r="DD88" s="265" t="n"/>
      <c r="DE88" s="265" t="n"/>
      <c r="DF88" s="265" t="n"/>
      <c r="DG88" s="265" t="n"/>
      <c r="DH88" s="265" t="n"/>
      <c r="DI88" s="265" t="n"/>
      <c r="DJ88" s="265" t="n"/>
      <c r="DK88" s="265" t="n"/>
      <c r="DL88" s="265" t="n"/>
      <c r="DN88" s="538" t="n"/>
      <c r="DO88" s="539" t="n"/>
      <c r="DP88" s="538" t="n"/>
      <c r="DQ88" s="538" t="n"/>
      <c r="DR88" s="539" t="n"/>
      <c r="DS88" s="538" t="n"/>
      <c r="DT88" s="538" t="n"/>
      <c r="DU88" s="539" t="n"/>
      <c r="DV88" s="538" t="n"/>
      <c r="DW88" s="538" t="n"/>
      <c r="DX88" s="539" t="n"/>
      <c r="DY88" s="538" t="n"/>
      <c r="DZ88" s="538" t="n"/>
      <c r="EA88" s="539" t="n"/>
      <c r="EB88" s="538" t="n"/>
      <c r="EC88" s="538" t="n"/>
      <c r="ED88" s="539" t="n"/>
      <c r="EE88" s="538" t="n"/>
      <c r="EF88" s="538" t="n"/>
      <c r="EG88" s="539" t="n"/>
      <c r="EH88" s="538" t="n"/>
      <c r="EI88" s="538" t="n"/>
      <c r="EJ88" s="539" t="n"/>
      <c r="EK88" s="538" t="n"/>
      <c r="EL88" s="538" t="n"/>
      <c r="EM88" s="539" t="n"/>
      <c r="EN88" s="538" t="n"/>
      <c r="EO88" s="538" t="n"/>
      <c r="EP88" s="539" t="n"/>
      <c r="EQ88" s="538" t="n"/>
      <c r="ER88" s="538" t="n"/>
      <c r="ES88" s="539" t="n"/>
      <c r="ET88" s="538" t="n"/>
      <c r="EU88" s="538" t="n"/>
      <c r="EV88" s="539" t="n"/>
      <c r="EW88" s="538" t="n"/>
      <c r="EX88" s="538" t="n"/>
      <c r="EY88" s="539" t="n"/>
      <c r="EZ88" s="538" t="n"/>
      <c r="FA88" s="538" t="n"/>
      <c r="FB88" s="539" t="n"/>
      <c r="FC88" s="538" t="n"/>
      <c r="FD88" s="538" t="n"/>
      <c r="FE88" s="539" t="n"/>
      <c r="FF88" s="538" t="n"/>
      <c r="FG88" s="538" t="n"/>
      <c r="FH88" s="538" t="n"/>
      <c r="FI88" s="538" t="n"/>
      <c r="FJ88" s="538" t="n"/>
      <c r="FK88" s="538" t="n"/>
      <c r="FL88" s="538" t="n"/>
      <c r="FM88" s="538">
        <f>FL88</f>
        <v/>
      </c>
      <c r="FN88" s="538">
        <f>IF(FL88=0,0,VLOOKUP(C88,$HD$10:$HE$406,2,FALSE)*FL88)</f>
        <v/>
      </c>
      <c r="FO88" s="538">
        <f>FL88-FN88</f>
        <v/>
      </c>
      <c r="FP88" s="538" t="n"/>
      <c r="FQ88" s="539" t="n"/>
      <c r="FR88" s="538" t="n"/>
      <c r="FS88" s="538" t="n"/>
      <c r="FT88" s="539" t="n"/>
      <c r="FU88" s="538" t="n"/>
      <c r="FV88" s="538" t="n"/>
      <c r="FW88" s="538" t="n"/>
      <c r="FX88" s="538" t="n"/>
      <c r="FY88" s="538" t="n"/>
      <c r="FZ88" s="539" t="n"/>
      <c r="GA88" s="538" t="n"/>
      <c r="GB88" s="538" t="n"/>
      <c r="GC88" s="540" t="n"/>
      <c r="GD88" s="138" t="n"/>
      <c r="GE88" s="541" t="n"/>
      <c r="GF88" s="538" t="n"/>
      <c r="GG88" s="270" t="n"/>
      <c r="GH88" s="137" t="n"/>
      <c r="GI88" s="542" t="n"/>
      <c r="GJ88" s="542" t="n"/>
      <c r="GK88" s="489" t="n"/>
      <c r="GL88" s="137" t="n"/>
      <c r="GM88" s="272" t="n"/>
      <c r="GO88" s="137" t="n"/>
      <c r="GP88" s="538" t="n"/>
      <c r="GQ88" s="137" t="n"/>
      <c r="GR88" s="542" t="n"/>
      <c r="GS88" s="542" t="n"/>
      <c r="GT88" s="489" t="n"/>
      <c r="GU88" s="137" t="n"/>
      <c r="GV88" s="272" t="n"/>
      <c r="GW88" s="272" t="n"/>
      <c r="GX88" s="137" t="n"/>
      <c r="GY88" s="538" t="n"/>
      <c r="GZ88" s="137" t="n"/>
      <c r="HA88" s="542" t="n"/>
      <c r="HB88" s="543" t="n"/>
      <c r="HC88" s="489" t="n"/>
      <c r="HD88" s="137" t="n"/>
      <c r="HE88" s="272" t="n"/>
      <c r="HF88" s="272" t="n"/>
      <c r="HG88" s="270" t="n"/>
      <c r="HH88" s="544" t="n"/>
      <c r="HI88" s="538" t="n"/>
      <c r="HK88" s="137" t="n"/>
      <c r="HL88" s="538" t="n"/>
      <c r="HN88" s="521" t="n"/>
      <c r="HO88" s="521" t="n"/>
      <c r="HP88" s="521" t="n"/>
      <c r="HQ88" s="521" t="n"/>
      <c r="HR88" s="521" t="n"/>
      <c r="HS88" s="521" t="n"/>
      <c r="HT88" s="521" t="n"/>
      <c r="HU88" s="522" t="n"/>
      <c r="HV88" s="274" t="n"/>
      <c r="HW88" s="522" t="n"/>
      <c r="HX88" s="522" t="n"/>
      <c r="HY88" s="522" t="n"/>
      <c r="HZ88" s="522" t="n"/>
      <c r="IA88" s="522" t="n"/>
      <c r="IB88" s="545" t="n"/>
      <c r="IE88" s="351" t="n"/>
    </row>
    <row r="89" ht="15" customHeight="1">
      <c r="B89" s="242" t="n"/>
      <c r="C89" s="242" t="n"/>
      <c r="D89" s="243" t="n"/>
      <c r="E89" s="243" t="n"/>
      <c r="F89" s="244" t="n"/>
      <c r="G89" s="528" t="n"/>
      <c r="H89" s="528" t="n"/>
      <c r="I89" s="246" t="n"/>
      <c r="J89" s="529" t="n"/>
      <c r="K89" s="529" t="n"/>
      <c r="L89" s="529" t="n"/>
      <c r="M89" s="529" t="n"/>
      <c r="N89" s="248" t="n"/>
      <c r="O89" s="248" t="n"/>
      <c r="P89" s="249" t="n"/>
      <c r="Q89" s="248" t="n"/>
      <c r="R89" s="552" t="n"/>
      <c r="S89" s="251" t="n"/>
      <c r="T89" s="552" t="n"/>
      <c r="U89" s="252" t="n"/>
      <c r="V89" s="252" t="n"/>
      <c r="W89" s="530" t="n"/>
      <c r="X89" s="248" t="n"/>
      <c r="Y89" s="254" t="n"/>
      <c r="Z89" s="254" t="n"/>
      <c r="AA89" s="531" t="n"/>
      <c r="AB89" s="531" t="n"/>
      <c r="AC89" s="532" t="n"/>
      <c r="AD89" s="532" t="n"/>
      <c r="AE89" s="532" t="n"/>
      <c r="AF89" s="532" t="n"/>
      <c r="AG89" s="533" t="n"/>
      <c r="AH89" s="533" t="n"/>
      <c r="AI89" s="533" t="n"/>
      <c r="AJ89" s="533" t="n"/>
      <c r="AK89" s="534" t="n"/>
      <c r="AL89" s="534" t="n"/>
      <c r="AM89" s="553" t="n"/>
      <c r="AN89" s="529" t="n"/>
      <c r="AO89" s="244" t="n"/>
      <c r="AP89" s="535" t="n"/>
      <c r="AQ89" s="535" t="n"/>
      <c r="AR89" s="248" t="n"/>
      <c r="AS89" s="280" t="n"/>
      <c r="AT89" s="248" t="n"/>
      <c r="AU89" s="250" t="n"/>
      <c r="AV89" s="250" t="n"/>
      <c r="AW89" s="250" t="n"/>
      <c r="AX89" s="262" t="n"/>
      <c r="AY89" s="250" t="n"/>
      <c r="AZ89" s="250" t="n"/>
      <c r="BA89" s="250" t="n"/>
      <c r="BB89" s="412">
        <f>IF(B89="","",IF(AR89="No",AV89-AZ89,""))</f>
        <v/>
      </c>
      <c r="BC89" s="412">
        <f>IF(B89="","",IF(AR89="Yes",AS89-BA89,""))</f>
        <v/>
      </c>
      <c r="BD89" s="254" t="n"/>
      <c r="BE89" s="536" t="n"/>
      <c r="BF89" s="254" t="n"/>
      <c r="BG89" s="254" t="n"/>
      <c r="BH89" s="248" t="n"/>
      <c r="BI89" s="413">
        <f>IF(B89="","",IF(OR(AND(AZ89&gt;0,BB89&gt;=2.5%,BB89&lt;4%),AND(BA89&gt;0,BC89&gt;=6%,BC89&lt;8%)),"Yes","No"))</f>
        <v/>
      </c>
      <c r="BJ89" s="413">
        <f>IF(B89="","",IF(OR(AND(AZ89&gt;0,BB89&lt;2.5%),AND(BA89&gt;0,BC89&lt;6%)),"Yes","No"))</f>
        <v/>
      </c>
      <c r="BK89" s="248" t="n"/>
      <c r="BL89" s="248" t="n"/>
      <c r="BM89" s="248" t="n"/>
      <c r="BN89" s="248" t="n"/>
      <c r="BO89" s="248" t="n"/>
      <c r="BP89" s="248" t="n"/>
      <c r="BQ89" s="248" t="n"/>
      <c r="BR89" s="248" t="n"/>
      <c r="BS89" s="248" t="n"/>
      <c r="BT89" s="248" t="n"/>
      <c r="BU89" s="248" t="n"/>
      <c r="BV89" s="248" t="n"/>
      <c r="BW89" s="248" t="n"/>
      <c r="BX89" s="248" t="n"/>
      <c r="BY89" s="248" t="n"/>
      <c r="BZ89" s="248" t="n"/>
      <c r="CA89" s="248" t="n"/>
      <c r="CB89" s="537" t="n"/>
      <c r="CC89" s="537" t="n"/>
      <c r="CD89" s="265" t="n"/>
      <c r="CE89" s="265" t="n"/>
      <c r="CF89" s="265" t="n"/>
      <c r="CG89" s="265" t="n"/>
      <c r="CH89" s="265" t="n"/>
      <c r="CI89" s="265" t="n"/>
      <c r="CJ89" s="265" t="n"/>
      <c r="CK89" s="265" t="n"/>
      <c r="CL89" s="265" t="n"/>
      <c r="CM89" s="265" t="n"/>
      <c r="CN89" s="265" t="n"/>
      <c r="CO89" s="265" t="n"/>
      <c r="CP89" s="265" t="n"/>
      <c r="CQ89" s="265" t="n"/>
      <c r="CR89" s="265" t="n"/>
      <c r="CS89" s="265" t="n"/>
      <c r="CT89" s="265" t="n"/>
      <c r="CU89" s="265" t="n"/>
      <c r="CV89" s="265" t="n"/>
      <c r="CW89" s="265" t="n"/>
      <c r="CX89" s="265" t="n"/>
      <c r="CY89" s="265" t="n"/>
      <c r="CZ89" s="265" t="n"/>
      <c r="DA89" s="265" t="n"/>
      <c r="DB89" s="265" t="n"/>
      <c r="DC89" s="265" t="n"/>
      <c r="DD89" s="265" t="n"/>
      <c r="DE89" s="265" t="n"/>
      <c r="DF89" s="265" t="n"/>
      <c r="DG89" s="265" t="n"/>
      <c r="DH89" s="265" t="n"/>
      <c r="DI89" s="265" t="n"/>
      <c r="DJ89" s="265" t="n"/>
      <c r="DK89" s="265" t="n"/>
      <c r="DL89" s="265" t="n"/>
      <c r="DN89" s="538" t="n"/>
      <c r="DO89" s="539" t="n"/>
      <c r="DP89" s="538" t="n"/>
      <c r="DQ89" s="538" t="n"/>
      <c r="DR89" s="539" t="n"/>
      <c r="DS89" s="538" t="n"/>
      <c r="DT89" s="538" t="n"/>
      <c r="DU89" s="539" t="n"/>
      <c r="DV89" s="538" t="n"/>
      <c r="DW89" s="538" t="n"/>
      <c r="DX89" s="539" t="n"/>
      <c r="DY89" s="538" t="n"/>
      <c r="DZ89" s="538" t="n"/>
      <c r="EA89" s="539" t="n"/>
      <c r="EB89" s="538" t="n"/>
      <c r="EC89" s="538" t="n"/>
      <c r="ED89" s="539" t="n"/>
      <c r="EE89" s="538" t="n"/>
      <c r="EF89" s="538" t="n"/>
      <c r="EG89" s="539" t="n"/>
      <c r="EH89" s="538" t="n"/>
      <c r="EI89" s="538" t="n"/>
      <c r="EJ89" s="539" t="n"/>
      <c r="EK89" s="538" t="n"/>
      <c r="EL89" s="538" t="n"/>
      <c r="EM89" s="539" t="n"/>
      <c r="EN89" s="538" t="n"/>
      <c r="EO89" s="538" t="n"/>
      <c r="EP89" s="539" t="n"/>
      <c r="EQ89" s="538" t="n"/>
      <c r="ER89" s="538" t="n"/>
      <c r="ES89" s="539" t="n"/>
      <c r="ET89" s="538" t="n"/>
      <c r="EU89" s="538" t="n"/>
      <c r="EV89" s="539" t="n"/>
      <c r="EW89" s="538" t="n"/>
      <c r="EX89" s="538" t="n"/>
      <c r="EY89" s="539" t="n"/>
      <c r="EZ89" s="538" t="n"/>
      <c r="FA89" s="538" t="n"/>
      <c r="FB89" s="539" t="n"/>
      <c r="FC89" s="538" t="n"/>
      <c r="FD89" s="538" t="n"/>
      <c r="FE89" s="539" t="n"/>
      <c r="FF89" s="538" t="n"/>
      <c r="FG89" s="538" t="n"/>
      <c r="FH89" s="538" t="n"/>
      <c r="FI89" s="538" t="n"/>
      <c r="FJ89" s="538" t="n"/>
      <c r="FK89" s="538" t="n"/>
      <c r="FL89" s="538" t="n"/>
      <c r="FM89" s="538">
        <f>FL89</f>
        <v/>
      </c>
      <c r="FN89" s="538">
        <f>IF(FL89=0,0,VLOOKUP(C89,$HD$10:$HE$406,2,FALSE)*FL89)</f>
        <v/>
      </c>
      <c r="FO89" s="538">
        <f>FL89-FN89</f>
        <v/>
      </c>
      <c r="FP89" s="538" t="n"/>
      <c r="FQ89" s="539" t="n"/>
      <c r="FR89" s="538" t="n"/>
      <c r="FS89" s="538" t="n"/>
      <c r="FT89" s="539" t="n"/>
      <c r="FU89" s="538" t="n"/>
      <c r="FV89" s="538" t="n"/>
      <c r="FW89" s="538" t="n"/>
      <c r="FX89" s="538" t="n"/>
      <c r="FY89" s="538" t="n"/>
      <c r="FZ89" s="539" t="n"/>
      <c r="GA89" s="538" t="n"/>
      <c r="GB89" s="538" t="n"/>
      <c r="GC89" s="540" t="n"/>
      <c r="GD89" s="138" t="n"/>
      <c r="GE89" s="541" t="n"/>
      <c r="GF89" s="538" t="n"/>
      <c r="GG89" s="270" t="n"/>
      <c r="GH89" s="137" t="n"/>
      <c r="GI89" s="542" t="n"/>
      <c r="GJ89" s="542" t="n"/>
      <c r="GK89" s="489" t="n"/>
      <c r="GL89" s="137" t="n"/>
      <c r="GM89" s="272" t="n"/>
      <c r="GO89" s="137" t="n"/>
      <c r="GP89" s="538" t="n"/>
      <c r="GQ89" s="137" t="n"/>
      <c r="GR89" s="542" t="n"/>
      <c r="GS89" s="542" t="n"/>
      <c r="GT89" s="489" t="n"/>
      <c r="GU89" s="137" t="n"/>
      <c r="GV89" s="272" t="n"/>
      <c r="GW89" s="272" t="n"/>
      <c r="GX89" s="137" t="n"/>
      <c r="GY89" s="538" t="n"/>
      <c r="GZ89" s="137" t="n"/>
      <c r="HA89" s="542" t="n"/>
      <c r="HB89" s="543" t="n"/>
      <c r="HC89" s="489" t="n"/>
      <c r="HD89" s="137" t="n"/>
      <c r="HE89" s="272" t="n"/>
      <c r="HF89" s="272" t="n"/>
      <c r="HG89" s="270" t="n"/>
      <c r="HH89" s="544" t="n"/>
      <c r="HI89" s="538" t="n"/>
      <c r="HK89" s="137" t="n"/>
      <c r="HL89" s="538" t="n"/>
      <c r="HN89" s="521" t="n"/>
      <c r="HO89" s="521" t="n"/>
      <c r="HP89" s="521" t="n"/>
      <c r="HQ89" s="521" t="n"/>
      <c r="HR89" s="521" t="n"/>
      <c r="HS89" s="521" t="n"/>
      <c r="HT89" s="521" t="n"/>
      <c r="HU89" s="522" t="n"/>
      <c r="HV89" s="274" t="n"/>
      <c r="HW89" s="522" t="n"/>
      <c r="HX89" s="522" t="n"/>
      <c r="HY89" s="522" t="n"/>
      <c r="HZ89" s="522" t="n"/>
      <c r="IA89" s="522" t="n"/>
      <c r="IB89" s="545" t="n"/>
      <c r="IE89" s="351" t="n"/>
    </row>
    <row r="90" ht="15" customHeight="1">
      <c r="B90" s="242" t="n"/>
      <c r="C90" s="242" t="n"/>
      <c r="D90" s="243" t="n"/>
      <c r="E90" s="243" t="n"/>
      <c r="F90" s="244" t="n"/>
      <c r="G90" s="528" t="n"/>
      <c r="H90" s="528" t="n"/>
      <c r="I90" s="246" t="n"/>
      <c r="J90" s="529" t="n"/>
      <c r="K90" s="529" t="n"/>
      <c r="L90" s="529" t="n"/>
      <c r="M90" s="529" t="n"/>
      <c r="N90" s="248" t="n"/>
      <c r="O90" s="248" t="n"/>
      <c r="P90" s="249" t="n"/>
      <c r="Q90" s="248" t="n"/>
      <c r="R90" s="552" t="n"/>
      <c r="S90" s="251" t="n"/>
      <c r="T90" s="552" t="n"/>
      <c r="U90" s="252" t="n"/>
      <c r="V90" s="252" t="n"/>
      <c r="W90" s="530" t="n"/>
      <c r="X90" s="248" t="n"/>
      <c r="Y90" s="254" t="n"/>
      <c r="Z90" s="254" t="n"/>
      <c r="AA90" s="531" t="n"/>
      <c r="AB90" s="531" t="n"/>
      <c r="AC90" s="532" t="n"/>
      <c r="AD90" s="532" t="n"/>
      <c r="AE90" s="532" t="n"/>
      <c r="AF90" s="532" t="n"/>
      <c r="AG90" s="533" t="n"/>
      <c r="AH90" s="533" t="n"/>
      <c r="AI90" s="533" t="n"/>
      <c r="AJ90" s="533" t="n"/>
      <c r="AK90" s="534" t="n"/>
      <c r="AL90" s="534" t="n"/>
      <c r="AM90" s="553" t="n"/>
      <c r="AN90" s="529" t="n"/>
      <c r="AO90" s="244" t="n"/>
      <c r="AP90" s="535" t="n"/>
      <c r="AQ90" s="535" t="n"/>
      <c r="AR90" s="248" t="n"/>
      <c r="AS90" s="280" t="n"/>
      <c r="AT90" s="248" t="n"/>
      <c r="AU90" s="250" t="n"/>
      <c r="AV90" s="250" t="n"/>
      <c r="AW90" s="250" t="n"/>
      <c r="AX90" s="262" t="n"/>
      <c r="AY90" s="250" t="n"/>
      <c r="AZ90" s="250" t="n"/>
      <c r="BA90" s="250" t="n"/>
      <c r="BB90" s="412">
        <f>IF(B90="","",IF(AR90="No",AV90-AZ90,""))</f>
        <v/>
      </c>
      <c r="BC90" s="412">
        <f>IF(B90="","",IF(AR90="Yes",AS90-BA90,""))</f>
        <v/>
      </c>
      <c r="BD90" s="254" t="n"/>
      <c r="BE90" s="536" t="n"/>
      <c r="BF90" s="254" t="n"/>
      <c r="BG90" s="254" t="n"/>
      <c r="BH90" s="248" t="n"/>
      <c r="BI90" s="413">
        <f>IF(B90="","",IF(OR(AND(AZ90&gt;0,BB90&gt;=2.5%,BB90&lt;4%),AND(BA90&gt;0,BC90&gt;=6%,BC90&lt;8%)),"Yes","No"))</f>
        <v/>
      </c>
      <c r="BJ90" s="413">
        <f>IF(B90="","",IF(OR(AND(AZ90&gt;0,BB90&lt;2.5%),AND(BA90&gt;0,BC90&lt;6%)),"Yes","No"))</f>
        <v/>
      </c>
      <c r="BK90" s="248" t="n"/>
      <c r="BL90" s="248" t="n"/>
      <c r="BM90" s="248" t="n"/>
      <c r="BN90" s="248" t="n"/>
      <c r="BO90" s="248" t="n"/>
      <c r="BP90" s="248" t="n"/>
      <c r="BQ90" s="248" t="n"/>
      <c r="BR90" s="248" t="n"/>
      <c r="BS90" s="248" t="n"/>
      <c r="BT90" s="248" t="n"/>
      <c r="BU90" s="248" t="n"/>
      <c r="BV90" s="248" t="n"/>
      <c r="BW90" s="248" t="n"/>
      <c r="BX90" s="248" t="n"/>
      <c r="BY90" s="248" t="n"/>
      <c r="BZ90" s="248" t="n"/>
      <c r="CA90" s="248" t="n"/>
      <c r="CB90" s="537" t="n"/>
      <c r="CC90" s="537" t="n"/>
      <c r="CD90" s="265" t="n"/>
      <c r="CE90" s="265" t="n"/>
      <c r="CF90" s="265" t="n"/>
      <c r="CG90" s="265" t="n"/>
      <c r="CH90" s="265" t="n"/>
      <c r="CI90" s="265" t="n"/>
      <c r="CJ90" s="265" t="n"/>
      <c r="CK90" s="265" t="n"/>
      <c r="CL90" s="265" t="n"/>
      <c r="CM90" s="265" t="n"/>
      <c r="CN90" s="265" t="n"/>
      <c r="CO90" s="265" t="n"/>
      <c r="CP90" s="265" t="n"/>
      <c r="CQ90" s="265" t="n"/>
      <c r="CR90" s="265" t="n"/>
      <c r="CS90" s="265" t="n"/>
      <c r="CT90" s="265" t="n"/>
      <c r="CU90" s="265" t="n"/>
      <c r="CV90" s="265" t="n"/>
      <c r="CW90" s="265" t="n"/>
      <c r="CX90" s="265" t="n"/>
      <c r="CY90" s="265" t="n"/>
      <c r="CZ90" s="265" t="n"/>
      <c r="DA90" s="265" t="n"/>
      <c r="DB90" s="265" t="n"/>
      <c r="DC90" s="265" t="n"/>
      <c r="DD90" s="265" t="n"/>
      <c r="DE90" s="265" t="n"/>
      <c r="DF90" s="265" t="n"/>
      <c r="DG90" s="265" t="n"/>
      <c r="DH90" s="265" t="n"/>
      <c r="DI90" s="265" t="n"/>
      <c r="DJ90" s="265" t="n"/>
      <c r="DK90" s="265" t="n"/>
      <c r="DL90" s="265" t="n"/>
      <c r="DN90" s="538" t="n"/>
      <c r="DO90" s="539" t="n"/>
      <c r="DP90" s="538" t="n"/>
      <c r="DQ90" s="538" t="n"/>
      <c r="DR90" s="539" t="n"/>
      <c r="DS90" s="538" t="n"/>
      <c r="DT90" s="538" t="n"/>
      <c r="DU90" s="539" t="n"/>
      <c r="DV90" s="538" t="n"/>
      <c r="DW90" s="538" t="n"/>
      <c r="DX90" s="539" t="n"/>
      <c r="DY90" s="538" t="n"/>
      <c r="DZ90" s="538" t="n"/>
      <c r="EA90" s="539" t="n"/>
      <c r="EB90" s="538" t="n"/>
      <c r="EC90" s="538" t="n"/>
      <c r="ED90" s="539" t="n"/>
      <c r="EE90" s="538" t="n"/>
      <c r="EF90" s="538" t="n"/>
      <c r="EG90" s="539" t="n"/>
      <c r="EH90" s="538" t="n"/>
      <c r="EI90" s="538" t="n"/>
      <c r="EJ90" s="539" t="n"/>
      <c r="EK90" s="538" t="n"/>
      <c r="EL90" s="538" t="n"/>
      <c r="EM90" s="539" t="n"/>
      <c r="EN90" s="538" t="n"/>
      <c r="EO90" s="538" t="n"/>
      <c r="EP90" s="539" t="n"/>
      <c r="EQ90" s="538" t="n"/>
      <c r="ER90" s="538" t="n"/>
      <c r="ES90" s="539" t="n"/>
      <c r="ET90" s="538" t="n"/>
      <c r="EU90" s="538" t="n"/>
      <c r="EV90" s="539" t="n"/>
      <c r="EW90" s="538" t="n"/>
      <c r="EX90" s="538" t="n"/>
      <c r="EY90" s="539" t="n"/>
      <c r="EZ90" s="538" t="n"/>
      <c r="FA90" s="538" t="n"/>
      <c r="FB90" s="539" t="n"/>
      <c r="FC90" s="538" t="n"/>
      <c r="FD90" s="538" t="n"/>
      <c r="FE90" s="539" t="n"/>
      <c r="FF90" s="538" t="n"/>
      <c r="FG90" s="538" t="n"/>
      <c r="FH90" s="538" t="n"/>
      <c r="FI90" s="538" t="n"/>
      <c r="FJ90" s="538" t="n"/>
      <c r="FK90" s="538" t="n"/>
      <c r="FL90" s="538" t="n"/>
      <c r="FM90" s="538">
        <f>FL90</f>
        <v/>
      </c>
      <c r="FN90" s="538">
        <f>IF(FL90=0,0,VLOOKUP(C90,$HD$10:$HE$406,2,FALSE)*FL90)</f>
        <v/>
      </c>
      <c r="FO90" s="538">
        <f>FL90-FN90</f>
        <v/>
      </c>
      <c r="FP90" s="538" t="n"/>
      <c r="FQ90" s="539" t="n"/>
      <c r="FR90" s="538" t="n"/>
      <c r="FS90" s="538" t="n"/>
      <c r="FT90" s="539" t="n"/>
      <c r="FU90" s="538" t="n"/>
      <c r="FV90" s="538" t="n"/>
      <c r="FW90" s="538" t="n"/>
      <c r="FX90" s="538" t="n"/>
      <c r="FY90" s="538" t="n"/>
      <c r="FZ90" s="539" t="n"/>
      <c r="GA90" s="538" t="n"/>
      <c r="GB90" s="538" t="n"/>
      <c r="GC90" s="540" t="n"/>
      <c r="GD90" s="138" t="n"/>
      <c r="GE90" s="541" t="n"/>
      <c r="GF90" s="538" t="n"/>
      <c r="GG90" s="270" t="n"/>
      <c r="GH90" s="137" t="n"/>
      <c r="GI90" s="542" t="n"/>
      <c r="GJ90" s="542" t="n"/>
      <c r="GK90" s="489" t="n"/>
      <c r="GL90" s="137" t="n"/>
      <c r="GM90" s="272" t="n"/>
      <c r="GO90" s="137" t="n"/>
      <c r="GP90" s="538" t="n"/>
      <c r="GQ90" s="137" t="n"/>
      <c r="GR90" s="542" t="n"/>
      <c r="GS90" s="542" t="n"/>
      <c r="GT90" s="489" t="n"/>
      <c r="GU90" s="137" t="n"/>
      <c r="GV90" s="272" t="n"/>
      <c r="GW90" s="272" t="n"/>
      <c r="GX90" s="137" t="n"/>
      <c r="GY90" s="538" t="n"/>
      <c r="GZ90" s="137" t="n"/>
      <c r="HA90" s="542" t="n"/>
      <c r="HB90" s="543" t="n"/>
      <c r="HC90" s="489" t="n"/>
      <c r="HD90" s="137" t="n"/>
      <c r="HE90" s="272" t="n"/>
      <c r="HF90" s="272" t="n"/>
      <c r="HG90" s="270" t="n"/>
      <c r="HH90" s="544" t="n"/>
      <c r="HI90" s="538" t="n"/>
      <c r="HK90" s="137" t="n"/>
      <c r="HL90" s="538" t="n"/>
      <c r="HN90" s="521" t="n"/>
      <c r="HO90" s="521" t="n"/>
      <c r="HP90" s="521" t="n"/>
      <c r="HQ90" s="521" t="n"/>
      <c r="HR90" s="521" t="n"/>
      <c r="HS90" s="521" t="n"/>
      <c r="HT90" s="521" t="n"/>
      <c r="HU90" s="522" t="n"/>
      <c r="HV90" s="274" t="n"/>
      <c r="HW90" s="522" t="n"/>
      <c r="HX90" s="522" t="n"/>
      <c r="HY90" s="522" t="n"/>
      <c r="HZ90" s="522" t="n"/>
      <c r="IA90" s="522" t="n"/>
      <c r="IB90" s="545" t="n"/>
      <c r="IE90" s="351" t="n"/>
    </row>
    <row r="91" ht="15" customHeight="1">
      <c r="B91" s="242" t="n"/>
      <c r="C91" s="242" t="n"/>
      <c r="D91" s="243" t="n"/>
      <c r="E91" s="243" t="n"/>
      <c r="F91" s="244" t="n"/>
      <c r="G91" s="528" t="n"/>
      <c r="H91" s="528" t="n"/>
      <c r="I91" s="246" t="n"/>
      <c r="J91" s="529" t="n"/>
      <c r="K91" s="529" t="n"/>
      <c r="L91" s="529" t="n"/>
      <c r="M91" s="529" t="n"/>
      <c r="N91" s="248" t="n"/>
      <c r="O91" s="248" t="n"/>
      <c r="P91" s="249" t="n"/>
      <c r="Q91" s="248" t="n"/>
      <c r="R91" s="552" t="n"/>
      <c r="S91" s="251" t="n"/>
      <c r="T91" s="552" t="n"/>
      <c r="U91" s="252" t="n"/>
      <c r="V91" s="252" t="n"/>
      <c r="W91" s="530" t="n"/>
      <c r="X91" s="248" t="n"/>
      <c r="Y91" s="254" t="n"/>
      <c r="Z91" s="254" t="n"/>
      <c r="AA91" s="531" t="n"/>
      <c r="AB91" s="531" t="n"/>
      <c r="AC91" s="532" t="n"/>
      <c r="AD91" s="532" t="n"/>
      <c r="AE91" s="532" t="n"/>
      <c r="AF91" s="532" t="n"/>
      <c r="AG91" s="533" t="n"/>
      <c r="AH91" s="533" t="n"/>
      <c r="AI91" s="533" t="n"/>
      <c r="AJ91" s="533" t="n"/>
      <c r="AK91" s="534" t="n"/>
      <c r="AL91" s="534" t="n"/>
      <c r="AM91" s="553" t="n"/>
      <c r="AN91" s="529" t="n"/>
      <c r="AO91" s="244" t="n"/>
      <c r="AP91" s="535" t="n"/>
      <c r="AQ91" s="535" t="n"/>
      <c r="AR91" s="248" t="n"/>
      <c r="AS91" s="280" t="n"/>
      <c r="AT91" s="248" t="n"/>
      <c r="AU91" s="250" t="n"/>
      <c r="AV91" s="250" t="n"/>
      <c r="AW91" s="250" t="n"/>
      <c r="AX91" s="262" t="n"/>
      <c r="AY91" s="250" t="n"/>
      <c r="AZ91" s="250" t="n"/>
      <c r="BA91" s="250" t="n"/>
      <c r="BB91" s="412">
        <f>IF(B91="","",IF(AR91="No",AV91-AZ91,""))</f>
        <v/>
      </c>
      <c r="BC91" s="412">
        <f>IF(B91="","",IF(AR91="Yes",AS91-BA91,""))</f>
        <v/>
      </c>
      <c r="BD91" s="254" t="n"/>
      <c r="BE91" s="536" t="n"/>
      <c r="BF91" s="254" t="n"/>
      <c r="BG91" s="254" t="n"/>
      <c r="BH91" s="248" t="n"/>
      <c r="BI91" s="413">
        <f>IF(B91="","",IF(OR(AND(AZ91&gt;0,BB91&gt;=2.5%,BB91&lt;4%),AND(BA91&gt;0,BC91&gt;=6%,BC91&lt;8%)),"Yes","No"))</f>
        <v/>
      </c>
      <c r="BJ91" s="413">
        <f>IF(B91="","",IF(OR(AND(AZ91&gt;0,BB91&lt;2.5%),AND(BA91&gt;0,BC91&lt;6%)),"Yes","No"))</f>
        <v/>
      </c>
      <c r="BK91" s="248" t="n"/>
      <c r="BL91" s="248" t="n"/>
      <c r="BM91" s="248" t="n"/>
      <c r="BN91" s="248" t="n"/>
      <c r="BO91" s="248" t="n"/>
      <c r="BP91" s="248" t="n"/>
      <c r="BQ91" s="248" t="n"/>
      <c r="BR91" s="248" t="n"/>
      <c r="BS91" s="248" t="n"/>
      <c r="BT91" s="248" t="n"/>
      <c r="BU91" s="248" t="n"/>
      <c r="BV91" s="248" t="n"/>
      <c r="BW91" s="248" t="n"/>
      <c r="BX91" s="248" t="n"/>
      <c r="BY91" s="248" t="n"/>
      <c r="BZ91" s="248" t="n"/>
      <c r="CA91" s="248" t="n"/>
      <c r="CB91" s="537" t="n"/>
      <c r="CC91" s="537" t="n"/>
      <c r="CD91" s="265" t="n"/>
      <c r="CE91" s="265" t="n"/>
      <c r="CF91" s="265" t="n"/>
      <c r="CG91" s="265" t="n"/>
      <c r="CH91" s="265" t="n"/>
      <c r="CI91" s="265" t="n"/>
      <c r="CJ91" s="265" t="n"/>
      <c r="CK91" s="265" t="n"/>
      <c r="CL91" s="265" t="n"/>
      <c r="CM91" s="265" t="n"/>
      <c r="CN91" s="265" t="n"/>
      <c r="CO91" s="265" t="n"/>
      <c r="CP91" s="265" t="n"/>
      <c r="CQ91" s="265" t="n"/>
      <c r="CR91" s="265" t="n"/>
      <c r="CS91" s="265" t="n"/>
      <c r="CT91" s="265" t="n"/>
      <c r="CU91" s="265" t="n"/>
      <c r="CV91" s="265" t="n"/>
      <c r="CW91" s="265" t="n"/>
      <c r="CX91" s="265" t="n"/>
      <c r="CY91" s="265" t="n"/>
      <c r="CZ91" s="265" t="n"/>
      <c r="DA91" s="265" t="n"/>
      <c r="DB91" s="265" t="n"/>
      <c r="DC91" s="265" t="n"/>
      <c r="DD91" s="265" t="n"/>
      <c r="DE91" s="265" t="n"/>
      <c r="DF91" s="265" t="n"/>
      <c r="DG91" s="265" t="n"/>
      <c r="DH91" s="265" t="n"/>
      <c r="DI91" s="265" t="n"/>
      <c r="DJ91" s="265" t="n"/>
      <c r="DK91" s="265" t="n"/>
      <c r="DL91" s="265" t="n"/>
      <c r="DN91" s="538" t="n"/>
      <c r="DO91" s="539" t="n"/>
      <c r="DP91" s="538" t="n"/>
      <c r="DQ91" s="538" t="n"/>
      <c r="DR91" s="539" t="n"/>
      <c r="DS91" s="538" t="n"/>
      <c r="DT91" s="538" t="n"/>
      <c r="DU91" s="539" t="n"/>
      <c r="DV91" s="538" t="n"/>
      <c r="DW91" s="538" t="n"/>
      <c r="DX91" s="539" t="n"/>
      <c r="DY91" s="538" t="n"/>
      <c r="DZ91" s="538" t="n"/>
      <c r="EA91" s="539" t="n"/>
      <c r="EB91" s="538" t="n"/>
      <c r="EC91" s="538" t="n"/>
      <c r="ED91" s="539" t="n"/>
      <c r="EE91" s="538" t="n"/>
      <c r="EF91" s="538" t="n"/>
      <c r="EG91" s="539" t="n"/>
      <c r="EH91" s="538" t="n"/>
      <c r="EI91" s="538" t="n"/>
      <c r="EJ91" s="539" t="n"/>
      <c r="EK91" s="538" t="n"/>
      <c r="EL91" s="538" t="n"/>
      <c r="EM91" s="539" t="n"/>
      <c r="EN91" s="538" t="n"/>
      <c r="EO91" s="538" t="n"/>
      <c r="EP91" s="539" t="n"/>
      <c r="EQ91" s="538" t="n"/>
      <c r="ER91" s="538" t="n"/>
      <c r="ES91" s="539" t="n"/>
      <c r="ET91" s="538" t="n"/>
      <c r="EU91" s="538" t="n"/>
      <c r="EV91" s="539" t="n"/>
      <c r="EW91" s="538" t="n"/>
      <c r="EX91" s="538" t="n"/>
      <c r="EY91" s="539" t="n"/>
      <c r="EZ91" s="538" t="n"/>
      <c r="FA91" s="538" t="n"/>
      <c r="FB91" s="539" t="n"/>
      <c r="FC91" s="538" t="n"/>
      <c r="FD91" s="538" t="n"/>
      <c r="FE91" s="539" t="n"/>
      <c r="FF91" s="538" t="n"/>
      <c r="FG91" s="538" t="n"/>
      <c r="FH91" s="538" t="n"/>
      <c r="FI91" s="538" t="n"/>
      <c r="FJ91" s="538" t="n"/>
      <c r="FK91" s="538" t="n"/>
      <c r="FL91" s="538" t="n"/>
      <c r="FM91" s="538">
        <f>FL91</f>
        <v/>
      </c>
      <c r="FN91" s="538">
        <f>IF(FL91=0,0,VLOOKUP(C91,$HD$10:$HE$406,2,FALSE)*FL91)</f>
        <v/>
      </c>
      <c r="FO91" s="538">
        <f>FL91-FN91</f>
        <v/>
      </c>
      <c r="FP91" s="538" t="n"/>
      <c r="FQ91" s="539" t="n"/>
      <c r="FR91" s="538" t="n"/>
      <c r="FS91" s="538" t="n"/>
      <c r="FT91" s="539" t="n"/>
      <c r="FU91" s="538" t="n"/>
      <c r="FV91" s="538" t="n"/>
      <c r="FW91" s="538" t="n"/>
      <c r="FX91" s="538" t="n"/>
      <c r="FY91" s="538" t="n"/>
      <c r="FZ91" s="539" t="n"/>
      <c r="GA91" s="538" t="n"/>
      <c r="GB91" s="538" t="n"/>
      <c r="GC91" s="540" t="n"/>
      <c r="GD91" s="138" t="n"/>
      <c r="GE91" s="541" t="n"/>
      <c r="GF91" s="538" t="n"/>
      <c r="GG91" s="270" t="n"/>
      <c r="GH91" s="137" t="n"/>
      <c r="GI91" s="542" t="n"/>
      <c r="GJ91" s="542" t="n"/>
      <c r="GK91" s="489" t="n"/>
      <c r="GL91" s="137" t="n"/>
      <c r="GM91" s="272" t="n"/>
      <c r="GO91" s="137" t="n"/>
      <c r="GP91" s="538" t="n"/>
      <c r="GQ91" s="137" t="n"/>
      <c r="GR91" s="542" t="n"/>
      <c r="GS91" s="542" t="n"/>
      <c r="GT91" s="489" t="n"/>
      <c r="GU91" s="137" t="n"/>
      <c r="GV91" s="272" t="n"/>
      <c r="GW91" s="272" t="n"/>
      <c r="GX91" s="137" t="n"/>
      <c r="GY91" s="538" t="n"/>
      <c r="GZ91" s="137" t="n"/>
      <c r="HA91" s="542" t="n"/>
      <c r="HB91" s="543" t="n"/>
      <c r="HC91" s="489" t="n"/>
      <c r="HD91" s="137" t="n"/>
      <c r="HE91" s="272" t="n"/>
      <c r="HF91" s="272" t="n"/>
      <c r="HG91" s="270" t="n"/>
      <c r="HH91" s="544" t="n"/>
      <c r="HI91" s="538" t="n"/>
      <c r="HK91" s="137" t="n"/>
      <c r="HL91" s="538" t="n"/>
      <c r="HN91" s="521" t="n"/>
      <c r="HO91" s="521" t="n"/>
      <c r="HP91" s="521" t="n"/>
      <c r="HQ91" s="521" t="n"/>
      <c r="HR91" s="521" t="n"/>
      <c r="HS91" s="521" t="n"/>
      <c r="HT91" s="521" t="n"/>
      <c r="HU91" s="522" t="n"/>
      <c r="HV91" s="274" t="n"/>
      <c r="HW91" s="522" t="n"/>
      <c r="HX91" s="522" t="n"/>
      <c r="HY91" s="522" t="n"/>
      <c r="HZ91" s="522" t="n"/>
      <c r="IA91" s="522" t="n"/>
      <c r="IB91" s="545" t="n"/>
      <c r="IE91" s="351" t="n"/>
    </row>
    <row r="92" ht="15" customHeight="1">
      <c r="B92" s="242" t="n"/>
      <c r="C92" s="242" t="n"/>
      <c r="D92" s="243" t="n"/>
      <c r="E92" s="243" t="n"/>
      <c r="F92" s="244" t="n"/>
      <c r="G92" s="528" t="n"/>
      <c r="H92" s="528" t="n"/>
      <c r="I92" s="246" t="n"/>
      <c r="J92" s="529" t="n"/>
      <c r="K92" s="529" t="n"/>
      <c r="L92" s="529" t="n"/>
      <c r="M92" s="529" t="n"/>
      <c r="N92" s="248" t="n"/>
      <c r="O92" s="248" t="n"/>
      <c r="P92" s="249" t="n"/>
      <c r="Q92" s="248" t="n"/>
      <c r="R92" s="552" t="n"/>
      <c r="S92" s="251" t="n"/>
      <c r="T92" s="552" t="n"/>
      <c r="U92" s="252" t="n"/>
      <c r="V92" s="252" t="n"/>
      <c r="W92" s="530" t="n"/>
      <c r="X92" s="248" t="n"/>
      <c r="Y92" s="254" t="n"/>
      <c r="Z92" s="254" t="n"/>
      <c r="AA92" s="531" t="n"/>
      <c r="AB92" s="531" t="n"/>
      <c r="AC92" s="532" t="n"/>
      <c r="AD92" s="532" t="n"/>
      <c r="AE92" s="532" t="n"/>
      <c r="AF92" s="532" t="n"/>
      <c r="AG92" s="533" t="n"/>
      <c r="AH92" s="533" t="n"/>
      <c r="AI92" s="533" t="n"/>
      <c r="AJ92" s="533" t="n"/>
      <c r="AK92" s="534" t="n"/>
      <c r="AL92" s="534" t="n"/>
      <c r="AM92" s="553" t="n"/>
      <c r="AN92" s="529" t="n"/>
      <c r="AO92" s="244" t="n"/>
      <c r="AP92" s="535" t="n"/>
      <c r="AQ92" s="535" t="n"/>
      <c r="AR92" s="248" t="n"/>
      <c r="AS92" s="280" t="n"/>
      <c r="AT92" s="248" t="n"/>
      <c r="AU92" s="250" t="n"/>
      <c r="AV92" s="250" t="n"/>
      <c r="AW92" s="250" t="n"/>
      <c r="AX92" s="262" t="n"/>
      <c r="AY92" s="250" t="n"/>
      <c r="AZ92" s="250" t="n"/>
      <c r="BA92" s="250" t="n"/>
      <c r="BB92" s="412">
        <f>IF(B92="","",IF(AR92="No",AV92-AZ92,""))</f>
        <v/>
      </c>
      <c r="BC92" s="412">
        <f>IF(B92="","",IF(AR92="Yes",AS92-BA92,""))</f>
        <v/>
      </c>
      <c r="BD92" s="254" t="n"/>
      <c r="BE92" s="536" t="n"/>
      <c r="BF92" s="254" t="n"/>
      <c r="BG92" s="254" t="n"/>
      <c r="BH92" s="248" t="n"/>
      <c r="BI92" s="413">
        <f>IF(B92="","",IF(OR(AND(AZ92&gt;0,BB92&gt;=2.5%,BB92&lt;4%),AND(BA92&gt;0,BC92&gt;=6%,BC92&lt;8%)),"Yes","No"))</f>
        <v/>
      </c>
      <c r="BJ92" s="413">
        <f>IF(B92="","",IF(OR(AND(AZ92&gt;0,BB92&lt;2.5%),AND(BA92&gt;0,BC92&lt;6%)),"Yes","No"))</f>
        <v/>
      </c>
      <c r="BK92" s="248" t="n"/>
      <c r="BL92" s="248" t="n"/>
      <c r="BM92" s="248" t="n"/>
      <c r="BN92" s="248" t="n"/>
      <c r="BO92" s="248" t="n"/>
      <c r="BP92" s="248" t="n"/>
      <c r="BQ92" s="248" t="n"/>
      <c r="BR92" s="248" t="n"/>
      <c r="BS92" s="248" t="n"/>
      <c r="BT92" s="248" t="n"/>
      <c r="BU92" s="248" t="n"/>
      <c r="BV92" s="248" t="n"/>
      <c r="BW92" s="248" t="n"/>
      <c r="BX92" s="248" t="n"/>
      <c r="BY92" s="248" t="n"/>
      <c r="BZ92" s="248" t="n"/>
      <c r="CA92" s="248" t="n"/>
      <c r="CB92" s="537" t="n"/>
      <c r="CC92" s="537" t="n"/>
      <c r="CD92" s="265" t="n"/>
      <c r="CE92" s="265" t="n"/>
      <c r="CF92" s="265" t="n"/>
      <c r="CG92" s="265" t="n"/>
      <c r="CH92" s="265" t="n"/>
      <c r="CI92" s="265" t="n"/>
      <c r="CJ92" s="265" t="n"/>
      <c r="CK92" s="265" t="n"/>
      <c r="CL92" s="265" t="n"/>
      <c r="CM92" s="265" t="n"/>
      <c r="CN92" s="265" t="n"/>
      <c r="CO92" s="265" t="n"/>
      <c r="CP92" s="265" t="n"/>
      <c r="CQ92" s="265" t="n"/>
      <c r="CR92" s="265" t="n"/>
      <c r="CS92" s="265" t="n"/>
      <c r="CT92" s="265" t="n"/>
      <c r="CU92" s="265" t="n"/>
      <c r="CV92" s="265" t="n"/>
      <c r="CW92" s="265" t="n"/>
      <c r="CX92" s="265" t="n"/>
      <c r="CY92" s="265" t="n"/>
      <c r="CZ92" s="265" t="n"/>
      <c r="DA92" s="265" t="n"/>
      <c r="DB92" s="265" t="n"/>
      <c r="DC92" s="265" t="n"/>
      <c r="DD92" s="265" t="n"/>
      <c r="DE92" s="265" t="n"/>
      <c r="DF92" s="265" t="n"/>
      <c r="DG92" s="265" t="n"/>
      <c r="DH92" s="265" t="n"/>
      <c r="DI92" s="265" t="n"/>
      <c r="DJ92" s="265" t="n"/>
      <c r="DK92" s="265" t="n"/>
      <c r="DL92" s="265" t="n"/>
      <c r="DN92" s="538" t="n"/>
      <c r="DO92" s="539" t="n"/>
      <c r="DP92" s="538" t="n"/>
      <c r="DQ92" s="538" t="n"/>
      <c r="DR92" s="539" t="n"/>
      <c r="DS92" s="538" t="n"/>
      <c r="DT92" s="538" t="n"/>
      <c r="DU92" s="539" t="n"/>
      <c r="DV92" s="538" t="n"/>
      <c r="DW92" s="538" t="n"/>
      <c r="DX92" s="539" t="n"/>
      <c r="DY92" s="538" t="n"/>
      <c r="DZ92" s="538" t="n"/>
      <c r="EA92" s="539" t="n"/>
      <c r="EB92" s="538" t="n"/>
      <c r="EC92" s="538" t="n"/>
      <c r="ED92" s="539" t="n"/>
      <c r="EE92" s="538" t="n"/>
      <c r="EF92" s="538" t="n"/>
      <c r="EG92" s="539" t="n"/>
      <c r="EH92" s="538" t="n"/>
      <c r="EI92" s="538" t="n"/>
      <c r="EJ92" s="539" t="n"/>
      <c r="EK92" s="538" t="n"/>
      <c r="EL92" s="538" t="n"/>
      <c r="EM92" s="539" t="n"/>
      <c r="EN92" s="538" t="n"/>
      <c r="EO92" s="538" t="n"/>
      <c r="EP92" s="539" t="n"/>
      <c r="EQ92" s="538" t="n"/>
      <c r="ER92" s="538" t="n"/>
      <c r="ES92" s="539" t="n"/>
      <c r="ET92" s="538" t="n"/>
      <c r="EU92" s="538" t="n"/>
      <c r="EV92" s="539" t="n"/>
      <c r="EW92" s="538" t="n"/>
      <c r="EX92" s="538" t="n"/>
      <c r="EY92" s="539" t="n"/>
      <c r="EZ92" s="538" t="n"/>
      <c r="FA92" s="538" t="n"/>
      <c r="FB92" s="539" t="n"/>
      <c r="FC92" s="538" t="n"/>
      <c r="FD92" s="538" t="n"/>
      <c r="FE92" s="539" t="n"/>
      <c r="FF92" s="538" t="n"/>
      <c r="FG92" s="538" t="n"/>
      <c r="FH92" s="538" t="n"/>
      <c r="FI92" s="538" t="n"/>
      <c r="FJ92" s="538" t="n"/>
      <c r="FK92" s="538" t="n"/>
      <c r="FL92" s="538" t="n"/>
      <c r="FM92" s="538">
        <f>FL92</f>
        <v/>
      </c>
      <c r="FN92" s="538">
        <f>IF(FL92=0,0,VLOOKUP(C92,$HD$10:$HE$406,2,FALSE)*FL92)</f>
        <v/>
      </c>
      <c r="FO92" s="538">
        <f>FL92-FN92</f>
        <v/>
      </c>
      <c r="FP92" s="538" t="n"/>
      <c r="FQ92" s="539" t="n"/>
      <c r="FR92" s="538" t="n"/>
      <c r="FS92" s="538" t="n"/>
      <c r="FT92" s="539" t="n"/>
      <c r="FU92" s="538" t="n"/>
      <c r="FV92" s="538" t="n"/>
      <c r="FW92" s="538" t="n"/>
      <c r="FX92" s="538" t="n"/>
      <c r="FY92" s="538" t="n"/>
      <c r="FZ92" s="539" t="n"/>
      <c r="GA92" s="538" t="n"/>
      <c r="GB92" s="538" t="n"/>
      <c r="GC92" s="540" t="n"/>
      <c r="GD92" s="138" t="n"/>
      <c r="GE92" s="541" t="n"/>
      <c r="GF92" s="538" t="n"/>
      <c r="GG92" s="270" t="n"/>
      <c r="GH92" s="137" t="n"/>
      <c r="GI92" s="542" t="n"/>
      <c r="GJ92" s="542" t="n"/>
      <c r="GK92" s="489" t="n"/>
      <c r="GL92" s="137" t="n"/>
      <c r="GM92" s="272" t="n"/>
      <c r="GO92" s="137" t="n"/>
      <c r="GP92" s="538" t="n"/>
      <c r="GQ92" s="137" t="n"/>
      <c r="GR92" s="542" t="n"/>
      <c r="GS92" s="542" t="n"/>
      <c r="GT92" s="489" t="n"/>
      <c r="GU92" s="137" t="n"/>
      <c r="GV92" s="272" t="n"/>
      <c r="GW92" s="272" t="n"/>
      <c r="GX92" s="137" t="n"/>
      <c r="GY92" s="538" t="n"/>
      <c r="GZ92" s="137" t="n"/>
      <c r="HA92" s="542" t="n"/>
      <c r="HB92" s="543" t="n"/>
      <c r="HC92" s="489" t="n"/>
      <c r="HD92" s="137" t="n"/>
      <c r="HE92" s="272" t="n"/>
      <c r="HF92" s="272" t="n"/>
      <c r="HG92" s="270" t="n"/>
      <c r="HH92" s="544" t="n"/>
      <c r="HI92" s="538" t="n"/>
      <c r="HK92" s="137" t="n"/>
      <c r="HL92" s="538" t="n"/>
      <c r="HN92" s="521" t="n"/>
      <c r="HO92" s="521" t="n"/>
      <c r="HP92" s="521" t="n"/>
      <c r="HQ92" s="521" t="n"/>
      <c r="HR92" s="521" t="n"/>
      <c r="HS92" s="521" t="n"/>
      <c r="HT92" s="521" t="n"/>
      <c r="HU92" s="522" t="n"/>
      <c r="HV92" s="274" t="n"/>
      <c r="HW92" s="522" t="n"/>
      <c r="HX92" s="522" t="n"/>
      <c r="HY92" s="522" t="n"/>
      <c r="HZ92" s="522" t="n"/>
      <c r="IA92" s="522" t="n"/>
      <c r="IB92" s="545" t="n"/>
      <c r="IE92" s="351" t="n"/>
    </row>
    <row r="93" ht="15" customHeight="1">
      <c r="B93" s="242" t="n"/>
      <c r="C93" s="242" t="n"/>
      <c r="D93" s="243" t="n"/>
      <c r="E93" s="243" t="n"/>
      <c r="F93" s="244" t="n"/>
      <c r="G93" s="528" t="n"/>
      <c r="H93" s="528" t="n"/>
      <c r="I93" s="246" t="n"/>
      <c r="J93" s="529" t="n"/>
      <c r="K93" s="529" t="n"/>
      <c r="L93" s="529" t="n"/>
      <c r="M93" s="529" t="n"/>
      <c r="N93" s="248" t="n"/>
      <c r="O93" s="248" t="n"/>
      <c r="P93" s="249" t="n"/>
      <c r="Q93" s="248" t="n"/>
      <c r="R93" s="552" t="n"/>
      <c r="S93" s="251" t="n"/>
      <c r="T93" s="552" t="n"/>
      <c r="U93" s="252" t="n"/>
      <c r="V93" s="252" t="n"/>
      <c r="W93" s="530" t="n"/>
      <c r="X93" s="248" t="n"/>
      <c r="Y93" s="254" t="n"/>
      <c r="Z93" s="254" t="n"/>
      <c r="AA93" s="531" t="n"/>
      <c r="AB93" s="531" t="n"/>
      <c r="AC93" s="532" t="n"/>
      <c r="AD93" s="532" t="n"/>
      <c r="AE93" s="532" t="n"/>
      <c r="AF93" s="532" t="n"/>
      <c r="AG93" s="533" t="n"/>
      <c r="AH93" s="533" t="n"/>
      <c r="AI93" s="533" t="n"/>
      <c r="AJ93" s="533" t="n"/>
      <c r="AK93" s="534" t="n"/>
      <c r="AL93" s="534" t="n"/>
      <c r="AM93" s="553" t="n"/>
      <c r="AN93" s="529" t="n"/>
      <c r="AO93" s="244" t="n"/>
      <c r="AP93" s="535" t="n"/>
      <c r="AQ93" s="535" t="n"/>
      <c r="AR93" s="248" t="n"/>
      <c r="AS93" s="280" t="n"/>
      <c r="AT93" s="248" t="n"/>
      <c r="AU93" s="250" t="n"/>
      <c r="AV93" s="250" t="n"/>
      <c r="AW93" s="250" t="n"/>
      <c r="AX93" s="262" t="n"/>
      <c r="AY93" s="250" t="n"/>
      <c r="AZ93" s="250" t="n"/>
      <c r="BA93" s="250" t="n"/>
      <c r="BB93" s="412">
        <f>IF(B93="","",IF(AR93="No",AV93-AZ93,""))</f>
        <v/>
      </c>
      <c r="BC93" s="412">
        <f>IF(B93="","",IF(AR93="Yes",AS93-BA93,""))</f>
        <v/>
      </c>
      <c r="BD93" s="254" t="n"/>
      <c r="BE93" s="536" t="n"/>
      <c r="BF93" s="254" t="n"/>
      <c r="BG93" s="254" t="n"/>
      <c r="BH93" s="248" t="n"/>
      <c r="BI93" s="413">
        <f>IF(B93="","",IF(OR(AND(AZ93&gt;0,BB93&gt;=2.5%,BB93&lt;4%),AND(BA93&gt;0,BC93&gt;=6%,BC93&lt;8%)),"Yes","No"))</f>
        <v/>
      </c>
      <c r="BJ93" s="413">
        <f>IF(B93="","",IF(OR(AND(AZ93&gt;0,BB93&lt;2.5%),AND(BA93&gt;0,BC93&lt;6%)),"Yes","No"))</f>
        <v/>
      </c>
      <c r="BK93" s="248" t="n"/>
      <c r="BL93" s="248" t="n"/>
      <c r="BM93" s="248" t="n"/>
      <c r="BN93" s="248" t="n"/>
      <c r="BO93" s="248" t="n"/>
      <c r="BP93" s="248" t="n"/>
      <c r="BQ93" s="248" t="n"/>
      <c r="BR93" s="248" t="n"/>
      <c r="BS93" s="248" t="n"/>
      <c r="BT93" s="248" t="n"/>
      <c r="BU93" s="248" t="n"/>
      <c r="BV93" s="248" t="n"/>
      <c r="BW93" s="248" t="n"/>
      <c r="BX93" s="248" t="n"/>
      <c r="BY93" s="248" t="n"/>
      <c r="BZ93" s="248" t="n"/>
      <c r="CA93" s="248" t="n"/>
      <c r="CB93" s="537" t="n"/>
      <c r="CC93" s="537" t="n"/>
      <c r="CD93" s="265" t="n"/>
      <c r="CE93" s="265" t="n"/>
      <c r="CF93" s="265" t="n"/>
      <c r="CG93" s="265" t="n"/>
      <c r="CH93" s="265" t="n"/>
      <c r="CI93" s="265" t="n"/>
      <c r="CJ93" s="265" t="n"/>
      <c r="CK93" s="265" t="n"/>
      <c r="CL93" s="265" t="n"/>
      <c r="CM93" s="265" t="n"/>
      <c r="CN93" s="265" t="n"/>
      <c r="CO93" s="265" t="n"/>
      <c r="CP93" s="265" t="n"/>
      <c r="CQ93" s="265" t="n"/>
      <c r="CR93" s="265" t="n"/>
      <c r="CS93" s="265" t="n"/>
      <c r="CT93" s="265" t="n"/>
      <c r="CU93" s="265" t="n"/>
      <c r="CV93" s="265" t="n"/>
      <c r="CW93" s="265" t="n"/>
      <c r="CX93" s="265" t="n"/>
      <c r="CY93" s="265" t="n"/>
      <c r="CZ93" s="265" t="n"/>
      <c r="DA93" s="265" t="n"/>
      <c r="DB93" s="265" t="n"/>
      <c r="DC93" s="265" t="n"/>
      <c r="DD93" s="265" t="n"/>
      <c r="DE93" s="265" t="n"/>
      <c r="DF93" s="265" t="n"/>
      <c r="DG93" s="265" t="n"/>
      <c r="DH93" s="265" t="n"/>
      <c r="DI93" s="265" t="n"/>
      <c r="DJ93" s="265" t="n"/>
      <c r="DK93" s="265" t="n"/>
      <c r="DL93" s="265" t="n"/>
      <c r="DN93" s="538" t="n"/>
      <c r="DO93" s="539" t="n"/>
      <c r="DP93" s="538" t="n"/>
      <c r="DQ93" s="538" t="n"/>
      <c r="DR93" s="539" t="n"/>
      <c r="DS93" s="538" t="n"/>
      <c r="DT93" s="538" t="n"/>
      <c r="DU93" s="539" t="n"/>
      <c r="DV93" s="538" t="n"/>
      <c r="DW93" s="538" t="n"/>
      <c r="DX93" s="539" t="n"/>
      <c r="DY93" s="538" t="n"/>
      <c r="DZ93" s="538" t="n"/>
      <c r="EA93" s="539" t="n"/>
      <c r="EB93" s="538" t="n"/>
      <c r="EC93" s="538" t="n"/>
      <c r="ED93" s="539" t="n"/>
      <c r="EE93" s="538" t="n"/>
      <c r="EF93" s="538" t="n"/>
      <c r="EG93" s="539" t="n"/>
      <c r="EH93" s="538" t="n"/>
      <c r="EI93" s="538" t="n"/>
      <c r="EJ93" s="539" t="n"/>
      <c r="EK93" s="538" t="n"/>
      <c r="EL93" s="538" t="n"/>
      <c r="EM93" s="539" t="n"/>
      <c r="EN93" s="538" t="n"/>
      <c r="EO93" s="538" t="n"/>
      <c r="EP93" s="539" t="n"/>
      <c r="EQ93" s="538" t="n"/>
      <c r="ER93" s="538" t="n"/>
      <c r="ES93" s="539" t="n"/>
      <c r="ET93" s="538" t="n"/>
      <c r="EU93" s="538" t="n"/>
      <c r="EV93" s="539" t="n"/>
      <c r="EW93" s="538" t="n"/>
      <c r="EX93" s="538" t="n"/>
      <c r="EY93" s="539" t="n"/>
      <c r="EZ93" s="538" t="n"/>
      <c r="FA93" s="538" t="n"/>
      <c r="FB93" s="539" t="n"/>
      <c r="FC93" s="538" t="n"/>
      <c r="FD93" s="538" t="n"/>
      <c r="FE93" s="539" t="n"/>
      <c r="FF93" s="538" t="n"/>
      <c r="FG93" s="538" t="n"/>
      <c r="FH93" s="538" t="n"/>
      <c r="FI93" s="538" t="n"/>
      <c r="FJ93" s="538" t="n"/>
      <c r="FK93" s="538" t="n"/>
      <c r="FL93" s="538" t="n"/>
      <c r="FM93" s="538">
        <f>FL93</f>
        <v/>
      </c>
      <c r="FN93" s="538">
        <f>IF(FL93=0,0,VLOOKUP(C93,$HD$10:$HE$406,2,FALSE)*FL93)</f>
        <v/>
      </c>
      <c r="FO93" s="538">
        <f>FL93-FN93</f>
        <v/>
      </c>
      <c r="FP93" s="538" t="n"/>
      <c r="FQ93" s="539" t="n"/>
      <c r="FR93" s="538" t="n"/>
      <c r="FS93" s="538" t="n"/>
      <c r="FT93" s="539" t="n"/>
      <c r="FU93" s="538" t="n"/>
      <c r="FV93" s="538" t="n"/>
      <c r="FW93" s="538" t="n"/>
      <c r="FX93" s="538" t="n"/>
      <c r="FY93" s="538" t="n"/>
      <c r="FZ93" s="539" t="n"/>
      <c r="GA93" s="538" t="n"/>
      <c r="GB93" s="538" t="n"/>
      <c r="GC93" s="540" t="n"/>
      <c r="GD93" s="138" t="n"/>
      <c r="GE93" s="541" t="n"/>
      <c r="GF93" s="538" t="n"/>
      <c r="GG93" s="270" t="n"/>
      <c r="GH93" s="137" t="n"/>
      <c r="GI93" s="542" t="n"/>
      <c r="GJ93" s="542" t="n"/>
      <c r="GK93" s="489" t="n"/>
      <c r="GL93" s="137" t="n"/>
      <c r="GM93" s="272" t="n"/>
      <c r="GO93" s="137" t="n"/>
      <c r="GP93" s="538" t="n"/>
      <c r="GQ93" s="137" t="n"/>
      <c r="GR93" s="542" t="n"/>
      <c r="GS93" s="542" t="n"/>
      <c r="GT93" s="489" t="n"/>
      <c r="GU93" s="137" t="n"/>
      <c r="GV93" s="272" t="n"/>
      <c r="GW93" s="272" t="n"/>
      <c r="GX93" s="137" t="n"/>
      <c r="GY93" s="538" t="n"/>
      <c r="GZ93" s="137" t="n"/>
      <c r="HA93" s="542" t="n"/>
      <c r="HB93" s="543" t="n"/>
      <c r="HC93" s="489" t="n"/>
      <c r="HD93" s="137" t="n"/>
      <c r="HE93" s="272" t="n"/>
      <c r="HF93" s="272" t="n"/>
      <c r="HG93" s="270" t="n"/>
      <c r="HH93" s="544" t="n"/>
      <c r="HI93" s="538" t="n"/>
      <c r="HK93" s="137" t="n"/>
      <c r="HL93" s="538" t="n"/>
      <c r="HN93" s="521" t="n"/>
      <c r="HO93" s="521" t="n"/>
      <c r="HP93" s="521" t="n"/>
      <c r="HQ93" s="521" t="n"/>
      <c r="HR93" s="521" t="n"/>
      <c r="HS93" s="521" t="n"/>
      <c r="HT93" s="521" t="n"/>
      <c r="HU93" s="522" t="n"/>
      <c r="HV93" s="274" t="n"/>
      <c r="HW93" s="522" t="n"/>
      <c r="HX93" s="522" t="n"/>
      <c r="HY93" s="522" t="n"/>
      <c r="HZ93" s="522" t="n"/>
      <c r="IA93" s="522" t="n"/>
      <c r="IB93" s="545" t="n"/>
      <c r="IE93" s="351" t="n"/>
    </row>
    <row r="94" ht="15" customHeight="1">
      <c r="B94" s="242" t="n"/>
      <c r="C94" s="242" t="n"/>
      <c r="D94" s="243" t="n"/>
      <c r="E94" s="243" t="n"/>
      <c r="F94" s="244" t="n"/>
      <c r="G94" s="528" t="n"/>
      <c r="H94" s="528" t="n"/>
      <c r="I94" s="246" t="n"/>
      <c r="J94" s="529" t="n"/>
      <c r="K94" s="529" t="n"/>
      <c r="L94" s="529" t="n"/>
      <c r="M94" s="529" t="n"/>
      <c r="N94" s="248" t="n"/>
      <c r="O94" s="248" t="n"/>
      <c r="P94" s="249" t="n"/>
      <c r="Q94" s="248" t="n"/>
      <c r="R94" s="552" t="n"/>
      <c r="S94" s="251" t="n"/>
      <c r="T94" s="552" t="n"/>
      <c r="U94" s="252" t="n"/>
      <c r="V94" s="252" t="n"/>
      <c r="W94" s="530" t="n"/>
      <c r="X94" s="248" t="n"/>
      <c r="Y94" s="254" t="n"/>
      <c r="Z94" s="254" t="n"/>
      <c r="AA94" s="531" t="n"/>
      <c r="AB94" s="531" t="n"/>
      <c r="AC94" s="532" t="n"/>
      <c r="AD94" s="532" t="n"/>
      <c r="AE94" s="532" t="n"/>
      <c r="AF94" s="532" t="n"/>
      <c r="AG94" s="533" t="n"/>
      <c r="AH94" s="533" t="n"/>
      <c r="AI94" s="533" t="n"/>
      <c r="AJ94" s="533" t="n"/>
      <c r="AK94" s="534" t="n"/>
      <c r="AL94" s="534" t="n"/>
      <c r="AM94" s="553" t="n"/>
      <c r="AN94" s="529" t="n"/>
      <c r="AO94" s="244" t="n"/>
      <c r="AP94" s="535" t="n"/>
      <c r="AQ94" s="535" t="n"/>
      <c r="AR94" s="248" t="n"/>
      <c r="AS94" s="280" t="n"/>
      <c r="AT94" s="248" t="n"/>
      <c r="AU94" s="250" t="n"/>
      <c r="AV94" s="250" t="n"/>
      <c r="AW94" s="250" t="n"/>
      <c r="AX94" s="262" t="n"/>
      <c r="AY94" s="250" t="n"/>
      <c r="AZ94" s="250" t="n"/>
      <c r="BA94" s="250" t="n"/>
      <c r="BB94" s="412">
        <f>IF(B94="","",IF(AR94="No",AV94-AZ94,""))</f>
        <v/>
      </c>
      <c r="BC94" s="412">
        <f>IF(B94="","",IF(AR94="Yes",AS94-BA94,""))</f>
        <v/>
      </c>
      <c r="BD94" s="254" t="n"/>
      <c r="BE94" s="536" t="n"/>
      <c r="BF94" s="254" t="n"/>
      <c r="BG94" s="254" t="n"/>
      <c r="BH94" s="248" t="n"/>
      <c r="BI94" s="413">
        <f>IF(B94="","",IF(OR(AND(AZ94&gt;0,BB94&gt;=2.5%,BB94&lt;4%),AND(BA94&gt;0,BC94&gt;=6%,BC94&lt;8%)),"Yes","No"))</f>
        <v/>
      </c>
      <c r="BJ94" s="413">
        <f>IF(B94="","",IF(OR(AND(AZ94&gt;0,BB94&lt;2.5%),AND(BA94&gt;0,BC94&lt;6%)),"Yes","No"))</f>
        <v/>
      </c>
      <c r="BK94" s="248" t="n"/>
      <c r="BL94" s="248" t="n"/>
      <c r="BM94" s="248" t="n"/>
      <c r="BN94" s="248" t="n"/>
      <c r="BO94" s="248" t="n"/>
      <c r="BP94" s="248" t="n"/>
      <c r="BQ94" s="248" t="n"/>
      <c r="BR94" s="248" t="n"/>
      <c r="BS94" s="248" t="n"/>
      <c r="BT94" s="248" t="n"/>
      <c r="BU94" s="248" t="n"/>
      <c r="BV94" s="248" t="n"/>
      <c r="BW94" s="248" t="n"/>
      <c r="BX94" s="248" t="n"/>
      <c r="BY94" s="248" t="n"/>
      <c r="BZ94" s="248" t="n"/>
      <c r="CA94" s="248" t="n"/>
      <c r="CB94" s="537" t="n"/>
      <c r="CC94" s="537" t="n"/>
      <c r="CD94" s="265" t="n"/>
      <c r="CE94" s="265" t="n"/>
      <c r="CF94" s="265" t="n"/>
      <c r="CG94" s="265" t="n"/>
      <c r="CH94" s="265" t="n"/>
      <c r="CI94" s="265" t="n"/>
      <c r="CJ94" s="265" t="n"/>
      <c r="CK94" s="265" t="n"/>
      <c r="CL94" s="265" t="n"/>
      <c r="CM94" s="265" t="n"/>
      <c r="CN94" s="265" t="n"/>
      <c r="CO94" s="265" t="n"/>
      <c r="CP94" s="265" t="n"/>
      <c r="CQ94" s="265" t="n"/>
      <c r="CR94" s="265" t="n"/>
      <c r="CS94" s="265" t="n"/>
      <c r="CT94" s="265" t="n"/>
      <c r="CU94" s="265" t="n"/>
      <c r="CV94" s="265" t="n"/>
      <c r="CW94" s="265" t="n"/>
      <c r="CX94" s="265" t="n"/>
      <c r="CY94" s="265" t="n"/>
      <c r="CZ94" s="265" t="n"/>
      <c r="DA94" s="265" t="n"/>
      <c r="DB94" s="265" t="n"/>
      <c r="DC94" s="265" t="n"/>
      <c r="DD94" s="265" t="n"/>
      <c r="DE94" s="265" t="n"/>
      <c r="DF94" s="265" t="n"/>
      <c r="DG94" s="265" t="n"/>
      <c r="DH94" s="265" t="n"/>
      <c r="DI94" s="265" t="n"/>
      <c r="DJ94" s="265" t="n"/>
      <c r="DK94" s="265" t="n"/>
      <c r="DL94" s="265" t="n"/>
      <c r="DN94" s="538" t="n"/>
      <c r="DO94" s="539" t="n"/>
      <c r="DP94" s="538" t="n"/>
      <c r="DQ94" s="538" t="n"/>
      <c r="DR94" s="539" t="n"/>
      <c r="DS94" s="538" t="n"/>
      <c r="DT94" s="538" t="n"/>
      <c r="DU94" s="539" t="n"/>
      <c r="DV94" s="538" t="n"/>
      <c r="DW94" s="538" t="n"/>
      <c r="DX94" s="539" t="n"/>
      <c r="DY94" s="538" t="n"/>
      <c r="DZ94" s="538" t="n"/>
      <c r="EA94" s="539" t="n"/>
      <c r="EB94" s="538" t="n"/>
      <c r="EC94" s="538" t="n"/>
      <c r="ED94" s="539" t="n"/>
      <c r="EE94" s="538" t="n"/>
      <c r="EF94" s="538" t="n"/>
      <c r="EG94" s="539" t="n"/>
      <c r="EH94" s="538" t="n"/>
      <c r="EI94" s="538" t="n"/>
      <c r="EJ94" s="539" t="n"/>
      <c r="EK94" s="538" t="n"/>
      <c r="EL94" s="538" t="n"/>
      <c r="EM94" s="539" t="n"/>
      <c r="EN94" s="538" t="n"/>
      <c r="EO94" s="538" t="n"/>
      <c r="EP94" s="539" t="n"/>
      <c r="EQ94" s="538" t="n"/>
      <c r="ER94" s="538" t="n"/>
      <c r="ES94" s="539" t="n"/>
      <c r="ET94" s="538" t="n"/>
      <c r="EU94" s="538" t="n"/>
      <c r="EV94" s="539" t="n"/>
      <c r="EW94" s="538" t="n"/>
      <c r="EX94" s="538" t="n"/>
      <c r="EY94" s="539" t="n"/>
      <c r="EZ94" s="538" t="n"/>
      <c r="FA94" s="538" t="n"/>
      <c r="FB94" s="539" t="n"/>
      <c r="FC94" s="538" t="n"/>
      <c r="FD94" s="538" t="n"/>
      <c r="FE94" s="539" t="n"/>
      <c r="FF94" s="538" t="n"/>
      <c r="FG94" s="538" t="n"/>
      <c r="FH94" s="538" t="n"/>
      <c r="FI94" s="538" t="n"/>
      <c r="FJ94" s="538" t="n"/>
      <c r="FK94" s="538" t="n"/>
      <c r="FL94" s="538" t="n"/>
      <c r="FM94" s="538">
        <f>FL94</f>
        <v/>
      </c>
      <c r="FN94" s="538">
        <f>IF(FL94=0,0,VLOOKUP(C94,$HD$10:$HE$406,2,FALSE)*FL94)</f>
        <v/>
      </c>
      <c r="FO94" s="538">
        <f>FL94-FN94</f>
        <v/>
      </c>
      <c r="FP94" s="538" t="n"/>
      <c r="FQ94" s="539" t="n"/>
      <c r="FR94" s="538" t="n"/>
      <c r="FS94" s="538" t="n"/>
      <c r="FT94" s="539" t="n"/>
      <c r="FU94" s="538" t="n"/>
      <c r="FV94" s="538" t="n"/>
      <c r="FW94" s="538" t="n"/>
      <c r="FX94" s="538" t="n"/>
      <c r="FY94" s="538" t="n"/>
      <c r="FZ94" s="539" t="n"/>
      <c r="GA94" s="538" t="n"/>
      <c r="GB94" s="538" t="n"/>
      <c r="GC94" s="540" t="n"/>
      <c r="GD94" s="138" t="n"/>
      <c r="GE94" s="541" t="n"/>
      <c r="GF94" s="538" t="n"/>
      <c r="GG94" s="270" t="n"/>
      <c r="GH94" s="137" t="n"/>
      <c r="GI94" s="542" t="n"/>
      <c r="GJ94" s="542" t="n"/>
      <c r="GK94" s="489" t="n"/>
      <c r="GL94" s="137" t="n"/>
      <c r="GM94" s="272" t="n"/>
      <c r="GO94" s="137" t="n"/>
      <c r="GP94" s="538" t="n"/>
      <c r="GQ94" s="137" t="n"/>
      <c r="GR94" s="542" t="n"/>
      <c r="GS94" s="542" t="n"/>
      <c r="GT94" s="489" t="n"/>
      <c r="GU94" s="137" t="n"/>
      <c r="GV94" s="272" t="n"/>
      <c r="GW94" s="272" t="n"/>
      <c r="GX94" s="137" t="n"/>
      <c r="GY94" s="538" t="n"/>
      <c r="GZ94" s="137" t="n"/>
      <c r="HA94" s="542" t="n"/>
      <c r="HB94" s="543" t="n"/>
      <c r="HC94" s="489" t="n"/>
      <c r="HD94" s="137" t="n"/>
      <c r="HE94" s="272" t="n"/>
      <c r="HF94" s="272" t="n"/>
      <c r="HG94" s="270" t="n"/>
      <c r="HH94" s="544" t="n"/>
      <c r="HI94" s="538" t="n"/>
      <c r="HK94" s="137" t="n"/>
      <c r="HL94" s="538" t="n"/>
      <c r="HN94" s="521" t="n"/>
      <c r="HO94" s="521" t="n"/>
      <c r="HP94" s="521" t="n"/>
      <c r="HQ94" s="521" t="n"/>
      <c r="HR94" s="521" t="n"/>
      <c r="HS94" s="521" t="n"/>
      <c r="HT94" s="521" t="n"/>
      <c r="HU94" s="522" t="n"/>
      <c r="HV94" s="274" t="n"/>
      <c r="HW94" s="522" t="n"/>
      <c r="HX94" s="522" t="n"/>
      <c r="HY94" s="522" t="n"/>
      <c r="HZ94" s="522" t="n"/>
      <c r="IA94" s="522" t="n"/>
      <c r="IB94" s="545" t="n"/>
      <c r="IE94" s="351" t="n"/>
    </row>
    <row r="95" ht="15" customHeight="1">
      <c r="B95" s="242" t="n"/>
      <c r="C95" s="242" t="n"/>
      <c r="D95" s="243" t="n"/>
      <c r="E95" s="243" t="n"/>
      <c r="F95" s="244" t="n"/>
      <c r="G95" s="528" t="n"/>
      <c r="H95" s="528" t="n"/>
      <c r="I95" s="246" t="n"/>
      <c r="J95" s="529" t="n"/>
      <c r="K95" s="529" t="n"/>
      <c r="L95" s="529" t="n"/>
      <c r="M95" s="529" t="n"/>
      <c r="N95" s="248" t="n"/>
      <c r="O95" s="248" t="n"/>
      <c r="P95" s="249" t="n"/>
      <c r="Q95" s="248" t="n"/>
      <c r="R95" s="552" t="n"/>
      <c r="S95" s="251" t="n"/>
      <c r="T95" s="552" t="n"/>
      <c r="U95" s="252" t="n"/>
      <c r="V95" s="252" t="n"/>
      <c r="W95" s="530" t="n"/>
      <c r="X95" s="248" t="n"/>
      <c r="Y95" s="254" t="n"/>
      <c r="Z95" s="254" t="n"/>
      <c r="AA95" s="531" t="n"/>
      <c r="AB95" s="531" t="n"/>
      <c r="AC95" s="532" t="n"/>
      <c r="AD95" s="532" t="n"/>
      <c r="AE95" s="532" t="n"/>
      <c r="AF95" s="532" t="n"/>
      <c r="AG95" s="533" t="n"/>
      <c r="AH95" s="533" t="n"/>
      <c r="AI95" s="533" t="n"/>
      <c r="AJ95" s="533" t="n"/>
      <c r="AK95" s="534" t="n"/>
      <c r="AL95" s="534" t="n"/>
      <c r="AM95" s="553" t="n"/>
      <c r="AN95" s="529" t="n"/>
      <c r="AO95" s="244" t="n"/>
      <c r="AP95" s="535" t="n"/>
      <c r="AQ95" s="535" t="n"/>
      <c r="AR95" s="248" t="n"/>
      <c r="AS95" s="280" t="n"/>
      <c r="AT95" s="248" t="n"/>
      <c r="AU95" s="250" t="n"/>
      <c r="AV95" s="250" t="n"/>
      <c r="AW95" s="250" t="n"/>
      <c r="AX95" s="262" t="n"/>
      <c r="AY95" s="250" t="n"/>
      <c r="AZ95" s="250" t="n"/>
      <c r="BA95" s="250" t="n"/>
      <c r="BB95" s="412">
        <f>IF(B95="","",IF(AR95="No",AV95-AZ95,""))</f>
        <v/>
      </c>
      <c r="BC95" s="412">
        <f>IF(B95="","",IF(AR95="Yes",AS95-BA95,""))</f>
        <v/>
      </c>
      <c r="BD95" s="254" t="n"/>
      <c r="BE95" s="536" t="n"/>
      <c r="BF95" s="254" t="n"/>
      <c r="BG95" s="254" t="n"/>
      <c r="BH95" s="248" t="n"/>
      <c r="BI95" s="413">
        <f>IF(B95="","",IF(OR(AND(AZ95&gt;0,BB95&gt;=2.5%,BB95&lt;4%),AND(BA95&gt;0,BC95&gt;=6%,BC95&lt;8%)),"Yes","No"))</f>
        <v/>
      </c>
      <c r="BJ95" s="413">
        <f>IF(B95="","",IF(OR(AND(AZ95&gt;0,BB95&lt;2.5%),AND(BA95&gt;0,BC95&lt;6%)),"Yes","No"))</f>
        <v/>
      </c>
      <c r="BK95" s="248" t="n"/>
      <c r="BL95" s="248" t="n"/>
      <c r="BM95" s="248" t="n"/>
      <c r="BN95" s="248" t="n"/>
      <c r="BO95" s="248" t="n"/>
      <c r="BP95" s="248" t="n"/>
      <c r="BQ95" s="248" t="n"/>
      <c r="BR95" s="248" t="n"/>
      <c r="BS95" s="248" t="n"/>
      <c r="BT95" s="248" t="n"/>
      <c r="BU95" s="248" t="n"/>
      <c r="BV95" s="248" t="n"/>
      <c r="BW95" s="248" t="n"/>
      <c r="BX95" s="248" t="n"/>
      <c r="BY95" s="248" t="n"/>
      <c r="BZ95" s="248" t="n"/>
      <c r="CA95" s="248" t="n"/>
      <c r="CB95" s="537" t="n"/>
      <c r="CC95" s="537" t="n"/>
      <c r="CD95" s="265" t="n"/>
      <c r="CE95" s="265" t="n"/>
      <c r="CF95" s="265" t="n"/>
      <c r="CG95" s="265" t="n"/>
      <c r="CH95" s="265" t="n"/>
      <c r="CI95" s="265" t="n"/>
      <c r="CJ95" s="265" t="n"/>
      <c r="CK95" s="265" t="n"/>
      <c r="CL95" s="265" t="n"/>
      <c r="CM95" s="265" t="n"/>
      <c r="CN95" s="265" t="n"/>
      <c r="CO95" s="265" t="n"/>
      <c r="CP95" s="265" t="n"/>
      <c r="CQ95" s="265" t="n"/>
      <c r="CR95" s="265" t="n"/>
      <c r="CS95" s="265" t="n"/>
      <c r="CT95" s="265" t="n"/>
      <c r="CU95" s="265" t="n"/>
      <c r="CV95" s="265" t="n"/>
      <c r="CW95" s="265" t="n"/>
      <c r="CX95" s="265" t="n"/>
      <c r="CY95" s="265" t="n"/>
      <c r="CZ95" s="265" t="n"/>
      <c r="DA95" s="265" t="n"/>
      <c r="DB95" s="265" t="n"/>
      <c r="DC95" s="265" t="n"/>
      <c r="DD95" s="265" t="n"/>
      <c r="DE95" s="265" t="n"/>
      <c r="DF95" s="265" t="n"/>
      <c r="DG95" s="265" t="n"/>
      <c r="DH95" s="265" t="n"/>
      <c r="DI95" s="265" t="n"/>
      <c r="DJ95" s="265" t="n"/>
      <c r="DK95" s="265" t="n"/>
      <c r="DL95" s="265" t="n"/>
      <c r="DN95" s="538" t="n"/>
      <c r="DO95" s="539" t="n"/>
      <c r="DP95" s="538" t="n"/>
      <c r="DQ95" s="538" t="n"/>
      <c r="DR95" s="539" t="n"/>
      <c r="DS95" s="538" t="n"/>
      <c r="DT95" s="538" t="n"/>
      <c r="DU95" s="539" t="n"/>
      <c r="DV95" s="538" t="n"/>
      <c r="DW95" s="538" t="n"/>
      <c r="DX95" s="539" t="n"/>
      <c r="DY95" s="538" t="n"/>
      <c r="DZ95" s="538" t="n"/>
      <c r="EA95" s="539" t="n"/>
      <c r="EB95" s="538" t="n"/>
      <c r="EC95" s="538" t="n"/>
      <c r="ED95" s="539" t="n"/>
      <c r="EE95" s="538" t="n"/>
      <c r="EF95" s="538" t="n"/>
      <c r="EG95" s="539" t="n"/>
      <c r="EH95" s="538" t="n"/>
      <c r="EI95" s="538" t="n"/>
      <c r="EJ95" s="539" t="n"/>
      <c r="EK95" s="538" t="n"/>
      <c r="EL95" s="538" t="n"/>
      <c r="EM95" s="539" t="n"/>
      <c r="EN95" s="538" t="n"/>
      <c r="EO95" s="538" t="n"/>
      <c r="EP95" s="539" t="n"/>
      <c r="EQ95" s="538" t="n"/>
      <c r="ER95" s="538" t="n"/>
      <c r="ES95" s="539" t="n"/>
      <c r="ET95" s="538" t="n"/>
      <c r="EU95" s="538" t="n"/>
      <c r="EV95" s="539" t="n"/>
      <c r="EW95" s="538" t="n"/>
      <c r="EX95" s="538" t="n"/>
      <c r="EY95" s="539" t="n"/>
      <c r="EZ95" s="538" t="n"/>
      <c r="FA95" s="538" t="n"/>
      <c r="FB95" s="539" t="n"/>
      <c r="FC95" s="538" t="n"/>
      <c r="FD95" s="538" t="n"/>
      <c r="FE95" s="539" t="n"/>
      <c r="FF95" s="538" t="n"/>
      <c r="FG95" s="538" t="n"/>
      <c r="FH95" s="538" t="n"/>
      <c r="FI95" s="538" t="n"/>
      <c r="FJ95" s="538" t="n"/>
      <c r="FK95" s="538" t="n"/>
      <c r="FL95" s="538" t="n"/>
      <c r="FM95" s="538">
        <f>FL95</f>
        <v/>
      </c>
      <c r="FN95" s="538">
        <f>IF(FL95=0,0,VLOOKUP(C95,$HD$10:$HE$406,2,FALSE)*FL95)</f>
        <v/>
      </c>
      <c r="FO95" s="538">
        <f>FL95-FN95</f>
        <v/>
      </c>
      <c r="FP95" s="538" t="n"/>
      <c r="FQ95" s="539" t="n"/>
      <c r="FR95" s="538" t="n"/>
      <c r="FS95" s="538" t="n"/>
      <c r="FT95" s="539" t="n"/>
      <c r="FU95" s="538" t="n"/>
      <c r="FV95" s="538" t="n"/>
      <c r="FW95" s="538" t="n"/>
      <c r="FX95" s="538" t="n"/>
      <c r="FY95" s="538" t="n"/>
      <c r="FZ95" s="539" t="n"/>
      <c r="GA95" s="538" t="n"/>
      <c r="GB95" s="538" t="n"/>
      <c r="GC95" s="540" t="n"/>
      <c r="GD95" s="138" t="n"/>
      <c r="GE95" s="541" t="n"/>
      <c r="GF95" s="538" t="n"/>
      <c r="GG95" s="270" t="n"/>
      <c r="GH95" s="137" t="n"/>
      <c r="GI95" s="542" t="n"/>
      <c r="GJ95" s="542" t="n"/>
      <c r="GK95" s="489" t="n"/>
      <c r="GL95" s="137" t="n"/>
      <c r="GM95" s="272" t="n"/>
      <c r="GO95" s="137" t="n"/>
      <c r="GP95" s="538" t="n"/>
      <c r="GQ95" s="137" t="n"/>
      <c r="GR95" s="542" t="n"/>
      <c r="GS95" s="542" t="n"/>
      <c r="GT95" s="489" t="n"/>
      <c r="GU95" s="137" t="n"/>
      <c r="GV95" s="272" t="n"/>
      <c r="GW95" s="272" t="n"/>
      <c r="GX95" s="137" t="n"/>
      <c r="GY95" s="538" t="n"/>
      <c r="GZ95" s="137" t="n"/>
      <c r="HA95" s="542" t="n"/>
      <c r="HB95" s="543" t="n"/>
      <c r="HC95" s="489" t="n"/>
      <c r="HD95" s="137" t="n"/>
      <c r="HE95" s="272" t="n"/>
      <c r="HF95" s="272" t="n"/>
      <c r="HG95" s="270" t="n"/>
      <c r="HH95" s="544" t="n"/>
      <c r="HI95" s="538" t="n"/>
      <c r="HK95" s="137" t="n"/>
      <c r="HL95" s="538" t="n"/>
      <c r="HN95" s="521" t="n"/>
      <c r="HO95" s="521" t="n"/>
      <c r="HP95" s="521" t="n"/>
      <c r="HQ95" s="521" t="n"/>
      <c r="HR95" s="521" t="n"/>
      <c r="HS95" s="521" t="n"/>
      <c r="HT95" s="521" t="n"/>
      <c r="HU95" s="522" t="n"/>
      <c r="HV95" s="274" t="n"/>
      <c r="HW95" s="522" t="n"/>
      <c r="HX95" s="522" t="n"/>
      <c r="HY95" s="522" t="n"/>
      <c r="HZ95" s="522" t="n"/>
      <c r="IA95" s="522" t="n"/>
      <c r="IB95" s="545" t="n"/>
      <c r="IE95" s="351" t="n"/>
    </row>
    <row r="96" ht="15" customHeight="1">
      <c r="B96" s="242" t="n"/>
      <c r="C96" s="242" t="n"/>
      <c r="D96" s="243" t="n"/>
      <c r="E96" s="243" t="n"/>
      <c r="F96" s="244" t="n"/>
      <c r="G96" s="528" t="n"/>
      <c r="H96" s="528" t="n"/>
      <c r="I96" s="246" t="n"/>
      <c r="J96" s="529" t="n"/>
      <c r="K96" s="529" t="n"/>
      <c r="L96" s="529" t="n"/>
      <c r="M96" s="529" t="n"/>
      <c r="N96" s="248" t="n"/>
      <c r="O96" s="248" t="n"/>
      <c r="P96" s="249" t="n"/>
      <c r="Q96" s="248" t="n"/>
      <c r="R96" s="552" t="n"/>
      <c r="S96" s="251" t="n"/>
      <c r="T96" s="552" t="n"/>
      <c r="U96" s="252" t="n"/>
      <c r="V96" s="252" t="n"/>
      <c r="W96" s="530" t="n"/>
      <c r="X96" s="248" t="n"/>
      <c r="Y96" s="254" t="n"/>
      <c r="Z96" s="254" t="n"/>
      <c r="AA96" s="531" t="n"/>
      <c r="AB96" s="531" t="n"/>
      <c r="AC96" s="532" t="n"/>
      <c r="AD96" s="532" t="n"/>
      <c r="AE96" s="532" t="n"/>
      <c r="AF96" s="532" t="n"/>
      <c r="AG96" s="533" t="n"/>
      <c r="AH96" s="533" t="n"/>
      <c r="AI96" s="533" t="n"/>
      <c r="AJ96" s="533" t="n"/>
      <c r="AK96" s="534" t="n"/>
      <c r="AL96" s="534" t="n"/>
      <c r="AM96" s="553" t="n"/>
      <c r="AN96" s="529" t="n"/>
      <c r="AO96" s="244" t="n"/>
      <c r="AP96" s="535" t="n"/>
      <c r="AQ96" s="535" t="n"/>
      <c r="AR96" s="248" t="n"/>
      <c r="AS96" s="280" t="n"/>
      <c r="AT96" s="248" t="n"/>
      <c r="AU96" s="250" t="n"/>
      <c r="AV96" s="250" t="n"/>
      <c r="AW96" s="250" t="n"/>
      <c r="AX96" s="262" t="n"/>
      <c r="AY96" s="250" t="n"/>
      <c r="AZ96" s="250" t="n"/>
      <c r="BA96" s="250" t="n"/>
      <c r="BB96" s="412">
        <f>IF(B96="","",IF(AR96="No",AV96-AZ96,""))</f>
        <v/>
      </c>
      <c r="BC96" s="412">
        <f>IF(B96="","",IF(AR96="Yes",AS96-BA96,""))</f>
        <v/>
      </c>
      <c r="BD96" s="254" t="n"/>
      <c r="BE96" s="536" t="n"/>
      <c r="BF96" s="254" t="n"/>
      <c r="BG96" s="254" t="n"/>
      <c r="BH96" s="248" t="n"/>
      <c r="BI96" s="413">
        <f>IF(B96="","",IF(OR(AND(AZ96&gt;0,BB96&gt;=2.5%,BB96&lt;4%),AND(BA96&gt;0,BC96&gt;=6%,BC96&lt;8%)),"Yes","No"))</f>
        <v/>
      </c>
      <c r="BJ96" s="413">
        <f>IF(B96="","",IF(OR(AND(AZ96&gt;0,BB96&lt;2.5%),AND(BA96&gt;0,BC96&lt;6%)),"Yes","No"))</f>
        <v/>
      </c>
      <c r="BK96" s="248" t="n"/>
      <c r="BL96" s="248" t="n"/>
      <c r="BM96" s="248" t="n"/>
      <c r="BN96" s="248" t="n"/>
      <c r="BO96" s="248" t="n"/>
      <c r="BP96" s="248" t="n"/>
      <c r="BQ96" s="248" t="n"/>
      <c r="BR96" s="248" t="n"/>
      <c r="BS96" s="248" t="n"/>
      <c r="BT96" s="248" t="n"/>
      <c r="BU96" s="248" t="n"/>
      <c r="BV96" s="248" t="n"/>
      <c r="BW96" s="248" t="n"/>
      <c r="BX96" s="248" t="n"/>
      <c r="BY96" s="248" t="n"/>
      <c r="BZ96" s="248" t="n"/>
      <c r="CA96" s="248" t="n"/>
      <c r="CB96" s="537" t="n"/>
      <c r="CC96" s="537" t="n"/>
      <c r="CD96" s="265" t="n"/>
      <c r="CE96" s="265" t="n"/>
      <c r="CF96" s="265" t="n"/>
      <c r="CG96" s="265" t="n"/>
      <c r="CH96" s="265" t="n"/>
      <c r="CI96" s="265" t="n"/>
      <c r="CJ96" s="265" t="n"/>
      <c r="CK96" s="265" t="n"/>
      <c r="CL96" s="265" t="n"/>
      <c r="CM96" s="265" t="n"/>
      <c r="CN96" s="265" t="n"/>
      <c r="CO96" s="265" t="n"/>
      <c r="CP96" s="265" t="n"/>
      <c r="CQ96" s="265" t="n"/>
      <c r="CR96" s="265" t="n"/>
      <c r="CS96" s="265" t="n"/>
      <c r="CT96" s="265" t="n"/>
      <c r="CU96" s="265" t="n"/>
      <c r="CV96" s="265" t="n"/>
      <c r="CW96" s="265" t="n"/>
      <c r="CX96" s="265" t="n"/>
      <c r="CY96" s="265" t="n"/>
      <c r="CZ96" s="265" t="n"/>
      <c r="DA96" s="265" t="n"/>
      <c r="DB96" s="265" t="n"/>
      <c r="DC96" s="265" t="n"/>
      <c r="DD96" s="265" t="n"/>
      <c r="DE96" s="265" t="n"/>
      <c r="DF96" s="265" t="n"/>
      <c r="DG96" s="265" t="n"/>
      <c r="DH96" s="265" t="n"/>
      <c r="DI96" s="265" t="n"/>
      <c r="DJ96" s="265" t="n"/>
      <c r="DK96" s="265" t="n"/>
      <c r="DL96" s="265" t="n"/>
      <c r="DN96" s="538" t="n"/>
      <c r="DO96" s="539" t="n"/>
      <c r="DP96" s="538" t="n"/>
      <c r="DQ96" s="538" t="n"/>
      <c r="DR96" s="539" t="n"/>
      <c r="DS96" s="538" t="n"/>
      <c r="DT96" s="538" t="n"/>
      <c r="DU96" s="539" t="n"/>
      <c r="DV96" s="538" t="n"/>
      <c r="DW96" s="538" t="n"/>
      <c r="DX96" s="539" t="n"/>
      <c r="DY96" s="538" t="n"/>
      <c r="DZ96" s="538" t="n"/>
      <c r="EA96" s="539" t="n"/>
      <c r="EB96" s="538" t="n"/>
      <c r="EC96" s="538" t="n"/>
      <c r="ED96" s="539" t="n"/>
      <c r="EE96" s="538" t="n"/>
      <c r="EF96" s="538" t="n"/>
      <c r="EG96" s="539" t="n"/>
      <c r="EH96" s="538" t="n"/>
      <c r="EI96" s="538" t="n"/>
      <c r="EJ96" s="539" t="n"/>
      <c r="EK96" s="538" t="n"/>
      <c r="EL96" s="538" t="n"/>
      <c r="EM96" s="539" t="n"/>
      <c r="EN96" s="538" t="n"/>
      <c r="EO96" s="538" t="n"/>
      <c r="EP96" s="539" t="n"/>
      <c r="EQ96" s="538" t="n"/>
      <c r="ER96" s="538" t="n"/>
      <c r="ES96" s="539" t="n"/>
      <c r="ET96" s="538" t="n"/>
      <c r="EU96" s="538" t="n"/>
      <c r="EV96" s="539" t="n"/>
      <c r="EW96" s="538" t="n"/>
      <c r="EX96" s="538" t="n"/>
      <c r="EY96" s="539" t="n"/>
      <c r="EZ96" s="538" t="n"/>
      <c r="FA96" s="538" t="n"/>
      <c r="FB96" s="539" t="n"/>
      <c r="FC96" s="538" t="n"/>
      <c r="FD96" s="538" t="n"/>
      <c r="FE96" s="539" t="n"/>
      <c r="FF96" s="538" t="n"/>
      <c r="FG96" s="538" t="n"/>
      <c r="FH96" s="538" t="n"/>
      <c r="FI96" s="538" t="n"/>
      <c r="FJ96" s="538" t="n"/>
      <c r="FK96" s="538" t="n"/>
      <c r="FL96" s="538" t="n"/>
      <c r="FM96" s="538">
        <f>FL96</f>
        <v/>
      </c>
      <c r="FN96" s="538">
        <f>IF(FL96=0,0,VLOOKUP(C96,$HD$10:$HE$406,2,FALSE)*FL96)</f>
        <v/>
      </c>
      <c r="FO96" s="538">
        <f>FL96-FN96</f>
        <v/>
      </c>
      <c r="FP96" s="538" t="n"/>
      <c r="FQ96" s="539" t="n"/>
      <c r="FR96" s="538" t="n"/>
      <c r="FS96" s="538" t="n"/>
      <c r="FT96" s="539" t="n"/>
      <c r="FU96" s="538" t="n"/>
      <c r="FV96" s="538" t="n"/>
      <c r="FW96" s="538" t="n"/>
      <c r="FX96" s="538" t="n"/>
      <c r="FY96" s="538" t="n"/>
      <c r="FZ96" s="539" t="n"/>
      <c r="GA96" s="538" t="n"/>
      <c r="GB96" s="538" t="n"/>
      <c r="GC96" s="540" t="n"/>
      <c r="GD96" s="138" t="n"/>
      <c r="GE96" s="541" t="n"/>
      <c r="GF96" s="538" t="n"/>
      <c r="GG96" s="270" t="n"/>
      <c r="GH96" s="137" t="n"/>
      <c r="GI96" s="542" t="n"/>
      <c r="GJ96" s="542" t="n"/>
      <c r="GK96" s="489" t="n"/>
      <c r="GL96" s="137" t="n"/>
      <c r="GM96" s="272" t="n"/>
      <c r="GO96" s="137" t="n"/>
      <c r="GP96" s="538" t="n"/>
      <c r="GQ96" s="137" t="n"/>
      <c r="GR96" s="542" t="n"/>
      <c r="GS96" s="542" t="n"/>
      <c r="GT96" s="489" t="n"/>
      <c r="GU96" s="137" t="n"/>
      <c r="GV96" s="272" t="n"/>
      <c r="GW96" s="272" t="n"/>
      <c r="GX96" s="137" t="n"/>
      <c r="GY96" s="538" t="n"/>
      <c r="GZ96" s="137" t="n"/>
      <c r="HA96" s="542" t="n"/>
      <c r="HB96" s="543" t="n"/>
      <c r="HC96" s="489" t="n"/>
      <c r="HD96" s="137" t="n"/>
      <c r="HE96" s="272" t="n"/>
      <c r="HF96" s="272" t="n"/>
      <c r="HG96" s="270" t="n"/>
      <c r="HH96" s="544" t="n"/>
      <c r="HI96" s="538" t="n"/>
      <c r="HK96" s="137" t="n"/>
      <c r="HL96" s="538" t="n"/>
      <c r="HN96" s="521" t="n"/>
      <c r="HO96" s="521" t="n"/>
      <c r="HP96" s="521" t="n"/>
      <c r="HQ96" s="521" t="n"/>
      <c r="HR96" s="521" t="n"/>
      <c r="HS96" s="521" t="n"/>
      <c r="HT96" s="521" t="n"/>
      <c r="HU96" s="522" t="n"/>
      <c r="HV96" s="274" t="n"/>
      <c r="HW96" s="522" t="n"/>
      <c r="HX96" s="522" t="n"/>
      <c r="HY96" s="522" t="n"/>
      <c r="HZ96" s="522" t="n"/>
      <c r="IA96" s="522" t="n"/>
      <c r="IB96" s="545" t="n"/>
      <c r="IE96" s="351" t="n"/>
    </row>
    <row r="97" ht="15" customHeight="1">
      <c r="B97" s="242" t="n"/>
      <c r="C97" s="242" t="n"/>
      <c r="D97" s="254" t="n"/>
      <c r="E97" s="243" t="n"/>
      <c r="F97" s="244" t="n"/>
      <c r="G97" s="528" t="n"/>
      <c r="H97" s="528" t="n"/>
      <c r="I97" s="246" t="n"/>
      <c r="J97" s="529" t="n"/>
      <c r="K97" s="529" t="n"/>
      <c r="L97" s="529" t="n"/>
      <c r="M97" s="529" t="n"/>
      <c r="N97" s="248" t="n"/>
      <c r="O97" s="248" t="n"/>
      <c r="P97" s="249" t="n"/>
      <c r="Q97" s="248" t="n"/>
      <c r="R97" s="552" t="n"/>
      <c r="S97" s="251" t="n"/>
      <c r="T97" s="552" t="n"/>
      <c r="U97" s="252" t="n"/>
      <c r="V97" s="252" t="n"/>
      <c r="W97" s="530" t="n"/>
      <c r="X97" s="248" t="n"/>
      <c r="Y97" s="254" t="n"/>
      <c r="Z97" s="254" t="n"/>
      <c r="AA97" s="531" t="n"/>
      <c r="AB97" s="531" t="n"/>
      <c r="AC97" s="532" t="n"/>
      <c r="AD97" s="532" t="n"/>
      <c r="AE97" s="532" t="n"/>
      <c r="AF97" s="532" t="n"/>
      <c r="AG97" s="533" t="n"/>
      <c r="AH97" s="533" t="n"/>
      <c r="AI97" s="533" t="n"/>
      <c r="AJ97" s="533" t="n"/>
      <c r="AK97" s="534" t="n"/>
      <c r="AL97" s="534" t="n"/>
      <c r="AM97" s="553" t="n"/>
      <c r="AN97" s="529" t="n"/>
      <c r="AO97" s="244" t="n"/>
      <c r="AP97" s="535" t="n"/>
      <c r="AQ97" s="535" t="n"/>
      <c r="AR97" s="248" t="n"/>
      <c r="AS97" s="280" t="n"/>
      <c r="AT97" s="248" t="n"/>
      <c r="AU97" s="250" t="n"/>
      <c r="AV97" s="250" t="n"/>
      <c r="AW97" s="250" t="n"/>
      <c r="AX97" s="262" t="n"/>
      <c r="AY97" s="250" t="n"/>
      <c r="AZ97" s="250" t="n"/>
      <c r="BA97" s="250" t="n"/>
      <c r="BB97" s="412">
        <f>IF(B97="","",IF(AR97="No",AV97-AZ97,""))</f>
        <v/>
      </c>
      <c r="BC97" s="412">
        <f>IF(B97="","",IF(AR97="Yes",AS97-BA97,""))</f>
        <v/>
      </c>
      <c r="BD97" s="254" t="n"/>
      <c r="BE97" s="536" t="n"/>
      <c r="BF97" s="254" t="n"/>
      <c r="BG97" s="254" t="n"/>
      <c r="BH97" s="248" t="n"/>
      <c r="BI97" s="413">
        <f>IF(B97="","",IF(OR(AND(AZ97&gt;0,BB97&gt;=2.5%,BB97&lt;4%),AND(BA97&gt;0,BC97&gt;=6%,BC97&lt;8%)),"Yes","No"))</f>
        <v/>
      </c>
      <c r="BJ97" s="413">
        <f>IF(B97="","",IF(OR(AND(AZ97&gt;0,BB97&lt;2.5%),AND(BA97&gt;0,BC97&lt;6%)),"Yes","No"))</f>
        <v/>
      </c>
      <c r="BK97" s="248" t="n"/>
      <c r="BL97" s="248" t="n"/>
      <c r="BM97" s="248" t="n"/>
      <c r="BN97" s="248" t="n"/>
      <c r="BO97" s="248" t="n"/>
      <c r="BP97" s="248" t="n"/>
      <c r="BQ97" s="248" t="n"/>
      <c r="BR97" s="248" t="n"/>
      <c r="BS97" s="248" t="n"/>
      <c r="BT97" s="248" t="n"/>
      <c r="BU97" s="248" t="n"/>
      <c r="BV97" s="248" t="n"/>
      <c r="BW97" s="248" t="n"/>
      <c r="BX97" s="248" t="n"/>
      <c r="BY97" s="248" t="n"/>
      <c r="BZ97" s="248" t="n"/>
      <c r="CA97" s="248" t="n"/>
      <c r="CB97" s="537" t="n"/>
      <c r="CC97" s="537" t="n"/>
      <c r="CD97" s="265" t="n"/>
      <c r="CE97" s="265" t="n"/>
      <c r="CF97" s="265" t="n"/>
      <c r="CG97" s="265" t="n"/>
      <c r="CH97" s="265" t="n"/>
      <c r="CI97" s="265" t="n"/>
      <c r="CJ97" s="265" t="n"/>
      <c r="CK97" s="265" t="n"/>
      <c r="CL97" s="265" t="n"/>
      <c r="CM97" s="265" t="n"/>
      <c r="CN97" s="265" t="n"/>
      <c r="CO97" s="265" t="n"/>
      <c r="CP97" s="265" t="n"/>
      <c r="CQ97" s="265" t="n"/>
      <c r="CR97" s="265" t="n"/>
      <c r="CS97" s="265" t="n"/>
      <c r="CT97" s="265" t="n"/>
      <c r="CU97" s="265" t="n"/>
      <c r="CV97" s="265" t="n"/>
      <c r="CW97" s="265" t="n"/>
      <c r="CX97" s="265" t="n"/>
      <c r="CY97" s="265" t="n"/>
      <c r="CZ97" s="265" t="n"/>
      <c r="DA97" s="265" t="n"/>
      <c r="DB97" s="265" t="n"/>
      <c r="DC97" s="265" t="n"/>
      <c r="DD97" s="265" t="n"/>
      <c r="DE97" s="265" t="n"/>
      <c r="DF97" s="265" t="n"/>
      <c r="DG97" s="265" t="n"/>
      <c r="DH97" s="265" t="n"/>
      <c r="DI97" s="265" t="n"/>
      <c r="DJ97" s="265" t="n"/>
      <c r="DK97" s="265" t="n"/>
      <c r="DL97" s="265" t="n"/>
      <c r="DN97" s="538" t="n"/>
      <c r="DO97" s="539" t="n"/>
      <c r="DP97" s="538" t="n"/>
      <c r="DQ97" s="538" t="n"/>
      <c r="DR97" s="539" t="n"/>
      <c r="DS97" s="538" t="n"/>
      <c r="DT97" s="538" t="n"/>
      <c r="DU97" s="539" t="n"/>
      <c r="DV97" s="538" t="n"/>
      <c r="DW97" s="538" t="n"/>
      <c r="DX97" s="539" t="n"/>
      <c r="DY97" s="538" t="n"/>
      <c r="DZ97" s="538" t="n"/>
      <c r="EA97" s="539" t="n"/>
      <c r="EB97" s="538" t="n"/>
      <c r="EC97" s="538" t="n"/>
      <c r="ED97" s="539" t="n"/>
      <c r="EE97" s="538" t="n"/>
      <c r="EF97" s="538" t="n"/>
      <c r="EG97" s="539" t="n"/>
      <c r="EH97" s="538" t="n"/>
      <c r="EI97" s="538" t="n"/>
      <c r="EJ97" s="539" t="n"/>
      <c r="EK97" s="538" t="n"/>
      <c r="EL97" s="538" t="n"/>
      <c r="EM97" s="539" t="n"/>
      <c r="EN97" s="538" t="n"/>
      <c r="EO97" s="538" t="n"/>
      <c r="EP97" s="539" t="n"/>
      <c r="EQ97" s="538" t="n"/>
      <c r="ER97" s="538" t="n"/>
      <c r="ES97" s="539" t="n"/>
      <c r="ET97" s="538" t="n"/>
      <c r="EU97" s="538" t="n"/>
      <c r="EV97" s="539" t="n"/>
      <c r="EW97" s="538" t="n"/>
      <c r="EX97" s="538" t="n"/>
      <c r="EY97" s="539" t="n"/>
      <c r="EZ97" s="538" t="n"/>
      <c r="FA97" s="538" t="n"/>
      <c r="FB97" s="539" t="n"/>
      <c r="FC97" s="538" t="n"/>
      <c r="FD97" s="538" t="n"/>
      <c r="FE97" s="539" t="n"/>
      <c r="FF97" s="538" t="n"/>
      <c r="FG97" s="538" t="n"/>
      <c r="FH97" s="538" t="n"/>
      <c r="FI97" s="538" t="n"/>
      <c r="FJ97" s="538" t="n"/>
      <c r="FK97" s="538" t="n"/>
      <c r="FL97" s="538" t="n"/>
      <c r="FM97" s="538">
        <f>FL97</f>
        <v/>
      </c>
      <c r="FN97" s="538">
        <f>IF(FL97=0,0,VLOOKUP(C97,$HD$10:$HE$406,2,FALSE)*FL97)</f>
        <v/>
      </c>
      <c r="FO97" s="538">
        <f>FL97-FN97</f>
        <v/>
      </c>
      <c r="FP97" s="538" t="n"/>
      <c r="FQ97" s="539" t="n"/>
      <c r="FR97" s="538" t="n"/>
      <c r="FS97" s="538" t="n"/>
      <c r="FT97" s="539" t="n"/>
      <c r="FU97" s="538" t="n"/>
      <c r="FV97" s="538" t="n"/>
      <c r="FW97" s="538" t="n"/>
      <c r="FX97" s="538" t="n"/>
      <c r="FY97" s="538" t="n"/>
      <c r="FZ97" s="539" t="n"/>
      <c r="GA97" s="538" t="n"/>
      <c r="GB97" s="538" t="n"/>
      <c r="GC97" s="540" t="n"/>
      <c r="GD97" s="138" t="n"/>
      <c r="GE97" s="541" t="n"/>
      <c r="GF97" s="538" t="n"/>
      <c r="GG97" s="270" t="n"/>
      <c r="GH97" s="137" t="n"/>
      <c r="GI97" s="542" t="n"/>
      <c r="GJ97" s="542" t="n"/>
      <c r="GK97" s="489" t="n"/>
      <c r="GL97" s="137" t="n"/>
      <c r="GM97" s="272" t="n"/>
      <c r="GO97" s="137" t="n"/>
      <c r="GP97" s="538" t="n"/>
      <c r="GQ97" s="137" t="n"/>
      <c r="GR97" s="542" t="n"/>
      <c r="GS97" s="542" t="n"/>
      <c r="GT97" s="489" t="n"/>
      <c r="GU97" s="137" t="n"/>
      <c r="GV97" s="272" t="n"/>
      <c r="GW97" s="272" t="n"/>
      <c r="GX97" s="137" t="n"/>
      <c r="GY97" s="538" t="n"/>
      <c r="GZ97" s="137" t="n"/>
      <c r="HA97" s="542" t="n"/>
      <c r="HB97" s="543" t="n"/>
      <c r="HC97" s="489" t="n"/>
      <c r="HD97" s="137" t="n"/>
      <c r="HE97" s="272" t="n"/>
      <c r="HF97" s="272" t="n"/>
      <c r="HG97" s="270" t="n"/>
      <c r="HH97" s="544" t="n"/>
      <c r="HI97" s="538" t="n"/>
      <c r="HK97" s="137" t="n"/>
      <c r="HL97" s="538" t="n"/>
      <c r="HN97" s="521" t="n"/>
      <c r="HO97" s="521" t="n"/>
      <c r="HP97" s="521" t="n"/>
      <c r="HQ97" s="521" t="n"/>
      <c r="HR97" s="521" t="n"/>
      <c r="HS97" s="521" t="n"/>
      <c r="HT97" s="521" t="n"/>
      <c r="HU97" s="522" t="n"/>
      <c r="HV97" s="274" t="n"/>
      <c r="HW97" s="522" t="n"/>
      <c r="HX97" s="522" t="n"/>
      <c r="HY97" s="522" t="n"/>
      <c r="HZ97" s="522" t="n"/>
      <c r="IA97" s="522" t="n"/>
      <c r="IB97" s="545" t="n"/>
      <c r="IE97" s="351" t="n"/>
    </row>
    <row r="98" ht="15" customHeight="1">
      <c r="B98" s="242" t="n"/>
      <c r="C98" s="242" t="n"/>
      <c r="D98" s="254" t="n"/>
      <c r="E98" s="243" t="n"/>
      <c r="F98" s="244" t="n"/>
      <c r="G98" s="528" t="n"/>
      <c r="H98" s="528" t="n"/>
      <c r="I98" s="246" t="n"/>
      <c r="J98" s="529" t="n"/>
      <c r="K98" s="529" t="n"/>
      <c r="L98" s="529" t="n"/>
      <c r="M98" s="529" t="n"/>
      <c r="N98" s="248" t="n"/>
      <c r="O98" s="248" t="n"/>
      <c r="P98" s="249" t="n"/>
      <c r="Q98" s="248" t="n"/>
      <c r="R98" s="552" t="n"/>
      <c r="S98" s="251" t="n"/>
      <c r="T98" s="552" t="n"/>
      <c r="U98" s="252" t="n"/>
      <c r="V98" s="252" t="n"/>
      <c r="W98" s="530" t="n"/>
      <c r="X98" s="248" t="n"/>
      <c r="Y98" s="254" t="n"/>
      <c r="Z98" s="254" t="n"/>
      <c r="AA98" s="531" t="n"/>
      <c r="AB98" s="531" t="n"/>
      <c r="AC98" s="532" t="n"/>
      <c r="AD98" s="532" t="n"/>
      <c r="AE98" s="532" t="n"/>
      <c r="AF98" s="532" t="n"/>
      <c r="AG98" s="533" t="n"/>
      <c r="AH98" s="533" t="n"/>
      <c r="AI98" s="533" t="n"/>
      <c r="AJ98" s="533" t="n"/>
      <c r="AK98" s="534" t="n"/>
      <c r="AL98" s="534" t="n"/>
      <c r="AM98" s="553" t="n"/>
      <c r="AN98" s="529" t="n"/>
      <c r="AO98" s="244" t="n"/>
      <c r="AP98" s="535" t="n"/>
      <c r="AQ98" s="535" t="n"/>
      <c r="AR98" s="248" t="n"/>
      <c r="AS98" s="280" t="n"/>
      <c r="AT98" s="248" t="n"/>
      <c r="AU98" s="250" t="n"/>
      <c r="AV98" s="250" t="n"/>
      <c r="AW98" s="250" t="n"/>
      <c r="AX98" s="262" t="n"/>
      <c r="AY98" s="250" t="n"/>
      <c r="AZ98" s="250" t="n"/>
      <c r="BA98" s="250" t="n"/>
      <c r="BB98" s="412">
        <f>IF(B98="","",IF(AR98="No",AV98-AZ98,""))</f>
        <v/>
      </c>
      <c r="BC98" s="412">
        <f>IF(B98="","",IF(AR98="Yes",AS98-BA98,""))</f>
        <v/>
      </c>
      <c r="BD98" s="254" t="n"/>
      <c r="BE98" s="536" t="n"/>
      <c r="BF98" s="254" t="n"/>
      <c r="BG98" s="254" t="n"/>
      <c r="BH98" s="248" t="n"/>
      <c r="BI98" s="413">
        <f>IF(B98="","",IF(OR(AND(AZ98&gt;0,BB98&gt;=2.5%,BB98&lt;4%),AND(BA98&gt;0,BC98&gt;=6%,BC98&lt;8%)),"Yes","No"))</f>
        <v/>
      </c>
      <c r="BJ98" s="413">
        <f>IF(B98="","",IF(OR(AND(AZ98&gt;0,BB98&lt;2.5%),AND(BA98&gt;0,BC98&lt;6%)),"Yes","No"))</f>
        <v/>
      </c>
      <c r="BK98" s="248" t="n"/>
      <c r="BL98" s="248" t="n"/>
      <c r="BM98" s="248" t="n"/>
      <c r="BN98" s="248" t="n"/>
      <c r="BO98" s="248" t="n"/>
      <c r="BP98" s="248" t="n"/>
      <c r="BQ98" s="248" t="n"/>
      <c r="BR98" s="248" t="n"/>
      <c r="BS98" s="248" t="n"/>
      <c r="BT98" s="248" t="n"/>
      <c r="BU98" s="248" t="n"/>
      <c r="BV98" s="248" t="n"/>
      <c r="BW98" s="248" t="n"/>
      <c r="BX98" s="248" t="n"/>
      <c r="BY98" s="248" t="n"/>
      <c r="BZ98" s="248" t="n"/>
      <c r="CA98" s="248" t="n"/>
      <c r="CB98" s="537" t="n"/>
      <c r="CC98" s="537" t="n"/>
      <c r="CD98" s="265" t="n"/>
      <c r="CE98" s="265" t="n"/>
      <c r="CF98" s="265" t="n"/>
      <c r="CG98" s="265" t="n"/>
      <c r="CH98" s="265" t="n"/>
      <c r="CI98" s="265" t="n"/>
      <c r="CJ98" s="265" t="n"/>
      <c r="CK98" s="265" t="n"/>
      <c r="CL98" s="265" t="n"/>
      <c r="CM98" s="265" t="n"/>
      <c r="CN98" s="265" t="n"/>
      <c r="CO98" s="265" t="n"/>
      <c r="CP98" s="265" t="n"/>
      <c r="CQ98" s="265" t="n"/>
      <c r="CR98" s="265" t="n"/>
      <c r="CS98" s="265" t="n"/>
      <c r="CT98" s="265" t="n"/>
      <c r="CU98" s="265" t="n"/>
      <c r="CV98" s="265" t="n"/>
      <c r="CW98" s="265" t="n"/>
      <c r="CX98" s="265" t="n"/>
      <c r="CY98" s="265" t="n"/>
      <c r="CZ98" s="265" t="n"/>
      <c r="DA98" s="265" t="n"/>
      <c r="DB98" s="265" t="n"/>
      <c r="DC98" s="265" t="n"/>
      <c r="DD98" s="265" t="n"/>
      <c r="DE98" s="265" t="n"/>
      <c r="DF98" s="265" t="n"/>
      <c r="DG98" s="265" t="n"/>
      <c r="DH98" s="265" t="n"/>
      <c r="DI98" s="265" t="n"/>
      <c r="DJ98" s="265" t="n"/>
      <c r="DK98" s="265" t="n"/>
      <c r="DL98" s="265" t="n"/>
      <c r="DN98" s="538" t="n"/>
      <c r="DO98" s="539" t="n"/>
      <c r="DP98" s="538" t="n"/>
      <c r="DQ98" s="538" t="n"/>
      <c r="DR98" s="539" t="n"/>
      <c r="DS98" s="538" t="n"/>
      <c r="DT98" s="538" t="n"/>
      <c r="DU98" s="539" t="n"/>
      <c r="DV98" s="538" t="n"/>
      <c r="DW98" s="538" t="n"/>
      <c r="DX98" s="539" t="n"/>
      <c r="DY98" s="538" t="n"/>
      <c r="DZ98" s="538" t="n"/>
      <c r="EA98" s="539" t="n"/>
      <c r="EB98" s="538" t="n"/>
      <c r="EC98" s="538" t="n"/>
      <c r="ED98" s="539" t="n"/>
      <c r="EE98" s="538" t="n"/>
      <c r="EF98" s="538" t="n"/>
      <c r="EG98" s="539" t="n"/>
      <c r="EH98" s="538" t="n"/>
      <c r="EI98" s="538" t="n"/>
      <c r="EJ98" s="539" t="n"/>
      <c r="EK98" s="538" t="n"/>
      <c r="EL98" s="538" t="n"/>
      <c r="EM98" s="539" t="n"/>
      <c r="EN98" s="538" t="n"/>
      <c r="EO98" s="538" t="n"/>
      <c r="EP98" s="539" t="n"/>
      <c r="EQ98" s="538" t="n"/>
      <c r="ER98" s="538" t="n"/>
      <c r="ES98" s="539" t="n"/>
      <c r="ET98" s="538" t="n"/>
      <c r="EU98" s="538" t="n"/>
      <c r="EV98" s="539" t="n"/>
      <c r="EW98" s="538" t="n"/>
      <c r="EX98" s="538" t="n"/>
      <c r="EY98" s="539" t="n"/>
      <c r="EZ98" s="538" t="n"/>
      <c r="FA98" s="538" t="n"/>
      <c r="FB98" s="539" t="n"/>
      <c r="FC98" s="538" t="n"/>
      <c r="FD98" s="538" t="n"/>
      <c r="FE98" s="539" t="n"/>
      <c r="FF98" s="538" t="n"/>
      <c r="FG98" s="538" t="n"/>
      <c r="FH98" s="538" t="n"/>
      <c r="FI98" s="538" t="n"/>
      <c r="FJ98" s="538" t="n"/>
      <c r="FK98" s="538" t="n"/>
      <c r="FL98" s="538" t="n"/>
      <c r="FM98" s="538">
        <f>FL98</f>
        <v/>
      </c>
      <c r="FN98" s="538">
        <f>IF(FL98=0,0,VLOOKUP(C98,$HD$10:$HE$406,2,FALSE)*FL98)</f>
        <v/>
      </c>
      <c r="FO98" s="538">
        <f>FL98-FN98</f>
        <v/>
      </c>
      <c r="FP98" s="538" t="n"/>
      <c r="FQ98" s="539" t="n"/>
      <c r="FR98" s="538" t="n"/>
      <c r="FS98" s="538" t="n"/>
      <c r="FT98" s="539" t="n"/>
      <c r="FU98" s="538" t="n"/>
      <c r="FV98" s="538" t="n"/>
      <c r="FW98" s="538" t="n"/>
      <c r="FX98" s="538" t="n"/>
      <c r="FY98" s="538" t="n"/>
      <c r="FZ98" s="539" t="n"/>
      <c r="GA98" s="538" t="n"/>
      <c r="GB98" s="538" t="n"/>
      <c r="GC98" s="540" t="n"/>
      <c r="GD98" s="138" t="n"/>
      <c r="GE98" s="541" t="n"/>
      <c r="GF98" s="538" t="n"/>
      <c r="GG98" s="270" t="n"/>
      <c r="GH98" s="137" t="n"/>
      <c r="GI98" s="542" t="n"/>
      <c r="GJ98" s="542" t="n"/>
      <c r="GK98" s="489" t="n"/>
      <c r="GL98" s="137" t="n"/>
      <c r="GM98" s="272" t="n"/>
      <c r="GO98" s="137" t="n"/>
      <c r="GP98" s="538" t="n"/>
      <c r="GQ98" s="137" t="n"/>
      <c r="GR98" s="542" t="n"/>
      <c r="GS98" s="542" t="n"/>
      <c r="GT98" s="489" t="n"/>
      <c r="GU98" s="137" t="n"/>
      <c r="GV98" s="272" t="n"/>
      <c r="GW98" s="272" t="n"/>
      <c r="GX98" s="137" t="n"/>
      <c r="GY98" s="538" t="n"/>
      <c r="GZ98" s="137" t="n"/>
      <c r="HA98" s="542" t="n"/>
      <c r="HB98" s="543" t="n"/>
      <c r="HC98" s="489" t="n"/>
      <c r="HD98" s="137" t="n"/>
      <c r="HE98" s="272" t="n"/>
      <c r="HF98" s="272" t="n"/>
      <c r="HG98" s="270" t="n"/>
      <c r="HH98" s="544" t="n"/>
      <c r="HI98" s="538" t="n"/>
      <c r="HK98" s="137" t="n"/>
      <c r="HL98" s="538" t="n"/>
      <c r="HN98" s="521" t="n"/>
      <c r="HO98" s="521" t="n"/>
      <c r="HP98" s="521" t="n"/>
      <c r="HQ98" s="521" t="n"/>
      <c r="HR98" s="521" t="n"/>
      <c r="HS98" s="521" t="n"/>
      <c r="HT98" s="521" t="n"/>
      <c r="HU98" s="522" t="n"/>
      <c r="HV98" s="274" t="n"/>
      <c r="HW98" s="522" t="n"/>
      <c r="HX98" s="522" t="n"/>
      <c r="HY98" s="522" t="n"/>
      <c r="HZ98" s="522" t="n"/>
      <c r="IA98" s="522" t="n"/>
      <c r="IB98" s="545" t="n"/>
      <c r="IE98" s="351" t="n"/>
    </row>
    <row r="99" ht="15" customHeight="1">
      <c r="B99" s="242" t="n"/>
      <c r="C99" s="242" t="n"/>
      <c r="D99" s="254" t="n"/>
      <c r="E99" s="243" t="n"/>
      <c r="F99" s="244" t="n"/>
      <c r="G99" s="528" t="n"/>
      <c r="H99" s="528" t="n"/>
      <c r="I99" s="246" t="n"/>
      <c r="J99" s="529" t="n"/>
      <c r="K99" s="529" t="n"/>
      <c r="L99" s="529" t="n"/>
      <c r="M99" s="529" t="n"/>
      <c r="N99" s="248" t="n"/>
      <c r="O99" s="248" t="n"/>
      <c r="P99" s="249" t="n"/>
      <c r="Q99" s="248" t="n"/>
      <c r="R99" s="552" t="n"/>
      <c r="S99" s="251" t="n"/>
      <c r="T99" s="552" t="n"/>
      <c r="U99" s="252" t="n"/>
      <c r="V99" s="252" t="n"/>
      <c r="W99" s="530" t="n"/>
      <c r="X99" s="248" t="n"/>
      <c r="Y99" s="254" t="n"/>
      <c r="Z99" s="254" t="n"/>
      <c r="AA99" s="531" t="n"/>
      <c r="AB99" s="531" t="n"/>
      <c r="AC99" s="532" t="n"/>
      <c r="AD99" s="532" t="n"/>
      <c r="AE99" s="532" t="n"/>
      <c r="AF99" s="532" t="n"/>
      <c r="AG99" s="533" t="n"/>
      <c r="AH99" s="533" t="n"/>
      <c r="AI99" s="533" t="n"/>
      <c r="AJ99" s="533" t="n"/>
      <c r="AK99" s="534" t="n"/>
      <c r="AL99" s="534" t="n"/>
      <c r="AM99" s="553" t="n"/>
      <c r="AN99" s="529" t="n"/>
      <c r="AO99" s="244" t="n"/>
      <c r="AP99" s="535" t="n"/>
      <c r="AQ99" s="535" t="n"/>
      <c r="AR99" s="248" t="n"/>
      <c r="AS99" s="280" t="n"/>
      <c r="AT99" s="248" t="n"/>
      <c r="AU99" s="250" t="n"/>
      <c r="AV99" s="250" t="n"/>
      <c r="AW99" s="250" t="n"/>
      <c r="AX99" s="262" t="n"/>
      <c r="AY99" s="250" t="n"/>
      <c r="AZ99" s="250" t="n"/>
      <c r="BA99" s="250" t="n"/>
      <c r="BB99" s="412">
        <f>IF(B99="","",IF(AR99="No",AV99-AZ99,""))</f>
        <v/>
      </c>
      <c r="BC99" s="412">
        <f>IF(B99="","",IF(AR99="Yes",AS99-BA99,""))</f>
        <v/>
      </c>
      <c r="BD99" s="254" t="n"/>
      <c r="BE99" s="536" t="n"/>
      <c r="BF99" s="254" t="n"/>
      <c r="BG99" s="254" t="n"/>
      <c r="BH99" s="248" t="n"/>
      <c r="BI99" s="413">
        <f>IF(B99="","",IF(OR(AND(AZ99&gt;0,BB99&gt;=2.5%,BB99&lt;4%),AND(BA99&gt;0,BC99&gt;=6%,BC99&lt;8%)),"Yes","No"))</f>
        <v/>
      </c>
      <c r="BJ99" s="413">
        <f>IF(B99="","",IF(OR(AND(AZ99&gt;0,BB99&lt;2.5%),AND(BA99&gt;0,BC99&lt;6%)),"Yes","No"))</f>
        <v/>
      </c>
      <c r="BK99" s="248" t="n"/>
      <c r="BL99" s="248" t="n"/>
      <c r="BM99" s="248" t="n"/>
      <c r="BN99" s="248" t="n"/>
      <c r="BO99" s="248" t="n"/>
      <c r="BP99" s="248" t="n"/>
      <c r="BQ99" s="248" t="n"/>
      <c r="BR99" s="248" t="n"/>
      <c r="BS99" s="248" t="n"/>
      <c r="BT99" s="248" t="n"/>
      <c r="BU99" s="248" t="n"/>
      <c r="BV99" s="248" t="n"/>
      <c r="BW99" s="248" t="n"/>
      <c r="BX99" s="248" t="n"/>
      <c r="BY99" s="248" t="n"/>
      <c r="BZ99" s="248" t="n"/>
      <c r="CA99" s="248" t="n"/>
      <c r="CB99" s="537" t="n"/>
      <c r="CC99" s="537" t="n"/>
      <c r="CD99" s="265" t="n"/>
      <c r="CE99" s="265" t="n"/>
      <c r="CF99" s="265" t="n"/>
      <c r="CG99" s="265" t="n"/>
      <c r="CH99" s="265" t="n"/>
      <c r="CI99" s="265" t="n"/>
      <c r="CJ99" s="265" t="n"/>
      <c r="CK99" s="265" t="n"/>
      <c r="CL99" s="265" t="n"/>
      <c r="CM99" s="265" t="n"/>
      <c r="CN99" s="265" t="n"/>
      <c r="CO99" s="265" t="n"/>
      <c r="CP99" s="265" t="n"/>
      <c r="CQ99" s="265" t="n"/>
      <c r="CR99" s="265" t="n"/>
      <c r="CS99" s="265" t="n"/>
      <c r="CT99" s="265" t="n"/>
      <c r="CU99" s="265" t="n"/>
      <c r="CV99" s="265" t="n"/>
      <c r="CW99" s="265" t="n"/>
      <c r="CX99" s="265" t="n"/>
      <c r="CY99" s="265" t="n"/>
      <c r="CZ99" s="265" t="n"/>
      <c r="DA99" s="265" t="n"/>
      <c r="DB99" s="265" t="n"/>
      <c r="DC99" s="265" t="n"/>
      <c r="DD99" s="265" t="n"/>
      <c r="DE99" s="265" t="n"/>
      <c r="DF99" s="265" t="n"/>
      <c r="DG99" s="265" t="n"/>
      <c r="DH99" s="265" t="n"/>
      <c r="DI99" s="265" t="n"/>
      <c r="DJ99" s="265" t="n"/>
      <c r="DK99" s="265" t="n"/>
      <c r="DL99" s="265" t="n"/>
      <c r="DN99" s="538" t="n"/>
      <c r="DO99" s="539" t="n"/>
      <c r="DP99" s="538" t="n"/>
      <c r="DQ99" s="538" t="n"/>
      <c r="DR99" s="539" t="n"/>
      <c r="DS99" s="538" t="n"/>
      <c r="DT99" s="538" t="n"/>
      <c r="DU99" s="539" t="n"/>
      <c r="DV99" s="538" t="n"/>
      <c r="DW99" s="538" t="n"/>
      <c r="DX99" s="539" t="n"/>
      <c r="DY99" s="538" t="n"/>
      <c r="DZ99" s="538" t="n"/>
      <c r="EA99" s="539" t="n"/>
      <c r="EB99" s="538" t="n"/>
      <c r="EC99" s="538" t="n"/>
      <c r="ED99" s="539" t="n"/>
      <c r="EE99" s="538" t="n"/>
      <c r="EF99" s="538" t="n"/>
      <c r="EG99" s="539" t="n"/>
      <c r="EH99" s="538" t="n"/>
      <c r="EI99" s="538" t="n"/>
      <c r="EJ99" s="539" t="n"/>
      <c r="EK99" s="538" t="n"/>
      <c r="EL99" s="538" t="n"/>
      <c r="EM99" s="539" t="n"/>
      <c r="EN99" s="538" t="n"/>
      <c r="EO99" s="538" t="n"/>
      <c r="EP99" s="539" t="n"/>
      <c r="EQ99" s="538" t="n"/>
      <c r="ER99" s="538" t="n"/>
      <c r="ES99" s="539" t="n"/>
      <c r="ET99" s="538" t="n"/>
      <c r="EU99" s="538" t="n"/>
      <c r="EV99" s="539" t="n"/>
      <c r="EW99" s="538" t="n"/>
      <c r="EX99" s="538" t="n"/>
      <c r="EY99" s="539" t="n"/>
      <c r="EZ99" s="538" t="n"/>
      <c r="FA99" s="538" t="n"/>
      <c r="FB99" s="539" t="n"/>
      <c r="FC99" s="538" t="n"/>
      <c r="FD99" s="538" t="n"/>
      <c r="FE99" s="539" t="n"/>
      <c r="FF99" s="538" t="n"/>
      <c r="FG99" s="538" t="n"/>
      <c r="FH99" s="538" t="n"/>
      <c r="FI99" s="538" t="n"/>
      <c r="FJ99" s="538" t="n"/>
      <c r="FK99" s="538" t="n"/>
      <c r="FL99" s="538" t="n"/>
      <c r="FM99" s="538">
        <f>FL99</f>
        <v/>
      </c>
      <c r="FN99" s="538">
        <f>IF(FL99=0,0,VLOOKUP(C99,$HD$10:$HE$406,2,FALSE)*FL99)</f>
        <v/>
      </c>
      <c r="FO99" s="538">
        <f>FL99-FN99</f>
        <v/>
      </c>
      <c r="FP99" s="538" t="n"/>
      <c r="FQ99" s="539" t="n"/>
      <c r="FR99" s="538" t="n"/>
      <c r="FS99" s="538" t="n"/>
      <c r="FT99" s="539" t="n"/>
      <c r="FU99" s="538" t="n"/>
      <c r="FV99" s="538" t="n"/>
      <c r="FW99" s="538" t="n"/>
      <c r="FX99" s="538" t="n"/>
      <c r="FY99" s="538" t="n"/>
      <c r="FZ99" s="539" t="n"/>
      <c r="GA99" s="538" t="n"/>
      <c r="GB99" s="538" t="n"/>
      <c r="GC99" s="540" t="n"/>
      <c r="GD99" s="138" t="n"/>
      <c r="GE99" s="541" t="n"/>
      <c r="GF99" s="538" t="n"/>
      <c r="GG99" s="270" t="n"/>
      <c r="GH99" s="137" t="n"/>
      <c r="GI99" s="542" t="n"/>
      <c r="GJ99" s="542" t="n"/>
      <c r="GK99" s="489" t="n"/>
      <c r="GL99" s="137" t="n"/>
      <c r="GM99" s="272" t="n"/>
      <c r="GO99" s="137" t="n"/>
      <c r="GP99" s="538" t="n"/>
      <c r="GQ99" s="137" t="n"/>
      <c r="GR99" s="542" t="n"/>
      <c r="GS99" s="542" t="n"/>
      <c r="GT99" s="489" t="n"/>
      <c r="GU99" s="137" t="n"/>
      <c r="GV99" s="272" t="n"/>
      <c r="GW99" s="272" t="n"/>
      <c r="GX99" s="137" t="n"/>
      <c r="GY99" s="538" t="n"/>
      <c r="GZ99" s="137" t="n"/>
      <c r="HA99" s="542" t="n"/>
      <c r="HB99" s="543" t="n"/>
      <c r="HC99" s="489" t="n"/>
      <c r="HD99" s="137" t="n"/>
      <c r="HE99" s="272" t="n"/>
      <c r="HF99" s="272" t="n"/>
      <c r="HG99" s="270" t="n"/>
      <c r="HH99" s="544" t="n"/>
      <c r="HI99" s="538" t="n"/>
      <c r="HK99" s="137" t="n"/>
      <c r="HL99" s="538" t="n"/>
      <c r="HN99" s="521" t="n"/>
      <c r="HO99" s="521" t="n"/>
      <c r="HP99" s="521" t="n"/>
      <c r="HQ99" s="521" t="n"/>
      <c r="HR99" s="521" t="n"/>
      <c r="HS99" s="521" t="n"/>
      <c r="HT99" s="521" t="n"/>
      <c r="HU99" s="522" t="n"/>
      <c r="HV99" s="274" t="n"/>
      <c r="HW99" s="522" t="n"/>
      <c r="HX99" s="522" t="n"/>
      <c r="HY99" s="522" t="n"/>
      <c r="HZ99" s="522" t="n"/>
      <c r="IA99" s="522" t="n"/>
      <c r="IB99" s="545" t="n"/>
      <c r="IE99" s="351" t="n"/>
    </row>
    <row r="100" ht="15" customHeight="1">
      <c r="B100" s="242" t="n"/>
      <c r="C100" s="242" t="n"/>
      <c r="D100" s="254" t="n"/>
      <c r="E100" s="243" t="n"/>
      <c r="F100" s="244" t="n"/>
      <c r="G100" s="528" t="n"/>
      <c r="H100" s="528" t="n"/>
      <c r="I100" s="246" t="n"/>
      <c r="J100" s="529" t="n"/>
      <c r="K100" s="529" t="n"/>
      <c r="L100" s="529" t="n"/>
      <c r="M100" s="529" t="n"/>
      <c r="N100" s="248" t="n"/>
      <c r="O100" s="248" t="n"/>
      <c r="P100" s="249" t="n"/>
      <c r="Q100" s="248" t="n"/>
      <c r="R100" s="552" t="n"/>
      <c r="S100" s="251" t="n"/>
      <c r="T100" s="552" t="n"/>
      <c r="U100" s="252" t="n"/>
      <c r="V100" s="252" t="n"/>
      <c r="W100" s="530" t="n"/>
      <c r="X100" s="248" t="n"/>
      <c r="Y100" s="254" t="n"/>
      <c r="Z100" s="254" t="n"/>
      <c r="AA100" s="531" t="n"/>
      <c r="AB100" s="531" t="n"/>
      <c r="AC100" s="532" t="n"/>
      <c r="AD100" s="532" t="n"/>
      <c r="AE100" s="532" t="n"/>
      <c r="AF100" s="532" t="n"/>
      <c r="AG100" s="533" t="n"/>
      <c r="AH100" s="533" t="n"/>
      <c r="AI100" s="533" t="n"/>
      <c r="AJ100" s="533" t="n"/>
      <c r="AK100" s="534" t="n"/>
      <c r="AL100" s="534" t="n"/>
      <c r="AM100" s="553" t="n"/>
      <c r="AN100" s="529" t="n"/>
      <c r="AO100" s="244" t="n"/>
      <c r="AP100" s="535" t="n"/>
      <c r="AQ100" s="535" t="n"/>
      <c r="AR100" s="248" t="n"/>
      <c r="AS100" s="280" t="n"/>
      <c r="AT100" s="248" t="n"/>
      <c r="AU100" s="250" t="n"/>
      <c r="AV100" s="250" t="n"/>
      <c r="AW100" s="250" t="n"/>
      <c r="AX100" s="262" t="n"/>
      <c r="AY100" s="250" t="n"/>
      <c r="AZ100" s="250" t="n"/>
      <c r="BA100" s="250" t="n"/>
      <c r="BB100" s="412">
        <f>IF(B100="","",IF(AR100="No",AV100-AZ100,""))</f>
        <v/>
      </c>
      <c r="BC100" s="412">
        <f>IF(B100="","",IF(AR100="Yes",AS100-BA100,""))</f>
        <v/>
      </c>
      <c r="BD100" s="254" t="n"/>
      <c r="BE100" s="536" t="n"/>
      <c r="BF100" s="254" t="n"/>
      <c r="BG100" s="254" t="n"/>
      <c r="BH100" s="248" t="n"/>
      <c r="BI100" s="413">
        <f>IF(B100="","",IF(OR(AND(AZ100&gt;0,BB100&gt;=2.5%,BB100&lt;4%),AND(BA100&gt;0,BC100&gt;=6%,BC100&lt;8%)),"Yes","No"))</f>
        <v/>
      </c>
      <c r="BJ100" s="413">
        <f>IF(B100="","",IF(OR(AND(AZ100&gt;0,BB100&lt;2.5%),AND(BA100&gt;0,BC100&lt;6%)),"Yes","No"))</f>
        <v/>
      </c>
      <c r="BK100" s="248" t="n"/>
      <c r="BL100" s="248" t="n"/>
      <c r="BM100" s="248" t="n"/>
      <c r="BN100" s="248" t="n"/>
      <c r="BO100" s="248" t="n"/>
      <c r="BP100" s="248" t="n"/>
      <c r="BQ100" s="248" t="n"/>
      <c r="BR100" s="248" t="n"/>
      <c r="BS100" s="248" t="n"/>
      <c r="BT100" s="248" t="n"/>
      <c r="BU100" s="248" t="n"/>
      <c r="BV100" s="248" t="n"/>
      <c r="BW100" s="248" t="n"/>
      <c r="BX100" s="248" t="n"/>
      <c r="BY100" s="248" t="n"/>
      <c r="BZ100" s="248" t="n"/>
      <c r="CA100" s="248" t="n"/>
      <c r="CB100" s="537" t="n"/>
      <c r="CC100" s="537" t="n"/>
      <c r="CD100" s="265" t="n"/>
      <c r="CE100" s="265" t="n"/>
      <c r="CF100" s="265" t="n"/>
      <c r="CG100" s="265" t="n"/>
      <c r="CH100" s="265" t="n"/>
      <c r="CI100" s="265" t="n"/>
      <c r="CJ100" s="265" t="n"/>
      <c r="CK100" s="265" t="n"/>
      <c r="CL100" s="265" t="n"/>
      <c r="CM100" s="265" t="n"/>
      <c r="CN100" s="265" t="n"/>
      <c r="CO100" s="265" t="n"/>
      <c r="CP100" s="265" t="n"/>
      <c r="CQ100" s="265" t="n"/>
      <c r="CR100" s="265" t="n"/>
      <c r="CS100" s="265" t="n"/>
      <c r="CT100" s="265" t="n"/>
      <c r="CU100" s="265" t="n"/>
      <c r="CV100" s="265" t="n"/>
      <c r="CW100" s="265" t="n"/>
      <c r="CX100" s="265" t="n"/>
      <c r="CY100" s="265" t="n"/>
      <c r="CZ100" s="265" t="n"/>
      <c r="DA100" s="265" t="n"/>
      <c r="DB100" s="265" t="n"/>
      <c r="DC100" s="265" t="n"/>
      <c r="DD100" s="265" t="n"/>
      <c r="DE100" s="265" t="n"/>
      <c r="DF100" s="265" t="n"/>
      <c r="DG100" s="265" t="n"/>
      <c r="DH100" s="265" t="n"/>
      <c r="DI100" s="265" t="n"/>
      <c r="DJ100" s="265" t="n"/>
      <c r="DK100" s="265" t="n"/>
      <c r="DL100" s="265" t="n"/>
      <c r="DN100" s="538" t="n"/>
      <c r="DO100" s="539" t="n"/>
      <c r="DP100" s="538" t="n"/>
      <c r="DQ100" s="538" t="n"/>
      <c r="DR100" s="539" t="n"/>
      <c r="DS100" s="538" t="n"/>
      <c r="DT100" s="538" t="n"/>
      <c r="DU100" s="539" t="n"/>
      <c r="DV100" s="538" t="n"/>
      <c r="DW100" s="538" t="n"/>
      <c r="DX100" s="539" t="n"/>
      <c r="DY100" s="538" t="n"/>
      <c r="DZ100" s="538" t="n"/>
      <c r="EA100" s="539" t="n"/>
      <c r="EB100" s="538" t="n"/>
      <c r="EC100" s="538" t="n"/>
      <c r="ED100" s="539" t="n"/>
      <c r="EE100" s="538" t="n"/>
      <c r="EF100" s="538" t="n"/>
      <c r="EG100" s="539" t="n"/>
      <c r="EH100" s="538" t="n"/>
      <c r="EI100" s="538" t="n"/>
      <c r="EJ100" s="539" t="n"/>
      <c r="EK100" s="538" t="n"/>
      <c r="EL100" s="538" t="n"/>
      <c r="EM100" s="539" t="n"/>
      <c r="EN100" s="538" t="n"/>
      <c r="EO100" s="538" t="n"/>
      <c r="EP100" s="539" t="n"/>
      <c r="EQ100" s="538" t="n"/>
      <c r="ER100" s="538" t="n"/>
      <c r="ES100" s="539" t="n"/>
      <c r="ET100" s="538" t="n"/>
      <c r="EU100" s="538" t="n"/>
      <c r="EV100" s="539" t="n"/>
      <c r="EW100" s="538" t="n"/>
      <c r="EX100" s="538" t="n"/>
      <c r="EY100" s="539" t="n"/>
      <c r="EZ100" s="538" t="n"/>
      <c r="FA100" s="538" t="n"/>
      <c r="FB100" s="539" t="n"/>
      <c r="FC100" s="538" t="n"/>
      <c r="FD100" s="538" t="n"/>
      <c r="FE100" s="539" t="n"/>
      <c r="FF100" s="538" t="n"/>
      <c r="FG100" s="538" t="n"/>
      <c r="FH100" s="538" t="n"/>
      <c r="FI100" s="538" t="n"/>
      <c r="FJ100" s="538" t="n"/>
      <c r="FK100" s="538" t="n"/>
      <c r="FL100" s="538" t="n"/>
      <c r="FM100" s="538">
        <f>FL100</f>
        <v/>
      </c>
      <c r="FN100" s="538">
        <f>IF(FL100=0,0,VLOOKUP(C100,$HD$10:$HE$406,2,FALSE)*FL100)</f>
        <v/>
      </c>
      <c r="FO100" s="538">
        <f>FL100-FN100</f>
        <v/>
      </c>
      <c r="FP100" s="538" t="n"/>
      <c r="FQ100" s="539" t="n"/>
      <c r="FR100" s="538" t="n"/>
      <c r="FS100" s="538" t="n"/>
      <c r="FT100" s="539" t="n"/>
      <c r="FU100" s="538" t="n"/>
      <c r="FV100" s="538" t="n"/>
      <c r="FW100" s="538" t="n"/>
      <c r="FX100" s="538" t="n"/>
      <c r="FY100" s="538" t="n"/>
      <c r="FZ100" s="539" t="n"/>
      <c r="GA100" s="538" t="n"/>
      <c r="GB100" s="538" t="n"/>
      <c r="GC100" s="540" t="n"/>
      <c r="GD100" s="138" t="n"/>
      <c r="GE100" s="541" t="n"/>
      <c r="GF100" s="538" t="n"/>
      <c r="GG100" s="270" t="n"/>
      <c r="GH100" s="137" t="n"/>
      <c r="GI100" s="542" t="n"/>
      <c r="GJ100" s="542" t="n"/>
      <c r="GK100" s="489" t="n"/>
      <c r="GL100" s="137" t="n"/>
      <c r="GM100" s="272" t="n"/>
      <c r="GO100" s="137" t="n"/>
      <c r="GP100" s="538" t="n"/>
      <c r="GQ100" s="137" t="n"/>
      <c r="GR100" s="542" t="n"/>
      <c r="GS100" s="542" t="n"/>
      <c r="GT100" s="489" t="n"/>
      <c r="GU100" s="137" t="n"/>
      <c r="GV100" s="272" t="n"/>
      <c r="GW100" s="272" t="n"/>
      <c r="GX100" s="137" t="n"/>
      <c r="GY100" s="538" t="n"/>
      <c r="GZ100" s="137" t="n"/>
      <c r="HA100" s="542" t="n"/>
      <c r="HB100" s="543" t="n"/>
      <c r="HC100" s="489" t="n"/>
      <c r="HD100" s="137" t="n"/>
      <c r="HE100" s="272" t="n"/>
      <c r="HF100" s="272" t="n"/>
      <c r="HG100" s="270" t="n"/>
      <c r="HH100" s="544" t="n"/>
      <c r="HI100" s="538" t="n"/>
      <c r="HK100" s="137" t="n"/>
      <c r="HL100" s="538" t="n"/>
      <c r="HN100" s="521" t="n"/>
      <c r="HO100" s="521" t="n"/>
      <c r="HP100" s="521" t="n"/>
      <c r="HQ100" s="521" t="n"/>
      <c r="HR100" s="521" t="n"/>
      <c r="HS100" s="521" t="n"/>
      <c r="HT100" s="521" t="n"/>
      <c r="HU100" s="522" t="n"/>
      <c r="HV100" s="274" t="n"/>
      <c r="HW100" s="522" t="n"/>
      <c r="HX100" s="522" t="n"/>
      <c r="HY100" s="522" t="n"/>
      <c r="HZ100" s="522" t="n"/>
      <c r="IA100" s="522" t="n"/>
      <c r="IB100" s="545" t="n"/>
      <c r="IE100" s="351" t="n"/>
    </row>
    <row r="101" ht="15" customHeight="1">
      <c r="B101" s="242" t="n"/>
      <c r="C101" s="242" t="n"/>
      <c r="D101" s="254" t="n"/>
      <c r="E101" s="243" t="n"/>
      <c r="F101" s="244" t="n"/>
      <c r="G101" s="528" t="n"/>
      <c r="H101" s="528" t="n"/>
      <c r="I101" s="246" t="n"/>
      <c r="J101" s="529" t="n"/>
      <c r="K101" s="529" t="n"/>
      <c r="L101" s="529" t="n"/>
      <c r="M101" s="529" t="n"/>
      <c r="N101" s="248" t="n"/>
      <c r="O101" s="248" t="n"/>
      <c r="P101" s="249" t="n"/>
      <c r="Q101" s="248" t="n"/>
      <c r="R101" s="552" t="n"/>
      <c r="S101" s="251" t="n"/>
      <c r="T101" s="552" t="n"/>
      <c r="U101" s="252" t="n"/>
      <c r="V101" s="252" t="n"/>
      <c r="W101" s="530" t="n"/>
      <c r="X101" s="248" t="n"/>
      <c r="Y101" s="254" t="n"/>
      <c r="Z101" s="254" t="n"/>
      <c r="AA101" s="531" t="n"/>
      <c r="AB101" s="531" t="n"/>
      <c r="AC101" s="532" t="n"/>
      <c r="AD101" s="532" t="n"/>
      <c r="AE101" s="532" t="n"/>
      <c r="AF101" s="532" t="n"/>
      <c r="AG101" s="533" t="n"/>
      <c r="AH101" s="533" t="n"/>
      <c r="AI101" s="533" t="n"/>
      <c r="AJ101" s="533" t="n"/>
      <c r="AK101" s="534" t="n"/>
      <c r="AL101" s="534" t="n"/>
      <c r="AM101" s="553" t="n"/>
      <c r="AN101" s="529" t="n"/>
      <c r="AO101" s="244" t="n"/>
      <c r="AP101" s="535" t="n"/>
      <c r="AQ101" s="535" t="n"/>
      <c r="AR101" s="248" t="n"/>
      <c r="AS101" s="280" t="n"/>
      <c r="AT101" s="248" t="n"/>
      <c r="AU101" s="250" t="n"/>
      <c r="AV101" s="250" t="n"/>
      <c r="AW101" s="250" t="n"/>
      <c r="AX101" s="262" t="n"/>
      <c r="AY101" s="250" t="n"/>
      <c r="AZ101" s="250" t="n"/>
      <c r="BA101" s="250" t="n"/>
      <c r="BB101" s="412">
        <f>IF(B101="","",IF(AR101="No",AV101-AZ101,""))</f>
        <v/>
      </c>
      <c r="BC101" s="412">
        <f>IF(B101="","",IF(AR101="Yes",AS101-BA101,""))</f>
        <v/>
      </c>
      <c r="BD101" s="254" t="n"/>
      <c r="BE101" s="536" t="n"/>
      <c r="BF101" s="254" t="n"/>
      <c r="BG101" s="254" t="n"/>
      <c r="BH101" s="248" t="n"/>
      <c r="BI101" s="413">
        <f>IF(B101="","",IF(OR(AND(AZ101&gt;0,BB101&gt;=2.5%,BB101&lt;4%),AND(BA101&gt;0,BC101&gt;=6%,BC101&lt;8%)),"Yes","No"))</f>
        <v/>
      </c>
      <c r="BJ101" s="413">
        <f>IF(B101="","",IF(OR(AND(AZ101&gt;0,BB101&lt;2.5%),AND(BA101&gt;0,BC101&lt;6%)),"Yes","No"))</f>
        <v/>
      </c>
      <c r="BK101" s="248" t="n"/>
      <c r="BL101" s="248" t="n"/>
      <c r="BM101" s="248" t="n"/>
      <c r="BN101" s="248" t="n"/>
      <c r="BO101" s="248" t="n"/>
      <c r="BP101" s="248" t="n"/>
      <c r="BQ101" s="248" t="n"/>
      <c r="BR101" s="248" t="n"/>
      <c r="BS101" s="248" t="n"/>
      <c r="BT101" s="248" t="n"/>
      <c r="BU101" s="248" t="n"/>
      <c r="BV101" s="248" t="n"/>
      <c r="BW101" s="248" t="n"/>
      <c r="BX101" s="248" t="n"/>
      <c r="BY101" s="248" t="n"/>
      <c r="BZ101" s="248" t="n"/>
      <c r="CA101" s="248" t="n"/>
      <c r="CB101" s="537" t="n"/>
      <c r="CC101" s="537" t="n"/>
      <c r="CD101" s="265" t="n"/>
      <c r="CE101" s="265" t="n"/>
      <c r="CF101" s="265" t="n"/>
      <c r="CG101" s="265" t="n"/>
      <c r="CH101" s="265" t="n"/>
      <c r="CI101" s="265" t="n"/>
      <c r="CJ101" s="265" t="n"/>
      <c r="CK101" s="265" t="n"/>
      <c r="CL101" s="265" t="n"/>
      <c r="CM101" s="265" t="n"/>
      <c r="CN101" s="265" t="n"/>
      <c r="CO101" s="265" t="n"/>
      <c r="CP101" s="265" t="n"/>
      <c r="CQ101" s="265" t="n"/>
      <c r="CR101" s="265" t="n"/>
      <c r="CS101" s="265" t="n"/>
      <c r="CT101" s="265" t="n"/>
      <c r="CU101" s="265" t="n"/>
      <c r="CV101" s="265" t="n"/>
      <c r="CW101" s="265" t="n"/>
      <c r="CX101" s="265" t="n"/>
      <c r="CY101" s="265" t="n"/>
      <c r="CZ101" s="265" t="n"/>
      <c r="DA101" s="265" t="n"/>
      <c r="DB101" s="265" t="n"/>
      <c r="DC101" s="265" t="n"/>
      <c r="DD101" s="265" t="n"/>
      <c r="DE101" s="265" t="n"/>
      <c r="DF101" s="265" t="n"/>
      <c r="DG101" s="265" t="n"/>
      <c r="DH101" s="265" t="n"/>
      <c r="DI101" s="265" t="n"/>
      <c r="DJ101" s="265" t="n"/>
      <c r="DK101" s="265" t="n"/>
      <c r="DL101" s="265" t="n"/>
      <c r="DN101" s="538" t="n"/>
      <c r="DO101" s="539" t="n"/>
      <c r="DP101" s="538" t="n"/>
      <c r="DQ101" s="538" t="n"/>
      <c r="DR101" s="539" t="n"/>
      <c r="DS101" s="538" t="n"/>
      <c r="DT101" s="538" t="n"/>
      <c r="DU101" s="539" t="n"/>
      <c r="DV101" s="538" t="n"/>
      <c r="DW101" s="538" t="n"/>
      <c r="DX101" s="539" t="n"/>
      <c r="DY101" s="538" t="n"/>
      <c r="DZ101" s="538" t="n"/>
      <c r="EA101" s="539" t="n"/>
      <c r="EB101" s="538" t="n"/>
      <c r="EC101" s="538" t="n"/>
      <c r="ED101" s="539" t="n"/>
      <c r="EE101" s="538" t="n"/>
      <c r="EF101" s="538" t="n"/>
      <c r="EG101" s="539" t="n"/>
      <c r="EH101" s="538" t="n"/>
      <c r="EI101" s="538" t="n"/>
      <c r="EJ101" s="539" t="n"/>
      <c r="EK101" s="538" t="n"/>
      <c r="EL101" s="538" t="n"/>
      <c r="EM101" s="539" t="n"/>
      <c r="EN101" s="538" t="n"/>
      <c r="EO101" s="538" t="n"/>
      <c r="EP101" s="539" t="n"/>
      <c r="EQ101" s="538" t="n"/>
      <c r="ER101" s="538" t="n"/>
      <c r="ES101" s="539" t="n"/>
      <c r="ET101" s="538" t="n"/>
      <c r="EU101" s="538" t="n"/>
      <c r="EV101" s="539" t="n"/>
      <c r="EW101" s="538" t="n"/>
      <c r="EX101" s="538" t="n"/>
      <c r="EY101" s="539" t="n"/>
      <c r="EZ101" s="538" t="n"/>
      <c r="FA101" s="538" t="n"/>
      <c r="FB101" s="539" t="n"/>
      <c r="FC101" s="538" t="n"/>
      <c r="FD101" s="538" t="n"/>
      <c r="FE101" s="539" t="n"/>
      <c r="FF101" s="538" t="n"/>
      <c r="FG101" s="538" t="n"/>
      <c r="FH101" s="538" t="n"/>
      <c r="FI101" s="538" t="n"/>
      <c r="FJ101" s="538" t="n"/>
      <c r="FK101" s="538" t="n"/>
      <c r="FL101" s="538" t="n"/>
      <c r="FM101" s="538">
        <f>FL101</f>
        <v/>
      </c>
      <c r="FN101" s="538">
        <f>IF(FL101=0,0,VLOOKUP(C101,$HD$10:$HE$406,2,FALSE)*FL101)</f>
        <v/>
      </c>
      <c r="FO101" s="538">
        <f>FL101-FN101</f>
        <v/>
      </c>
      <c r="FP101" s="538" t="n"/>
      <c r="FQ101" s="539" t="n"/>
      <c r="FR101" s="538" t="n"/>
      <c r="FS101" s="538" t="n"/>
      <c r="FT101" s="539" t="n"/>
      <c r="FU101" s="538" t="n"/>
      <c r="FV101" s="538" t="n"/>
      <c r="FW101" s="538" t="n"/>
      <c r="FX101" s="538" t="n"/>
      <c r="FY101" s="538" t="n"/>
      <c r="FZ101" s="539" t="n"/>
      <c r="GA101" s="538" t="n"/>
      <c r="GB101" s="538" t="n"/>
      <c r="GC101" s="540" t="n"/>
      <c r="GD101" s="138" t="n"/>
      <c r="GE101" s="541" t="n"/>
      <c r="GF101" s="538" t="n"/>
      <c r="GG101" s="270" t="n"/>
      <c r="GH101" s="137" t="n"/>
      <c r="GI101" s="542" t="n"/>
      <c r="GJ101" s="542" t="n"/>
      <c r="GK101" s="489" t="n"/>
      <c r="GL101" s="137" t="n"/>
      <c r="GM101" s="272" t="n"/>
      <c r="GO101" s="137" t="n"/>
      <c r="GP101" s="538" t="n"/>
      <c r="GQ101" s="137" t="n"/>
      <c r="GR101" s="542" t="n"/>
      <c r="GS101" s="542" t="n"/>
      <c r="GT101" s="489" t="n"/>
      <c r="GU101" s="137" t="n"/>
      <c r="GV101" s="272" t="n"/>
      <c r="GW101" s="272" t="n"/>
      <c r="GX101" s="137" t="n"/>
      <c r="GY101" s="538" t="n"/>
      <c r="GZ101" s="137" t="n"/>
      <c r="HA101" s="542" t="n"/>
      <c r="HB101" s="543" t="n"/>
      <c r="HC101" s="489" t="n"/>
      <c r="HD101" s="137" t="n"/>
      <c r="HE101" s="272" t="n"/>
      <c r="HF101" s="272" t="n"/>
      <c r="HG101" s="270" t="n"/>
      <c r="HH101" s="544" t="n"/>
      <c r="HI101" s="538" t="n"/>
      <c r="HK101" s="137" t="n"/>
      <c r="HL101" s="538" t="n"/>
      <c r="HN101" s="521" t="n"/>
      <c r="HO101" s="521" t="n"/>
      <c r="HP101" s="521" t="n"/>
      <c r="HQ101" s="521" t="n"/>
      <c r="HR101" s="521" t="n"/>
      <c r="HS101" s="521" t="n"/>
      <c r="HT101" s="521" t="n"/>
      <c r="HU101" s="522" t="n"/>
      <c r="HV101" s="274" t="n"/>
      <c r="HW101" s="522" t="n"/>
      <c r="HX101" s="522" t="n"/>
      <c r="HY101" s="522" t="n"/>
      <c r="HZ101" s="522" t="n"/>
      <c r="IA101" s="522" t="n"/>
      <c r="IB101" s="545" t="n"/>
      <c r="IE101" s="351" t="n"/>
    </row>
    <row r="102" ht="15" customHeight="1">
      <c r="B102" s="242" t="n"/>
      <c r="C102" s="242" t="n"/>
      <c r="D102" s="254" t="n"/>
      <c r="E102" s="243" t="n"/>
      <c r="F102" s="244" t="n"/>
      <c r="G102" s="528" t="n"/>
      <c r="H102" s="528" t="n"/>
      <c r="I102" s="246" t="n"/>
      <c r="J102" s="529" t="n"/>
      <c r="K102" s="529" t="n"/>
      <c r="L102" s="529" t="n"/>
      <c r="M102" s="529" t="n"/>
      <c r="N102" s="248" t="n"/>
      <c r="O102" s="248" t="n"/>
      <c r="P102" s="249" t="n"/>
      <c r="Q102" s="248" t="n"/>
      <c r="R102" s="552" t="n"/>
      <c r="S102" s="251" t="n"/>
      <c r="T102" s="552" t="n"/>
      <c r="U102" s="252" t="n"/>
      <c r="V102" s="252" t="n"/>
      <c r="W102" s="530" t="n"/>
      <c r="X102" s="248" t="n"/>
      <c r="Y102" s="254" t="n"/>
      <c r="Z102" s="254" t="n"/>
      <c r="AA102" s="531" t="n"/>
      <c r="AB102" s="531" t="n"/>
      <c r="AC102" s="532" t="n"/>
      <c r="AD102" s="532" t="n"/>
      <c r="AE102" s="532" t="n"/>
      <c r="AF102" s="532" t="n"/>
      <c r="AG102" s="533" t="n"/>
      <c r="AH102" s="533" t="n"/>
      <c r="AI102" s="533" t="n"/>
      <c r="AJ102" s="533" t="n"/>
      <c r="AK102" s="534" t="n"/>
      <c r="AL102" s="534" t="n"/>
      <c r="AM102" s="553" t="n"/>
      <c r="AN102" s="529" t="n"/>
      <c r="AO102" s="244" t="n"/>
      <c r="AP102" s="535" t="n"/>
      <c r="AQ102" s="535" t="n"/>
      <c r="AR102" s="248" t="n"/>
      <c r="AS102" s="280" t="n"/>
      <c r="AT102" s="248" t="n"/>
      <c r="AU102" s="250" t="n"/>
      <c r="AV102" s="250" t="n"/>
      <c r="AW102" s="250" t="n"/>
      <c r="AX102" s="262" t="n"/>
      <c r="AY102" s="250" t="n"/>
      <c r="AZ102" s="250" t="n"/>
      <c r="BA102" s="250" t="n"/>
      <c r="BB102" s="412">
        <f>IF(B102="","",IF(AR102="No",AV102-AZ102,""))</f>
        <v/>
      </c>
      <c r="BC102" s="412">
        <f>IF(B102="","",IF(AR102="Yes",AS102-BA102,""))</f>
        <v/>
      </c>
      <c r="BD102" s="254" t="n"/>
      <c r="BE102" s="536" t="n"/>
      <c r="BF102" s="254" t="n"/>
      <c r="BG102" s="254" t="n"/>
      <c r="BH102" s="248" t="n"/>
      <c r="BI102" s="413">
        <f>IF(B102="","",IF(OR(AND(AZ102&gt;0,BB102&gt;=2.5%,BB102&lt;4%),AND(BA102&gt;0,BC102&gt;=6%,BC102&lt;8%)),"Yes","No"))</f>
        <v/>
      </c>
      <c r="BJ102" s="413">
        <f>IF(B102="","",IF(OR(AND(AZ102&gt;0,BB102&lt;2.5%),AND(BA102&gt;0,BC102&lt;6%)),"Yes","No"))</f>
        <v/>
      </c>
      <c r="BK102" s="248" t="n"/>
      <c r="BL102" s="248" t="n"/>
      <c r="BM102" s="248" t="n"/>
      <c r="BN102" s="248" t="n"/>
      <c r="BO102" s="248" t="n"/>
      <c r="BP102" s="248" t="n"/>
      <c r="BQ102" s="248" t="n"/>
      <c r="BR102" s="248" t="n"/>
      <c r="BS102" s="248" t="n"/>
      <c r="BT102" s="248" t="n"/>
      <c r="BU102" s="248" t="n"/>
      <c r="BV102" s="248" t="n"/>
      <c r="BW102" s="248" t="n"/>
      <c r="BX102" s="248" t="n"/>
      <c r="BY102" s="248" t="n"/>
      <c r="BZ102" s="248" t="n"/>
      <c r="CA102" s="248" t="n"/>
      <c r="CB102" s="537" t="n"/>
      <c r="CC102" s="537" t="n"/>
      <c r="CD102" s="265" t="n"/>
      <c r="CE102" s="265" t="n"/>
      <c r="CF102" s="265" t="n"/>
      <c r="CG102" s="265" t="n"/>
      <c r="CH102" s="265" t="n"/>
      <c r="CI102" s="265" t="n"/>
      <c r="CJ102" s="265" t="n"/>
      <c r="CK102" s="265" t="n"/>
      <c r="CL102" s="265" t="n"/>
      <c r="CM102" s="265" t="n"/>
      <c r="CN102" s="265" t="n"/>
      <c r="CO102" s="265" t="n"/>
      <c r="CP102" s="265" t="n"/>
      <c r="CQ102" s="265" t="n"/>
      <c r="CR102" s="265" t="n"/>
      <c r="CS102" s="265" t="n"/>
      <c r="CT102" s="265" t="n"/>
      <c r="CU102" s="265" t="n"/>
      <c r="CV102" s="265" t="n"/>
      <c r="CW102" s="265" t="n"/>
      <c r="CX102" s="265" t="n"/>
      <c r="CY102" s="265" t="n"/>
      <c r="CZ102" s="265" t="n"/>
      <c r="DA102" s="265" t="n"/>
      <c r="DB102" s="265" t="n"/>
      <c r="DC102" s="265" t="n"/>
      <c r="DD102" s="265" t="n"/>
      <c r="DE102" s="265" t="n"/>
      <c r="DF102" s="265" t="n"/>
      <c r="DG102" s="265" t="n"/>
      <c r="DH102" s="265" t="n"/>
      <c r="DI102" s="265" t="n"/>
      <c r="DJ102" s="265" t="n"/>
      <c r="DK102" s="265" t="n"/>
      <c r="DL102" s="265" t="n"/>
      <c r="DN102" s="538" t="n"/>
      <c r="DO102" s="539" t="n"/>
      <c r="DP102" s="538" t="n"/>
      <c r="DQ102" s="538" t="n"/>
      <c r="DR102" s="539" t="n"/>
      <c r="DS102" s="538" t="n"/>
      <c r="DT102" s="538" t="n"/>
      <c r="DU102" s="539" t="n"/>
      <c r="DV102" s="538" t="n"/>
      <c r="DW102" s="538" t="n"/>
      <c r="DX102" s="539" t="n"/>
      <c r="DY102" s="538" t="n"/>
      <c r="DZ102" s="538" t="n"/>
      <c r="EA102" s="539" t="n"/>
      <c r="EB102" s="538" t="n"/>
      <c r="EC102" s="538" t="n"/>
      <c r="ED102" s="539" t="n"/>
      <c r="EE102" s="538" t="n"/>
      <c r="EF102" s="538" t="n"/>
      <c r="EG102" s="539" t="n"/>
      <c r="EH102" s="538" t="n"/>
      <c r="EI102" s="538" t="n"/>
      <c r="EJ102" s="539" t="n"/>
      <c r="EK102" s="538" t="n"/>
      <c r="EL102" s="538" t="n"/>
      <c r="EM102" s="539" t="n"/>
      <c r="EN102" s="538" t="n"/>
      <c r="EO102" s="538" t="n"/>
      <c r="EP102" s="539" t="n"/>
      <c r="EQ102" s="538" t="n"/>
      <c r="ER102" s="538" t="n"/>
      <c r="ES102" s="539" t="n"/>
      <c r="ET102" s="538" t="n"/>
      <c r="EU102" s="538" t="n"/>
      <c r="EV102" s="539" t="n"/>
      <c r="EW102" s="538" t="n"/>
      <c r="EX102" s="538" t="n"/>
      <c r="EY102" s="539" t="n"/>
      <c r="EZ102" s="538" t="n"/>
      <c r="FA102" s="538" t="n"/>
      <c r="FB102" s="539" t="n"/>
      <c r="FC102" s="538" t="n"/>
      <c r="FD102" s="538" t="n"/>
      <c r="FE102" s="539" t="n"/>
      <c r="FF102" s="538" t="n"/>
      <c r="FG102" s="538" t="n"/>
      <c r="FH102" s="538" t="n"/>
      <c r="FI102" s="538" t="n"/>
      <c r="FJ102" s="538" t="n"/>
      <c r="FK102" s="538" t="n"/>
      <c r="FL102" s="538" t="n"/>
      <c r="FM102" s="538">
        <f>FL102</f>
        <v/>
      </c>
      <c r="FN102" s="538">
        <f>IF(FL102=0,0,VLOOKUP(C102,$HD$10:$HE$406,2,FALSE)*FL102)</f>
        <v/>
      </c>
      <c r="FO102" s="538">
        <f>FL102-FN102</f>
        <v/>
      </c>
      <c r="FP102" s="538" t="n"/>
      <c r="FQ102" s="539" t="n"/>
      <c r="FR102" s="538" t="n"/>
      <c r="FS102" s="538" t="n"/>
      <c r="FT102" s="539" t="n"/>
      <c r="FU102" s="538" t="n"/>
      <c r="FV102" s="538" t="n"/>
      <c r="FW102" s="538" t="n"/>
      <c r="FX102" s="538" t="n"/>
      <c r="FY102" s="538" t="n"/>
      <c r="FZ102" s="539" t="n"/>
      <c r="GA102" s="538" t="n"/>
      <c r="GB102" s="538" t="n"/>
      <c r="GC102" s="540" t="n"/>
      <c r="GD102" s="138" t="n"/>
      <c r="GE102" s="541" t="n"/>
      <c r="GF102" s="538" t="n"/>
      <c r="GG102" s="270" t="n"/>
      <c r="GH102" s="137" t="n"/>
      <c r="GI102" s="542" t="n"/>
      <c r="GJ102" s="542" t="n"/>
      <c r="GK102" s="489" t="n"/>
      <c r="GL102" s="137" t="n"/>
      <c r="GM102" s="272" t="n"/>
      <c r="GO102" s="137" t="n"/>
      <c r="GP102" s="538" t="n"/>
      <c r="GQ102" s="137" t="n"/>
      <c r="GR102" s="542" t="n"/>
      <c r="GS102" s="542" t="n"/>
      <c r="GT102" s="489" t="n"/>
      <c r="GU102" s="137" t="n"/>
      <c r="GV102" s="272" t="n"/>
      <c r="GW102" s="272" t="n"/>
      <c r="GX102" s="137" t="n"/>
      <c r="GY102" s="538" t="n"/>
      <c r="GZ102" s="137" t="n"/>
      <c r="HA102" s="542" t="n"/>
      <c r="HB102" s="543" t="n"/>
      <c r="HC102" s="489" t="n"/>
      <c r="HD102" s="137" t="n"/>
      <c r="HE102" s="272" t="n"/>
      <c r="HF102" s="272" t="n"/>
      <c r="HG102" s="270" t="n"/>
      <c r="HH102" s="544" t="n"/>
      <c r="HI102" s="538" t="n"/>
      <c r="HK102" s="137" t="n"/>
      <c r="HL102" s="538" t="n"/>
      <c r="HN102" s="521" t="n"/>
      <c r="HO102" s="521" t="n"/>
      <c r="HP102" s="521" t="n"/>
      <c r="HQ102" s="521" t="n"/>
      <c r="HR102" s="521" t="n"/>
      <c r="HS102" s="521" t="n"/>
      <c r="HT102" s="521" t="n"/>
      <c r="HU102" s="522" t="n"/>
      <c r="HV102" s="274" t="n"/>
      <c r="HW102" s="522" t="n"/>
      <c r="HX102" s="522" t="n"/>
      <c r="HY102" s="522" t="n"/>
      <c r="HZ102" s="522" t="n"/>
      <c r="IA102" s="522" t="n"/>
      <c r="IB102" s="545" t="n"/>
      <c r="IE102" s="351" t="n"/>
    </row>
    <row r="103" ht="15" customHeight="1">
      <c r="B103" s="242" t="n"/>
      <c r="C103" s="242" t="n"/>
      <c r="D103" s="254" t="n"/>
      <c r="E103" s="243" t="n"/>
      <c r="F103" s="244" t="n"/>
      <c r="G103" s="528" t="n"/>
      <c r="H103" s="528" t="n"/>
      <c r="I103" s="246" t="n"/>
      <c r="J103" s="529" t="n"/>
      <c r="K103" s="529" t="n"/>
      <c r="L103" s="529" t="n"/>
      <c r="M103" s="529" t="n"/>
      <c r="N103" s="248" t="n"/>
      <c r="O103" s="248" t="n"/>
      <c r="P103" s="249" t="n"/>
      <c r="Q103" s="248" t="n"/>
      <c r="R103" s="552" t="n"/>
      <c r="S103" s="251" t="n"/>
      <c r="T103" s="552" t="n"/>
      <c r="U103" s="252" t="n"/>
      <c r="V103" s="252" t="n"/>
      <c r="W103" s="530" t="n"/>
      <c r="X103" s="248" t="n"/>
      <c r="Y103" s="254" t="n"/>
      <c r="Z103" s="254" t="n"/>
      <c r="AA103" s="531" t="n"/>
      <c r="AB103" s="531" t="n"/>
      <c r="AC103" s="532" t="n"/>
      <c r="AD103" s="532" t="n"/>
      <c r="AE103" s="532" t="n"/>
      <c r="AF103" s="532" t="n"/>
      <c r="AG103" s="533" t="n"/>
      <c r="AH103" s="533" t="n"/>
      <c r="AI103" s="533" t="n"/>
      <c r="AJ103" s="533" t="n"/>
      <c r="AK103" s="534" t="n"/>
      <c r="AL103" s="534" t="n"/>
      <c r="AM103" s="553" t="n"/>
      <c r="AN103" s="529" t="n"/>
      <c r="AO103" s="244" t="n"/>
      <c r="AP103" s="535" t="n"/>
      <c r="AQ103" s="535" t="n"/>
      <c r="AR103" s="248" t="n"/>
      <c r="AS103" s="280" t="n"/>
      <c r="AT103" s="248" t="n"/>
      <c r="AU103" s="250" t="n"/>
      <c r="AV103" s="250" t="n"/>
      <c r="AW103" s="250" t="n"/>
      <c r="AX103" s="262" t="n"/>
      <c r="AY103" s="250" t="n"/>
      <c r="AZ103" s="250" t="n"/>
      <c r="BA103" s="250" t="n"/>
      <c r="BB103" s="412">
        <f>IF(B103="","",IF(AR103="No",AV103-AZ103,""))</f>
        <v/>
      </c>
      <c r="BC103" s="412">
        <f>IF(B103="","",IF(AR103="Yes",AS103-BA103,""))</f>
        <v/>
      </c>
      <c r="BD103" s="254" t="n"/>
      <c r="BE103" s="536" t="n"/>
      <c r="BF103" s="254" t="n"/>
      <c r="BG103" s="254" t="n"/>
      <c r="BH103" s="248" t="n"/>
      <c r="BI103" s="413">
        <f>IF(B103="","",IF(OR(AND(AZ103&gt;0,BB103&gt;=2.5%,BB103&lt;4%),AND(BA103&gt;0,BC103&gt;=6%,BC103&lt;8%)),"Yes","No"))</f>
        <v/>
      </c>
      <c r="BJ103" s="413">
        <f>IF(B103="","",IF(OR(AND(AZ103&gt;0,BB103&lt;2.5%),AND(BA103&gt;0,BC103&lt;6%)),"Yes","No"))</f>
        <v/>
      </c>
      <c r="BK103" s="248" t="n"/>
      <c r="BL103" s="248" t="n"/>
      <c r="BM103" s="248" t="n"/>
      <c r="BN103" s="248" t="n"/>
      <c r="BO103" s="248" t="n"/>
      <c r="BP103" s="248" t="n"/>
      <c r="BQ103" s="248" t="n"/>
      <c r="BR103" s="248" t="n"/>
      <c r="BS103" s="248" t="n"/>
      <c r="BT103" s="248" t="n"/>
      <c r="BU103" s="248" t="n"/>
      <c r="BV103" s="248" t="n"/>
      <c r="BW103" s="248" t="n"/>
      <c r="BX103" s="248" t="n"/>
      <c r="BY103" s="248" t="n"/>
      <c r="BZ103" s="248" t="n"/>
      <c r="CA103" s="248" t="n"/>
      <c r="CB103" s="537" t="n"/>
      <c r="CC103" s="537" t="n"/>
      <c r="CD103" s="265" t="n"/>
      <c r="CE103" s="265" t="n"/>
      <c r="CF103" s="265" t="n"/>
      <c r="CG103" s="265" t="n"/>
      <c r="CH103" s="265" t="n"/>
      <c r="CI103" s="265" t="n"/>
      <c r="CJ103" s="265" t="n"/>
      <c r="CK103" s="265" t="n"/>
      <c r="CL103" s="265" t="n"/>
      <c r="CM103" s="265" t="n"/>
      <c r="CN103" s="265" t="n"/>
      <c r="CO103" s="265" t="n"/>
      <c r="CP103" s="265" t="n"/>
      <c r="CQ103" s="265" t="n"/>
      <c r="CR103" s="265" t="n"/>
      <c r="CS103" s="265" t="n"/>
      <c r="CT103" s="265" t="n"/>
      <c r="CU103" s="265" t="n"/>
      <c r="CV103" s="265" t="n"/>
      <c r="CW103" s="265" t="n"/>
      <c r="CX103" s="265" t="n"/>
      <c r="CY103" s="265" t="n"/>
      <c r="CZ103" s="265" t="n"/>
      <c r="DA103" s="265" t="n"/>
      <c r="DB103" s="265" t="n"/>
      <c r="DC103" s="265" t="n"/>
      <c r="DD103" s="265" t="n"/>
      <c r="DE103" s="265" t="n"/>
      <c r="DF103" s="265" t="n"/>
      <c r="DG103" s="265" t="n"/>
      <c r="DH103" s="265" t="n"/>
      <c r="DI103" s="265" t="n"/>
      <c r="DJ103" s="265" t="n"/>
      <c r="DK103" s="265" t="n"/>
      <c r="DL103" s="265" t="n"/>
      <c r="DN103" s="538" t="n"/>
      <c r="DO103" s="539" t="n"/>
      <c r="DP103" s="538" t="n"/>
      <c r="DQ103" s="538" t="n"/>
      <c r="DR103" s="539" t="n"/>
      <c r="DS103" s="538" t="n"/>
      <c r="DT103" s="538" t="n"/>
      <c r="DU103" s="539" t="n"/>
      <c r="DV103" s="538" t="n"/>
      <c r="DW103" s="538" t="n"/>
      <c r="DX103" s="539" t="n"/>
      <c r="DY103" s="538" t="n"/>
      <c r="DZ103" s="538" t="n"/>
      <c r="EA103" s="539" t="n"/>
      <c r="EB103" s="538" t="n"/>
      <c r="EC103" s="538" t="n"/>
      <c r="ED103" s="539" t="n"/>
      <c r="EE103" s="538" t="n"/>
      <c r="EF103" s="538" t="n"/>
      <c r="EG103" s="539" t="n"/>
      <c r="EH103" s="538" t="n"/>
      <c r="EI103" s="538" t="n"/>
      <c r="EJ103" s="539" t="n"/>
      <c r="EK103" s="538" t="n"/>
      <c r="EL103" s="538" t="n"/>
      <c r="EM103" s="539" t="n"/>
      <c r="EN103" s="538" t="n"/>
      <c r="EO103" s="538" t="n"/>
      <c r="EP103" s="539" t="n"/>
      <c r="EQ103" s="538" t="n"/>
      <c r="ER103" s="538" t="n"/>
      <c r="ES103" s="539" t="n"/>
      <c r="ET103" s="538" t="n"/>
      <c r="EU103" s="538" t="n"/>
      <c r="EV103" s="539" t="n"/>
      <c r="EW103" s="538" t="n"/>
      <c r="EX103" s="538" t="n"/>
      <c r="EY103" s="539" t="n"/>
      <c r="EZ103" s="538" t="n"/>
      <c r="FA103" s="538" t="n"/>
      <c r="FB103" s="539" t="n"/>
      <c r="FC103" s="538" t="n"/>
      <c r="FD103" s="538" t="n"/>
      <c r="FE103" s="539" t="n"/>
      <c r="FF103" s="538" t="n"/>
      <c r="FG103" s="538" t="n"/>
      <c r="FH103" s="538" t="n"/>
      <c r="FI103" s="538" t="n"/>
      <c r="FJ103" s="538" t="n"/>
      <c r="FK103" s="538" t="n"/>
      <c r="FL103" s="538" t="n"/>
      <c r="FM103" s="538">
        <f>FL103</f>
        <v/>
      </c>
      <c r="FN103" s="538">
        <f>IF(FL103=0,0,VLOOKUP(C103,$HD$10:$HE$406,2,FALSE)*FL103)</f>
        <v/>
      </c>
      <c r="FO103" s="538">
        <f>FL103-FN103</f>
        <v/>
      </c>
      <c r="FP103" s="538" t="n"/>
      <c r="FQ103" s="539" t="n"/>
      <c r="FR103" s="538" t="n"/>
      <c r="FS103" s="538" t="n"/>
      <c r="FT103" s="539" t="n"/>
      <c r="FU103" s="538" t="n"/>
      <c r="FV103" s="538" t="n"/>
      <c r="FW103" s="538" t="n"/>
      <c r="FX103" s="538" t="n"/>
      <c r="FY103" s="538" t="n"/>
      <c r="FZ103" s="539" t="n"/>
      <c r="GA103" s="538" t="n"/>
      <c r="GB103" s="538" t="n"/>
      <c r="GC103" s="540" t="n"/>
      <c r="GD103" s="138" t="n"/>
      <c r="GE103" s="541" t="n"/>
      <c r="GF103" s="538" t="n"/>
      <c r="GG103" s="270" t="n"/>
      <c r="GH103" s="137" t="n"/>
      <c r="GI103" s="542" t="n"/>
      <c r="GJ103" s="542" t="n"/>
      <c r="GK103" s="489" t="n"/>
      <c r="GL103" s="137" t="n"/>
      <c r="GM103" s="272" t="n"/>
      <c r="GO103" s="137" t="n"/>
      <c r="GP103" s="538" t="n"/>
      <c r="GQ103" s="137" t="n"/>
      <c r="GR103" s="542" t="n"/>
      <c r="GS103" s="542" t="n"/>
      <c r="GT103" s="489" t="n"/>
      <c r="GU103" s="137" t="n"/>
      <c r="GV103" s="272" t="n"/>
      <c r="GW103" s="272" t="n"/>
      <c r="GX103" s="137" t="n"/>
      <c r="GY103" s="538" t="n"/>
      <c r="GZ103" s="137" t="n"/>
      <c r="HA103" s="542" t="n"/>
      <c r="HB103" s="543" t="n"/>
      <c r="HC103" s="489" t="n"/>
      <c r="HD103" s="137" t="n"/>
      <c r="HE103" s="272" t="n"/>
      <c r="HF103" s="272" t="n"/>
      <c r="HG103" s="270" t="n"/>
      <c r="HH103" s="544" t="n"/>
      <c r="HI103" s="538" t="n"/>
      <c r="HK103" s="137" t="n"/>
      <c r="HL103" s="538" t="n"/>
      <c r="HN103" s="521" t="n"/>
      <c r="HO103" s="521" t="n"/>
      <c r="HP103" s="521" t="n"/>
      <c r="HQ103" s="521" t="n"/>
      <c r="HR103" s="521" t="n"/>
      <c r="HS103" s="521" t="n"/>
      <c r="HT103" s="521" t="n"/>
      <c r="HU103" s="522" t="n"/>
      <c r="HV103" s="274" t="n"/>
      <c r="HW103" s="522" t="n"/>
      <c r="HX103" s="522" t="n"/>
      <c r="HY103" s="522" t="n"/>
      <c r="HZ103" s="522" t="n"/>
      <c r="IA103" s="522" t="n"/>
      <c r="IB103" s="545" t="n"/>
      <c r="IE103" s="351" t="n"/>
    </row>
    <row r="104" ht="15" customHeight="1">
      <c r="B104" s="242" t="n"/>
      <c r="C104" s="242" t="n"/>
      <c r="D104" s="254" t="n"/>
      <c r="E104" s="243" t="n"/>
      <c r="F104" s="244" t="n"/>
      <c r="G104" s="528" t="n"/>
      <c r="H104" s="528" t="n"/>
      <c r="I104" s="246" t="n"/>
      <c r="J104" s="529" t="n"/>
      <c r="K104" s="529" t="n"/>
      <c r="L104" s="529" t="n"/>
      <c r="M104" s="529" t="n"/>
      <c r="N104" s="248" t="n"/>
      <c r="O104" s="248" t="n"/>
      <c r="P104" s="249" t="n"/>
      <c r="Q104" s="248" t="n"/>
      <c r="R104" s="552" t="n"/>
      <c r="S104" s="251" t="n"/>
      <c r="T104" s="552" t="n"/>
      <c r="U104" s="252" t="n"/>
      <c r="V104" s="252" t="n"/>
      <c r="W104" s="530" t="n"/>
      <c r="X104" s="248" t="n"/>
      <c r="Y104" s="254" t="n"/>
      <c r="Z104" s="254" t="n"/>
      <c r="AA104" s="531" t="n"/>
      <c r="AB104" s="531" t="n"/>
      <c r="AC104" s="532" t="n"/>
      <c r="AD104" s="532" t="n"/>
      <c r="AE104" s="532" t="n"/>
      <c r="AF104" s="532" t="n"/>
      <c r="AG104" s="533" t="n"/>
      <c r="AH104" s="533" t="n"/>
      <c r="AI104" s="533" t="n"/>
      <c r="AJ104" s="533" t="n"/>
      <c r="AK104" s="534" t="n"/>
      <c r="AL104" s="534" t="n"/>
      <c r="AM104" s="553" t="n"/>
      <c r="AN104" s="529" t="n"/>
      <c r="AO104" s="244" t="n"/>
      <c r="AP104" s="535" t="n"/>
      <c r="AQ104" s="535" t="n"/>
      <c r="AR104" s="248" t="n"/>
      <c r="AS104" s="280" t="n"/>
      <c r="AT104" s="248" t="n"/>
      <c r="AU104" s="250" t="n"/>
      <c r="AV104" s="250" t="n"/>
      <c r="AW104" s="250" t="n"/>
      <c r="AX104" s="262" t="n"/>
      <c r="AY104" s="250" t="n"/>
      <c r="AZ104" s="250" t="n"/>
      <c r="BA104" s="250" t="n"/>
      <c r="BB104" s="412">
        <f>IF(B104="","",IF(AR104="No",AV104-AZ104,""))</f>
        <v/>
      </c>
      <c r="BC104" s="412">
        <f>IF(B104="","",IF(AR104="Yes",AS104-BA104,""))</f>
        <v/>
      </c>
      <c r="BD104" s="254" t="n"/>
      <c r="BE104" s="536" t="n"/>
      <c r="BF104" s="254" t="n"/>
      <c r="BG104" s="254" t="n"/>
      <c r="BH104" s="248" t="n"/>
      <c r="BI104" s="413">
        <f>IF(B104="","",IF(OR(AND(AZ104&gt;0,BB104&gt;=2.5%,BB104&lt;4%),AND(BA104&gt;0,BC104&gt;=6%,BC104&lt;8%)),"Yes","No"))</f>
        <v/>
      </c>
      <c r="BJ104" s="413">
        <f>IF(B104="","",IF(OR(AND(AZ104&gt;0,BB104&lt;2.5%),AND(BA104&gt;0,BC104&lt;6%)),"Yes","No"))</f>
        <v/>
      </c>
      <c r="BK104" s="248" t="n"/>
      <c r="BL104" s="248" t="n"/>
      <c r="BM104" s="248" t="n"/>
      <c r="BN104" s="248" t="n"/>
      <c r="BO104" s="248" t="n"/>
      <c r="BP104" s="248" t="n"/>
      <c r="BQ104" s="248" t="n"/>
      <c r="BR104" s="248" t="n"/>
      <c r="BS104" s="248" t="n"/>
      <c r="BT104" s="248" t="n"/>
      <c r="BU104" s="248" t="n"/>
      <c r="BV104" s="248" t="n"/>
      <c r="BW104" s="248" t="n"/>
      <c r="BX104" s="248" t="n"/>
      <c r="BY104" s="248" t="n"/>
      <c r="BZ104" s="248" t="n"/>
      <c r="CA104" s="248" t="n"/>
      <c r="CB104" s="537" t="n"/>
      <c r="CC104" s="537" t="n"/>
      <c r="CD104" s="265" t="n"/>
      <c r="CE104" s="265" t="n"/>
      <c r="CF104" s="265" t="n"/>
      <c r="CG104" s="265" t="n"/>
      <c r="CH104" s="265" t="n"/>
      <c r="CI104" s="265" t="n"/>
      <c r="CJ104" s="265" t="n"/>
      <c r="CK104" s="265" t="n"/>
      <c r="CL104" s="265" t="n"/>
      <c r="CM104" s="265" t="n"/>
      <c r="CN104" s="265" t="n"/>
      <c r="CO104" s="265" t="n"/>
      <c r="CP104" s="265" t="n"/>
      <c r="CQ104" s="265" t="n"/>
      <c r="CR104" s="265" t="n"/>
      <c r="CS104" s="265" t="n"/>
      <c r="CT104" s="265" t="n"/>
      <c r="CU104" s="265" t="n"/>
      <c r="CV104" s="265" t="n"/>
      <c r="CW104" s="265" t="n"/>
      <c r="CX104" s="265" t="n"/>
      <c r="CY104" s="265" t="n"/>
      <c r="CZ104" s="265" t="n"/>
      <c r="DA104" s="265" t="n"/>
      <c r="DB104" s="265" t="n"/>
      <c r="DC104" s="265" t="n"/>
      <c r="DD104" s="265" t="n"/>
      <c r="DE104" s="265" t="n"/>
      <c r="DF104" s="265" t="n"/>
      <c r="DG104" s="265" t="n"/>
      <c r="DH104" s="265" t="n"/>
      <c r="DI104" s="265" t="n"/>
      <c r="DJ104" s="265" t="n"/>
      <c r="DK104" s="265" t="n"/>
      <c r="DL104" s="265" t="n"/>
      <c r="DN104" s="538" t="n"/>
      <c r="DO104" s="539" t="n"/>
      <c r="DP104" s="538" t="n"/>
      <c r="DQ104" s="538" t="n"/>
      <c r="DR104" s="539" t="n"/>
      <c r="DS104" s="538" t="n"/>
      <c r="DT104" s="538" t="n"/>
      <c r="DU104" s="539" t="n"/>
      <c r="DV104" s="538" t="n"/>
      <c r="DW104" s="538" t="n"/>
      <c r="DX104" s="539" t="n"/>
      <c r="DY104" s="538" t="n"/>
      <c r="DZ104" s="538" t="n"/>
      <c r="EA104" s="539" t="n"/>
      <c r="EB104" s="538" t="n"/>
      <c r="EC104" s="538" t="n"/>
      <c r="ED104" s="539" t="n"/>
      <c r="EE104" s="538" t="n"/>
      <c r="EF104" s="538" t="n"/>
      <c r="EG104" s="539" t="n"/>
      <c r="EH104" s="538" t="n"/>
      <c r="EI104" s="538" t="n"/>
      <c r="EJ104" s="539" t="n"/>
      <c r="EK104" s="538" t="n"/>
      <c r="EL104" s="538" t="n"/>
      <c r="EM104" s="539" t="n"/>
      <c r="EN104" s="538" t="n"/>
      <c r="EO104" s="538" t="n"/>
      <c r="EP104" s="539" t="n"/>
      <c r="EQ104" s="538" t="n"/>
      <c r="ER104" s="538" t="n"/>
      <c r="ES104" s="539" t="n"/>
      <c r="ET104" s="538" t="n"/>
      <c r="EU104" s="538" t="n"/>
      <c r="EV104" s="539" t="n"/>
      <c r="EW104" s="538" t="n"/>
      <c r="EX104" s="538" t="n"/>
      <c r="EY104" s="539" t="n"/>
      <c r="EZ104" s="538" t="n"/>
      <c r="FA104" s="538" t="n"/>
      <c r="FB104" s="539" t="n"/>
      <c r="FC104" s="538" t="n"/>
      <c r="FD104" s="538" t="n"/>
      <c r="FE104" s="539" t="n"/>
      <c r="FF104" s="538" t="n"/>
      <c r="FG104" s="538" t="n"/>
      <c r="FH104" s="538" t="n"/>
      <c r="FI104" s="538" t="n"/>
      <c r="FJ104" s="538" t="n"/>
      <c r="FK104" s="538" t="n"/>
      <c r="FL104" s="538" t="n"/>
      <c r="FM104" s="538">
        <f>FL104</f>
        <v/>
      </c>
      <c r="FN104" s="538">
        <f>IF(FL104=0,0,VLOOKUP(C104,$HD$10:$HE$406,2,FALSE)*FL104)</f>
        <v/>
      </c>
      <c r="FO104" s="538">
        <f>FL104-FN104</f>
        <v/>
      </c>
      <c r="FP104" s="538" t="n"/>
      <c r="FQ104" s="539" t="n"/>
      <c r="FR104" s="538" t="n"/>
      <c r="FS104" s="538" t="n"/>
      <c r="FT104" s="539" t="n"/>
      <c r="FU104" s="538" t="n"/>
      <c r="FV104" s="538" t="n"/>
      <c r="FW104" s="538" t="n"/>
      <c r="FX104" s="538" t="n"/>
      <c r="FY104" s="538" t="n"/>
      <c r="FZ104" s="539" t="n"/>
      <c r="GA104" s="538" t="n"/>
      <c r="GB104" s="538" t="n"/>
      <c r="GC104" s="540" t="n"/>
      <c r="GD104" s="138" t="n"/>
      <c r="GE104" s="541" t="n"/>
      <c r="GF104" s="538" t="n"/>
      <c r="GG104" s="270" t="n"/>
      <c r="GH104" s="137" t="n"/>
      <c r="GI104" s="542" t="n"/>
      <c r="GJ104" s="542" t="n"/>
      <c r="GK104" s="489" t="n"/>
      <c r="GL104" s="137" t="n"/>
      <c r="GM104" s="272" t="n"/>
      <c r="GO104" s="137" t="n"/>
      <c r="GP104" s="538" t="n"/>
      <c r="GQ104" s="137" t="n"/>
      <c r="GR104" s="542" t="n"/>
      <c r="GS104" s="542" t="n"/>
      <c r="GT104" s="489" t="n"/>
      <c r="GU104" s="137" t="n"/>
      <c r="GV104" s="272" t="n"/>
      <c r="GW104" s="272" t="n"/>
      <c r="GX104" s="137" t="n"/>
      <c r="GY104" s="538" t="n"/>
      <c r="GZ104" s="137" t="n"/>
      <c r="HA104" s="542" t="n"/>
      <c r="HB104" s="543" t="n"/>
      <c r="HC104" s="489" t="n"/>
      <c r="HD104" s="137" t="n"/>
      <c r="HE104" s="272" t="n"/>
      <c r="HF104" s="272" t="n"/>
      <c r="HG104" s="270" t="n"/>
      <c r="HH104" s="544" t="n"/>
      <c r="HI104" s="538" t="n"/>
      <c r="HK104" s="137" t="n"/>
      <c r="HL104" s="538" t="n"/>
      <c r="HN104" s="521" t="n"/>
      <c r="HO104" s="521" t="n"/>
      <c r="HP104" s="521" t="n"/>
      <c r="HQ104" s="521" t="n"/>
      <c r="HR104" s="521" t="n"/>
      <c r="HS104" s="521" t="n"/>
      <c r="HT104" s="521" t="n"/>
      <c r="HU104" s="522" t="n"/>
      <c r="HV104" s="274" t="n"/>
      <c r="HW104" s="522" t="n"/>
      <c r="HX104" s="522" t="n"/>
      <c r="HY104" s="522" t="n"/>
      <c r="HZ104" s="522" t="n"/>
      <c r="IA104" s="522" t="n"/>
      <c r="IB104" s="545" t="n"/>
      <c r="IE104" s="351" t="n"/>
    </row>
    <row r="105" ht="15" customHeight="1">
      <c r="B105" s="242" t="n"/>
      <c r="C105" s="242" t="n"/>
      <c r="D105" s="254" t="n"/>
      <c r="E105" s="243" t="n"/>
      <c r="F105" s="244" t="n"/>
      <c r="G105" s="528" t="n"/>
      <c r="H105" s="528" t="n"/>
      <c r="I105" s="246" t="n"/>
      <c r="J105" s="529" t="n"/>
      <c r="K105" s="529" t="n"/>
      <c r="L105" s="529" t="n"/>
      <c r="M105" s="529" t="n"/>
      <c r="N105" s="248" t="n"/>
      <c r="O105" s="248" t="n"/>
      <c r="P105" s="249" t="n"/>
      <c r="Q105" s="248" t="n"/>
      <c r="R105" s="552" t="n"/>
      <c r="S105" s="251" t="n"/>
      <c r="T105" s="552" t="n"/>
      <c r="U105" s="252" t="n"/>
      <c r="V105" s="252" t="n"/>
      <c r="W105" s="530" t="n"/>
      <c r="X105" s="248" t="n"/>
      <c r="Y105" s="254" t="n"/>
      <c r="Z105" s="254" t="n"/>
      <c r="AA105" s="531" t="n"/>
      <c r="AB105" s="531" t="n"/>
      <c r="AC105" s="532" t="n"/>
      <c r="AD105" s="532" t="n"/>
      <c r="AE105" s="532" t="n"/>
      <c r="AF105" s="532" t="n"/>
      <c r="AG105" s="533" t="n"/>
      <c r="AH105" s="533" t="n"/>
      <c r="AI105" s="533" t="n"/>
      <c r="AJ105" s="533" t="n"/>
      <c r="AK105" s="534" t="n"/>
      <c r="AL105" s="534" t="n"/>
      <c r="AM105" s="553" t="n"/>
      <c r="AN105" s="529" t="n"/>
      <c r="AO105" s="244" t="n"/>
      <c r="AP105" s="535" t="n"/>
      <c r="AQ105" s="535" t="n"/>
      <c r="AR105" s="248" t="n"/>
      <c r="AS105" s="280" t="n"/>
      <c r="AT105" s="248" t="n"/>
      <c r="AU105" s="250" t="n"/>
      <c r="AV105" s="250" t="n"/>
      <c r="AW105" s="250" t="n"/>
      <c r="AX105" s="262" t="n"/>
      <c r="AY105" s="250" t="n"/>
      <c r="AZ105" s="250" t="n"/>
      <c r="BA105" s="250" t="n"/>
      <c r="BB105" s="412">
        <f>IF(B105="","",IF(AR105="No",AV105-AZ105,""))</f>
        <v/>
      </c>
      <c r="BC105" s="412">
        <f>IF(B105="","",IF(AR105="Yes",AS105-BA105,""))</f>
        <v/>
      </c>
      <c r="BD105" s="254" t="n"/>
      <c r="BE105" s="536" t="n"/>
      <c r="BF105" s="254" t="n"/>
      <c r="BG105" s="254" t="n"/>
      <c r="BH105" s="248" t="n"/>
      <c r="BI105" s="413">
        <f>IF(B105="","",IF(OR(AND(AZ105&gt;0,BB105&gt;=2.5%,BB105&lt;4%),AND(BA105&gt;0,BC105&gt;=6%,BC105&lt;8%)),"Yes","No"))</f>
        <v/>
      </c>
      <c r="BJ105" s="413">
        <f>IF(B105="","",IF(OR(AND(AZ105&gt;0,BB105&lt;2.5%),AND(BA105&gt;0,BC105&lt;6%)),"Yes","No"))</f>
        <v/>
      </c>
      <c r="BK105" s="248" t="n"/>
      <c r="BL105" s="248" t="n"/>
      <c r="BM105" s="248" t="n"/>
      <c r="BN105" s="248" t="n"/>
      <c r="BO105" s="248" t="n"/>
      <c r="BP105" s="248" t="n"/>
      <c r="BQ105" s="248" t="n"/>
      <c r="BR105" s="248" t="n"/>
      <c r="BS105" s="248" t="n"/>
      <c r="BT105" s="248" t="n"/>
      <c r="BU105" s="248" t="n"/>
      <c r="BV105" s="248" t="n"/>
      <c r="BW105" s="248" t="n"/>
      <c r="BX105" s="248" t="n"/>
      <c r="BY105" s="248" t="n"/>
      <c r="BZ105" s="248" t="n"/>
      <c r="CA105" s="248" t="n"/>
      <c r="CB105" s="537" t="n"/>
      <c r="CC105" s="537" t="n"/>
      <c r="CD105" s="265" t="n"/>
      <c r="CE105" s="265" t="n"/>
      <c r="CF105" s="265" t="n"/>
      <c r="CG105" s="265" t="n"/>
      <c r="CH105" s="265" t="n"/>
      <c r="CI105" s="265" t="n"/>
      <c r="CJ105" s="265" t="n"/>
      <c r="CK105" s="265" t="n"/>
      <c r="CL105" s="265" t="n"/>
      <c r="CM105" s="265" t="n"/>
      <c r="CN105" s="265" t="n"/>
      <c r="CO105" s="265" t="n"/>
      <c r="CP105" s="265" t="n"/>
      <c r="CQ105" s="265" t="n"/>
      <c r="CR105" s="265" t="n"/>
      <c r="CS105" s="265" t="n"/>
      <c r="CT105" s="265" t="n"/>
      <c r="CU105" s="265" t="n"/>
      <c r="CV105" s="265" t="n"/>
      <c r="CW105" s="265" t="n"/>
      <c r="CX105" s="265" t="n"/>
      <c r="CY105" s="265" t="n"/>
      <c r="CZ105" s="265" t="n"/>
      <c r="DA105" s="265" t="n"/>
      <c r="DB105" s="265" t="n"/>
      <c r="DC105" s="265" t="n"/>
      <c r="DD105" s="265" t="n"/>
      <c r="DE105" s="265" t="n"/>
      <c r="DF105" s="265" t="n"/>
      <c r="DG105" s="265" t="n"/>
      <c r="DH105" s="265" t="n"/>
      <c r="DI105" s="265" t="n"/>
      <c r="DJ105" s="265" t="n"/>
      <c r="DK105" s="265" t="n"/>
      <c r="DL105" s="265" t="n"/>
      <c r="DN105" s="538" t="n"/>
      <c r="DO105" s="539" t="n"/>
      <c r="DP105" s="538" t="n"/>
      <c r="DQ105" s="538" t="n"/>
      <c r="DR105" s="539" t="n"/>
      <c r="DS105" s="538" t="n"/>
      <c r="DT105" s="538" t="n"/>
      <c r="DU105" s="539" t="n"/>
      <c r="DV105" s="538" t="n"/>
      <c r="DW105" s="538" t="n"/>
      <c r="DX105" s="539" t="n"/>
      <c r="DY105" s="538" t="n"/>
      <c r="DZ105" s="538" t="n"/>
      <c r="EA105" s="539" t="n"/>
      <c r="EB105" s="538" t="n"/>
      <c r="EC105" s="538" t="n"/>
      <c r="ED105" s="539" t="n"/>
      <c r="EE105" s="538" t="n"/>
      <c r="EF105" s="538" t="n"/>
      <c r="EG105" s="539" t="n"/>
      <c r="EH105" s="538" t="n"/>
      <c r="EI105" s="538" t="n"/>
      <c r="EJ105" s="539" t="n"/>
      <c r="EK105" s="538" t="n"/>
      <c r="EL105" s="538" t="n"/>
      <c r="EM105" s="539" t="n"/>
      <c r="EN105" s="538" t="n"/>
      <c r="EO105" s="538" t="n"/>
      <c r="EP105" s="539" t="n"/>
      <c r="EQ105" s="538" t="n"/>
      <c r="ER105" s="538" t="n"/>
      <c r="ES105" s="539" t="n"/>
      <c r="ET105" s="538" t="n"/>
      <c r="EU105" s="538" t="n"/>
      <c r="EV105" s="539" t="n"/>
      <c r="EW105" s="538" t="n"/>
      <c r="EX105" s="538" t="n"/>
      <c r="EY105" s="539" t="n"/>
      <c r="EZ105" s="538" t="n"/>
      <c r="FA105" s="538" t="n"/>
      <c r="FB105" s="539" t="n"/>
      <c r="FC105" s="538" t="n"/>
      <c r="FD105" s="538" t="n"/>
      <c r="FE105" s="539" t="n"/>
      <c r="FF105" s="538" t="n"/>
      <c r="FG105" s="538" t="n"/>
      <c r="FH105" s="538" t="n"/>
      <c r="FI105" s="538" t="n"/>
      <c r="FJ105" s="538" t="n"/>
      <c r="FK105" s="538" t="n"/>
      <c r="FL105" s="538" t="n"/>
      <c r="FM105" s="538">
        <f>FL105</f>
        <v/>
      </c>
      <c r="FN105" s="538">
        <f>IF(FL105=0,0,VLOOKUP(C105,$HD$10:$HE$406,2,FALSE)*FL105)</f>
        <v/>
      </c>
      <c r="FO105" s="538">
        <f>FL105-FN105</f>
        <v/>
      </c>
      <c r="FP105" s="538" t="n"/>
      <c r="FQ105" s="539" t="n"/>
      <c r="FR105" s="538" t="n"/>
      <c r="FS105" s="538" t="n"/>
      <c r="FT105" s="539" t="n"/>
      <c r="FU105" s="538" t="n"/>
      <c r="FV105" s="538" t="n"/>
      <c r="FW105" s="538" t="n"/>
      <c r="FX105" s="538" t="n"/>
      <c r="FY105" s="538" t="n"/>
      <c r="FZ105" s="539" t="n"/>
      <c r="GA105" s="538" t="n"/>
      <c r="GB105" s="538" t="n"/>
      <c r="GC105" s="540" t="n"/>
      <c r="GD105" s="138" t="n"/>
      <c r="GE105" s="541" t="n"/>
      <c r="GF105" s="538" t="n"/>
      <c r="GG105" s="270" t="n"/>
      <c r="GH105" s="137" t="n"/>
      <c r="GI105" s="542" t="n"/>
      <c r="GJ105" s="542" t="n"/>
      <c r="GK105" s="489" t="n"/>
      <c r="GL105" s="137" t="n"/>
      <c r="GM105" s="272" t="n"/>
      <c r="GO105" s="137" t="n"/>
      <c r="GP105" s="538" t="n"/>
      <c r="GQ105" s="137" t="n"/>
      <c r="GR105" s="542" t="n"/>
      <c r="GS105" s="542" t="n"/>
      <c r="GT105" s="489" t="n"/>
      <c r="GU105" s="137" t="n"/>
      <c r="GV105" s="272" t="n"/>
      <c r="GW105" s="272" t="n"/>
      <c r="GX105" s="137" t="n"/>
      <c r="GY105" s="538" t="n"/>
      <c r="GZ105" s="137" t="n"/>
      <c r="HA105" s="542" t="n"/>
      <c r="HB105" s="543" t="n"/>
      <c r="HC105" s="489" t="n"/>
      <c r="HD105" s="137" t="n"/>
      <c r="HE105" s="272" t="n"/>
      <c r="HF105" s="272" t="n"/>
      <c r="HG105" s="270" t="n"/>
      <c r="HH105" s="544" t="n"/>
      <c r="HI105" s="538" t="n"/>
      <c r="HK105" s="137" t="n"/>
      <c r="HL105" s="538" t="n"/>
      <c r="HN105" s="521" t="n"/>
      <c r="HO105" s="521" t="n"/>
      <c r="HP105" s="521" t="n"/>
      <c r="HQ105" s="521" t="n"/>
      <c r="HR105" s="521" t="n"/>
      <c r="HS105" s="521" t="n"/>
      <c r="HT105" s="521" t="n"/>
      <c r="HU105" s="522" t="n"/>
      <c r="HV105" s="274" t="n"/>
      <c r="HW105" s="522" t="n"/>
      <c r="HX105" s="522" t="n"/>
      <c r="HY105" s="522" t="n"/>
      <c r="HZ105" s="522" t="n"/>
      <c r="IA105" s="522" t="n"/>
      <c r="IB105" s="545" t="n"/>
      <c r="IE105" s="351" t="n"/>
    </row>
    <row r="106" ht="15" customHeight="1">
      <c r="B106" s="242" t="n"/>
      <c r="C106" s="242" t="n"/>
      <c r="D106" s="254" t="n"/>
      <c r="E106" s="243" t="n"/>
      <c r="F106" s="244" t="n"/>
      <c r="G106" s="528" t="n"/>
      <c r="H106" s="528" t="n"/>
      <c r="I106" s="246" t="n"/>
      <c r="J106" s="529" t="n"/>
      <c r="K106" s="529" t="n"/>
      <c r="L106" s="529" t="n"/>
      <c r="M106" s="529" t="n"/>
      <c r="N106" s="248" t="n"/>
      <c r="O106" s="248" t="n"/>
      <c r="P106" s="249" t="n"/>
      <c r="Q106" s="248" t="n"/>
      <c r="R106" s="552" t="n"/>
      <c r="S106" s="251" t="n"/>
      <c r="T106" s="552" t="n"/>
      <c r="U106" s="252" t="n"/>
      <c r="V106" s="252" t="n"/>
      <c r="W106" s="530" t="n"/>
      <c r="X106" s="248" t="n"/>
      <c r="Y106" s="254" t="n"/>
      <c r="Z106" s="254" t="n"/>
      <c r="AA106" s="531" t="n"/>
      <c r="AB106" s="531" t="n"/>
      <c r="AC106" s="532" t="n"/>
      <c r="AD106" s="532" t="n"/>
      <c r="AE106" s="532" t="n"/>
      <c r="AF106" s="532" t="n"/>
      <c r="AG106" s="533" t="n"/>
      <c r="AH106" s="533" t="n"/>
      <c r="AI106" s="533" t="n"/>
      <c r="AJ106" s="533" t="n"/>
      <c r="AK106" s="534" t="n"/>
      <c r="AL106" s="534" t="n"/>
      <c r="AM106" s="553" t="n"/>
      <c r="AN106" s="529" t="n"/>
      <c r="AO106" s="244" t="n"/>
      <c r="AP106" s="535" t="n"/>
      <c r="AQ106" s="535" t="n"/>
      <c r="AR106" s="248" t="n"/>
      <c r="AS106" s="280" t="n"/>
      <c r="AT106" s="248" t="n"/>
      <c r="AU106" s="250" t="n"/>
      <c r="AV106" s="250" t="n"/>
      <c r="AW106" s="250" t="n"/>
      <c r="AX106" s="262" t="n"/>
      <c r="AY106" s="250" t="n"/>
      <c r="AZ106" s="250" t="n"/>
      <c r="BA106" s="250" t="n"/>
      <c r="BB106" s="412">
        <f>IF(B106="","",IF(AR106="No",AV106-AZ106,""))</f>
        <v/>
      </c>
      <c r="BC106" s="412">
        <f>IF(B106="","",IF(AR106="Yes",AS106-BA106,""))</f>
        <v/>
      </c>
      <c r="BD106" s="254" t="n"/>
      <c r="BE106" s="536" t="n"/>
      <c r="BF106" s="254" t="n"/>
      <c r="BG106" s="254" t="n"/>
      <c r="BH106" s="248" t="n"/>
      <c r="BI106" s="413">
        <f>IF(B106="","",IF(OR(AND(AZ106&gt;0,BB106&gt;=2.5%,BB106&lt;4%),AND(BA106&gt;0,BC106&gt;=6%,BC106&lt;8%)),"Yes","No"))</f>
        <v/>
      </c>
      <c r="BJ106" s="413">
        <f>IF(B106="","",IF(OR(AND(AZ106&gt;0,BB106&lt;2.5%),AND(BA106&gt;0,BC106&lt;6%)),"Yes","No"))</f>
        <v/>
      </c>
      <c r="BK106" s="248" t="n"/>
      <c r="BL106" s="248" t="n"/>
      <c r="BM106" s="248" t="n"/>
      <c r="BN106" s="248" t="n"/>
      <c r="BO106" s="248" t="n"/>
      <c r="BP106" s="248" t="n"/>
      <c r="BQ106" s="248" t="n"/>
      <c r="BR106" s="248" t="n"/>
      <c r="BS106" s="248" t="n"/>
      <c r="BT106" s="248" t="n"/>
      <c r="BU106" s="248" t="n"/>
      <c r="BV106" s="248" t="n"/>
      <c r="BW106" s="248" t="n"/>
      <c r="BX106" s="248" t="n"/>
      <c r="BY106" s="248" t="n"/>
      <c r="BZ106" s="248" t="n"/>
      <c r="CA106" s="248" t="n"/>
      <c r="CB106" s="537" t="n"/>
      <c r="CC106" s="537" t="n"/>
      <c r="CD106" s="265" t="n"/>
      <c r="CE106" s="265" t="n"/>
      <c r="CF106" s="265" t="n"/>
      <c r="CG106" s="265" t="n"/>
      <c r="CH106" s="265" t="n"/>
      <c r="CI106" s="265" t="n"/>
      <c r="CJ106" s="265" t="n"/>
      <c r="CK106" s="265" t="n"/>
      <c r="CL106" s="265" t="n"/>
      <c r="CM106" s="265" t="n"/>
      <c r="CN106" s="265" t="n"/>
      <c r="CO106" s="265" t="n"/>
      <c r="CP106" s="265" t="n"/>
      <c r="CQ106" s="265" t="n"/>
      <c r="CR106" s="265" t="n"/>
      <c r="CS106" s="265" t="n"/>
      <c r="CT106" s="265" t="n"/>
      <c r="CU106" s="265" t="n"/>
      <c r="CV106" s="265" t="n"/>
      <c r="CW106" s="265" t="n"/>
      <c r="CX106" s="265" t="n"/>
      <c r="CY106" s="265" t="n"/>
      <c r="CZ106" s="265" t="n"/>
      <c r="DA106" s="265" t="n"/>
      <c r="DB106" s="265" t="n"/>
      <c r="DC106" s="265" t="n"/>
      <c r="DD106" s="265" t="n"/>
      <c r="DE106" s="265" t="n"/>
      <c r="DF106" s="265" t="n"/>
      <c r="DG106" s="265" t="n"/>
      <c r="DH106" s="265" t="n"/>
      <c r="DI106" s="265" t="n"/>
      <c r="DJ106" s="265" t="n"/>
      <c r="DK106" s="265" t="n"/>
      <c r="DL106" s="265" t="n"/>
      <c r="DN106" s="538" t="n"/>
      <c r="DO106" s="539" t="n"/>
      <c r="DP106" s="538" t="n"/>
      <c r="DQ106" s="538" t="n"/>
      <c r="DR106" s="539" t="n"/>
      <c r="DS106" s="538" t="n"/>
      <c r="DT106" s="538" t="n"/>
      <c r="DU106" s="539" t="n"/>
      <c r="DV106" s="538" t="n"/>
      <c r="DW106" s="538" t="n"/>
      <c r="DX106" s="539" t="n"/>
      <c r="DY106" s="538" t="n"/>
      <c r="DZ106" s="538" t="n"/>
      <c r="EA106" s="539" t="n"/>
      <c r="EB106" s="538" t="n"/>
      <c r="EC106" s="538" t="n"/>
      <c r="ED106" s="539" t="n"/>
      <c r="EE106" s="538" t="n"/>
      <c r="EF106" s="538" t="n"/>
      <c r="EG106" s="539" t="n"/>
      <c r="EH106" s="538" t="n"/>
      <c r="EI106" s="538" t="n"/>
      <c r="EJ106" s="539" t="n"/>
      <c r="EK106" s="538" t="n"/>
      <c r="EL106" s="538" t="n"/>
      <c r="EM106" s="539" t="n"/>
      <c r="EN106" s="538" t="n"/>
      <c r="EO106" s="538" t="n"/>
      <c r="EP106" s="539" t="n"/>
      <c r="EQ106" s="538" t="n"/>
      <c r="ER106" s="538" t="n"/>
      <c r="ES106" s="539" t="n"/>
      <c r="ET106" s="538" t="n"/>
      <c r="EU106" s="538" t="n"/>
      <c r="EV106" s="539" t="n"/>
      <c r="EW106" s="538" t="n"/>
      <c r="EX106" s="538" t="n"/>
      <c r="EY106" s="539" t="n"/>
      <c r="EZ106" s="538" t="n"/>
      <c r="FA106" s="538" t="n"/>
      <c r="FB106" s="539" t="n"/>
      <c r="FC106" s="538" t="n"/>
      <c r="FD106" s="538" t="n"/>
      <c r="FE106" s="539" t="n"/>
      <c r="FF106" s="538" t="n"/>
      <c r="FG106" s="538" t="n"/>
      <c r="FH106" s="538" t="n"/>
      <c r="FI106" s="538" t="n"/>
      <c r="FJ106" s="538" t="n"/>
      <c r="FK106" s="538" t="n"/>
      <c r="FL106" s="538" t="n"/>
      <c r="FM106" s="538">
        <f>FL106</f>
        <v/>
      </c>
      <c r="FN106" s="538">
        <f>IF(FL106=0,0,VLOOKUP(C106,$HD$10:$HE$406,2,FALSE)*FL106)</f>
        <v/>
      </c>
      <c r="FO106" s="538">
        <f>FL106-FN106</f>
        <v/>
      </c>
      <c r="FP106" s="538" t="n"/>
      <c r="FQ106" s="539" t="n"/>
      <c r="FR106" s="538" t="n"/>
      <c r="FS106" s="538" t="n"/>
      <c r="FT106" s="539" t="n"/>
      <c r="FU106" s="538" t="n"/>
      <c r="FV106" s="538" t="n"/>
      <c r="FW106" s="538" t="n"/>
      <c r="FX106" s="538" t="n"/>
      <c r="FY106" s="538" t="n"/>
      <c r="FZ106" s="539" t="n"/>
      <c r="GA106" s="538" t="n"/>
      <c r="GB106" s="538" t="n"/>
      <c r="GC106" s="540" t="n"/>
      <c r="GD106" s="138" t="n"/>
      <c r="GE106" s="541" t="n"/>
      <c r="GF106" s="538" t="n"/>
      <c r="GG106" s="270" t="n"/>
      <c r="GH106" s="137" t="n"/>
      <c r="GI106" s="542" t="n"/>
      <c r="GJ106" s="542" t="n"/>
      <c r="GK106" s="489" t="n"/>
      <c r="GL106" s="137" t="n"/>
      <c r="GM106" s="272" t="n"/>
      <c r="GO106" s="137" t="n"/>
      <c r="GP106" s="538" t="n"/>
      <c r="GQ106" s="137" t="n"/>
      <c r="GR106" s="542" t="n"/>
      <c r="GS106" s="542" t="n"/>
      <c r="GT106" s="489" t="n"/>
      <c r="GU106" s="137" t="n"/>
      <c r="GV106" s="272" t="n"/>
      <c r="GW106" s="272" t="n"/>
      <c r="GX106" s="137" t="n"/>
      <c r="GY106" s="538" t="n"/>
      <c r="GZ106" s="137" t="n"/>
      <c r="HA106" s="542" t="n"/>
      <c r="HB106" s="543" t="n"/>
      <c r="HC106" s="489" t="n"/>
      <c r="HD106" s="137" t="n"/>
      <c r="HE106" s="272" t="n"/>
      <c r="HF106" s="272" t="n"/>
      <c r="HG106" s="270" t="n"/>
      <c r="HH106" s="544" t="n"/>
      <c r="HI106" s="538" t="n"/>
      <c r="HK106" s="137" t="n"/>
      <c r="HL106" s="538" t="n"/>
      <c r="HN106" s="521" t="n"/>
      <c r="HO106" s="521" t="n"/>
      <c r="HP106" s="521" t="n"/>
      <c r="HQ106" s="521" t="n"/>
      <c r="HR106" s="521" t="n"/>
      <c r="HS106" s="521" t="n"/>
      <c r="HT106" s="521" t="n"/>
      <c r="HU106" s="522" t="n"/>
      <c r="HV106" s="274" t="n"/>
      <c r="HW106" s="522" t="n"/>
      <c r="HX106" s="522" t="n"/>
      <c r="HY106" s="522" t="n"/>
      <c r="HZ106" s="522" t="n"/>
      <c r="IA106" s="522" t="n"/>
      <c r="IB106" s="545" t="n"/>
      <c r="IE106" s="351" t="n"/>
    </row>
    <row r="107" ht="15" customHeight="1">
      <c r="B107" s="242" t="n"/>
      <c r="C107" s="242" t="n"/>
      <c r="D107" s="254" t="n"/>
      <c r="E107" s="243" t="n"/>
      <c r="F107" s="244" t="n"/>
      <c r="G107" s="528" t="n"/>
      <c r="H107" s="528" t="n"/>
      <c r="I107" s="246" t="n"/>
      <c r="J107" s="529" t="n"/>
      <c r="K107" s="529" t="n"/>
      <c r="L107" s="529" t="n"/>
      <c r="M107" s="529" t="n"/>
      <c r="N107" s="248" t="n"/>
      <c r="O107" s="248" t="n"/>
      <c r="P107" s="249" t="n"/>
      <c r="Q107" s="248" t="n"/>
      <c r="R107" s="552" t="n"/>
      <c r="S107" s="251" t="n"/>
      <c r="T107" s="552" t="n"/>
      <c r="U107" s="252" t="n"/>
      <c r="V107" s="252" t="n"/>
      <c r="W107" s="530" t="n"/>
      <c r="X107" s="248" t="n"/>
      <c r="Y107" s="254" t="n"/>
      <c r="Z107" s="254" t="n"/>
      <c r="AA107" s="531" t="n"/>
      <c r="AB107" s="531" t="n"/>
      <c r="AC107" s="532" t="n"/>
      <c r="AD107" s="532" t="n"/>
      <c r="AE107" s="532" t="n"/>
      <c r="AF107" s="532" t="n"/>
      <c r="AG107" s="533" t="n"/>
      <c r="AH107" s="533" t="n"/>
      <c r="AI107" s="533" t="n"/>
      <c r="AJ107" s="533" t="n"/>
      <c r="AK107" s="534" t="n"/>
      <c r="AL107" s="534" t="n"/>
      <c r="AM107" s="553" t="n"/>
      <c r="AN107" s="529" t="n"/>
      <c r="AO107" s="244" t="n"/>
      <c r="AP107" s="535" t="n"/>
      <c r="AQ107" s="535" t="n"/>
      <c r="AR107" s="248" t="n"/>
      <c r="AS107" s="280" t="n"/>
      <c r="AT107" s="248" t="n"/>
      <c r="AU107" s="250" t="n"/>
      <c r="AV107" s="250" t="n"/>
      <c r="AW107" s="250" t="n"/>
      <c r="AX107" s="262" t="n"/>
      <c r="AY107" s="250" t="n"/>
      <c r="AZ107" s="250" t="n"/>
      <c r="BA107" s="250" t="n"/>
      <c r="BB107" s="412">
        <f>IF(B107="","",IF(AR107="No",AV107-AZ107,""))</f>
        <v/>
      </c>
      <c r="BC107" s="412">
        <f>IF(B107="","",IF(AR107="Yes",AS107-BA107,""))</f>
        <v/>
      </c>
      <c r="BD107" s="254" t="n"/>
      <c r="BE107" s="536" t="n"/>
      <c r="BF107" s="254" t="n"/>
      <c r="BG107" s="254" t="n"/>
      <c r="BH107" s="248" t="n"/>
      <c r="BI107" s="413">
        <f>IF(B107="","",IF(OR(AND(AZ107&gt;0,BB107&gt;=2.5%,BB107&lt;4%),AND(BA107&gt;0,BC107&gt;=6%,BC107&lt;8%)),"Yes","No"))</f>
        <v/>
      </c>
      <c r="BJ107" s="413">
        <f>IF(B107="","",IF(OR(AND(AZ107&gt;0,BB107&lt;2.5%),AND(BA107&gt;0,BC107&lt;6%)),"Yes","No"))</f>
        <v/>
      </c>
      <c r="BK107" s="248" t="n"/>
      <c r="BL107" s="248" t="n"/>
      <c r="BM107" s="248" t="n"/>
      <c r="BN107" s="248" t="n"/>
      <c r="BO107" s="248" t="n"/>
      <c r="BP107" s="248" t="n"/>
      <c r="BQ107" s="248" t="n"/>
      <c r="BR107" s="248" t="n"/>
      <c r="BS107" s="248" t="n"/>
      <c r="BT107" s="248" t="n"/>
      <c r="BU107" s="248" t="n"/>
      <c r="BV107" s="248" t="n"/>
      <c r="BW107" s="248" t="n"/>
      <c r="BX107" s="248" t="n"/>
      <c r="BY107" s="248" t="n"/>
      <c r="BZ107" s="248" t="n"/>
      <c r="CA107" s="248" t="n"/>
      <c r="CB107" s="537" t="n"/>
      <c r="CC107" s="537" t="n"/>
      <c r="CD107" s="265" t="n"/>
      <c r="CE107" s="265" t="n"/>
      <c r="CF107" s="265" t="n"/>
      <c r="CG107" s="265" t="n"/>
      <c r="CH107" s="265" t="n"/>
      <c r="CI107" s="265" t="n"/>
      <c r="CJ107" s="265" t="n"/>
      <c r="CK107" s="265" t="n"/>
      <c r="CL107" s="265" t="n"/>
      <c r="CM107" s="265" t="n"/>
      <c r="CN107" s="265" t="n"/>
      <c r="CO107" s="265" t="n"/>
      <c r="CP107" s="265" t="n"/>
      <c r="CQ107" s="265" t="n"/>
      <c r="CR107" s="265" t="n"/>
      <c r="CS107" s="265" t="n"/>
      <c r="CT107" s="265" t="n"/>
      <c r="CU107" s="265" t="n"/>
      <c r="CV107" s="265" t="n"/>
      <c r="CW107" s="265" t="n"/>
      <c r="CX107" s="265" t="n"/>
      <c r="CY107" s="265" t="n"/>
      <c r="CZ107" s="265" t="n"/>
      <c r="DA107" s="265" t="n"/>
      <c r="DB107" s="265" t="n"/>
      <c r="DC107" s="265" t="n"/>
      <c r="DD107" s="265" t="n"/>
      <c r="DE107" s="265" t="n"/>
      <c r="DF107" s="265" t="n"/>
      <c r="DG107" s="265" t="n"/>
      <c r="DH107" s="265" t="n"/>
      <c r="DI107" s="265" t="n"/>
      <c r="DJ107" s="265" t="n"/>
      <c r="DK107" s="265" t="n"/>
      <c r="DL107" s="265" t="n"/>
      <c r="DN107" s="538" t="n"/>
      <c r="DO107" s="539" t="n"/>
      <c r="DP107" s="538" t="n"/>
      <c r="DQ107" s="538" t="n"/>
      <c r="DR107" s="539" t="n"/>
      <c r="DS107" s="538" t="n"/>
      <c r="DT107" s="538" t="n"/>
      <c r="DU107" s="539" t="n"/>
      <c r="DV107" s="538" t="n"/>
      <c r="DW107" s="538" t="n"/>
      <c r="DX107" s="539" t="n"/>
      <c r="DY107" s="538" t="n"/>
      <c r="DZ107" s="538" t="n"/>
      <c r="EA107" s="539" t="n"/>
      <c r="EB107" s="538" t="n"/>
      <c r="EC107" s="538" t="n"/>
      <c r="ED107" s="539" t="n"/>
      <c r="EE107" s="538" t="n"/>
      <c r="EF107" s="538" t="n"/>
      <c r="EG107" s="539" t="n"/>
      <c r="EH107" s="538" t="n"/>
      <c r="EI107" s="538" t="n"/>
      <c r="EJ107" s="539" t="n"/>
      <c r="EK107" s="538" t="n"/>
      <c r="EL107" s="538" t="n"/>
      <c r="EM107" s="539" t="n"/>
      <c r="EN107" s="538" t="n"/>
      <c r="EO107" s="538" t="n"/>
      <c r="EP107" s="539" t="n"/>
      <c r="EQ107" s="538" t="n"/>
      <c r="ER107" s="538" t="n"/>
      <c r="ES107" s="539" t="n"/>
      <c r="ET107" s="538" t="n"/>
      <c r="EU107" s="538" t="n"/>
      <c r="EV107" s="539" t="n"/>
      <c r="EW107" s="538" t="n"/>
      <c r="EX107" s="538" t="n"/>
      <c r="EY107" s="539" t="n"/>
      <c r="EZ107" s="538" t="n"/>
      <c r="FA107" s="538" t="n"/>
      <c r="FB107" s="539" t="n"/>
      <c r="FC107" s="538" t="n"/>
      <c r="FD107" s="538" t="n"/>
      <c r="FE107" s="539" t="n"/>
      <c r="FF107" s="538" t="n"/>
      <c r="FG107" s="538" t="n"/>
      <c r="FH107" s="538" t="n"/>
      <c r="FI107" s="538" t="n"/>
      <c r="FJ107" s="538" t="n"/>
      <c r="FK107" s="538" t="n"/>
      <c r="FL107" s="538" t="n"/>
      <c r="FM107" s="538">
        <f>FL107</f>
        <v/>
      </c>
      <c r="FN107" s="538">
        <f>IF(FL107=0,0,VLOOKUP(C107,$HD$10:$HE$406,2,FALSE)*FL107)</f>
        <v/>
      </c>
      <c r="FO107" s="538">
        <f>FL107-FN107</f>
        <v/>
      </c>
      <c r="FP107" s="538" t="n"/>
      <c r="FQ107" s="539" t="n"/>
      <c r="FR107" s="538" t="n"/>
      <c r="FS107" s="538" t="n"/>
      <c r="FT107" s="539" t="n"/>
      <c r="FU107" s="538" t="n"/>
      <c r="FV107" s="538" t="n"/>
      <c r="FW107" s="538" t="n"/>
      <c r="FX107" s="538" t="n"/>
      <c r="FY107" s="538" t="n"/>
      <c r="FZ107" s="539" t="n"/>
      <c r="GA107" s="538" t="n"/>
      <c r="GB107" s="538" t="n"/>
      <c r="GC107" s="540" t="n"/>
      <c r="GD107" s="138" t="n"/>
      <c r="GE107" s="541" t="n"/>
      <c r="GF107" s="538" t="n"/>
      <c r="GG107" s="270" t="n"/>
      <c r="GH107" s="137" t="n"/>
      <c r="GI107" s="542" t="n"/>
      <c r="GJ107" s="542" t="n"/>
      <c r="GK107" s="489" t="n"/>
      <c r="GL107" s="137" t="n"/>
      <c r="GM107" s="272" t="n"/>
      <c r="GO107" s="137" t="n"/>
      <c r="GP107" s="538" t="n"/>
      <c r="GQ107" s="137" t="n"/>
      <c r="GR107" s="542" t="n"/>
      <c r="GS107" s="542" t="n"/>
      <c r="GT107" s="489" t="n"/>
      <c r="GU107" s="137" t="n"/>
      <c r="GV107" s="272" t="n"/>
      <c r="GW107" s="272" t="n"/>
      <c r="GX107" s="137" t="n"/>
      <c r="GY107" s="538" t="n"/>
      <c r="GZ107" s="137" t="n"/>
      <c r="HA107" s="542" t="n"/>
      <c r="HB107" s="543" t="n"/>
      <c r="HC107" s="489" t="n"/>
      <c r="HD107" s="137" t="n"/>
      <c r="HE107" s="272" t="n"/>
      <c r="HF107" s="272" t="n"/>
      <c r="HG107" s="270" t="n"/>
      <c r="HH107" s="544" t="n"/>
      <c r="HI107" s="538" t="n"/>
      <c r="HK107" s="137" t="n"/>
      <c r="HL107" s="538" t="n"/>
      <c r="HN107" s="521" t="n"/>
      <c r="HO107" s="521" t="n"/>
      <c r="HP107" s="521" t="n"/>
      <c r="HQ107" s="521" t="n"/>
      <c r="HR107" s="521" t="n"/>
      <c r="HS107" s="521" t="n"/>
      <c r="HT107" s="521" t="n"/>
      <c r="HU107" s="522" t="n"/>
      <c r="HV107" s="274" t="n"/>
      <c r="HW107" s="522" t="n"/>
      <c r="HX107" s="522" t="n"/>
      <c r="HY107" s="522" t="n"/>
      <c r="HZ107" s="522" t="n"/>
      <c r="IA107" s="522" t="n"/>
      <c r="IB107" s="545" t="n"/>
      <c r="IE107" s="351" t="n"/>
    </row>
    <row r="108" ht="15" customHeight="1">
      <c r="B108" s="242" t="n"/>
      <c r="C108" s="242" t="n"/>
      <c r="D108" s="254" t="n"/>
      <c r="E108" s="243" t="n"/>
      <c r="F108" s="244" t="n"/>
      <c r="G108" s="528" t="n"/>
      <c r="H108" s="528" t="n"/>
      <c r="I108" s="246" t="n"/>
      <c r="J108" s="529" t="n"/>
      <c r="K108" s="529" t="n"/>
      <c r="L108" s="529" t="n"/>
      <c r="M108" s="529" t="n"/>
      <c r="N108" s="248" t="n"/>
      <c r="O108" s="248" t="n"/>
      <c r="P108" s="249" t="n"/>
      <c r="Q108" s="248" t="n"/>
      <c r="R108" s="552" t="n"/>
      <c r="S108" s="251" t="n"/>
      <c r="T108" s="552" t="n"/>
      <c r="U108" s="252" t="n"/>
      <c r="V108" s="252" t="n"/>
      <c r="W108" s="530" t="n"/>
      <c r="X108" s="248" t="n"/>
      <c r="Y108" s="254" t="n"/>
      <c r="Z108" s="254" t="n"/>
      <c r="AA108" s="531" t="n"/>
      <c r="AB108" s="531" t="n"/>
      <c r="AC108" s="532" t="n"/>
      <c r="AD108" s="532" t="n"/>
      <c r="AE108" s="532" t="n"/>
      <c r="AF108" s="532" t="n"/>
      <c r="AG108" s="533" t="n"/>
      <c r="AH108" s="533" t="n"/>
      <c r="AI108" s="533" t="n"/>
      <c r="AJ108" s="533" t="n"/>
      <c r="AK108" s="534" t="n"/>
      <c r="AL108" s="534" t="n"/>
      <c r="AM108" s="553" t="n"/>
      <c r="AN108" s="529" t="n"/>
      <c r="AO108" s="244" t="n"/>
      <c r="AP108" s="535" t="n"/>
      <c r="AQ108" s="535" t="n"/>
      <c r="AR108" s="248" t="n"/>
      <c r="AS108" s="280" t="n"/>
      <c r="AT108" s="248" t="n"/>
      <c r="AU108" s="250" t="n"/>
      <c r="AV108" s="250" t="n"/>
      <c r="AW108" s="250" t="n"/>
      <c r="AX108" s="262" t="n"/>
      <c r="AY108" s="250" t="n"/>
      <c r="AZ108" s="250" t="n"/>
      <c r="BA108" s="250" t="n"/>
      <c r="BB108" s="412">
        <f>IF(B108="","",IF(AR108="No",AV108-AZ108,""))</f>
        <v/>
      </c>
      <c r="BC108" s="412">
        <f>IF(B108="","",IF(AR108="Yes",AS108-BA108,""))</f>
        <v/>
      </c>
      <c r="BD108" s="254" t="n"/>
      <c r="BE108" s="536" t="n"/>
      <c r="BF108" s="254" t="n"/>
      <c r="BG108" s="254" t="n"/>
      <c r="BH108" s="248" t="n"/>
      <c r="BI108" s="413">
        <f>IF(B108="","",IF(OR(AND(AZ108&gt;0,BB108&gt;=2.5%,BB108&lt;4%),AND(BA108&gt;0,BC108&gt;=6%,BC108&lt;8%)),"Yes","No"))</f>
        <v/>
      </c>
      <c r="BJ108" s="413">
        <f>IF(B108="","",IF(OR(AND(AZ108&gt;0,BB108&lt;2.5%),AND(BA108&gt;0,BC108&lt;6%)),"Yes","No"))</f>
        <v/>
      </c>
      <c r="BK108" s="248" t="n"/>
      <c r="BL108" s="248" t="n"/>
      <c r="BM108" s="248" t="n"/>
      <c r="BN108" s="248" t="n"/>
      <c r="BO108" s="248" t="n"/>
      <c r="BP108" s="248" t="n"/>
      <c r="BQ108" s="248" t="n"/>
      <c r="BR108" s="248" t="n"/>
      <c r="BS108" s="248" t="n"/>
      <c r="BT108" s="248" t="n"/>
      <c r="BU108" s="248" t="n"/>
      <c r="BV108" s="248" t="n"/>
      <c r="BW108" s="248" t="n"/>
      <c r="BX108" s="248" t="n"/>
      <c r="BY108" s="248" t="n"/>
      <c r="BZ108" s="248" t="n"/>
      <c r="CA108" s="248" t="n"/>
      <c r="CB108" s="537" t="n"/>
      <c r="CC108" s="537" t="n"/>
      <c r="CD108" s="265" t="n"/>
      <c r="CE108" s="265" t="n"/>
      <c r="CF108" s="265" t="n"/>
      <c r="CG108" s="265" t="n"/>
      <c r="CH108" s="265" t="n"/>
      <c r="CI108" s="265" t="n"/>
      <c r="CJ108" s="265" t="n"/>
      <c r="CK108" s="265" t="n"/>
      <c r="CL108" s="265" t="n"/>
      <c r="CM108" s="265" t="n"/>
      <c r="CN108" s="265" t="n"/>
      <c r="CO108" s="265" t="n"/>
      <c r="CP108" s="265" t="n"/>
      <c r="CQ108" s="265" t="n"/>
      <c r="CR108" s="265" t="n"/>
      <c r="CS108" s="265" t="n"/>
      <c r="CT108" s="265" t="n"/>
      <c r="CU108" s="265" t="n"/>
      <c r="CV108" s="265" t="n"/>
      <c r="CW108" s="265" t="n"/>
      <c r="CX108" s="265" t="n"/>
      <c r="CY108" s="265" t="n"/>
      <c r="CZ108" s="265" t="n"/>
      <c r="DA108" s="265" t="n"/>
      <c r="DB108" s="265" t="n"/>
      <c r="DC108" s="265" t="n"/>
      <c r="DD108" s="265" t="n"/>
      <c r="DE108" s="265" t="n"/>
      <c r="DF108" s="265" t="n"/>
      <c r="DG108" s="265" t="n"/>
      <c r="DH108" s="265" t="n"/>
      <c r="DI108" s="265" t="n"/>
      <c r="DJ108" s="265" t="n"/>
      <c r="DK108" s="265" t="n"/>
      <c r="DL108" s="265" t="n"/>
      <c r="DN108" s="538" t="n"/>
      <c r="DO108" s="539" t="n"/>
      <c r="DP108" s="538" t="n"/>
      <c r="DQ108" s="538" t="n"/>
      <c r="DR108" s="539" t="n"/>
      <c r="DS108" s="538" t="n"/>
      <c r="DT108" s="538" t="n"/>
      <c r="DU108" s="539" t="n"/>
      <c r="DV108" s="538" t="n"/>
      <c r="DW108" s="538" t="n"/>
      <c r="DX108" s="539" t="n"/>
      <c r="DY108" s="538" t="n"/>
      <c r="DZ108" s="538" t="n"/>
      <c r="EA108" s="539" t="n"/>
      <c r="EB108" s="538" t="n"/>
      <c r="EC108" s="538" t="n"/>
      <c r="ED108" s="539" t="n"/>
      <c r="EE108" s="538" t="n"/>
      <c r="EF108" s="538" t="n"/>
      <c r="EG108" s="539" t="n"/>
      <c r="EH108" s="538" t="n"/>
      <c r="EI108" s="538" t="n"/>
      <c r="EJ108" s="539" t="n"/>
      <c r="EK108" s="538" t="n"/>
      <c r="EL108" s="538" t="n"/>
      <c r="EM108" s="539" t="n"/>
      <c r="EN108" s="538" t="n"/>
      <c r="EO108" s="538" t="n"/>
      <c r="EP108" s="539" t="n"/>
      <c r="EQ108" s="538" t="n"/>
      <c r="ER108" s="538" t="n"/>
      <c r="ES108" s="539" t="n"/>
      <c r="ET108" s="538" t="n"/>
      <c r="EU108" s="538" t="n"/>
      <c r="EV108" s="539" t="n"/>
      <c r="EW108" s="538" t="n"/>
      <c r="EX108" s="538" t="n"/>
      <c r="EY108" s="539" t="n"/>
      <c r="EZ108" s="538" t="n"/>
      <c r="FA108" s="538" t="n"/>
      <c r="FB108" s="539" t="n"/>
      <c r="FC108" s="538" t="n"/>
      <c r="FD108" s="538" t="n"/>
      <c r="FE108" s="539" t="n"/>
      <c r="FF108" s="538" t="n"/>
      <c r="FG108" s="538" t="n"/>
      <c r="FH108" s="538" t="n"/>
      <c r="FI108" s="538" t="n"/>
      <c r="FJ108" s="538" t="n"/>
      <c r="FK108" s="538" t="n"/>
      <c r="FL108" s="538" t="n"/>
      <c r="FM108" s="538">
        <f>FL108</f>
        <v/>
      </c>
      <c r="FN108" s="538">
        <f>IF(FL108=0,0,VLOOKUP(C108,$HD$10:$HE$406,2,FALSE)*FL108)</f>
        <v/>
      </c>
      <c r="FO108" s="538">
        <f>FL108-FN108</f>
        <v/>
      </c>
      <c r="FP108" s="538" t="n"/>
      <c r="FQ108" s="539" t="n"/>
      <c r="FR108" s="538" t="n"/>
      <c r="FS108" s="538" t="n"/>
      <c r="FT108" s="539" t="n"/>
      <c r="FU108" s="538" t="n"/>
      <c r="FV108" s="538" t="n"/>
      <c r="FW108" s="538" t="n"/>
      <c r="FX108" s="538" t="n"/>
      <c r="FY108" s="538" t="n"/>
      <c r="FZ108" s="539" t="n"/>
      <c r="GA108" s="538" t="n"/>
      <c r="GB108" s="538" t="n"/>
      <c r="GC108" s="540" t="n"/>
      <c r="GD108" s="138" t="n"/>
      <c r="GE108" s="541" t="n"/>
      <c r="GF108" s="538" t="n"/>
      <c r="GG108" s="270" t="n"/>
      <c r="GH108" s="137" t="n"/>
      <c r="GI108" s="542" t="n"/>
      <c r="GJ108" s="542" t="n"/>
      <c r="GK108" s="489" t="n"/>
      <c r="GL108" s="137" t="n"/>
      <c r="GM108" s="272" t="n"/>
      <c r="GO108" s="137" t="n"/>
      <c r="GP108" s="538" t="n"/>
      <c r="GQ108" s="137" t="n"/>
      <c r="GR108" s="542" t="n"/>
      <c r="GS108" s="542" t="n"/>
      <c r="GT108" s="489" t="n"/>
      <c r="GU108" s="137" t="n"/>
      <c r="GV108" s="272" t="n"/>
      <c r="GW108" s="272" t="n"/>
      <c r="GX108" s="137" t="n"/>
      <c r="GY108" s="538" t="n"/>
      <c r="GZ108" s="137" t="n"/>
      <c r="HA108" s="542" t="n"/>
      <c r="HB108" s="543" t="n"/>
      <c r="HC108" s="489" t="n"/>
      <c r="HD108" s="137" t="n"/>
      <c r="HE108" s="272" t="n"/>
      <c r="HF108" s="272" t="n"/>
      <c r="HG108" s="270" t="n"/>
      <c r="HH108" s="544" t="n"/>
      <c r="HI108" s="538" t="n"/>
      <c r="HK108" s="137" t="n"/>
      <c r="HL108" s="538" t="n"/>
      <c r="HN108" s="521" t="n"/>
      <c r="HO108" s="521" t="n"/>
      <c r="HP108" s="521" t="n"/>
      <c r="HQ108" s="521" t="n"/>
      <c r="HR108" s="521" t="n"/>
      <c r="HS108" s="521" t="n"/>
      <c r="HT108" s="521" t="n"/>
      <c r="HU108" s="522" t="n"/>
      <c r="HV108" s="274" t="n"/>
      <c r="HW108" s="522" t="n"/>
      <c r="HX108" s="522" t="n"/>
      <c r="HY108" s="522" t="n"/>
      <c r="HZ108" s="522" t="n"/>
      <c r="IA108" s="522" t="n"/>
      <c r="IB108" s="545" t="n"/>
      <c r="IE108" s="351" t="n"/>
    </row>
    <row r="109" ht="15" customHeight="1">
      <c r="B109" s="242" t="n"/>
      <c r="C109" s="242" t="n"/>
      <c r="D109" s="254" t="n"/>
      <c r="E109" s="243" t="n"/>
      <c r="F109" s="244" t="n"/>
      <c r="G109" s="528" t="n"/>
      <c r="H109" s="528" t="n"/>
      <c r="I109" s="246" t="n"/>
      <c r="J109" s="529" t="n"/>
      <c r="K109" s="529" t="n"/>
      <c r="L109" s="529" t="n"/>
      <c r="M109" s="529" t="n"/>
      <c r="N109" s="248" t="n"/>
      <c r="O109" s="248" t="n"/>
      <c r="P109" s="249" t="n"/>
      <c r="Q109" s="248" t="n"/>
      <c r="R109" s="552" t="n"/>
      <c r="S109" s="251" t="n"/>
      <c r="T109" s="552" t="n"/>
      <c r="U109" s="252" t="n"/>
      <c r="V109" s="252" t="n"/>
      <c r="W109" s="530" t="n"/>
      <c r="X109" s="248" t="n"/>
      <c r="Y109" s="254" t="n"/>
      <c r="Z109" s="254" t="n"/>
      <c r="AA109" s="531" t="n"/>
      <c r="AB109" s="531" t="n"/>
      <c r="AC109" s="532" t="n"/>
      <c r="AD109" s="532" t="n"/>
      <c r="AE109" s="532" t="n"/>
      <c r="AF109" s="532" t="n"/>
      <c r="AG109" s="533" t="n"/>
      <c r="AH109" s="533" t="n"/>
      <c r="AI109" s="533" t="n"/>
      <c r="AJ109" s="533" t="n"/>
      <c r="AK109" s="534" t="n"/>
      <c r="AL109" s="534" t="n"/>
      <c r="AM109" s="553" t="n"/>
      <c r="AN109" s="529" t="n"/>
      <c r="AO109" s="244" t="n"/>
      <c r="AP109" s="535" t="n"/>
      <c r="AQ109" s="535" t="n"/>
      <c r="AR109" s="248" t="n"/>
      <c r="AS109" s="280" t="n"/>
      <c r="AT109" s="248" t="n"/>
      <c r="AU109" s="250" t="n"/>
      <c r="AV109" s="250" t="n"/>
      <c r="AW109" s="250" t="n"/>
      <c r="AX109" s="262" t="n"/>
      <c r="AY109" s="250" t="n"/>
      <c r="AZ109" s="250" t="n"/>
      <c r="BA109" s="250" t="n"/>
      <c r="BB109" s="412">
        <f>IF(B109="","",IF(AR109="No",AV109-AZ109,""))</f>
        <v/>
      </c>
      <c r="BC109" s="412">
        <f>IF(B109="","",IF(AR109="Yes",AS109-BA109,""))</f>
        <v/>
      </c>
      <c r="BD109" s="254" t="n"/>
      <c r="BE109" s="536" t="n"/>
      <c r="BF109" s="254" t="n"/>
      <c r="BG109" s="254" t="n"/>
      <c r="BH109" s="248" t="n"/>
      <c r="BI109" s="413">
        <f>IF(B109="","",IF(OR(AND(AZ109&gt;0,BB109&gt;=2.5%,BB109&lt;4%),AND(BA109&gt;0,BC109&gt;=6%,BC109&lt;8%)),"Yes","No"))</f>
        <v/>
      </c>
      <c r="BJ109" s="413">
        <f>IF(B109="","",IF(OR(AND(AZ109&gt;0,BB109&lt;2.5%),AND(BA109&gt;0,BC109&lt;6%)),"Yes","No"))</f>
        <v/>
      </c>
      <c r="BK109" s="248" t="n"/>
      <c r="BL109" s="248" t="n"/>
      <c r="BM109" s="248" t="n"/>
      <c r="BN109" s="248" t="n"/>
      <c r="BO109" s="248" t="n"/>
      <c r="BP109" s="248" t="n"/>
      <c r="BQ109" s="248" t="n"/>
      <c r="BR109" s="248" t="n"/>
      <c r="BS109" s="248" t="n"/>
      <c r="BT109" s="248" t="n"/>
      <c r="BU109" s="248" t="n"/>
      <c r="BV109" s="248" t="n"/>
      <c r="BW109" s="248" t="n"/>
      <c r="BX109" s="248" t="n"/>
      <c r="BY109" s="248" t="n"/>
      <c r="BZ109" s="248" t="n"/>
      <c r="CA109" s="248" t="n"/>
      <c r="CB109" s="537" t="n"/>
      <c r="CC109" s="537" t="n"/>
      <c r="CD109" s="265" t="n"/>
      <c r="CE109" s="265" t="n"/>
      <c r="CF109" s="265" t="n"/>
      <c r="CG109" s="265" t="n"/>
      <c r="CH109" s="265" t="n"/>
      <c r="CI109" s="265" t="n"/>
      <c r="CJ109" s="265" t="n"/>
      <c r="CK109" s="265" t="n"/>
      <c r="CL109" s="265" t="n"/>
      <c r="CM109" s="265" t="n"/>
      <c r="CN109" s="265" t="n"/>
      <c r="CO109" s="265" t="n"/>
      <c r="CP109" s="265" t="n"/>
      <c r="CQ109" s="265" t="n"/>
      <c r="CR109" s="265" t="n"/>
      <c r="CS109" s="265" t="n"/>
      <c r="CT109" s="265" t="n"/>
      <c r="CU109" s="265" t="n"/>
      <c r="CV109" s="265" t="n"/>
      <c r="CW109" s="265" t="n"/>
      <c r="CX109" s="265" t="n"/>
      <c r="CY109" s="265" t="n"/>
      <c r="CZ109" s="265" t="n"/>
      <c r="DA109" s="265" t="n"/>
      <c r="DB109" s="265" t="n"/>
      <c r="DC109" s="265" t="n"/>
      <c r="DD109" s="265" t="n"/>
      <c r="DE109" s="265" t="n"/>
      <c r="DF109" s="265" t="n"/>
      <c r="DG109" s="265" t="n"/>
      <c r="DH109" s="265" t="n"/>
      <c r="DI109" s="265" t="n"/>
      <c r="DJ109" s="265" t="n"/>
      <c r="DK109" s="265" t="n"/>
      <c r="DL109" s="265" t="n"/>
      <c r="DN109" s="538" t="n"/>
      <c r="DO109" s="539" t="n"/>
      <c r="DP109" s="538" t="n"/>
      <c r="DQ109" s="538" t="n"/>
      <c r="DR109" s="539" t="n"/>
      <c r="DS109" s="538" t="n"/>
      <c r="DT109" s="538" t="n"/>
      <c r="DU109" s="539" t="n"/>
      <c r="DV109" s="538" t="n"/>
      <c r="DW109" s="538" t="n"/>
      <c r="DX109" s="539" t="n"/>
      <c r="DY109" s="538" t="n"/>
      <c r="DZ109" s="538" t="n"/>
      <c r="EA109" s="539" t="n"/>
      <c r="EB109" s="538" t="n"/>
      <c r="EC109" s="538" t="n"/>
      <c r="ED109" s="539" t="n"/>
      <c r="EE109" s="538" t="n"/>
      <c r="EF109" s="538" t="n"/>
      <c r="EG109" s="539" t="n"/>
      <c r="EH109" s="538" t="n"/>
      <c r="EI109" s="538" t="n"/>
      <c r="EJ109" s="539" t="n"/>
      <c r="EK109" s="538" t="n"/>
      <c r="EL109" s="538" t="n"/>
      <c r="EM109" s="539" t="n"/>
      <c r="EN109" s="538" t="n"/>
      <c r="EO109" s="538" t="n"/>
      <c r="EP109" s="539" t="n"/>
      <c r="EQ109" s="538" t="n"/>
      <c r="ER109" s="538" t="n"/>
      <c r="ES109" s="539" t="n"/>
      <c r="ET109" s="538" t="n"/>
      <c r="EU109" s="538" t="n"/>
      <c r="EV109" s="539" t="n"/>
      <c r="EW109" s="538" t="n"/>
      <c r="EX109" s="538" t="n"/>
      <c r="EY109" s="539" t="n"/>
      <c r="EZ109" s="538" t="n"/>
      <c r="FA109" s="538" t="n"/>
      <c r="FB109" s="539" t="n"/>
      <c r="FC109" s="538" t="n"/>
      <c r="FD109" s="538" t="n"/>
      <c r="FE109" s="539" t="n"/>
      <c r="FF109" s="538" t="n"/>
      <c r="FG109" s="538" t="n"/>
      <c r="FH109" s="538" t="n"/>
      <c r="FI109" s="538" t="n"/>
      <c r="FJ109" s="538" t="n"/>
      <c r="FK109" s="538" t="n"/>
      <c r="FL109" s="538" t="n"/>
      <c r="FM109" s="538">
        <f>FL109</f>
        <v/>
      </c>
      <c r="FN109" s="538">
        <f>IF(FL109=0,0,VLOOKUP(C109,$HD$10:$HE$406,2,FALSE)*FL109)</f>
        <v/>
      </c>
      <c r="FO109" s="538">
        <f>FL109-FN109</f>
        <v/>
      </c>
      <c r="FP109" s="538" t="n"/>
      <c r="FQ109" s="539" t="n"/>
      <c r="FR109" s="538" t="n"/>
      <c r="FS109" s="538" t="n"/>
      <c r="FT109" s="539" t="n"/>
      <c r="FU109" s="538" t="n"/>
      <c r="FV109" s="538" t="n"/>
      <c r="FW109" s="538" t="n"/>
      <c r="FX109" s="538" t="n"/>
      <c r="FY109" s="538" t="n"/>
      <c r="FZ109" s="539" t="n"/>
      <c r="GA109" s="538" t="n"/>
      <c r="GB109" s="538" t="n"/>
      <c r="GC109" s="540" t="n"/>
      <c r="GD109" s="138" t="n"/>
      <c r="GE109" s="541" t="n"/>
      <c r="GF109" s="538" t="n"/>
      <c r="GG109" s="270" t="n"/>
      <c r="GH109" s="137" t="n"/>
      <c r="GI109" s="542" t="n"/>
      <c r="GJ109" s="542" t="n"/>
      <c r="GK109" s="489" t="n"/>
      <c r="GL109" s="137" t="n"/>
      <c r="GM109" s="272" t="n"/>
      <c r="GO109" s="137" t="n"/>
      <c r="GP109" s="538" t="n"/>
      <c r="GQ109" s="137" t="n"/>
      <c r="GR109" s="542" t="n"/>
      <c r="GS109" s="542" t="n"/>
      <c r="GT109" s="489" t="n"/>
      <c r="GU109" s="137" t="n"/>
      <c r="GV109" s="272" t="n"/>
      <c r="GW109" s="272" t="n"/>
      <c r="GX109" s="137" t="n"/>
      <c r="GY109" s="538" t="n"/>
      <c r="GZ109" s="137" t="n"/>
      <c r="HA109" s="542" t="n"/>
      <c r="HB109" s="543" t="n"/>
      <c r="HC109" s="489" t="n"/>
      <c r="HD109" s="137" t="n"/>
      <c r="HE109" s="272" t="n"/>
      <c r="HF109" s="272" t="n"/>
      <c r="HG109" s="270" t="n"/>
      <c r="HH109" s="544" t="n"/>
      <c r="HI109" s="538" t="n"/>
      <c r="HK109" s="137" t="n"/>
      <c r="HL109" s="538" t="n"/>
      <c r="HN109" s="521" t="n"/>
      <c r="HO109" s="521" t="n"/>
      <c r="HP109" s="521" t="n"/>
      <c r="HQ109" s="521" t="n"/>
      <c r="HR109" s="521" t="n"/>
      <c r="HS109" s="521" t="n"/>
      <c r="HT109" s="521" t="n"/>
      <c r="HU109" s="522" t="n"/>
      <c r="HV109" s="274" t="n"/>
      <c r="HW109" s="522" t="n"/>
      <c r="HX109" s="522" t="n"/>
      <c r="HY109" s="522" t="n"/>
      <c r="HZ109" s="522" t="n"/>
      <c r="IA109" s="522" t="n"/>
      <c r="IB109" s="545" t="n"/>
      <c r="IE109" s="351" t="n"/>
    </row>
    <row r="110" ht="15" customHeight="1">
      <c r="B110" s="242" t="n"/>
      <c r="C110" s="242" t="n"/>
      <c r="D110" s="254" t="n"/>
      <c r="E110" s="243" t="n"/>
      <c r="F110" s="244" t="n"/>
      <c r="G110" s="528" t="n"/>
      <c r="H110" s="528" t="n"/>
      <c r="I110" s="246" t="n"/>
      <c r="J110" s="529" t="n"/>
      <c r="K110" s="529" t="n"/>
      <c r="L110" s="529" t="n"/>
      <c r="M110" s="529" t="n"/>
      <c r="N110" s="248" t="n"/>
      <c r="O110" s="248" t="n"/>
      <c r="P110" s="249" t="n"/>
      <c r="Q110" s="248" t="n"/>
      <c r="R110" s="552" t="n"/>
      <c r="S110" s="251" t="n"/>
      <c r="T110" s="552" t="n"/>
      <c r="U110" s="252" t="n"/>
      <c r="V110" s="252" t="n"/>
      <c r="W110" s="530" t="n"/>
      <c r="X110" s="248" t="n"/>
      <c r="Y110" s="254" t="n"/>
      <c r="Z110" s="254" t="n"/>
      <c r="AA110" s="531" t="n"/>
      <c r="AB110" s="531" t="n"/>
      <c r="AC110" s="532" t="n"/>
      <c r="AD110" s="532" t="n"/>
      <c r="AE110" s="532" t="n"/>
      <c r="AF110" s="532" t="n"/>
      <c r="AG110" s="533" t="n"/>
      <c r="AH110" s="533" t="n"/>
      <c r="AI110" s="533" t="n"/>
      <c r="AJ110" s="533" t="n"/>
      <c r="AK110" s="534" t="n"/>
      <c r="AL110" s="534" t="n"/>
      <c r="AM110" s="553" t="n"/>
      <c r="AN110" s="529" t="n"/>
      <c r="AO110" s="244" t="n"/>
      <c r="AP110" s="535" t="n"/>
      <c r="AQ110" s="535" t="n"/>
      <c r="AR110" s="248" t="n"/>
      <c r="AS110" s="280" t="n"/>
      <c r="AT110" s="248" t="n"/>
      <c r="AU110" s="250" t="n"/>
      <c r="AV110" s="250" t="n"/>
      <c r="AW110" s="250" t="n"/>
      <c r="AX110" s="262" t="n"/>
      <c r="AY110" s="250" t="n"/>
      <c r="AZ110" s="250" t="n"/>
      <c r="BA110" s="250" t="n"/>
      <c r="BB110" s="412">
        <f>IF(B110="","",IF(AR110="No",AV110-AZ110,""))</f>
        <v/>
      </c>
      <c r="BC110" s="412">
        <f>IF(B110="","",IF(AR110="Yes",AS110-BA110,""))</f>
        <v/>
      </c>
      <c r="BD110" s="254" t="n"/>
      <c r="BE110" s="536" t="n"/>
      <c r="BF110" s="254" t="n"/>
      <c r="BG110" s="254" t="n"/>
      <c r="BH110" s="248" t="n"/>
      <c r="BI110" s="413">
        <f>IF(B110="","",IF(OR(AND(AZ110&gt;0,BB110&gt;=2.5%,BB110&lt;4%),AND(BA110&gt;0,BC110&gt;=6%,BC110&lt;8%)),"Yes","No"))</f>
        <v/>
      </c>
      <c r="BJ110" s="413">
        <f>IF(B110="","",IF(OR(AND(AZ110&gt;0,BB110&lt;2.5%),AND(BA110&gt;0,BC110&lt;6%)),"Yes","No"))</f>
        <v/>
      </c>
      <c r="BK110" s="248" t="n"/>
      <c r="BL110" s="248" t="n"/>
      <c r="BM110" s="248" t="n"/>
      <c r="BN110" s="248" t="n"/>
      <c r="BO110" s="248" t="n"/>
      <c r="BP110" s="248" t="n"/>
      <c r="BQ110" s="248" t="n"/>
      <c r="BR110" s="248" t="n"/>
      <c r="BS110" s="248" t="n"/>
      <c r="BT110" s="248" t="n"/>
      <c r="BU110" s="248" t="n"/>
      <c r="BV110" s="248" t="n"/>
      <c r="BW110" s="248" t="n"/>
      <c r="BX110" s="248" t="n"/>
      <c r="BY110" s="248" t="n"/>
      <c r="BZ110" s="248" t="n"/>
      <c r="CA110" s="248" t="n"/>
      <c r="CB110" s="537" t="n"/>
      <c r="CC110" s="537" t="n"/>
      <c r="CD110" s="265" t="n"/>
      <c r="CE110" s="265" t="n"/>
      <c r="CF110" s="265" t="n"/>
      <c r="CG110" s="265" t="n"/>
      <c r="CH110" s="265" t="n"/>
      <c r="CI110" s="265" t="n"/>
      <c r="CJ110" s="265" t="n"/>
      <c r="CK110" s="265" t="n"/>
      <c r="CL110" s="265" t="n"/>
      <c r="CM110" s="265" t="n"/>
      <c r="CN110" s="265" t="n"/>
      <c r="CO110" s="265" t="n"/>
      <c r="CP110" s="265" t="n"/>
      <c r="CQ110" s="265" t="n"/>
      <c r="CR110" s="265" t="n"/>
      <c r="CS110" s="265" t="n"/>
      <c r="CT110" s="265" t="n"/>
      <c r="CU110" s="265" t="n"/>
      <c r="CV110" s="265" t="n"/>
      <c r="CW110" s="265" t="n"/>
      <c r="CX110" s="265" t="n"/>
      <c r="CY110" s="265" t="n"/>
      <c r="CZ110" s="265" t="n"/>
      <c r="DA110" s="265" t="n"/>
      <c r="DB110" s="265" t="n"/>
      <c r="DC110" s="265" t="n"/>
      <c r="DD110" s="265" t="n"/>
      <c r="DE110" s="265" t="n"/>
      <c r="DF110" s="265" t="n"/>
      <c r="DG110" s="265" t="n"/>
      <c r="DH110" s="265" t="n"/>
      <c r="DI110" s="265" t="n"/>
      <c r="DJ110" s="265" t="n"/>
      <c r="DK110" s="265" t="n"/>
      <c r="DL110" s="265" t="n"/>
      <c r="DN110" s="538" t="n"/>
      <c r="DO110" s="539" t="n"/>
      <c r="DP110" s="538" t="n"/>
      <c r="DQ110" s="538" t="n"/>
      <c r="DR110" s="539" t="n"/>
      <c r="DS110" s="538" t="n"/>
      <c r="DT110" s="538" t="n"/>
      <c r="DU110" s="539" t="n"/>
      <c r="DV110" s="538" t="n"/>
      <c r="DW110" s="538" t="n"/>
      <c r="DX110" s="539" t="n"/>
      <c r="DY110" s="538" t="n"/>
      <c r="DZ110" s="538" t="n"/>
      <c r="EA110" s="539" t="n"/>
      <c r="EB110" s="538" t="n"/>
      <c r="EC110" s="538" t="n"/>
      <c r="ED110" s="539" t="n"/>
      <c r="EE110" s="538" t="n"/>
      <c r="EF110" s="538" t="n"/>
      <c r="EG110" s="539" t="n"/>
      <c r="EH110" s="538" t="n"/>
      <c r="EI110" s="538" t="n"/>
      <c r="EJ110" s="539" t="n"/>
      <c r="EK110" s="538" t="n"/>
      <c r="EL110" s="538" t="n"/>
      <c r="EM110" s="539" t="n"/>
      <c r="EN110" s="538" t="n"/>
      <c r="EO110" s="538" t="n"/>
      <c r="EP110" s="539" t="n"/>
      <c r="EQ110" s="538" t="n"/>
      <c r="ER110" s="538" t="n"/>
      <c r="ES110" s="539" t="n"/>
      <c r="ET110" s="538" t="n"/>
      <c r="EU110" s="538" t="n"/>
      <c r="EV110" s="539" t="n"/>
      <c r="EW110" s="538" t="n"/>
      <c r="EX110" s="538" t="n"/>
      <c r="EY110" s="539" t="n"/>
      <c r="EZ110" s="538" t="n"/>
      <c r="FA110" s="538" t="n"/>
      <c r="FB110" s="539" t="n"/>
      <c r="FC110" s="538" t="n"/>
      <c r="FD110" s="538" t="n"/>
      <c r="FE110" s="539" t="n"/>
      <c r="FF110" s="538" t="n"/>
      <c r="FG110" s="538" t="n"/>
      <c r="FH110" s="538" t="n"/>
      <c r="FI110" s="538" t="n"/>
      <c r="FJ110" s="538" t="n"/>
      <c r="FK110" s="538" t="n"/>
      <c r="FL110" s="538" t="n"/>
      <c r="FM110" s="538">
        <f>FL110</f>
        <v/>
      </c>
      <c r="FN110" s="538">
        <f>IF(FL110=0,0,VLOOKUP(C110,$HD$10:$HE$406,2,FALSE)*FL110)</f>
        <v/>
      </c>
      <c r="FO110" s="538">
        <f>FL110-FN110</f>
        <v/>
      </c>
      <c r="FP110" s="538" t="n"/>
      <c r="FQ110" s="539" t="n"/>
      <c r="FR110" s="538" t="n"/>
      <c r="FS110" s="538" t="n"/>
      <c r="FT110" s="539" t="n"/>
      <c r="FU110" s="538" t="n"/>
      <c r="FV110" s="538" t="n"/>
      <c r="FW110" s="538" t="n"/>
      <c r="FX110" s="538" t="n"/>
      <c r="FY110" s="538" t="n"/>
      <c r="FZ110" s="539" t="n"/>
      <c r="GA110" s="538" t="n"/>
      <c r="GB110" s="538" t="n"/>
      <c r="GC110" s="540" t="n"/>
      <c r="GD110" s="138" t="n"/>
      <c r="GE110" s="541" t="n"/>
      <c r="GF110" s="538" t="n"/>
      <c r="GG110" s="270" t="n"/>
      <c r="GH110" s="137" t="n"/>
      <c r="GI110" s="542" t="n"/>
      <c r="GJ110" s="542" t="n"/>
      <c r="GK110" s="489" t="n"/>
      <c r="GL110" s="137" t="n"/>
      <c r="GM110" s="272" t="n"/>
      <c r="GO110" s="137" t="n"/>
      <c r="GP110" s="538" t="n"/>
      <c r="GQ110" s="137" t="n"/>
      <c r="GR110" s="542" t="n"/>
      <c r="GS110" s="542" t="n"/>
      <c r="GT110" s="489" t="n"/>
      <c r="GU110" s="137" t="n"/>
      <c r="GV110" s="272" t="n"/>
      <c r="GW110" s="272" t="n"/>
      <c r="GX110" s="137" t="n"/>
      <c r="GY110" s="538" t="n"/>
      <c r="GZ110" s="137" t="n"/>
      <c r="HA110" s="542" t="n"/>
      <c r="HB110" s="543" t="n"/>
      <c r="HC110" s="489" t="n"/>
      <c r="HD110" s="137" t="n"/>
      <c r="HE110" s="272" t="n"/>
      <c r="HF110" s="272" t="n"/>
      <c r="HG110" s="270" t="n"/>
      <c r="HH110" s="544" t="n"/>
      <c r="HI110" s="538" t="n"/>
      <c r="HK110" s="137" t="n"/>
      <c r="HL110" s="538" t="n"/>
      <c r="HN110" s="521" t="n"/>
      <c r="HO110" s="521" t="n"/>
      <c r="HP110" s="521" t="n"/>
      <c r="HQ110" s="521" t="n"/>
      <c r="HR110" s="521" t="n"/>
      <c r="HS110" s="521" t="n"/>
      <c r="HT110" s="521" t="n"/>
      <c r="HU110" s="522" t="n"/>
      <c r="HV110" s="274" t="n"/>
      <c r="HW110" s="522" t="n"/>
      <c r="HX110" s="522" t="n"/>
      <c r="HY110" s="522" t="n"/>
      <c r="HZ110" s="522" t="n"/>
      <c r="IA110" s="522" t="n"/>
      <c r="IB110" s="545" t="n"/>
      <c r="IE110" s="351" t="n"/>
    </row>
    <row r="111" ht="15" customHeight="1">
      <c r="B111" s="242" t="n"/>
      <c r="C111" s="242" t="n"/>
      <c r="D111" s="254" t="n"/>
      <c r="E111" s="243" t="n"/>
      <c r="F111" s="244" t="n"/>
      <c r="G111" s="528" t="n"/>
      <c r="H111" s="528" t="n"/>
      <c r="I111" s="246" t="n"/>
      <c r="J111" s="529" t="n"/>
      <c r="K111" s="529" t="n"/>
      <c r="L111" s="529" t="n"/>
      <c r="M111" s="529" t="n"/>
      <c r="N111" s="248" t="n"/>
      <c r="O111" s="248" t="n"/>
      <c r="P111" s="249" t="n"/>
      <c r="Q111" s="248" t="n"/>
      <c r="R111" s="552" t="n"/>
      <c r="S111" s="251" t="n"/>
      <c r="T111" s="552" t="n"/>
      <c r="U111" s="252" t="n"/>
      <c r="V111" s="252" t="n"/>
      <c r="W111" s="530" t="n"/>
      <c r="X111" s="248" t="n"/>
      <c r="Y111" s="254" t="n"/>
      <c r="Z111" s="254" t="n"/>
      <c r="AA111" s="531" t="n"/>
      <c r="AB111" s="531" t="n"/>
      <c r="AC111" s="532" t="n"/>
      <c r="AD111" s="532" t="n"/>
      <c r="AE111" s="532" t="n"/>
      <c r="AF111" s="532" t="n"/>
      <c r="AG111" s="533" t="n"/>
      <c r="AH111" s="533" t="n"/>
      <c r="AI111" s="533" t="n"/>
      <c r="AJ111" s="533" t="n"/>
      <c r="AK111" s="534" t="n"/>
      <c r="AL111" s="534" t="n"/>
      <c r="AM111" s="553" t="n"/>
      <c r="AN111" s="529" t="n"/>
      <c r="AO111" s="244" t="n"/>
      <c r="AP111" s="535" t="n"/>
      <c r="AQ111" s="535" t="n"/>
      <c r="AR111" s="248" t="n"/>
      <c r="AS111" s="280" t="n"/>
      <c r="AT111" s="248" t="n"/>
      <c r="AU111" s="250" t="n"/>
      <c r="AV111" s="250" t="n"/>
      <c r="AW111" s="250" t="n"/>
      <c r="AX111" s="262" t="n"/>
      <c r="AY111" s="250" t="n"/>
      <c r="AZ111" s="250" t="n"/>
      <c r="BA111" s="250" t="n"/>
      <c r="BB111" s="412">
        <f>IF(B111="","",IF(AR111="No",AV111-AZ111,""))</f>
        <v/>
      </c>
      <c r="BC111" s="412">
        <f>IF(B111="","",IF(AR111="Yes",AS111-BA111,""))</f>
        <v/>
      </c>
      <c r="BD111" s="254" t="n"/>
      <c r="BE111" s="536" t="n"/>
      <c r="BF111" s="254" t="n"/>
      <c r="BG111" s="254" t="n"/>
      <c r="BH111" s="248" t="n"/>
      <c r="BI111" s="413">
        <f>IF(B111="","",IF(OR(AND(AZ111&gt;0,BB111&gt;=2.5%,BB111&lt;4%),AND(BA111&gt;0,BC111&gt;=6%,BC111&lt;8%)),"Yes","No"))</f>
        <v/>
      </c>
      <c r="BJ111" s="413">
        <f>IF(B111="","",IF(OR(AND(AZ111&gt;0,BB111&lt;2.5%),AND(BA111&gt;0,BC111&lt;6%)),"Yes","No"))</f>
        <v/>
      </c>
      <c r="BK111" s="248" t="n"/>
      <c r="BL111" s="248" t="n"/>
      <c r="BM111" s="248" t="n"/>
      <c r="BN111" s="248" t="n"/>
      <c r="BO111" s="248" t="n"/>
      <c r="BP111" s="248" t="n"/>
      <c r="BQ111" s="248" t="n"/>
      <c r="BR111" s="248" t="n"/>
      <c r="BS111" s="248" t="n"/>
      <c r="BT111" s="248" t="n"/>
      <c r="BU111" s="248" t="n"/>
      <c r="BV111" s="248" t="n"/>
      <c r="BW111" s="248" t="n"/>
      <c r="BX111" s="248" t="n"/>
      <c r="BY111" s="248" t="n"/>
      <c r="BZ111" s="248" t="n"/>
      <c r="CA111" s="248" t="n"/>
      <c r="CB111" s="537" t="n"/>
      <c r="CC111" s="537" t="n"/>
      <c r="CD111" s="265" t="n"/>
      <c r="CE111" s="265" t="n"/>
      <c r="CF111" s="265" t="n"/>
      <c r="CG111" s="265" t="n"/>
      <c r="CH111" s="265" t="n"/>
      <c r="CI111" s="265" t="n"/>
      <c r="CJ111" s="265" t="n"/>
      <c r="CK111" s="265" t="n"/>
      <c r="CL111" s="265" t="n"/>
      <c r="CM111" s="265" t="n"/>
      <c r="CN111" s="265" t="n"/>
      <c r="CO111" s="265" t="n"/>
      <c r="CP111" s="265" t="n"/>
      <c r="CQ111" s="265" t="n"/>
      <c r="CR111" s="265" t="n"/>
      <c r="CS111" s="265" t="n"/>
      <c r="CT111" s="265" t="n"/>
      <c r="CU111" s="265" t="n"/>
      <c r="CV111" s="265" t="n"/>
      <c r="CW111" s="265" t="n"/>
      <c r="CX111" s="265" t="n"/>
      <c r="CY111" s="265" t="n"/>
      <c r="CZ111" s="265" t="n"/>
      <c r="DA111" s="265" t="n"/>
      <c r="DB111" s="265" t="n"/>
      <c r="DC111" s="265" t="n"/>
      <c r="DD111" s="265" t="n"/>
      <c r="DE111" s="265" t="n"/>
      <c r="DF111" s="265" t="n"/>
      <c r="DG111" s="265" t="n"/>
      <c r="DH111" s="265" t="n"/>
      <c r="DI111" s="265" t="n"/>
      <c r="DJ111" s="265" t="n"/>
      <c r="DK111" s="265" t="n"/>
      <c r="DL111" s="265" t="n"/>
      <c r="DN111" s="538" t="n"/>
      <c r="DO111" s="539" t="n"/>
      <c r="DP111" s="538" t="n"/>
      <c r="DQ111" s="538" t="n"/>
      <c r="DR111" s="539" t="n"/>
      <c r="DS111" s="538" t="n"/>
      <c r="DT111" s="538" t="n"/>
      <c r="DU111" s="539" t="n"/>
      <c r="DV111" s="538" t="n"/>
      <c r="DW111" s="538" t="n"/>
      <c r="DX111" s="539" t="n"/>
      <c r="DY111" s="538" t="n"/>
      <c r="DZ111" s="538" t="n"/>
      <c r="EA111" s="539" t="n"/>
      <c r="EB111" s="538" t="n"/>
      <c r="EC111" s="538" t="n"/>
      <c r="ED111" s="539" t="n"/>
      <c r="EE111" s="538" t="n"/>
      <c r="EF111" s="538" t="n"/>
      <c r="EG111" s="539" t="n"/>
      <c r="EH111" s="538" t="n"/>
      <c r="EI111" s="538" t="n"/>
      <c r="EJ111" s="539" t="n"/>
      <c r="EK111" s="538" t="n"/>
      <c r="EL111" s="538" t="n"/>
      <c r="EM111" s="539" t="n"/>
      <c r="EN111" s="538" t="n"/>
      <c r="EO111" s="538" t="n"/>
      <c r="EP111" s="539" t="n"/>
      <c r="EQ111" s="538" t="n"/>
      <c r="ER111" s="538" t="n"/>
      <c r="ES111" s="539" t="n"/>
      <c r="ET111" s="538" t="n"/>
      <c r="EU111" s="538" t="n"/>
      <c r="EV111" s="539" t="n"/>
      <c r="EW111" s="538" t="n"/>
      <c r="EX111" s="538" t="n"/>
      <c r="EY111" s="539" t="n"/>
      <c r="EZ111" s="538" t="n"/>
      <c r="FA111" s="538" t="n"/>
      <c r="FB111" s="539" t="n"/>
      <c r="FC111" s="538" t="n"/>
      <c r="FD111" s="538" t="n"/>
      <c r="FE111" s="539" t="n"/>
      <c r="FF111" s="538" t="n"/>
      <c r="FG111" s="538" t="n"/>
      <c r="FH111" s="538" t="n"/>
      <c r="FI111" s="538" t="n"/>
      <c r="FJ111" s="538" t="n"/>
      <c r="FK111" s="538" t="n"/>
      <c r="FL111" s="538" t="n"/>
      <c r="FM111" s="538">
        <f>FL111</f>
        <v/>
      </c>
      <c r="FN111" s="538">
        <f>IF(FL111=0,0,VLOOKUP(C111,$HD$10:$HE$406,2,FALSE)*FL111)</f>
        <v/>
      </c>
      <c r="FO111" s="538">
        <f>FL111-FN111</f>
        <v/>
      </c>
      <c r="FP111" s="538" t="n"/>
      <c r="FQ111" s="539" t="n"/>
      <c r="FR111" s="538" t="n"/>
      <c r="FS111" s="538" t="n"/>
      <c r="FT111" s="539" t="n"/>
      <c r="FU111" s="538" t="n"/>
      <c r="FV111" s="538" t="n"/>
      <c r="FW111" s="538" t="n"/>
      <c r="FX111" s="538" t="n"/>
      <c r="FY111" s="538" t="n"/>
      <c r="FZ111" s="539" t="n"/>
      <c r="GA111" s="538" t="n"/>
      <c r="GB111" s="538" t="n"/>
      <c r="GC111" s="540" t="n"/>
      <c r="GD111" s="138" t="n"/>
      <c r="GE111" s="541" t="n"/>
      <c r="GF111" s="538" t="n"/>
      <c r="GG111" s="270" t="n"/>
      <c r="GH111" s="137" t="n"/>
      <c r="GI111" s="542" t="n"/>
      <c r="GJ111" s="542" t="n"/>
      <c r="GK111" s="489" t="n"/>
      <c r="GL111" s="137" t="n"/>
      <c r="GM111" s="272" t="n"/>
      <c r="GO111" s="137" t="n"/>
      <c r="GP111" s="538" t="n"/>
      <c r="GQ111" s="137" t="n"/>
      <c r="GR111" s="542" t="n"/>
      <c r="GS111" s="542" t="n"/>
      <c r="GT111" s="489" t="n"/>
      <c r="GU111" s="137" t="n"/>
      <c r="GV111" s="272" t="n"/>
      <c r="GW111" s="272" t="n"/>
      <c r="GX111" s="137" t="n"/>
      <c r="GY111" s="538" t="n"/>
      <c r="GZ111" s="137" t="n"/>
      <c r="HA111" s="542" t="n"/>
      <c r="HB111" s="543" t="n"/>
      <c r="HC111" s="489" t="n"/>
      <c r="HD111" s="137" t="n"/>
      <c r="HE111" s="272" t="n"/>
      <c r="HF111" s="272" t="n"/>
      <c r="HG111" s="270" t="n"/>
      <c r="HH111" s="544" t="n"/>
      <c r="HI111" s="538" t="n"/>
      <c r="HK111" s="137" t="n"/>
      <c r="HL111" s="538" t="n"/>
      <c r="HN111" s="521" t="n"/>
      <c r="HO111" s="521" t="n"/>
      <c r="HP111" s="521" t="n"/>
      <c r="HQ111" s="521" t="n"/>
      <c r="HR111" s="521" t="n"/>
      <c r="HS111" s="521" t="n"/>
      <c r="HT111" s="521" t="n"/>
      <c r="HU111" s="522" t="n"/>
      <c r="HV111" s="274" t="n"/>
      <c r="HW111" s="522" t="n"/>
      <c r="HX111" s="522" t="n"/>
      <c r="HY111" s="522" t="n"/>
      <c r="HZ111" s="522" t="n"/>
      <c r="IA111" s="522" t="n"/>
      <c r="IB111" s="545" t="n"/>
      <c r="IE111" s="351" t="n"/>
    </row>
    <row r="112" ht="15" customHeight="1">
      <c r="B112" s="242" t="n"/>
      <c r="C112" s="242" t="n"/>
      <c r="D112" s="254" t="n"/>
      <c r="E112" s="243" t="n"/>
      <c r="F112" s="244" t="n"/>
      <c r="G112" s="528" t="n"/>
      <c r="H112" s="528" t="n"/>
      <c r="I112" s="246" t="n"/>
      <c r="J112" s="529" t="n"/>
      <c r="K112" s="529" t="n"/>
      <c r="L112" s="529" t="n"/>
      <c r="M112" s="529" t="n"/>
      <c r="N112" s="248" t="n"/>
      <c r="O112" s="248" t="n"/>
      <c r="P112" s="249" t="n"/>
      <c r="Q112" s="248" t="n"/>
      <c r="R112" s="552" t="n"/>
      <c r="S112" s="251" t="n"/>
      <c r="T112" s="552" t="n"/>
      <c r="U112" s="252" t="n"/>
      <c r="V112" s="252" t="n"/>
      <c r="W112" s="530" t="n"/>
      <c r="X112" s="248" t="n"/>
      <c r="Y112" s="254" t="n"/>
      <c r="Z112" s="254" t="n"/>
      <c r="AA112" s="531" t="n"/>
      <c r="AB112" s="531" t="n"/>
      <c r="AC112" s="532" t="n"/>
      <c r="AD112" s="532" t="n"/>
      <c r="AE112" s="532" t="n"/>
      <c r="AF112" s="532" t="n"/>
      <c r="AG112" s="533" t="n"/>
      <c r="AH112" s="533" t="n"/>
      <c r="AI112" s="533" t="n"/>
      <c r="AJ112" s="533" t="n"/>
      <c r="AK112" s="534" t="n"/>
      <c r="AL112" s="534" t="n"/>
      <c r="AM112" s="553" t="n"/>
      <c r="AN112" s="529" t="n"/>
      <c r="AO112" s="244" t="n"/>
      <c r="AP112" s="535" t="n"/>
      <c r="AQ112" s="535" t="n"/>
      <c r="AR112" s="248" t="n"/>
      <c r="AS112" s="280" t="n"/>
      <c r="AT112" s="248" t="n"/>
      <c r="AU112" s="250" t="n"/>
      <c r="AV112" s="250" t="n"/>
      <c r="AW112" s="250" t="n"/>
      <c r="AX112" s="262" t="n"/>
      <c r="AY112" s="250" t="n"/>
      <c r="AZ112" s="250" t="n"/>
      <c r="BA112" s="250" t="n"/>
      <c r="BB112" s="412">
        <f>IF(B112="","",IF(AR112="No",AV112-AZ112,""))</f>
        <v/>
      </c>
      <c r="BC112" s="412">
        <f>IF(B112="","",IF(AR112="Yes",AS112-BA112,""))</f>
        <v/>
      </c>
      <c r="BD112" s="254" t="n"/>
      <c r="BE112" s="536" t="n"/>
      <c r="BF112" s="254" t="n"/>
      <c r="BG112" s="254" t="n"/>
      <c r="BH112" s="248" t="n"/>
      <c r="BI112" s="413">
        <f>IF(B112="","",IF(OR(AND(AZ112&gt;0,BB112&gt;=2.5%,BB112&lt;4%),AND(BA112&gt;0,BC112&gt;=6%,BC112&lt;8%)),"Yes","No"))</f>
        <v/>
      </c>
      <c r="BJ112" s="413">
        <f>IF(B112="","",IF(OR(AND(AZ112&gt;0,BB112&lt;2.5%),AND(BA112&gt;0,BC112&lt;6%)),"Yes","No"))</f>
        <v/>
      </c>
      <c r="BK112" s="248" t="n"/>
      <c r="BL112" s="248" t="n"/>
      <c r="BM112" s="248" t="n"/>
      <c r="BN112" s="248" t="n"/>
      <c r="BO112" s="248" t="n"/>
      <c r="BP112" s="248" t="n"/>
      <c r="BQ112" s="248" t="n"/>
      <c r="BR112" s="248" t="n"/>
      <c r="BS112" s="248" t="n"/>
      <c r="BT112" s="248" t="n"/>
      <c r="BU112" s="248" t="n"/>
      <c r="BV112" s="248" t="n"/>
      <c r="BW112" s="248" t="n"/>
      <c r="BX112" s="248" t="n"/>
      <c r="BY112" s="248" t="n"/>
      <c r="BZ112" s="248" t="n"/>
      <c r="CA112" s="248" t="n"/>
      <c r="CB112" s="537" t="n"/>
      <c r="CC112" s="537" t="n"/>
      <c r="CD112" s="265" t="n"/>
      <c r="CE112" s="265" t="n"/>
      <c r="CF112" s="265" t="n"/>
      <c r="CG112" s="265" t="n"/>
      <c r="CH112" s="265" t="n"/>
      <c r="CI112" s="265" t="n"/>
      <c r="CJ112" s="265" t="n"/>
      <c r="CK112" s="265" t="n"/>
      <c r="CL112" s="265" t="n"/>
      <c r="CM112" s="265" t="n"/>
      <c r="CN112" s="265" t="n"/>
      <c r="CO112" s="265" t="n"/>
      <c r="CP112" s="265" t="n"/>
      <c r="CQ112" s="265" t="n"/>
      <c r="CR112" s="265" t="n"/>
      <c r="CS112" s="265" t="n"/>
      <c r="CT112" s="265" t="n"/>
      <c r="CU112" s="265" t="n"/>
      <c r="CV112" s="265" t="n"/>
      <c r="CW112" s="265" t="n"/>
      <c r="CX112" s="265" t="n"/>
      <c r="CY112" s="265" t="n"/>
      <c r="CZ112" s="265" t="n"/>
      <c r="DA112" s="265" t="n"/>
      <c r="DB112" s="265" t="n"/>
      <c r="DC112" s="265" t="n"/>
      <c r="DD112" s="265" t="n"/>
      <c r="DE112" s="265" t="n"/>
      <c r="DF112" s="265" t="n"/>
      <c r="DG112" s="265" t="n"/>
      <c r="DH112" s="265" t="n"/>
      <c r="DI112" s="265" t="n"/>
      <c r="DJ112" s="265" t="n"/>
      <c r="DK112" s="265" t="n"/>
      <c r="DL112" s="265" t="n"/>
      <c r="DN112" s="538" t="n"/>
      <c r="DO112" s="539" t="n"/>
      <c r="DP112" s="538" t="n"/>
      <c r="DQ112" s="538" t="n"/>
      <c r="DR112" s="539" t="n"/>
      <c r="DS112" s="538" t="n"/>
      <c r="DT112" s="538" t="n"/>
      <c r="DU112" s="539" t="n"/>
      <c r="DV112" s="538" t="n"/>
      <c r="DW112" s="538" t="n"/>
      <c r="DX112" s="539" t="n"/>
      <c r="DY112" s="538" t="n"/>
      <c r="DZ112" s="538" t="n"/>
      <c r="EA112" s="539" t="n"/>
      <c r="EB112" s="538" t="n"/>
      <c r="EC112" s="538" t="n"/>
      <c r="ED112" s="539" t="n"/>
      <c r="EE112" s="538" t="n"/>
      <c r="EF112" s="538" t="n"/>
      <c r="EG112" s="539" t="n"/>
      <c r="EH112" s="538" t="n"/>
      <c r="EI112" s="538" t="n"/>
      <c r="EJ112" s="539" t="n"/>
      <c r="EK112" s="538" t="n"/>
      <c r="EL112" s="538" t="n"/>
      <c r="EM112" s="539" t="n"/>
      <c r="EN112" s="538" t="n"/>
      <c r="EO112" s="538" t="n"/>
      <c r="EP112" s="539" t="n"/>
      <c r="EQ112" s="538" t="n"/>
      <c r="ER112" s="538" t="n"/>
      <c r="ES112" s="539" t="n"/>
      <c r="ET112" s="538" t="n"/>
      <c r="EU112" s="538" t="n"/>
      <c r="EV112" s="539" t="n"/>
      <c r="EW112" s="538" t="n"/>
      <c r="EX112" s="538" t="n"/>
      <c r="EY112" s="539" t="n"/>
      <c r="EZ112" s="538" t="n"/>
      <c r="FA112" s="538" t="n"/>
      <c r="FB112" s="539" t="n"/>
      <c r="FC112" s="538" t="n"/>
      <c r="FD112" s="538" t="n"/>
      <c r="FE112" s="539" t="n"/>
      <c r="FF112" s="538" t="n"/>
      <c r="FG112" s="538" t="n"/>
      <c r="FH112" s="538" t="n"/>
      <c r="FI112" s="538" t="n"/>
      <c r="FJ112" s="538" t="n"/>
      <c r="FK112" s="538" t="n"/>
      <c r="FL112" s="538" t="n"/>
      <c r="FM112" s="538">
        <f>FL112</f>
        <v/>
      </c>
      <c r="FN112" s="538">
        <f>IF(FL112=0,0,VLOOKUP(C112,$HD$10:$HE$406,2,FALSE)*FL112)</f>
        <v/>
      </c>
      <c r="FO112" s="538">
        <f>FL112-FN112</f>
        <v/>
      </c>
      <c r="FP112" s="538" t="n"/>
      <c r="FQ112" s="539" t="n"/>
      <c r="FR112" s="538" t="n"/>
      <c r="FS112" s="538" t="n"/>
      <c r="FT112" s="539" t="n"/>
      <c r="FU112" s="538" t="n"/>
      <c r="FV112" s="538" t="n"/>
      <c r="FW112" s="538" t="n"/>
      <c r="FX112" s="538" t="n"/>
      <c r="FY112" s="538" t="n"/>
      <c r="FZ112" s="539" t="n"/>
      <c r="GA112" s="538" t="n"/>
      <c r="GB112" s="538" t="n"/>
      <c r="GC112" s="540" t="n"/>
      <c r="GD112" s="138" t="n"/>
      <c r="GE112" s="541" t="n"/>
      <c r="GF112" s="538" t="n"/>
      <c r="GG112" s="270" t="n"/>
      <c r="GH112" s="137" t="n"/>
      <c r="GI112" s="542" t="n"/>
      <c r="GJ112" s="542" t="n"/>
      <c r="GK112" s="489" t="n"/>
      <c r="GL112" s="137" t="n"/>
      <c r="GM112" s="272" t="n"/>
      <c r="GO112" s="137" t="n"/>
      <c r="GP112" s="538" t="n"/>
      <c r="GQ112" s="137" t="n"/>
      <c r="GR112" s="542" t="n"/>
      <c r="GS112" s="542" t="n"/>
      <c r="GT112" s="489" t="n"/>
      <c r="GU112" s="137" t="n"/>
      <c r="GV112" s="272" t="n"/>
      <c r="GW112" s="272" t="n"/>
      <c r="GX112" s="137" t="n"/>
      <c r="GY112" s="538" t="n"/>
      <c r="GZ112" s="137" t="n"/>
      <c r="HA112" s="542" t="n"/>
      <c r="HB112" s="543" t="n"/>
      <c r="HC112" s="489" t="n"/>
      <c r="HD112" s="137" t="n"/>
      <c r="HE112" s="272" t="n"/>
      <c r="HF112" s="272" t="n"/>
      <c r="HG112" s="270" t="n"/>
      <c r="HH112" s="544" t="n"/>
      <c r="HI112" s="538" t="n"/>
      <c r="HK112" s="137" t="n"/>
      <c r="HL112" s="538" t="n"/>
      <c r="HN112" s="521" t="n"/>
      <c r="HO112" s="521" t="n"/>
      <c r="HP112" s="521" t="n"/>
      <c r="HQ112" s="521" t="n"/>
      <c r="HR112" s="521" t="n"/>
      <c r="HS112" s="521" t="n"/>
      <c r="HT112" s="521" t="n"/>
      <c r="HU112" s="522" t="n"/>
      <c r="HV112" s="274" t="n"/>
      <c r="HW112" s="522" t="n"/>
      <c r="HX112" s="522" t="n"/>
      <c r="HY112" s="522" t="n"/>
      <c r="HZ112" s="522" t="n"/>
      <c r="IA112" s="522" t="n"/>
      <c r="IB112" s="545" t="n"/>
      <c r="IE112" s="351" t="n"/>
    </row>
    <row r="113" ht="15" customHeight="1">
      <c r="B113" s="242" t="n"/>
      <c r="C113" s="242" t="n"/>
      <c r="D113" s="254" t="n"/>
      <c r="E113" s="243" t="n"/>
      <c r="F113" s="244" t="n"/>
      <c r="G113" s="528" t="n"/>
      <c r="H113" s="528" t="n"/>
      <c r="I113" s="246" t="n"/>
      <c r="J113" s="529" t="n"/>
      <c r="K113" s="529" t="n"/>
      <c r="L113" s="529" t="n"/>
      <c r="M113" s="529" t="n"/>
      <c r="N113" s="248" t="n"/>
      <c r="O113" s="248" t="n"/>
      <c r="P113" s="249" t="n"/>
      <c r="Q113" s="248" t="n"/>
      <c r="R113" s="552" t="n"/>
      <c r="S113" s="251" t="n"/>
      <c r="T113" s="552" t="n"/>
      <c r="U113" s="252" t="n"/>
      <c r="V113" s="252" t="n"/>
      <c r="W113" s="530" t="n"/>
      <c r="X113" s="248" t="n"/>
      <c r="Y113" s="254" t="n"/>
      <c r="Z113" s="254" t="n"/>
      <c r="AA113" s="531" t="n"/>
      <c r="AB113" s="531" t="n"/>
      <c r="AC113" s="532" t="n"/>
      <c r="AD113" s="532" t="n"/>
      <c r="AE113" s="532" t="n"/>
      <c r="AF113" s="532" t="n"/>
      <c r="AG113" s="533" t="n"/>
      <c r="AH113" s="533" t="n"/>
      <c r="AI113" s="533" t="n"/>
      <c r="AJ113" s="533" t="n"/>
      <c r="AK113" s="534" t="n"/>
      <c r="AL113" s="534" t="n"/>
      <c r="AM113" s="553" t="n"/>
      <c r="AN113" s="529" t="n"/>
      <c r="AO113" s="244" t="n"/>
      <c r="AP113" s="535" t="n"/>
      <c r="AQ113" s="535" t="n"/>
      <c r="AR113" s="248" t="n"/>
      <c r="AS113" s="280" t="n"/>
      <c r="AT113" s="248" t="n"/>
      <c r="AU113" s="250" t="n"/>
      <c r="AV113" s="250" t="n"/>
      <c r="AW113" s="250" t="n"/>
      <c r="AX113" s="262" t="n"/>
      <c r="AY113" s="250" t="n"/>
      <c r="AZ113" s="250" t="n"/>
      <c r="BA113" s="250" t="n"/>
      <c r="BB113" s="412">
        <f>IF(B113="","",IF(AR113="No",AV113-AZ113,""))</f>
        <v/>
      </c>
      <c r="BC113" s="412">
        <f>IF(B113="","",IF(AR113="Yes",AS113-BA113,""))</f>
        <v/>
      </c>
      <c r="BD113" s="254" t="n"/>
      <c r="BE113" s="536" t="n"/>
      <c r="BF113" s="254" t="n"/>
      <c r="BG113" s="254" t="n"/>
      <c r="BH113" s="248" t="n"/>
      <c r="BI113" s="413">
        <f>IF(B113="","",IF(OR(AND(AZ113&gt;0,BB113&gt;=2.5%,BB113&lt;4%),AND(BA113&gt;0,BC113&gt;=6%,BC113&lt;8%)),"Yes","No"))</f>
        <v/>
      </c>
      <c r="BJ113" s="413">
        <f>IF(B113="","",IF(OR(AND(AZ113&gt;0,BB113&lt;2.5%),AND(BA113&gt;0,BC113&lt;6%)),"Yes","No"))</f>
        <v/>
      </c>
      <c r="BK113" s="248" t="n"/>
      <c r="BL113" s="248" t="n"/>
      <c r="BM113" s="248" t="n"/>
      <c r="BN113" s="248" t="n"/>
      <c r="BO113" s="248" t="n"/>
      <c r="BP113" s="248" t="n"/>
      <c r="BQ113" s="248" t="n"/>
      <c r="BR113" s="248" t="n"/>
      <c r="BS113" s="248" t="n"/>
      <c r="BT113" s="248" t="n"/>
      <c r="BU113" s="248" t="n"/>
      <c r="BV113" s="248" t="n"/>
      <c r="BW113" s="248" t="n"/>
      <c r="BX113" s="248" t="n"/>
      <c r="BY113" s="248" t="n"/>
      <c r="BZ113" s="248" t="n"/>
      <c r="CA113" s="248" t="n"/>
      <c r="CB113" s="537" t="n"/>
      <c r="CC113" s="537" t="n"/>
      <c r="CD113" s="265" t="n"/>
      <c r="CE113" s="265" t="n"/>
      <c r="CF113" s="265" t="n"/>
      <c r="CG113" s="265" t="n"/>
      <c r="CH113" s="265" t="n"/>
      <c r="CI113" s="265" t="n"/>
      <c r="CJ113" s="265" t="n"/>
      <c r="CK113" s="265" t="n"/>
      <c r="CL113" s="265" t="n"/>
      <c r="CM113" s="265" t="n"/>
      <c r="CN113" s="265" t="n"/>
      <c r="CO113" s="265" t="n"/>
      <c r="CP113" s="265" t="n"/>
      <c r="CQ113" s="265" t="n"/>
      <c r="CR113" s="265" t="n"/>
      <c r="CS113" s="265" t="n"/>
      <c r="CT113" s="265" t="n"/>
      <c r="CU113" s="265" t="n"/>
      <c r="CV113" s="265" t="n"/>
      <c r="CW113" s="265" t="n"/>
      <c r="CX113" s="265" t="n"/>
      <c r="CY113" s="265" t="n"/>
      <c r="CZ113" s="265" t="n"/>
      <c r="DA113" s="265" t="n"/>
      <c r="DB113" s="265" t="n"/>
      <c r="DC113" s="265" t="n"/>
      <c r="DD113" s="265" t="n"/>
      <c r="DE113" s="265" t="n"/>
      <c r="DF113" s="265" t="n"/>
      <c r="DG113" s="265" t="n"/>
      <c r="DH113" s="265" t="n"/>
      <c r="DI113" s="265" t="n"/>
      <c r="DJ113" s="265" t="n"/>
      <c r="DK113" s="265" t="n"/>
      <c r="DL113" s="265" t="n"/>
      <c r="DN113" s="538" t="n"/>
      <c r="DO113" s="539" t="n"/>
      <c r="DP113" s="538" t="n"/>
      <c r="DQ113" s="538" t="n"/>
      <c r="DR113" s="539" t="n"/>
      <c r="DS113" s="538" t="n"/>
      <c r="DT113" s="538" t="n"/>
      <c r="DU113" s="539" t="n"/>
      <c r="DV113" s="538" t="n"/>
      <c r="DW113" s="538" t="n"/>
      <c r="DX113" s="539" t="n"/>
      <c r="DY113" s="538" t="n"/>
      <c r="DZ113" s="538" t="n"/>
      <c r="EA113" s="539" t="n"/>
      <c r="EB113" s="538" t="n"/>
      <c r="EC113" s="538" t="n"/>
      <c r="ED113" s="539" t="n"/>
      <c r="EE113" s="538" t="n"/>
      <c r="EF113" s="538" t="n"/>
      <c r="EG113" s="539" t="n"/>
      <c r="EH113" s="538" t="n"/>
      <c r="EI113" s="538" t="n"/>
      <c r="EJ113" s="539" t="n"/>
      <c r="EK113" s="538" t="n"/>
      <c r="EL113" s="538" t="n"/>
      <c r="EM113" s="539" t="n"/>
      <c r="EN113" s="538" t="n"/>
      <c r="EO113" s="538" t="n"/>
      <c r="EP113" s="539" t="n"/>
      <c r="EQ113" s="538" t="n"/>
      <c r="ER113" s="538" t="n"/>
      <c r="ES113" s="539" t="n"/>
      <c r="ET113" s="538" t="n"/>
      <c r="EU113" s="538" t="n"/>
      <c r="EV113" s="539" t="n"/>
      <c r="EW113" s="538" t="n"/>
      <c r="EX113" s="538" t="n"/>
      <c r="EY113" s="539" t="n"/>
      <c r="EZ113" s="538" t="n"/>
      <c r="FA113" s="538" t="n"/>
      <c r="FB113" s="539" t="n"/>
      <c r="FC113" s="538" t="n"/>
      <c r="FD113" s="538" t="n"/>
      <c r="FE113" s="539" t="n"/>
      <c r="FF113" s="538" t="n"/>
      <c r="FG113" s="538" t="n"/>
      <c r="FH113" s="538" t="n"/>
      <c r="FI113" s="538" t="n"/>
      <c r="FJ113" s="538" t="n"/>
      <c r="FK113" s="538" t="n"/>
      <c r="FL113" s="538" t="n"/>
      <c r="FM113" s="538">
        <f>FL113</f>
        <v/>
      </c>
      <c r="FN113" s="538">
        <f>IF(FL113=0,0,VLOOKUP(C113,$HD$10:$HE$406,2,FALSE)*FL113)</f>
        <v/>
      </c>
      <c r="FO113" s="538">
        <f>FL113-FN113</f>
        <v/>
      </c>
      <c r="FP113" s="538" t="n"/>
      <c r="FQ113" s="539" t="n"/>
      <c r="FR113" s="538" t="n"/>
      <c r="FS113" s="538" t="n"/>
      <c r="FT113" s="539" t="n"/>
      <c r="FU113" s="538" t="n"/>
      <c r="FV113" s="538" t="n"/>
      <c r="FW113" s="538" t="n"/>
      <c r="FX113" s="538" t="n"/>
      <c r="FY113" s="538" t="n"/>
      <c r="FZ113" s="539" t="n"/>
      <c r="GA113" s="538" t="n"/>
      <c r="GB113" s="538" t="n"/>
      <c r="GC113" s="540" t="n"/>
      <c r="GD113" s="138" t="n"/>
      <c r="GE113" s="541" t="n"/>
      <c r="GF113" s="538" t="n"/>
      <c r="GG113" s="270" t="n"/>
      <c r="GH113" s="137" t="n"/>
      <c r="GI113" s="542" t="n"/>
      <c r="GJ113" s="542" t="n"/>
      <c r="GK113" s="489" t="n"/>
      <c r="GL113" s="137" t="n"/>
      <c r="GM113" s="272" t="n"/>
      <c r="GO113" s="137" t="n"/>
      <c r="GP113" s="538" t="n"/>
      <c r="GQ113" s="137" t="n"/>
      <c r="GR113" s="542" t="n"/>
      <c r="GS113" s="542" t="n"/>
      <c r="GT113" s="489" t="n"/>
      <c r="GU113" s="137" t="n"/>
      <c r="GV113" s="272" t="n"/>
      <c r="GW113" s="272" t="n"/>
      <c r="GX113" s="137" t="n"/>
      <c r="GY113" s="538" t="n"/>
      <c r="GZ113" s="137" t="n"/>
      <c r="HA113" s="542" t="n"/>
      <c r="HB113" s="543" t="n"/>
      <c r="HC113" s="489" t="n"/>
      <c r="HD113" s="137" t="n"/>
      <c r="HE113" s="272" t="n"/>
      <c r="HF113" s="272" t="n"/>
      <c r="HG113" s="270" t="n"/>
      <c r="HH113" s="544" t="n"/>
      <c r="HI113" s="538" t="n"/>
      <c r="HK113" s="137" t="n"/>
      <c r="HL113" s="538" t="n"/>
      <c r="HN113" s="521" t="n"/>
      <c r="HO113" s="521" t="n"/>
      <c r="HP113" s="521" t="n"/>
      <c r="HQ113" s="521" t="n"/>
      <c r="HR113" s="521" t="n"/>
      <c r="HS113" s="521" t="n"/>
      <c r="HT113" s="521" t="n"/>
      <c r="HU113" s="522" t="n"/>
      <c r="HV113" s="274" t="n"/>
      <c r="HW113" s="522" t="n"/>
      <c r="HX113" s="522" t="n"/>
      <c r="HY113" s="522" t="n"/>
      <c r="HZ113" s="522" t="n"/>
      <c r="IA113" s="522" t="n"/>
      <c r="IB113" s="545" t="n"/>
      <c r="IE113" s="351" t="n"/>
    </row>
    <row r="114" ht="15" customHeight="1">
      <c r="B114" s="242" t="n"/>
      <c r="C114" s="242" t="n"/>
      <c r="D114" s="254" t="n"/>
      <c r="E114" s="243" t="n"/>
      <c r="F114" s="244" t="n"/>
      <c r="G114" s="528" t="n"/>
      <c r="H114" s="528" t="n"/>
      <c r="I114" s="246" t="n"/>
      <c r="J114" s="529" t="n"/>
      <c r="K114" s="529" t="n"/>
      <c r="L114" s="529" t="n"/>
      <c r="M114" s="529" t="n"/>
      <c r="N114" s="248" t="n"/>
      <c r="O114" s="248" t="n"/>
      <c r="P114" s="249" t="n"/>
      <c r="Q114" s="248" t="n"/>
      <c r="R114" s="552" t="n"/>
      <c r="S114" s="251" t="n"/>
      <c r="T114" s="552" t="n"/>
      <c r="U114" s="252" t="n"/>
      <c r="V114" s="252" t="n"/>
      <c r="W114" s="530" t="n"/>
      <c r="X114" s="248" t="n"/>
      <c r="Y114" s="254" t="n"/>
      <c r="Z114" s="254" t="n"/>
      <c r="AA114" s="531" t="n"/>
      <c r="AB114" s="531" t="n"/>
      <c r="AC114" s="532" t="n"/>
      <c r="AD114" s="532" t="n"/>
      <c r="AE114" s="532" t="n"/>
      <c r="AF114" s="532" t="n"/>
      <c r="AG114" s="533" t="n"/>
      <c r="AH114" s="533" t="n"/>
      <c r="AI114" s="533" t="n"/>
      <c r="AJ114" s="533" t="n"/>
      <c r="AK114" s="534" t="n"/>
      <c r="AL114" s="534" t="n"/>
      <c r="AM114" s="553" t="n"/>
      <c r="AN114" s="529" t="n"/>
      <c r="AO114" s="244" t="n"/>
      <c r="AP114" s="535" t="n"/>
      <c r="AQ114" s="535" t="n"/>
      <c r="AR114" s="248" t="n"/>
      <c r="AS114" s="280" t="n"/>
      <c r="AT114" s="248" t="n"/>
      <c r="AU114" s="250" t="n"/>
      <c r="AV114" s="250" t="n"/>
      <c r="AW114" s="250" t="n"/>
      <c r="AX114" s="262" t="n"/>
      <c r="AY114" s="250" t="n"/>
      <c r="AZ114" s="250" t="n"/>
      <c r="BA114" s="250" t="n"/>
      <c r="BB114" s="412">
        <f>IF(B114="","",IF(AR114="No",AV114-AZ114,""))</f>
        <v/>
      </c>
      <c r="BC114" s="412">
        <f>IF(B114="","",IF(AR114="Yes",AS114-BA114,""))</f>
        <v/>
      </c>
      <c r="BD114" s="254" t="n"/>
      <c r="BE114" s="536" t="n"/>
      <c r="BF114" s="254" t="n"/>
      <c r="BG114" s="254" t="n"/>
      <c r="BH114" s="248" t="n"/>
      <c r="BI114" s="413">
        <f>IF(B114="","",IF(OR(AND(AZ114&gt;0,BB114&gt;=2.5%,BB114&lt;4%),AND(BA114&gt;0,BC114&gt;=6%,BC114&lt;8%)),"Yes","No"))</f>
        <v/>
      </c>
      <c r="BJ114" s="413">
        <f>IF(B114="","",IF(OR(AND(AZ114&gt;0,BB114&lt;2.5%),AND(BA114&gt;0,BC114&lt;6%)),"Yes","No"))</f>
        <v/>
      </c>
      <c r="BK114" s="248" t="n"/>
      <c r="BL114" s="248" t="n"/>
      <c r="BM114" s="248" t="n"/>
      <c r="BN114" s="248" t="n"/>
      <c r="BO114" s="248" t="n"/>
      <c r="BP114" s="248" t="n"/>
      <c r="BQ114" s="248" t="n"/>
      <c r="BR114" s="248" t="n"/>
      <c r="BS114" s="248" t="n"/>
      <c r="BT114" s="248" t="n"/>
      <c r="BU114" s="248" t="n"/>
      <c r="BV114" s="248" t="n"/>
      <c r="BW114" s="248" t="n"/>
      <c r="BX114" s="248" t="n"/>
      <c r="BY114" s="248" t="n"/>
      <c r="BZ114" s="248" t="n"/>
      <c r="CA114" s="248" t="n"/>
      <c r="CB114" s="537" t="n"/>
      <c r="CC114" s="537" t="n"/>
      <c r="CD114" s="265" t="n"/>
      <c r="CE114" s="265" t="n"/>
      <c r="CF114" s="265" t="n"/>
      <c r="CG114" s="265" t="n"/>
      <c r="CH114" s="265" t="n"/>
      <c r="CI114" s="265" t="n"/>
      <c r="CJ114" s="265" t="n"/>
      <c r="CK114" s="265" t="n"/>
      <c r="CL114" s="265" t="n"/>
      <c r="CM114" s="265" t="n"/>
      <c r="CN114" s="265" t="n"/>
      <c r="CO114" s="265" t="n"/>
      <c r="CP114" s="265" t="n"/>
      <c r="CQ114" s="265" t="n"/>
      <c r="CR114" s="265" t="n"/>
      <c r="CS114" s="265" t="n"/>
      <c r="CT114" s="265" t="n"/>
      <c r="CU114" s="265" t="n"/>
      <c r="CV114" s="265" t="n"/>
      <c r="CW114" s="265" t="n"/>
      <c r="CX114" s="265" t="n"/>
      <c r="CY114" s="265" t="n"/>
      <c r="CZ114" s="265" t="n"/>
      <c r="DA114" s="265" t="n"/>
      <c r="DB114" s="265" t="n"/>
      <c r="DC114" s="265" t="n"/>
      <c r="DD114" s="265" t="n"/>
      <c r="DE114" s="265" t="n"/>
      <c r="DF114" s="265" t="n"/>
      <c r="DG114" s="265" t="n"/>
      <c r="DH114" s="265" t="n"/>
      <c r="DI114" s="265" t="n"/>
      <c r="DJ114" s="265" t="n"/>
      <c r="DK114" s="265" t="n"/>
      <c r="DL114" s="265" t="n"/>
      <c r="DN114" s="538" t="n"/>
      <c r="DO114" s="539" t="n"/>
      <c r="DP114" s="538" t="n"/>
      <c r="DQ114" s="538" t="n"/>
      <c r="DR114" s="539" t="n"/>
      <c r="DS114" s="538" t="n"/>
      <c r="DT114" s="538" t="n"/>
      <c r="DU114" s="539" t="n"/>
      <c r="DV114" s="538" t="n"/>
      <c r="DW114" s="538" t="n"/>
      <c r="DX114" s="539" t="n"/>
      <c r="DY114" s="538" t="n"/>
      <c r="DZ114" s="538" t="n"/>
      <c r="EA114" s="539" t="n"/>
      <c r="EB114" s="538" t="n"/>
      <c r="EC114" s="538" t="n"/>
      <c r="ED114" s="539" t="n"/>
      <c r="EE114" s="538" t="n"/>
      <c r="EF114" s="538" t="n"/>
      <c r="EG114" s="539" t="n"/>
      <c r="EH114" s="538" t="n"/>
      <c r="EI114" s="538" t="n"/>
      <c r="EJ114" s="539" t="n"/>
      <c r="EK114" s="538" t="n"/>
      <c r="EL114" s="538" t="n"/>
      <c r="EM114" s="539" t="n"/>
      <c r="EN114" s="538" t="n"/>
      <c r="EO114" s="538" t="n"/>
      <c r="EP114" s="539" t="n"/>
      <c r="EQ114" s="538" t="n"/>
      <c r="ER114" s="538" t="n"/>
      <c r="ES114" s="539" t="n"/>
      <c r="ET114" s="538" t="n"/>
      <c r="EU114" s="538" t="n"/>
      <c r="EV114" s="539" t="n"/>
      <c r="EW114" s="538" t="n"/>
      <c r="EX114" s="538" t="n"/>
      <c r="EY114" s="539" t="n"/>
      <c r="EZ114" s="538" t="n"/>
      <c r="FA114" s="538" t="n"/>
      <c r="FB114" s="539" t="n"/>
      <c r="FC114" s="538" t="n"/>
      <c r="FD114" s="538" t="n"/>
      <c r="FE114" s="539" t="n"/>
      <c r="FF114" s="538" t="n"/>
      <c r="FG114" s="538" t="n"/>
      <c r="FH114" s="538" t="n"/>
      <c r="FI114" s="538" t="n"/>
      <c r="FJ114" s="538" t="n"/>
      <c r="FK114" s="538" t="n"/>
      <c r="FL114" s="538" t="n"/>
      <c r="FM114" s="538">
        <f>FL114</f>
        <v/>
      </c>
      <c r="FN114" s="538">
        <f>IF(FL114=0,0,VLOOKUP(C114,$HD$10:$HE$406,2,FALSE)*FL114)</f>
        <v/>
      </c>
      <c r="FO114" s="538">
        <f>FL114-FN114</f>
        <v/>
      </c>
      <c r="FP114" s="538" t="n"/>
      <c r="FQ114" s="539" t="n"/>
      <c r="FR114" s="538" t="n"/>
      <c r="FS114" s="538" t="n"/>
      <c r="FT114" s="539" t="n"/>
      <c r="FU114" s="538" t="n"/>
      <c r="FV114" s="538" t="n"/>
      <c r="FW114" s="538" t="n"/>
      <c r="FX114" s="538" t="n"/>
      <c r="FY114" s="538" t="n"/>
      <c r="FZ114" s="539" t="n"/>
      <c r="GA114" s="538" t="n"/>
      <c r="GB114" s="538" t="n"/>
      <c r="GC114" s="540" t="n"/>
      <c r="GD114" s="138" t="n"/>
      <c r="GE114" s="541" t="n"/>
      <c r="GF114" s="538" t="n"/>
      <c r="GG114" s="270" t="n"/>
      <c r="GH114" s="137" t="n"/>
      <c r="GI114" s="542" t="n"/>
      <c r="GJ114" s="542" t="n"/>
      <c r="GK114" s="489" t="n"/>
      <c r="GL114" s="137" t="n"/>
      <c r="GM114" s="272" t="n"/>
      <c r="GO114" s="137" t="n"/>
      <c r="GP114" s="538" t="n"/>
      <c r="GQ114" s="137" t="n"/>
      <c r="GR114" s="542" t="n"/>
      <c r="GS114" s="542" t="n"/>
      <c r="GT114" s="489" t="n"/>
      <c r="GU114" s="137" t="n"/>
      <c r="GV114" s="272" t="n"/>
      <c r="GW114" s="272" t="n"/>
      <c r="GX114" s="137" t="n"/>
      <c r="GY114" s="538" t="n"/>
      <c r="GZ114" s="137" t="n"/>
      <c r="HA114" s="542" t="n"/>
      <c r="HB114" s="543" t="n"/>
      <c r="HC114" s="489" t="n"/>
      <c r="HD114" s="137" t="n"/>
      <c r="HE114" s="272" t="n"/>
      <c r="HF114" s="272" t="n"/>
      <c r="HG114" s="270" t="n"/>
      <c r="HH114" s="544" t="n"/>
      <c r="HI114" s="538" t="n"/>
      <c r="HK114" s="137" t="n"/>
      <c r="HL114" s="538" t="n"/>
      <c r="HN114" s="521" t="n"/>
      <c r="HO114" s="521" t="n"/>
      <c r="HP114" s="521" t="n"/>
      <c r="HQ114" s="521" t="n"/>
      <c r="HR114" s="521" t="n"/>
      <c r="HS114" s="521" t="n"/>
      <c r="HT114" s="521" t="n"/>
      <c r="HU114" s="522" t="n"/>
      <c r="HV114" s="274" t="n"/>
      <c r="HW114" s="522" t="n"/>
      <c r="HX114" s="522" t="n"/>
      <c r="HY114" s="522" t="n"/>
      <c r="HZ114" s="522" t="n"/>
      <c r="IA114" s="522" t="n"/>
      <c r="IB114" s="545" t="n"/>
      <c r="IE114" s="351" t="n"/>
    </row>
    <row r="115" ht="15" customHeight="1">
      <c r="B115" s="242" t="n"/>
      <c r="C115" s="242" t="n"/>
      <c r="D115" s="254" t="n"/>
      <c r="E115" s="243" t="n"/>
      <c r="F115" s="244" t="n"/>
      <c r="G115" s="528" t="n"/>
      <c r="H115" s="528" t="n"/>
      <c r="I115" s="246" t="n"/>
      <c r="J115" s="529" t="n"/>
      <c r="K115" s="529" t="n"/>
      <c r="L115" s="529" t="n"/>
      <c r="M115" s="529" t="n"/>
      <c r="N115" s="248" t="n"/>
      <c r="O115" s="248" t="n"/>
      <c r="P115" s="249" t="n"/>
      <c r="Q115" s="248" t="n"/>
      <c r="R115" s="552" t="n"/>
      <c r="S115" s="251" t="n"/>
      <c r="T115" s="552" t="n"/>
      <c r="U115" s="252" t="n"/>
      <c r="V115" s="252" t="n"/>
      <c r="W115" s="530" t="n"/>
      <c r="X115" s="248" t="n"/>
      <c r="Y115" s="254" t="n"/>
      <c r="Z115" s="254" t="n"/>
      <c r="AA115" s="531" t="n"/>
      <c r="AB115" s="531" t="n"/>
      <c r="AC115" s="532" t="n"/>
      <c r="AD115" s="532" t="n"/>
      <c r="AE115" s="532" t="n"/>
      <c r="AF115" s="532" t="n"/>
      <c r="AG115" s="533" t="n"/>
      <c r="AH115" s="533" t="n"/>
      <c r="AI115" s="533" t="n"/>
      <c r="AJ115" s="533" t="n"/>
      <c r="AK115" s="534" t="n"/>
      <c r="AL115" s="534" t="n"/>
      <c r="AM115" s="553" t="n"/>
      <c r="AN115" s="529" t="n"/>
      <c r="AO115" s="244" t="n"/>
      <c r="AP115" s="535" t="n"/>
      <c r="AQ115" s="535" t="n"/>
      <c r="AR115" s="248" t="n"/>
      <c r="AS115" s="280" t="n"/>
      <c r="AT115" s="248" t="n"/>
      <c r="AU115" s="250" t="n"/>
      <c r="AV115" s="250" t="n"/>
      <c r="AW115" s="250" t="n"/>
      <c r="AX115" s="262" t="n"/>
      <c r="AY115" s="250" t="n"/>
      <c r="AZ115" s="250" t="n"/>
      <c r="BA115" s="250" t="n"/>
      <c r="BB115" s="412">
        <f>IF(B115="","",IF(AR115="No",AV115-AZ115,""))</f>
        <v/>
      </c>
      <c r="BC115" s="412">
        <f>IF(B115="","",IF(AR115="Yes",AS115-BA115,""))</f>
        <v/>
      </c>
      <c r="BD115" s="254" t="n"/>
      <c r="BE115" s="536" t="n"/>
      <c r="BF115" s="254" t="n"/>
      <c r="BG115" s="254" t="n"/>
      <c r="BH115" s="248" t="n"/>
      <c r="BI115" s="413">
        <f>IF(B115="","",IF(OR(AND(AZ115&gt;0,BB115&gt;=2.5%,BB115&lt;4%),AND(BA115&gt;0,BC115&gt;=6%,BC115&lt;8%)),"Yes","No"))</f>
        <v/>
      </c>
      <c r="BJ115" s="413">
        <f>IF(B115="","",IF(OR(AND(AZ115&gt;0,BB115&lt;2.5%),AND(BA115&gt;0,BC115&lt;6%)),"Yes","No"))</f>
        <v/>
      </c>
      <c r="BK115" s="248" t="n"/>
      <c r="BL115" s="248" t="n"/>
      <c r="BM115" s="248" t="n"/>
      <c r="BN115" s="248" t="n"/>
      <c r="BO115" s="248" t="n"/>
      <c r="BP115" s="248" t="n"/>
      <c r="BQ115" s="248" t="n"/>
      <c r="BR115" s="248" t="n"/>
      <c r="BS115" s="248" t="n"/>
      <c r="BT115" s="248" t="n"/>
      <c r="BU115" s="248" t="n"/>
      <c r="BV115" s="248" t="n"/>
      <c r="BW115" s="248" t="n"/>
      <c r="BX115" s="248" t="n"/>
      <c r="BY115" s="248" t="n"/>
      <c r="BZ115" s="248" t="n"/>
      <c r="CA115" s="248" t="n"/>
      <c r="CB115" s="537" t="n"/>
      <c r="CC115" s="537" t="n"/>
      <c r="CD115" s="265" t="n"/>
      <c r="CE115" s="265" t="n"/>
      <c r="CF115" s="265" t="n"/>
      <c r="CG115" s="265" t="n"/>
      <c r="CH115" s="265" t="n"/>
      <c r="CI115" s="265" t="n"/>
      <c r="CJ115" s="265" t="n"/>
      <c r="CK115" s="265" t="n"/>
      <c r="CL115" s="265" t="n"/>
      <c r="CM115" s="265" t="n"/>
      <c r="CN115" s="265" t="n"/>
      <c r="CO115" s="265" t="n"/>
      <c r="CP115" s="265" t="n"/>
      <c r="CQ115" s="265" t="n"/>
      <c r="CR115" s="265" t="n"/>
      <c r="CS115" s="265" t="n"/>
      <c r="CT115" s="265" t="n"/>
      <c r="CU115" s="265" t="n"/>
      <c r="CV115" s="265" t="n"/>
      <c r="CW115" s="265" t="n"/>
      <c r="CX115" s="265" t="n"/>
      <c r="CY115" s="265" t="n"/>
      <c r="CZ115" s="265" t="n"/>
      <c r="DA115" s="265" t="n"/>
      <c r="DB115" s="265" t="n"/>
      <c r="DC115" s="265" t="n"/>
      <c r="DD115" s="265" t="n"/>
      <c r="DE115" s="265" t="n"/>
      <c r="DF115" s="265" t="n"/>
      <c r="DG115" s="265" t="n"/>
      <c r="DH115" s="265" t="n"/>
      <c r="DI115" s="265" t="n"/>
      <c r="DJ115" s="265" t="n"/>
      <c r="DK115" s="265" t="n"/>
      <c r="DL115" s="265" t="n"/>
      <c r="DN115" s="538" t="n"/>
      <c r="DO115" s="539" t="n"/>
      <c r="DP115" s="538" t="n"/>
      <c r="DQ115" s="538" t="n"/>
      <c r="DR115" s="539" t="n"/>
      <c r="DS115" s="538" t="n"/>
      <c r="DT115" s="538" t="n"/>
      <c r="DU115" s="539" t="n"/>
      <c r="DV115" s="538" t="n"/>
      <c r="DW115" s="538" t="n"/>
      <c r="DX115" s="539" t="n"/>
      <c r="DY115" s="538" t="n"/>
      <c r="DZ115" s="538" t="n"/>
      <c r="EA115" s="539" t="n"/>
      <c r="EB115" s="538" t="n"/>
      <c r="EC115" s="538" t="n"/>
      <c r="ED115" s="539" t="n"/>
      <c r="EE115" s="538" t="n"/>
      <c r="EF115" s="538" t="n"/>
      <c r="EG115" s="539" t="n"/>
      <c r="EH115" s="538" t="n"/>
      <c r="EI115" s="538" t="n"/>
      <c r="EJ115" s="539" t="n"/>
      <c r="EK115" s="538" t="n"/>
      <c r="EL115" s="538" t="n"/>
      <c r="EM115" s="539" t="n"/>
      <c r="EN115" s="538" t="n"/>
      <c r="EO115" s="538" t="n"/>
      <c r="EP115" s="539" t="n"/>
      <c r="EQ115" s="538" t="n"/>
      <c r="ER115" s="538" t="n"/>
      <c r="ES115" s="539" t="n"/>
      <c r="ET115" s="538" t="n"/>
      <c r="EU115" s="538" t="n"/>
      <c r="EV115" s="539" t="n"/>
      <c r="EW115" s="538" t="n"/>
      <c r="EX115" s="538" t="n"/>
      <c r="EY115" s="539" t="n"/>
      <c r="EZ115" s="538" t="n"/>
      <c r="FA115" s="538" t="n"/>
      <c r="FB115" s="539" t="n"/>
      <c r="FC115" s="538" t="n"/>
      <c r="FD115" s="538" t="n"/>
      <c r="FE115" s="539" t="n"/>
      <c r="FF115" s="538" t="n"/>
      <c r="FG115" s="538" t="n"/>
      <c r="FH115" s="538" t="n"/>
      <c r="FI115" s="538" t="n"/>
      <c r="FJ115" s="538" t="n"/>
      <c r="FK115" s="538" t="n"/>
      <c r="FL115" s="538" t="n"/>
      <c r="FM115" s="538">
        <f>FL115</f>
        <v/>
      </c>
      <c r="FN115" s="538">
        <f>IF(FL115=0,0,VLOOKUP(C115,$HD$10:$HE$406,2,FALSE)*FL115)</f>
        <v/>
      </c>
      <c r="FO115" s="538">
        <f>FL115-FN115</f>
        <v/>
      </c>
      <c r="FP115" s="538" t="n"/>
      <c r="FQ115" s="539" t="n"/>
      <c r="FR115" s="538" t="n"/>
      <c r="FS115" s="538" t="n"/>
      <c r="FT115" s="539" t="n"/>
      <c r="FU115" s="538" t="n"/>
      <c r="FV115" s="538" t="n"/>
      <c r="FW115" s="538" t="n"/>
      <c r="FX115" s="538" t="n"/>
      <c r="FY115" s="538" t="n"/>
      <c r="FZ115" s="539" t="n"/>
      <c r="GA115" s="538" t="n"/>
      <c r="GB115" s="538" t="n"/>
      <c r="GC115" s="540" t="n"/>
      <c r="GD115" s="138" t="n"/>
      <c r="GE115" s="541" t="n"/>
      <c r="GF115" s="538" t="n"/>
      <c r="GG115" s="270" t="n"/>
      <c r="GH115" s="137" t="n"/>
      <c r="GI115" s="542" t="n"/>
      <c r="GJ115" s="542" t="n"/>
      <c r="GK115" s="489" t="n"/>
      <c r="GL115" s="137" t="n"/>
      <c r="GM115" s="272" t="n"/>
      <c r="GO115" s="137" t="n"/>
      <c r="GP115" s="538" t="n"/>
      <c r="GQ115" s="137" t="n"/>
      <c r="GR115" s="542" t="n"/>
      <c r="GS115" s="542" t="n"/>
      <c r="GT115" s="489" t="n"/>
      <c r="GU115" s="137" t="n"/>
      <c r="GV115" s="272" t="n"/>
      <c r="GX115" s="137" t="n"/>
      <c r="GY115" s="538" t="n"/>
      <c r="GZ115" s="137" t="n"/>
      <c r="HA115" s="542" t="n"/>
      <c r="HB115" s="543" t="n"/>
      <c r="HC115" s="489" t="n"/>
      <c r="HD115" s="137" t="n"/>
      <c r="HE115" s="272" t="n"/>
      <c r="HF115" s="272" t="n"/>
      <c r="HG115" s="270" t="n"/>
      <c r="HH115" s="544" t="n"/>
      <c r="HI115" s="538" t="n"/>
      <c r="HK115" s="137" t="n"/>
      <c r="HL115" s="538" t="n"/>
      <c r="HN115" s="521" t="n"/>
      <c r="HO115" s="521" t="n"/>
      <c r="HP115" s="521" t="n"/>
      <c r="HQ115" s="521" t="n"/>
      <c r="HR115" s="521" t="n"/>
      <c r="HS115" s="521" t="n"/>
      <c r="HT115" s="521" t="n"/>
      <c r="HU115" s="522" t="n"/>
      <c r="HV115" s="274" t="n"/>
      <c r="HW115" s="522" t="n"/>
      <c r="HX115" s="522" t="n"/>
      <c r="HY115" s="522" t="n"/>
      <c r="HZ115" s="522" t="n"/>
      <c r="IA115" s="522" t="n"/>
      <c r="IB115" s="545" t="n"/>
      <c r="IE115" s="351" t="n"/>
    </row>
    <row r="116" ht="15" customHeight="1">
      <c r="B116" s="242" t="n"/>
      <c r="C116" s="242" t="n"/>
      <c r="D116" s="254" t="n"/>
      <c r="E116" s="243" t="n"/>
      <c r="F116" s="244" t="n"/>
      <c r="G116" s="528" t="n"/>
      <c r="H116" s="528" t="n"/>
      <c r="I116" s="246" t="n"/>
      <c r="J116" s="529" t="n"/>
      <c r="K116" s="529" t="n"/>
      <c r="L116" s="529" t="n"/>
      <c r="M116" s="529" t="n"/>
      <c r="N116" s="248" t="n"/>
      <c r="O116" s="248" t="n"/>
      <c r="P116" s="249" t="n"/>
      <c r="Q116" s="248" t="n"/>
      <c r="R116" s="552" t="n"/>
      <c r="S116" s="251" t="n"/>
      <c r="T116" s="552" t="n"/>
      <c r="U116" s="252" t="n"/>
      <c r="V116" s="252" t="n"/>
      <c r="W116" s="530" t="n"/>
      <c r="X116" s="248" t="n"/>
      <c r="Y116" s="254" t="n"/>
      <c r="Z116" s="254" t="n"/>
      <c r="AA116" s="531" t="n"/>
      <c r="AB116" s="531" t="n"/>
      <c r="AC116" s="532" t="n"/>
      <c r="AD116" s="532" t="n"/>
      <c r="AE116" s="532" t="n"/>
      <c r="AF116" s="532" t="n"/>
      <c r="AG116" s="533" t="n"/>
      <c r="AH116" s="533" t="n"/>
      <c r="AI116" s="533" t="n"/>
      <c r="AJ116" s="533" t="n"/>
      <c r="AK116" s="534" t="n"/>
      <c r="AL116" s="534" t="n"/>
      <c r="AM116" s="553" t="n"/>
      <c r="AN116" s="529" t="n"/>
      <c r="AO116" s="244" t="n"/>
      <c r="AP116" s="535" t="n"/>
      <c r="AQ116" s="535" t="n"/>
      <c r="AR116" s="248" t="n"/>
      <c r="AS116" s="280" t="n"/>
      <c r="AT116" s="248" t="n"/>
      <c r="AU116" s="250" t="n"/>
      <c r="AV116" s="250" t="n"/>
      <c r="AW116" s="250" t="n"/>
      <c r="AX116" s="262" t="n"/>
      <c r="AY116" s="250" t="n"/>
      <c r="AZ116" s="250" t="n"/>
      <c r="BA116" s="250" t="n"/>
      <c r="BB116" s="412">
        <f>IF(B116="","",IF(AR116="No",AV116-AZ116,""))</f>
        <v/>
      </c>
      <c r="BC116" s="412">
        <f>IF(B116="","",IF(AR116="Yes",AS116-BA116,""))</f>
        <v/>
      </c>
      <c r="BD116" s="254" t="n"/>
      <c r="BE116" s="536" t="n"/>
      <c r="BF116" s="254" t="n"/>
      <c r="BG116" s="254" t="n"/>
      <c r="BH116" s="248" t="n"/>
      <c r="BI116" s="413">
        <f>IF(B116="","",IF(OR(AND(AZ116&gt;0,BB116&gt;=2.5%,BB116&lt;4%),AND(BA116&gt;0,BC116&gt;=6%,BC116&lt;8%)),"Yes","No"))</f>
        <v/>
      </c>
      <c r="BJ116" s="413">
        <f>IF(B116="","",IF(OR(AND(AZ116&gt;0,BB116&lt;2.5%),AND(BA116&gt;0,BC116&lt;6%)),"Yes","No"))</f>
        <v/>
      </c>
      <c r="BK116" s="248" t="n"/>
      <c r="BL116" s="248" t="n"/>
      <c r="BM116" s="248" t="n"/>
      <c r="BN116" s="248" t="n"/>
      <c r="BO116" s="248" t="n"/>
      <c r="BP116" s="248" t="n"/>
      <c r="BQ116" s="248" t="n"/>
      <c r="BR116" s="248" t="n"/>
      <c r="BS116" s="248" t="n"/>
      <c r="BT116" s="248" t="n"/>
      <c r="BU116" s="248" t="n"/>
      <c r="BV116" s="248" t="n"/>
      <c r="BW116" s="248" t="n"/>
      <c r="BX116" s="248" t="n"/>
      <c r="BY116" s="248" t="n"/>
      <c r="BZ116" s="248" t="n"/>
      <c r="CA116" s="248" t="n"/>
      <c r="CB116" s="537" t="n"/>
      <c r="CC116" s="537" t="n"/>
      <c r="CD116" s="265" t="n"/>
      <c r="CE116" s="265" t="n"/>
      <c r="CF116" s="265" t="n"/>
      <c r="CG116" s="265" t="n"/>
      <c r="CH116" s="265" t="n"/>
      <c r="CI116" s="265" t="n"/>
      <c r="CJ116" s="265" t="n"/>
      <c r="CK116" s="265" t="n"/>
      <c r="CL116" s="265" t="n"/>
      <c r="CM116" s="265" t="n"/>
      <c r="CN116" s="265" t="n"/>
      <c r="CO116" s="265" t="n"/>
      <c r="CP116" s="265" t="n"/>
      <c r="CQ116" s="265" t="n"/>
      <c r="CR116" s="265" t="n"/>
      <c r="CS116" s="265" t="n"/>
      <c r="CT116" s="265" t="n"/>
      <c r="CU116" s="265" t="n"/>
      <c r="CV116" s="265" t="n"/>
      <c r="CW116" s="265" t="n"/>
      <c r="CX116" s="265" t="n"/>
      <c r="CY116" s="265" t="n"/>
      <c r="CZ116" s="265" t="n"/>
      <c r="DA116" s="265" t="n"/>
      <c r="DB116" s="265" t="n"/>
      <c r="DC116" s="265" t="n"/>
      <c r="DD116" s="265" t="n"/>
      <c r="DE116" s="265" t="n"/>
      <c r="DF116" s="265" t="n"/>
      <c r="DG116" s="265" t="n"/>
      <c r="DH116" s="265" t="n"/>
      <c r="DI116" s="265" t="n"/>
      <c r="DJ116" s="265" t="n"/>
      <c r="DK116" s="265" t="n"/>
      <c r="DL116" s="265" t="n"/>
      <c r="DN116" s="538" t="n"/>
      <c r="DO116" s="539" t="n"/>
      <c r="DP116" s="538" t="n"/>
      <c r="DQ116" s="538" t="n"/>
      <c r="DR116" s="539" t="n"/>
      <c r="DS116" s="538" t="n"/>
      <c r="DT116" s="538" t="n"/>
      <c r="DU116" s="539" t="n"/>
      <c r="DV116" s="538" t="n"/>
      <c r="DW116" s="538" t="n"/>
      <c r="DX116" s="539" t="n"/>
      <c r="DY116" s="538" t="n"/>
      <c r="DZ116" s="538" t="n"/>
      <c r="EA116" s="539" t="n"/>
      <c r="EB116" s="538" t="n"/>
      <c r="EC116" s="538" t="n"/>
      <c r="ED116" s="539" t="n"/>
      <c r="EE116" s="538" t="n"/>
      <c r="EF116" s="538" t="n"/>
      <c r="EG116" s="539" t="n"/>
      <c r="EH116" s="538" t="n"/>
      <c r="EI116" s="538" t="n"/>
      <c r="EJ116" s="539" t="n"/>
      <c r="EK116" s="538" t="n"/>
      <c r="EL116" s="538" t="n"/>
      <c r="EM116" s="539" t="n"/>
      <c r="EN116" s="538" t="n"/>
      <c r="EO116" s="538" t="n"/>
      <c r="EP116" s="539" t="n"/>
      <c r="EQ116" s="538" t="n"/>
      <c r="ER116" s="538" t="n"/>
      <c r="ES116" s="539" t="n"/>
      <c r="ET116" s="538" t="n"/>
      <c r="EU116" s="538" t="n"/>
      <c r="EV116" s="539" t="n"/>
      <c r="EW116" s="538" t="n"/>
      <c r="EX116" s="538" t="n"/>
      <c r="EY116" s="539" t="n"/>
      <c r="EZ116" s="538" t="n"/>
      <c r="FA116" s="538" t="n"/>
      <c r="FB116" s="539" t="n"/>
      <c r="FC116" s="538" t="n"/>
      <c r="FD116" s="538" t="n"/>
      <c r="FE116" s="539" t="n"/>
      <c r="FF116" s="538" t="n"/>
      <c r="FG116" s="538" t="n"/>
      <c r="FH116" s="538" t="n"/>
      <c r="FI116" s="538" t="n"/>
      <c r="FJ116" s="538" t="n"/>
      <c r="FK116" s="538" t="n"/>
      <c r="FL116" s="538" t="n"/>
      <c r="FM116" s="538">
        <f>FL116</f>
        <v/>
      </c>
      <c r="FN116" s="538">
        <f>IF(FL116=0,0,VLOOKUP(C116,$HD$10:$HE$406,2,FALSE)*FL116)</f>
        <v/>
      </c>
      <c r="FO116" s="538">
        <f>FL116-FN116</f>
        <v/>
      </c>
      <c r="FP116" s="538" t="n"/>
      <c r="FQ116" s="539" t="n"/>
      <c r="FR116" s="538" t="n"/>
      <c r="FS116" s="538" t="n"/>
      <c r="FT116" s="539" t="n"/>
      <c r="FU116" s="538" t="n"/>
      <c r="FV116" s="538" t="n"/>
      <c r="FW116" s="538" t="n"/>
      <c r="FX116" s="538" t="n"/>
      <c r="FY116" s="538" t="n"/>
      <c r="FZ116" s="539" t="n"/>
      <c r="GA116" s="538" t="n"/>
      <c r="GB116" s="538" t="n"/>
      <c r="GC116" s="540" t="n"/>
      <c r="GD116" s="138" t="n"/>
      <c r="GE116" s="541" t="n"/>
      <c r="GF116" s="538" t="n"/>
      <c r="GG116" s="270" t="n"/>
      <c r="GH116" s="137" t="n"/>
      <c r="GI116" s="542" t="n"/>
      <c r="GJ116" s="542" t="n"/>
      <c r="GK116" s="489" t="n"/>
      <c r="GL116" s="137" t="n"/>
      <c r="GM116" s="272" t="n"/>
      <c r="GO116" s="137" t="n"/>
      <c r="GP116" s="538" t="n"/>
      <c r="GQ116" s="137" t="n"/>
      <c r="GR116" s="542" t="n"/>
      <c r="GS116" s="542" t="n"/>
      <c r="GT116" s="489" t="n"/>
      <c r="GU116" s="137" t="n"/>
      <c r="GV116" s="272" t="n"/>
      <c r="GX116" s="137" t="n"/>
      <c r="GY116" s="538" t="n"/>
      <c r="GZ116" s="137" t="n"/>
      <c r="HA116" s="542" t="n"/>
      <c r="HB116" s="543" t="n"/>
      <c r="HC116" s="489" t="n"/>
      <c r="HD116" s="137" t="n"/>
      <c r="HE116" s="272" t="n"/>
      <c r="HF116" s="272" t="n"/>
      <c r="HG116" s="270" t="n"/>
      <c r="HH116" s="544" t="n"/>
      <c r="HI116" s="538" t="n"/>
      <c r="HK116" s="137" t="n"/>
      <c r="HL116" s="538" t="n"/>
      <c r="HN116" s="521" t="n"/>
      <c r="HO116" s="521" t="n"/>
      <c r="HP116" s="521" t="n"/>
      <c r="HQ116" s="521" t="n"/>
      <c r="HR116" s="521" t="n"/>
      <c r="HS116" s="521" t="n"/>
      <c r="HT116" s="521" t="n"/>
      <c r="HU116" s="522" t="n"/>
      <c r="HV116" s="274" t="n"/>
      <c r="HW116" s="522" t="n"/>
      <c r="HX116" s="522" t="n"/>
      <c r="HY116" s="522" t="n"/>
      <c r="HZ116" s="522" t="n"/>
      <c r="IA116" s="522" t="n"/>
      <c r="IB116" s="545" t="n"/>
      <c r="IE116" s="351" t="n"/>
    </row>
    <row r="117" ht="15" customHeight="1">
      <c r="B117" s="242" t="n"/>
      <c r="C117" s="242" t="n"/>
      <c r="D117" s="254" t="n"/>
      <c r="E117" s="243" t="n"/>
      <c r="F117" s="244" t="n"/>
      <c r="G117" s="528" t="n"/>
      <c r="H117" s="528" t="n"/>
      <c r="I117" s="246" t="n"/>
      <c r="J117" s="529" t="n"/>
      <c r="K117" s="529" t="n"/>
      <c r="L117" s="529" t="n"/>
      <c r="M117" s="529" t="n"/>
      <c r="N117" s="248" t="n"/>
      <c r="O117" s="248" t="n"/>
      <c r="P117" s="249" t="n"/>
      <c r="Q117" s="248" t="n"/>
      <c r="R117" s="552" t="n"/>
      <c r="S117" s="251" t="n"/>
      <c r="T117" s="552" t="n"/>
      <c r="U117" s="252" t="n"/>
      <c r="V117" s="252" t="n"/>
      <c r="W117" s="530" t="n"/>
      <c r="X117" s="248" t="n"/>
      <c r="Y117" s="254" t="n"/>
      <c r="Z117" s="254" t="n"/>
      <c r="AA117" s="531" t="n"/>
      <c r="AB117" s="531" t="n"/>
      <c r="AC117" s="532" t="n"/>
      <c r="AD117" s="532" t="n"/>
      <c r="AE117" s="532" t="n"/>
      <c r="AF117" s="532" t="n"/>
      <c r="AG117" s="533" t="n"/>
      <c r="AH117" s="533" t="n"/>
      <c r="AI117" s="533" t="n"/>
      <c r="AJ117" s="533" t="n"/>
      <c r="AK117" s="534" t="n"/>
      <c r="AL117" s="534" t="n"/>
      <c r="AM117" s="553" t="n"/>
      <c r="AN117" s="529" t="n"/>
      <c r="AO117" s="244" t="n"/>
      <c r="AP117" s="535" t="n"/>
      <c r="AQ117" s="535" t="n"/>
      <c r="AR117" s="248" t="n"/>
      <c r="AS117" s="280" t="n"/>
      <c r="AT117" s="248" t="n"/>
      <c r="AU117" s="250" t="n"/>
      <c r="AV117" s="250" t="n"/>
      <c r="AW117" s="250" t="n"/>
      <c r="AX117" s="262" t="n"/>
      <c r="AY117" s="250" t="n"/>
      <c r="AZ117" s="250" t="n"/>
      <c r="BA117" s="250" t="n"/>
      <c r="BB117" s="412">
        <f>IF(B117="","",IF(AR117="No",AV117-AZ117,""))</f>
        <v/>
      </c>
      <c r="BC117" s="412">
        <f>IF(B117="","",IF(AR117="Yes",AS117-BA117,""))</f>
        <v/>
      </c>
      <c r="BD117" s="254" t="n"/>
      <c r="BE117" s="536" t="n"/>
      <c r="BF117" s="254" t="n"/>
      <c r="BG117" s="254" t="n"/>
      <c r="BH117" s="248" t="n"/>
      <c r="BI117" s="413">
        <f>IF(B117="","",IF(OR(AND(AZ117&gt;0,BB117&gt;=2.5%,BB117&lt;4%),AND(BA117&gt;0,BC117&gt;=6%,BC117&lt;8%)),"Yes","No"))</f>
        <v/>
      </c>
      <c r="BJ117" s="413">
        <f>IF(B117="","",IF(OR(AND(AZ117&gt;0,BB117&lt;2.5%),AND(BA117&gt;0,BC117&lt;6%)),"Yes","No"))</f>
        <v/>
      </c>
      <c r="BK117" s="248" t="n"/>
      <c r="BL117" s="248" t="n"/>
      <c r="BM117" s="248" t="n"/>
      <c r="BN117" s="248" t="n"/>
      <c r="BO117" s="248" t="n"/>
      <c r="BP117" s="248" t="n"/>
      <c r="BQ117" s="248" t="n"/>
      <c r="BR117" s="248" t="n"/>
      <c r="BS117" s="248" t="n"/>
      <c r="BT117" s="248" t="n"/>
      <c r="BU117" s="248" t="n"/>
      <c r="BV117" s="248" t="n"/>
      <c r="BW117" s="248" t="n"/>
      <c r="BX117" s="248" t="n"/>
      <c r="BY117" s="248" t="n"/>
      <c r="BZ117" s="248" t="n"/>
      <c r="CA117" s="248" t="n"/>
      <c r="CB117" s="537" t="n"/>
      <c r="CC117" s="537" t="n"/>
      <c r="CD117" s="265" t="n"/>
      <c r="CE117" s="265" t="n"/>
      <c r="CF117" s="265" t="n"/>
      <c r="CG117" s="265" t="n"/>
      <c r="CH117" s="265" t="n"/>
      <c r="CI117" s="265" t="n"/>
      <c r="CJ117" s="265" t="n"/>
      <c r="CK117" s="265" t="n"/>
      <c r="CL117" s="265" t="n"/>
      <c r="CM117" s="265" t="n"/>
      <c r="CN117" s="265" t="n"/>
      <c r="CO117" s="265" t="n"/>
      <c r="CP117" s="265" t="n"/>
      <c r="CQ117" s="265" t="n"/>
      <c r="CR117" s="265" t="n"/>
      <c r="CS117" s="265" t="n"/>
      <c r="CT117" s="265" t="n"/>
      <c r="CU117" s="265" t="n"/>
      <c r="CV117" s="265" t="n"/>
      <c r="CW117" s="265" t="n"/>
      <c r="CX117" s="265" t="n"/>
      <c r="CY117" s="265" t="n"/>
      <c r="CZ117" s="265" t="n"/>
      <c r="DA117" s="265" t="n"/>
      <c r="DB117" s="265" t="n"/>
      <c r="DC117" s="265" t="n"/>
      <c r="DD117" s="265" t="n"/>
      <c r="DE117" s="265" t="n"/>
      <c r="DF117" s="265" t="n"/>
      <c r="DG117" s="265" t="n"/>
      <c r="DH117" s="265" t="n"/>
      <c r="DI117" s="265" t="n"/>
      <c r="DJ117" s="265" t="n"/>
      <c r="DK117" s="265" t="n"/>
      <c r="DL117" s="265" t="n"/>
      <c r="DN117" s="538" t="n"/>
      <c r="DO117" s="539" t="n"/>
      <c r="DP117" s="538" t="n"/>
      <c r="DQ117" s="538" t="n"/>
      <c r="DR117" s="539" t="n"/>
      <c r="DS117" s="538" t="n"/>
      <c r="DT117" s="538" t="n"/>
      <c r="DU117" s="539" t="n"/>
      <c r="DV117" s="538" t="n"/>
      <c r="DW117" s="538" t="n"/>
      <c r="DX117" s="539" t="n"/>
      <c r="DY117" s="538" t="n"/>
      <c r="DZ117" s="538" t="n"/>
      <c r="EA117" s="539" t="n"/>
      <c r="EB117" s="538" t="n"/>
      <c r="EC117" s="538" t="n"/>
      <c r="ED117" s="539" t="n"/>
      <c r="EE117" s="538" t="n"/>
      <c r="EF117" s="538" t="n"/>
      <c r="EG117" s="539" t="n"/>
      <c r="EH117" s="538" t="n"/>
      <c r="EI117" s="538" t="n"/>
      <c r="EJ117" s="539" t="n"/>
      <c r="EK117" s="538" t="n"/>
      <c r="EL117" s="538" t="n"/>
      <c r="EM117" s="539" t="n"/>
      <c r="EN117" s="538" t="n"/>
      <c r="EO117" s="538" t="n"/>
      <c r="EP117" s="539" t="n"/>
      <c r="EQ117" s="538" t="n"/>
      <c r="ER117" s="538" t="n"/>
      <c r="ES117" s="539" t="n"/>
      <c r="ET117" s="538" t="n"/>
      <c r="EU117" s="538" t="n"/>
      <c r="EV117" s="539" t="n"/>
      <c r="EW117" s="538" t="n"/>
      <c r="EX117" s="538" t="n"/>
      <c r="EY117" s="539" t="n"/>
      <c r="EZ117" s="538" t="n"/>
      <c r="FA117" s="538" t="n"/>
      <c r="FB117" s="539" t="n"/>
      <c r="FC117" s="538" t="n"/>
      <c r="FD117" s="538" t="n"/>
      <c r="FE117" s="539" t="n"/>
      <c r="FF117" s="538" t="n"/>
      <c r="FG117" s="538" t="n"/>
      <c r="FH117" s="538" t="n"/>
      <c r="FI117" s="538" t="n"/>
      <c r="FJ117" s="538" t="n"/>
      <c r="FK117" s="538" t="n"/>
      <c r="FL117" s="538" t="n"/>
      <c r="FM117" s="538" t="n"/>
      <c r="FN117" s="538" t="n"/>
      <c r="FO117" s="538" t="n"/>
      <c r="FP117" s="538" t="n"/>
      <c r="FQ117" s="539" t="n"/>
      <c r="FR117" s="538" t="n"/>
      <c r="FS117" s="538" t="n"/>
      <c r="FT117" s="539" t="n"/>
      <c r="FU117" s="538" t="n"/>
      <c r="FV117" s="538" t="n"/>
      <c r="FW117" s="538" t="n"/>
      <c r="FX117" s="538" t="n"/>
      <c r="FY117" s="538" t="n"/>
      <c r="FZ117" s="539" t="n"/>
      <c r="GA117" s="538" t="n"/>
      <c r="GB117" s="538" t="n"/>
      <c r="GC117" s="540" t="n"/>
      <c r="GD117" s="138" t="n"/>
      <c r="GE117" s="541" t="n"/>
      <c r="GF117" s="538" t="n"/>
      <c r="GG117" s="270" t="n"/>
      <c r="GH117" s="137" t="n"/>
      <c r="GI117" s="542" t="n"/>
      <c r="GJ117" s="542" t="n"/>
      <c r="GK117" s="489" t="n"/>
      <c r="GL117" s="137" t="n"/>
      <c r="GM117" s="272" t="n"/>
      <c r="GO117" s="137" t="n"/>
      <c r="GP117" s="538" t="n"/>
      <c r="GQ117" s="137" t="n"/>
      <c r="GR117" s="542" t="n"/>
      <c r="GS117" s="542" t="n"/>
      <c r="GT117" s="489" t="n"/>
      <c r="GU117" s="137" t="n"/>
      <c r="GV117" s="272" t="n"/>
      <c r="GX117" s="137" t="n"/>
      <c r="GY117" s="538" t="n"/>
      <c r="GZ117" s="137" t="n"/>
      <c r="HA117" s="542" t="n"/>
      <c r="HB117" s="543" t="n"/>
      <c r="HC117" s="489" t="n"/>
      <c r="HD117" s="137" t="n"/>
      <c r="HE117" s="272" t="n"/>
      <c r="HF117" s="272" t="n"/>
      <c r="HG117" s="270" t="n"/>
      <c r="HH117" s="544" t="n"/>
      <c r="HI117" s="538" t="n"/>
      <c r="HK117" s="137" t="n"/>
      <c r="HL117" s="538" t="n"/>
      <c r="HN117" s="521" t="n"/>
      <c r="HO117" s="521" t="n"/>
      <c r="HP117" s="521" t="n"/>
      <c r="HQ117" s="521" t="n"/>
      <c r="HR117" s="521" t="n"/>
      <c r="HS117" s="521" t="n"/>
      <c r="HT117" s="521" t="n"/>
      <c r="HU117" s="522" t="n"/>
      <c r="HV117" s="274" t="n"/>
      <c r="HW117" s="522" t="n"/>
      <c r="HX117" s="522" t="n"/>
      <c r="HY117" s="522" t="n"/>
      <c r="HZ117" s="522" t="n"/>
      <c r="IA117" s="522" t="n"/>
      <c r="IB117" s="545" t="n"/>
      <c r="IE117" s="351" t="n"/>
    </row>
    <row r="118">
      <c r="BB118" s="412">
        <f>IF(B118="","",IF(AR118="No",AV118-AZ118,""))</f>
        <v/>
      </c>
      <c r="BC118" s="412">
        <f>IF(B118="","",IF(AR118="Yes",AS118-BA118,""))</f>
        <v/>
      </c>
      <c r="GX118" s="137" t="n"/>
      <c r="GY118" s="538" t="n"/>
      <c r="GZ118" s="137" t="n"/>
      <c r="HA118" s="542" t="n"/>
      <c r="HB118" s="543" t="n"/>
      <c r="HC118" s="489" t="n"/>
      <c r="HD118" s="137" t="n"/>
      <c r="HE118" s="272" t="n"/>
      <c r="IE118" s="351">
        <f>IF(B118="","",IF(Y118="Second Lien",50%,IF(CZ118=1,90%,IF(DA118=1,80%,IF(DB118=1,65%,"No Initial Haircut")))))</f>
        <v/>
      </c>
    </row>
    <row r="119">
      <c r="BB119" s="412">
        <f>IF(B119="","",IF(AR119="No",AV119-AZ119,""))</f>
        <v/>
      </c>
      <c r="BC119" s="412">
        <f>IF(B119="","",IF(AR119="Yes",AS119-BA119,""))</f>
        <v/>
      </c>
      <c r="GX119" s="137" t="n"/>
      <c r="GY119" s="538" t="n"/>
      <c r="GZ119" s="137" t="n"/>
      <c r="HA119" s="542" t="n"/>
      <c r="HB119" s="543" t="n"/>
      <c r="HC119" s="489" t="n"/>
      <c r="HD119" s="137" t="n"/>
      <c r="HE119" s="272" t="n"/>
      <c r="IE119" s="351">
        <f>IF(B119="","",IF(Y119="Second Lien",50%,IF(CZ119=1,90%,IF(DA119=1,80%,IF(DB119=1,65%,"No Initial Haircut")))))</f>
        <v/>
      </c>
    </row>
    <row r="120">
      <c r="BB120" s="412">
        <f>IF(B120="","",IF(AR120="No",AV120-AZ120,""))</f>
        <v/>
      </c>
      <c r="BC120" s="412">
        <f>IF(B120="","",IF(AR120="Yes",AS120-BA120,""))</f>
        <v/>
      </c>
      <c r="GX120" s="137" t="n"/>
      <c r="GY120" s="538" t="n"/>
      <c r="GZ120" s="137" t="n"/>
      <c r="HA120" s="542" t="n"/>
      <c r="HB120" s="543" t="n"/>
      <c r="HC120" s="489" t="n"/>
      <c r="HD120" s="137" t="n"/>
      <c r="HE120" s="272" t="n"/>
      <c r="IE120" s="351">
        <f>IF(B120="","",IF(Y120="Second Lien",50%,IF(CZ120=1,90%,IF(DA120=1,80%,IF(DB120=1,65%,"No Initial Haircut")))))</f>
        <v/>
      </c>
    </row>
    <row r="121">
      <c r="BB121" s="412">
        <f>IF(B121="","",IF(AR121="No",AV121-AZ121,""))</f>
        <v/>
      </c>
      <c r="BC121" s="412">
        <f>IF(B121="","",IF(AR121="Yes",AS121-BA121,""))</f>
        <v/>
      </c>
      <c r="GX121" s="137" t="n"/>
      <c r="GY121" s="538" t="n"/>
      <c r="GZ121" s="137" t="n"/>
      <c r="HA121" s="542" t="n"/>
      <c r="HB121" s="543" t="n"/>
      <c r="HC121" s="489" t="n"/>
      <c r="HD121" s="137" t="n"/>
      <c r="HE121" s="272" t="n"/>
    </row>
    <row r="122">
      <c r="BB122" s="412">
        <f>IF(B122="","",IF(AR122="No",AV122-AZ122,""))</f>
        <v/>
      </c>
      <c r="BC122" s="412">
        <f>IF(B122="","",IF(AR122="Yes",AS122-BA122,""))</f>
        <v/>
      </c>
      <c r="GX122" s="137" t="n"/>
      <c r="GY122" s="538" t="n"/>
      <c r="GZ122" s="137" t="n"/>
      <c r="HA122" s="542" t="n"/>
      <c r="HB122" s="543" t="n"/>
      <c r="HC122" s="489" t="n"/>
      <c r="HD122" s="137" t="n"/>
      <c r="HE122" s="272" t="n"/>
    </row>
    <row r="123">
      <c r="BB123" s="412">
        <f>IF(B123="","",IF(AR123="No",AV123-AZ123,""))</f>
        <v/>
      </c>
      <c r="BC123" s="412">
        <f>IF(B123="","",IF(AR123="Yes",AS123-BA123,""))</f>
        <v/>
      </c>
      <c r="GX123" s="137" t="n"/>
      <c r="GY123" s="538" t="n"/>
      <c r="GZ123" s="137" t="n"/>
      <c r="HA123" s="542" t="n"/>
      <c r="HB123" s="543" t="n"/>
      <c r="HC123" s="489" t="n"/>
      <c r="HD123" s="137" t="n"/>
      <c r="HE123" s="272" t="n"/>
    </row>
    <row r="124">
      <c r="BB124" s="412">
        <f>IF(B124="","",IF(AR124="No",AV124-AZ124,""))</f>
        <v/>
      </c>
      <c r="BC124" s="412">
        <f>IF(B124="","",IF(AR124="Yes",AS124-BA124,""))</f>
        <v/>
      </c>
      <c r="GX124" s="137" t="n"/>
      <c r="GY124" s="538" t="n"/>
      <c r="GZ124" s="137" t="n"/>
      <c r="HA124" s="542" t="n"/>
      <c r="HB124" s="543" t="n"/>
      <c r="HC124" s="489" t="n"/>
      <c r="HD124" s="137" t="n"/>
      <c r="HE124" s="272" t="n"/>
    </row>
    <row r="125">
      <c r="BB125" s="412">
        <f>IF(B125="","",IF(AR125="No",AV125-AZ125,""))</f>
        <v/>
      </c>
      <c r="BC125" s="412">
        <f>IF(B125="","",IF(AR125="Yes",AS125-BA125,""))</f>
        <v/>
      </c>
      <c r="GX125" s="137" t="n"/>
      <c r="GY125" s="538" t="n"/>
      <c r="GZ125" s="137" t="n"/>
      <c r="HA125" s="542" t="n"/>
      <c r="HB125" s="543" t="n"/>
      <c r="HC125" s="489" t="n"/>
      <c r="HD125" s="137" t="n"/>
      <c r="HE125" s="272" t="n"/>
    </row>
    <row r="126">
      <c r="BB126" s="412">
        <f>IF(B126="","",IF(AR126="No",AV126-AZ126,""))</f>
        <v/>
      </c>
      <c r="BC126" s="412">
        <f>IF(B126="","",IF(AR126="Yes",AS126-BA126,""))</f>
        <v/>
      </c>
      <c r="GX126" s="137" t="n"/>
      <c r="GY126" s="538" t="n"/>
      <c r="GZ126" s="137" t="n"/>
      <c r="HA126" s="542" t="n"/>
      <c r="HB126" s="543" t="n"/>
      <c r="HC126" s="489" t="n"/>
      <c r="HD126" s="137" t="n"/>
      <c r="HE126" s="272" t="n"/>
    </row>
    <row r="127">
      <c r="BB127" s="412">
        <f>IF(B127="","",IF(AR127="No",AV127-AZ127,""))</f>
        <v/>
      </c>
      <c r="BC127" s="412">
        <f>IF(B127="","",IF(AR127="Yes",AS127-BA127,""))</f>
        <v/>
      </c>
      <c r="GX127" s="137" t="n"/>
      <c r="GY127" s="538" t="n"/>
      <c r="GZ127" s="137" t="n"/>
      <c r="HA127" s="542" t="n"/>
      <c r="HB127" s="543" t="n"/>
      <c r="HC127" s="489" t="n"/>
      <c r="HD127" s="137" t="n"/>
      <c r="HE127" s="272" t="n"/>
    </row>
    <row r="128">
      <c r="BB128" s="412">
        <f>IF(B128="","",IF(AR128="No",AV128-AZ128,""))</f>
        <v/>
      </c>
      <c r="BC128" s="412">
        <f>IF(B128="","",IF(AR128="Yes",AS128-BA128,""))</f>
        <v/>
      </c>
      <c r="GX128" s="137" t="n"/>
      <c r="GY128" s="538" t="n"/>
      <c r="GZ128" s="137" t="n"/>
      <c r="HA128" s="542" t="n"/>
      <c r="HB128" s="543" t="n"/>
      <c r="HC128" s="489" t="n"/>
      <c r="HD128" s="137" t="n"/>
      <c r="HE128" s="272" t="n"/>
    </row>
    <row r="129">
      <c r="BB129" s="412">
        <f>IF(B129="","",IF(AR129="No",AV129-AZ129,""))</f>
        <v/>
      </c>
      <c r="BC129" s="412">
        <f>IF(B129="","",IF(AR129="Yes",AS129-BA129,""))</f>
        <v/>
      </c>
      <c r="GX129" s="137" t="n"/>
      <c r="GY129" s="538" t="n"/>
      <c r="GZ129" s="137" t="n"/>
      <c r="HA129" s="542" t="n"/>
      <c r="HB129" s="543" t="n"/>
      <c r="HC129" s="489" t="n"/>
      <c r="HD129" s="137" t="n"/>
      <c r="HE129" s="272" t="n"/>
    </row>
    <row r="130">
      <c r="BB130" s="412">
        <f>IF(B130="","",IF(AR130="No",AV130-AZ130,""))</f>
        <v/>
      </c>
      <c r="BC130" s="412">
        <f>IF(B130="","",IF(AR130="Yes",AS130-BA130,""))</f>
        <v/>
      </c>
      <c r="GX130" s="137" t="n"/>
      <c r="GY130" s="538" t="n"/>
      <c r="GZ130" s="137" t="n"/>
      <c r="HA130" s="542" t="n"/>
      <c r="HB130" s="543" t="n"/>
      <c r="HC130" s="489" t="n"/>
      <c r="HD130" s="137" t="n"/>
      <c r="HE130" s="272" t="n"/>
    </row>
    <row r="131">
      <c r="BB131" s="412">
        <f>IF(B131="","",IF(AR131="No",AV131-AZ131,""))</f>
        <v/>
      </c>
      <c r="BC131" s="412">
        <f>IF(B131="","",IF(AR131="Yes",AS131-BA131,""))</f>
        <v/>
      </c>
      <c r="GX131" s="137" t="n"/>
      <c r="GY131" s="538" t="n"/>
      <c r="GZ131" s="137" t="n"/>
      <c r="HA131" s="542" t="n"/>
      <c r="HB131" s="543" t="n"/>
      <c r="HC131" s="489" t="n"/>
      <c r="HD131" s="137" t="n"/>
      <c r="HE131" s="272" t="n"/>
    </row>
    <row r="132">
      <c r="BB132" s="412">
        <f>IF(B132="","",IF(AR132="No",AV132-AZ132,""))</f>
        <v/>
      </c>
      <c r="BC132" s="412">
        <f>IF(B132="","",IF(AR132="Yes",AS132-BA132,""))</f>
        <v/>
      </c>
      <c r="GX132" s="137" t="n"/>
      <c r="GY132" s="538" t="n"/>
      <c r="GZ132" s="137" t="n"/>
      <c r="HA132" s="542" t="n"/>
      <c r="HB132" s="543" t="n"/>
      <c r="HC132" s="489" t="n"/>
      <c r="HD132" s="137" t="n"/>
      <c r="HE132" s="272" t="n"/>
    </row>
    <row r="133">
      <c r="BB133" s="412">
        <f>IF(B133="","",IF(AR133="No",AV133-AZ133,""))</f>
        <v/>
      </c>
      <c r="BC133" s="412">
        <f>IF(B133="","",IF(AR133="Yes",AS133-BA133,""))</f>
        <v/>
      </c>
      <c r="GX133" s="137" t="n"/>
      <c r="GY133" s="538" t="n"/>
      <c r="GZ133" s="137" t="n"/>
      <c r="HA133" s="542" t="n"/>
      <c r="HB133" s="543" t="n"/>
      <c r="HC133" s="489" t="n"/>
      <c r="HD133" s="137" t="n"/>
      <c r="HE133" s="272" t="n"/>
    </row>
    <row r="134">
      <c r="BB134" s="412">
        <f>IF(B134="","",IF(AR134="No",AV134-AZ134,""))</f>
        <v/>
      </c>
      <c r="BC134" s="412">
        <f>IF(B134="","",IF(AR134="Yes",AS134-BA134,""))</f>
        <v/>
      </c>
      <c r="GX134" s="137" t="n"/>
      <c r="GY134" s="538" t="n"/>
      <c r="GZ134" s="137" t="n"/>
      <c r="HA134" s="542" t="n"/>
      <c r="HB134" s="543" t="n"/>
      <c r="HC134" s="489" t="n"/>
      <c r="HD134" s="137" t="n"/>
      <c r="HE134" s="272" t="n"/>
    </row>
    <row r="135">
      <c r="BB135" s="412">
        <f>IF(B135="","",IF(AR135="No",AV135-AZ135,""))</f>
        <v/>
      </c>
      <c r="BC135" s="412">
        <f>IF(B135="","",IF(AR135="Yes",AS135-BA135,""))</f>
        <v/>
      </c>
      <c r="GX135" s="137" t="n"/>
      <c r="GY135" s="538" t="n"/>
      <c r="GZ135" s="137" t="n"/>
      <c r="HA135" s="542" t="n"/>
      <c r="HB135" s="543" t="n"/>
      <c r="HC135" s="489" t="n"/>
      <c r="HD135" s="137" t="n"/>
      <c r="HE135" s="272" t="n"/>
    </row>
    <row r="136">
      <c r="BB136" s="412">
        <f>IF(B136="","",IF(AR136="No",AV136-AZ136,""))</f>
        <v/>
      </c>
      <c r="BC136" s="412">
        <f>IF(B136="","",IF(AR136="Yes",AS136-BA136,""))</f>
        <v/>
      </c>
      <c r="GX136" s="137" t="n"/>
      <c r="GY136" s="538" t="n"/>
      <c r="GZ136" s="137" t="n"/>
      <c r="HA136" s="542" t="n"/>
      <c r="HB136" s="543" t="n"/>
      <c r="HC136" s="489" t="n"/>
      <c r="HD136" s="137" t="n"/>
      <c r="HE136" s="272" t="n"/>
    </row>
    <row r="137">
      <c r="BB137" s="412">
        <f>IF(B137="","",IF(AR137="No",AV137-AZ137,""))</f>
        <v/>
      </c>
      <c r="BC137" s="412">
        <f>IF(B137="","",IF(AR137="Yes",AS137-BA137,""))</f>
        <v/>
      </c>
      <c r="GX137" s="137" t="n"/>
      <c r="GY137" s="538" t="n"/>
      <c r="GZ137" s="137" t="n"/>
      <c r="HA137" s="542" t="n"/>
      <c r="HB137" s="543" t="n"/>
      <c r="HC137" s="489" t="n"/>
      <c r="HD137" s="137" t="n"/>
      <c r="HE137" s="272" t="n"/>
    </row>
    <row r="138">
      <c r="BB138" s="412">
        <f>IF(B138="","",IF(AR138="No",AV138-AZ138,""))</f>
        <v/>
      </c>
      <c r="BC138" s="412">
        <f>IF(B138="","",IF(AR138="Yes",AS138-BA138,""))</f>
        <v/>
      </c>
      <c r="GX138" s="137" t="n"/>
      <c r="GY138" s="538" t="n"/>
      <c r="GZ138" s="137" t="n"/>
      <c r="HA138" s="542" t="n"/>
      <c r="HB138" s="543" t="n"/>
      <c r="HC138" s="489" t="n"/>
      <c r="HD138" s="137" t="n"/>
      <c r="HE138" s="272" t="n"/>
    </row>
    <row r="139">
      <c r="BB139" s="412">
        <f>IF(B139="","",IF(AR139="No",AV139-AZ139,""))</f>
        <v/>
      </c>
      <c r="BC139" s="412">
        <f>IF(B139="","",IF(AR139="Yes",AS139-BA139,""))</f>
        <v/>
      </c>
      <c r="GX139" s="137" t="n"/>
      <c r="GY139" s="538" t="n"/>
      <c r="GZ139" s="137" t="n"/>
      <c r="HA139" s="542" t="n"/>
      <c r="HB139" s="543" t="n"/>
      <c r="HC139" s="489" t="n"/>
      <c r="HD139" s="137" t="n"/>
      <c r="HE139" s="272" t="n"/>
    </row>
    <row r="140">
      <c r="BB140" s="412">
        <f>IF(B140="","",IF(AR140="No",AV140-AZ140,""))</f>
        <v/>
      </c>
      <c r="BC140" s="412">
        <f>IF(B140="","",IF(AR140="Yes",AS140-BA140,""))</f>
        <v/>
      </c>
      <c r="GX140" s="137" t="n"/>
      <c r="GY140" s="538" t="n"/>
      <c r="GZ140" s="137" t="n"/>
      <c r="HA140" s="542" t="n"/>
      <c r="HB140" s="543" t="n"/>
      <c r="HC140" s="489" t="n"/>
      <c r="HD140" s="137" t="n"/>
      <c r="HE140" s="272" t="n"/>
    </row>
    <row r="141">
      <c r="BB141" s="412">
        <f>IF(B141="","",IF(AR141="No",AV141-AZ141,""))</f>
        <v/>
      </c>
      <c r="BC141" s="412">
        <f>IF(B141="","",IF(AR141="Yes",AS141-BA141,""))</f>
        <v/>
      </c>
      <c r="GX141" s="137" t="n"/>
      <c r="GY141" s="538" t="n"/>
      <c r="GZ141" s="137" t="n"/>
      <c r="HA141" s="542" t="n"/>
      <c r="HB141" s="543" t="n"/>
      <c r="HC141" s="489" t="n"/>
      <c r="HD141" s="137" t="n"/>
      <c r="HE141" s="272" t="n"/>
    </row>
    <row r="142">
      <c r="BB142" s="412">
        <f>IF(B142="","",IF(AR142="No",AV142-AZ142,""))</f>
        <v/>
      </c>
      <c r="BC142" s="412">
        <f>IF(B142="","",IF(AR142="Yes",AS142-BA142,""))</f>
        <v/>
      </c>
      <c r="GX142" s="137" t="n"/>
      <c r="GY142" s="538" t="n"/>
      <c r="GZ142" s="137" t="n"/>
      <c r="HA142" s="542" t="n"/>
      <c r="HB142" s="543" t="n"/>
      <c r="HC142" s="489" t="n"/>
      <c r="HD142" s="137" t="n"/>
      <c r="HE142" s="272" t="n"/>
    </row>
    <row r="143">
      <c r="BB143" s="412">
        <f>IF(B143="","",IF(AR143="No",AV143-AZ143,""))</f>
        <v/>
      </c>
      <c r="BC143" s="412">
        <f>IF(B143="","",IF(AR143="Yes",AS143-BA143,""))</f>
        <v/>
      </c>
      <c r="GX143" s="137" t="n"/>
      <c r="GY143" s="538" t="n"/>
      <c r="GZ143" s="137" t="n"/>
      <c r="HA143" s="542" t="n"/>
      <c r="HB143" s="543" t="n"/>
      <c r="HC143" s="489" t="n"/>
      <c r="HD143" s="137" t="n"/>
      <c r="HE143" s="272" t="n"/>
    </row>
    <row r="144">
      <c r="BB144" s="412">
        <f>IF(B144="","",IF(AR144="No",AV144-AZ144,""))</f>
        <v/>
      </c>
      <c r="BC144" s="412">
        <f>IF(B144="","",IF(AR144="Yes",AS144-BA144,""))</f>
        <v/>
      </c>
      <c r="GX144" s="137" t="n"/>
      <c r="GY144" s="538" t="n"/>
      <c r="GZ144" s="137" t="n"/>
      <c r="HA144" s="542" t="n"/>
      <c r="HB144" s="543" t="n"/>
      <c r="HC144" s="489" t="n"/>
      <c r="HD144" s="137" t="n"/>
      <c r="HE144" s="272" t="n"/>
    </row>
    <row r="145">
      <c r="BB145" s="412">
        <f>IF(B145="","",IF(AR145="No",AV145-AZ145,""))</f>
        <v/>
      </c>
      <c r="BC145" s="412">
        <f>IF(B145="","",IF(AR145="Yes",AS145-BA145,""))</f>
        <v/>
      </c>
      <c r="GX145" s="137" t="n"/>
      <c r="GY145" s="538" t="n"/>
      <c r="GZ145" s="137" t="n"/>
      <c r="HA145" s="542" t="n"/>
      <c r="HB145" s="543" t="n"/>
      <c r="HC145" s="489" t="n"/>
      <c r="HD145" s="137" t="n"/>
      <c r="HE145" s="272" t="n"/>
    </row>
    <row r="146">
      <c r="BB146" s="412">
        <f>IF(B146="","",IF(AR146="No",AV146-AZ146,""))</f>
        <v/>
      </c>
      <c r="BC146" s="412">
        <f>IF(B146="","",IF(AR146="Yes",AS146-BA146,""))</f>
        <v/>
      </c>
      <c r="GX146" s="137" t="n"/>
      <c r="GY146" s="538" t="n"/>
      <c r="GZ146" s="137" t="n"/>
      <c r="HA146" s="542" t="n"/>
      <c r="HB146" s="543" t="n"/>
      <c r="HC146" s="489" t="n"/>
      <c r="HD146" s="137" t="n"/>
      <c r="HE146" s="272" t="n"/>
    </row>
    <row r="147">
      <c r="BB147" s="412">
        <f>IF(B147="","",IF(AR147="No",AV147-AZ147,""))</f>
        <v/>
      </c>
      <c r="BC147" s="412">
        <f>IF(B147="","",IF(AR147="Yes",AS147-BA147,""))</f>
        <v/>
      </c>
      <c r="GX147" s="137" t="n"/>
      <c r="GY147" s="538" t="n"/>
      <c r="GZ147" s="137" t="n"/>
      <c r="HA147" s="542" t="n"/>
      <c r="HB147" s="543" t="n"/>
      <c r="HC147" s="489" t="n"/>
      <c r="HD147" s="137" t="n"/>
      <c r="HE147" s="272" t="n"/>
    </row>
    <row r="148">
      <c r="BB148" s="412">
        <f>IF(B148="","",IF(AR148="No",AV148-AZ148,""))</f>
        <v/>
      </c>
      <c r="BC148" s="412">
        <f>IF(B148="","",IF(AR148="Yes",AS148-BA148,""))</f>
        <v/>
      </c>
      <c r="GX148" s="137" t="n"/>
      <c r="GY148" s="538" t="n"/>
      <c r="GZ148" s="137" t="n"/>
      <c r="HA148" s="542" t="n"/>
      <c r="HB148" s="543" t="n"/>
      <c r="HC148" s="489" t="n"/>
      <c r="HD148" s="137" t="n"/>
      <c r="HE148" s="272" t="n"/>
    </row>
    <row r="149">
      <c r="BB149" s="412">
        <f>IF(B149="","",IF(AR149="No",AV149-AZ149,""))</f>
        <v/>
      </c>
      <c r="BC149" s="412">
        <f>IF(B149="","",IF(AR149="Yes",AS149-BA149,""))</f>
        <v/>
      </c>
      <c r="GX149" s="137" t="n"/>
      <c r="GY149" s="538" t="n"/>
      <c r="GZ149" s="137" t="n"/>
      <c r="HA149" s="542" t="n"/>
      <c r="HB149" s="543" t="n"/>
      <c r="HC149" s="489" t="n"/>
      <c r="HD149" s="137" t="n"/>
      <c r="HE149" s="272" t="n"/>
    </row>
    <row r="150">
      <c r="BB150" s="412">
        <f>IF(B150="","",IF(AR150="No",AV150-AZ150,""))</f>
        <v/>
      </c>
      <c r="BC150" s="412">
        <f>IF(B150="","",IF(AR150="Yes",AS150-BA150,""))</f>
        <v/>
      </c>
      <c r="GX150" s="137" t="n"/>
      <c r="GY150" s="538" t="n"/>
      <c r="GZ150" s="137" t="n"/>
      <c r="HA150" s="542" t="n"/>
      <c r="HB150" s="543" t="n"/>
      <c r="HC150" s="489" t="n"/>
      <c r="HD150" s="137" t="n"/>
      <c r="HE150" s="272" t="n"/>
    </row>
    <row r="151">
      <c r="BB151" s="412">
        <f>IF(B151="","",IF(AR151="No",AV151-AZ151,""))</f>
        <v/>
      </c>
      <c r="BC151" s="412">
        <f>IF(B151="","",IF(AR151="Yes",AS151-BA151,""))</f>
        <v/>
      </c>
      <c r="GX151" s="137" t="n"/>
      <c r="GY151" s="538" t="n"/>
      <c r="GZ151" s="137" t="n"/>
      <c r="HA151" s="542" t="n"/>
      <c r="HB151" s="543" t="n"/>
      <c r="HC151" s="489" t="n"/>
      <c r="HD151" s="137" t="n"/>
      <c r="HE151" s="272" t="n"/>
    </row>
    <row r="152">
      <c r="BB152" s="412">
        <f>IF(B152="","",IF(AR152="No",AV152-AZ152,""))</f>
        <v/>
      </c>
      <c r="BC152" s="412">
        <f>IF(B152="","",IF(AR152="Yes",AS152-BA152,""))</f>
        <v/>
      </c>
      <c r="GX152" s="137" t="n"/>
      <c r="GY152" s="538" t="n"/>
      <c r="GZ152" s="137" t="n"/>
      <c r="HA152" s="542" t="n"/>
      <c r="HB152" s="543" t="n"/>
      <c r="HC152" s="489" t="n"/>
      <c r="HD152" s="137" t="n"/>
      <c r="HE152" s="272" t="n"/>
    </row>
    <row r="153">
      <c r="BB153" s="412">
        <f>IF(B153="","",IF(AR153="No",AV153-AZ153,""))</f>
        <v/>
      </c>
      <c r="BC153" s="412">
        <f>IF(B153="","",IF(AR153="Yes",AS153-BA153,""))</f>
        <v/>
      </c>
      <c r="GX153" s="137" t="n"/>
      <c r="GY153" s="538" t="n"/>
      <c r="GZ153" s="137" t="n"/>
      <c r="HA153" s="542" t="n"/>
      <c r="HB153" s="543" t="n"/>
      <c r="HC153" s="489" t="n"/>
      <c r="HD153" s="137" t="n"/>
      <c r="HE153" s="272" t="n"/>
    </row>
    <row r="154">
      <c r="BB154" s="412">
        <f>IF(B154="","",IF(AR154="No",AV154-AZ154,""))</f>
        <v/>
      </c>
      <c r="BC154" s="412">
        <f>IF(B154="","",IF(AR154="Yes",AS154-BA154,""))</f>
        <v/>
      </c>
      <c r="GX154" s="137" t="n"/>
      <c r="GY154" s="538" t="n"/>
      <c r="GZ154" s="137" t="n"/>
      <c r="HA154" s="542" t="n"/>
      <c r="HB154" s="543" t="n"/>
      <c r="HC154" s="489" t="n"/>
      <c r="HD154" s="137" t="n"/>
      <c r="HE154" s="272" t="n"/>
    </row>
    <row r="155">
      <c r="BB155" s="412">
        <f>IF(B155="","",IF(AR155="No",AV155-AZ155,""))</f>
        <v/>
      </c>
      <c r="BC155" s="412">
        <f>IF(B155="","",IF(AR155="Yes",AS155-BA155,""))</f>
        <v/>
      </c>
      <c r="GX155" s="137" t="n"/>
      <c r="GY155" s="538" t="n"/>
      <c r="GZ155" s="137" t="n"/>
      <c r="HA155" s="542" t="n"/>
      <c r="HB155" s="543" t="n"/>
      <c r="HC155" s="489" t="n"/>
      <c r="HD155" s="137" t="n"/>
      <c r="HE155" s="272" t="n"/>
    </row>
    <row r="156">
      <c r="BB156" s="412">
        <f>IF(B156="","",IF(AR156="No",AV156-AZ156,""))</f>
        <v/>
      </c>
      <c r="BC156" s="412">
        <f>IF(B156="","",IF(AR156="Yes",AS156-BA156,""))</f>
        <v/>
      </c>
      <c r="GX156" s="137" t="n"/>
      <c r="GY156" s="538" t="n"/>
      <c r="GZ156" s="137" t="n"/>
      <c r="HA156" s="542" t="n"/>
      <c r="HB156" s="543" t="n"/>
      <c r="HC156" s="489" t="n"/>
      <c r="HD156" s="137" t="n"/>
      <c r="HE156" s="272" t="n"/>
    </row>
    <row r="157">
      <c r="BB157" s="412">
        <f>IF(B157="","",IF(AR157="No",AV157-AZ157,""))</f>
        <v/>
      </c>
      <c r="BC157" s="412">
        <f>IF(B157="","",IF(AR157="Yes",AS157-BA157,""))</f>
        <v/>
      </c>
      <c r="GX157" s="137" t="n"/>
      <c r="GY157" s="538" t="n"/>
      <c r="GZ157" s="137" t="n"/>
      <c r="HA157" s="542" t="n"/>
      <c r="HB157" s="543" t="n"/>
      <c r="HC157" s="489" t="n"/>
      <c r="HD157" s="137" t="n"/>
      <c r="HE157" s="272" t="n"/>
    </row>
    <row r="158">
      <c r="BB158" s="412">
        <f>IF(B158="","",IF(AR158="No",AV158-AZ158,""))</f>
        <v/>
      </c>
      <c r="BC158" s="412">
        <f>IF(B158="","",IF(AR158="Yes",AS158-BA158,""))</f>
        <v/>
      </c>
      <c r="GX158" s="137" t="n"/>
      <c r="GY158" s="538" t="n"/>
      <c r="GZ158" s="137" t="n"/>
      <c r="HA158" s="542" t="n"/>
      <c r="HB158" s="543" t="n"/>
      <c r="HC158" s="489" t="n"/>
      <c r="HD158" s="137" t="n"/>
      <c r="HE158" s="272" t="n"/>
    </row>
    <row r="159">
      <c r="BB159" s="412">
        <f>IF(B159="","",IF(AR159="No",AV159-AZ159,""))</f>
        <v/>
      </c>
      <c r="BC159" s="412">
        <f>IF(B159="","",IF(AR159="Yes",AS159-BA159,""))</f>
        <v/>
      </c>
      <c r="GX159" s="137" t="n"/>
      <c r="GY159" s="538" t="n"/>
      <c r="GZ159" s="137" t="n"/>
      <c r="HA159" s="542" t="n"/>
      <c r="HB159" s="543" t="n"/>
      <c r="HC159" s="489" t="n"/>
      <c r="HD159" s="137" t="n"/>
      <c r="HE159" s="272" t="n"/>
    </row>
    <row r="160">
      <c r="BB160" s="412">
        <f>IF(B160="","",IF(AR160="No",AV160-AZ160,""))</f>
        <v/>
      </c>
      <c r="BC160" s="412">
        <f>IF(B160="","",IF(AR160="Yes",AS160-BA160,""))</f>
        <v/>
      </c>
      <c r="GX160" s="137" t="n"/>
      <c r="GY160" s="538" t="n"/>
      <c r="GZ160" s="137" t="n"/>
      <c r="HA160" s="542" t="n"/>
      <c r="HB160" s="543" t="n"/>
      <c r="HC160" s="489" t="n"/>
      <c r="HD160" s="137" t="n"/>
      <c r="HE160" s="272" t="n"/>
    </row>
    <row r="161">
      <c r="BB161" s="412">
        <f>IF(B161="","",IF(AR161="No",AV161-AZ161,""))</f>
        <v/>
      </c>
      <c r="BC161" s="412">
        <f>IF(B161="","",IF(AR161="Yes",AS161-BA161,""))</f>
        <v/>
      </c>
      <c r="GX161" s="137" t="n"/>
      <c r="GY161" s="538" t="n"/>
      <c r="GZ161" s="137" t="n"/>
      <c r="HA161" s="542" t="n"/>
      <c r="HB161" s="543" t="n"/>
      <c r="HC161" s="489" t="n"/>
      <c r="HD161" s="137" t="n"/>
      <c r="HE161" s="272" t="n"/>
    </row>
    <row r="162">
      <c r="BB162" s="412">
        <f>IF(B162="","",IF(AR162="No",AV162-AZ162,""))</f>
        <v/>
      </c>
      <c r="BC162" s="412">
        <f>IF(B162="","",IF(AR162="Yes",AS162-BA162,""))</f>
        <v/>
      </c>
      <c r="GX162" s="137" t="n"/>
      <c r="GY162" s="538" t="n"/>
      <c r="GZ162" s="137" t="n"/>
      <c r="HA162" s="542" t="n"/>
      <c r="HB162" s="543" t="n"/>
      <c r="HC162" s="489" t="n"/>
      <c r="HD162" s="137" t="n"/>
      <c r="HE162" s="272" t="n"/>
    </row>
    <row r="163">
      <c r="BB163" s="412">
        <f>IF(B163="","",IF(AR163="No",AV163-AZ163,""))</f>
        <v/>
      </c>
      <c r="BC163" s="412">
        <f>IF(B163="","",IF(AR163="Yes",AS163-BA163,""))</f>
        <v/>
      </c>
      <c r="GX163" s="137" t="n"/>
      <c r="GY163" s="538" t="n"/>
      <c r="GZ163" s="137" t="n"/>
      <c r="HA163" s="542" t="n"/>
      <c r="HB163" s="543" t="n"/>
      <c r="HC163" s="489" t="n"/>
      <c r="HD163" s="137" t="n"/>
      <c r="HE163" s="272" t="n"/>
    </row>
    <row r="164">
      <c r="BB164" s="412">
        <f>IF(B164="","",IF(AR164="No",AV164-AZ164,""))</f>
        <v/>
      </c>
      <c r="BC164" s="412">
        <f>IF(B164="","",IF(AR164="Yes",AS164-BA164,""))</f>
        <v/>
      </c>
      <c r="GX164" s="137" t="n"/>
      <c r="GY164" s="538" t="n"/>
      <c r="GZ164" s="137" t="n"/>
      <c r="HA164" s="542" t="n"/>
      <c r="HB164" s="543" t="n"/>
      <c r="HC164" s="489" t="n"/>
      <c r="HD164" s="137" t="n"/>
      <c r="HE164" s="272" t="n"/>
    </row>
    <row r="165">
      <c r="BB165" s="412">
        <f>IF(B165="","",IF(AR165="No",AV165-AZ165,""))</f>
        <v/>
      </c>
      <c r="BC165" s="412">
        <f>IF(B165="","",IF(AR165="Yes",AS165-BA165,""))</f>
        <v/>
      </c>
      <c r="GX165" s="137" t="n"/>
      <c r="GY165" s="538" t="n"/>
      <c r="GZ165" s="137" t="n"/>
      <c r="HA165" s="542" t="n"/>
      <c r="HB165" s="543" t="n"/>
      <c r="HC165" s="489" t="n"/>
      <c r="HD165" s="137" t="n"/>
      <c r="HE165" s="272" t="n"/>
    </row>
    <row r="166">
      <c r="BB166" s="412">
        <f>IF(B166="","",IF(AR166="No",AV166-AZ166,""))</f>
        <v/>
      </c>
      <c r="BC166" s="412">
        <f>IF(B166="","",IF(AR166="Yes",AS166-BA166,""))</f>
        <v/>
      </c>
      <c r="GX166" s="137" t="n"/>
      <c r="GY166" s="538" t="n"/>
      <c r="GZ166" s="137" t="n"/>
      <c r="HA166" s="542" t="n"/>
      <c r="HB166" s="543" t="n"/>
      <c r="HC166" s="489" t="n"/>
      <c r="HD166" s="137" t="n"/>
      <c r="HE166" s="272" t="n"/>
    </row>
    <row r="167">
      <c r="BB167" s="412">
        <f>IF(B167="","",IF(AR167="No",AV167-AZ167,""))</f>
        <v/>
      </c>
      <c r="BC167" s="412">
        <f>IF(B167="","",IF(AR167="Yes",AS167-BA167,""))</f>
        <v/>
      </c>
      <c r="GX167" s="137" t="n"/>
      <c r="GY167" s="538" t="n"/>
      <c r="GZ167" s="137" t="n"/>
      <c r="HA167" s="542" t="n"/>
      <c r="HB167" s="543" t="n"/>
      <c r="HC167" s="489" t="n"/>
      <c r="HD167" s="137" t="n"/>
      <c r="HE167" s="272" t="n"/>
    </row>
    <row r="168">
      <c r="BB168" s="412">
        <f>IF(B168="","",IF(AR168="No",AV168-AZ168,""))</f>
        <v/>
      </c>
      <c r="BC168" s="412">
        <f>IF(B168="","",IF(AR168="Yes",AS168-BA168,""))</f>
        <v/>
      </c>
      <c r="GX168" s="137" t="n"/>
      <c r="GY168" s="538" t="n"/>
      <c r="GZ168" s="137" t="n"/>
      <c r="HA168" s="542" t="n"/>
      <c r="HB168" s="543" t="n"/>
      <c r="HC168" s="489" t="n"/>
      <c r="HD168" s="137" t="n"/>
      <c r="HE168" s="272" t="n"/>
    </row>
    <row r="169">
      <c r="BB169" s="412">
        <f>IF(B169="","",IF(AR169="No",AV169-AZ169,""))</f>
        <v/>
      </c>
      <c r="BC169" s="412">
        <f>IF(B169="","",IF(AR169="Yes",AS169-BA169,""))</f>
        <v/>
      </c>
      <c r="GX169" s="137" t="n"/>
      <c r="GY169" s="538" t="n"/>
      <c r="GZ169" s="137" t="n"/>
      <c r="HA169" s="542" t="n"/>
      <c r="HB169" s="543" t="n"/>
      <c r="HC169" s="489" t="n"/>
      <c r="HD169" s="137" t="n"/>
      <c r="HE169" s="272" t="n"/>
    </row>
    <row r="170">
      <c r="BB170" s="412">
        <f>IF(B170="","",IF(AR170="No",AV170-AZ170,""))</f>
        <v/>
      </c>
      <c r="BC170" s="412">
        <f>IF(B170="","",IF(AR170="Yes",AS170-BA170,""))</f>
        <v/>
      </c>
      <c r="GX170" s="137" t="n"/>
      <c r="GY170" s="538" t="n"/>
      <c r="GZ170" s="137" t="n"/>
      <c r="HA170" s="542" t="n"/>
      <c r="HB170" s="543" t="n"/>
      <c r="HC170" s="489" t="n"/>
      <c r="HD170" s="137" t="n"/>
      <c r="HE170" s="272" t="n"/>
    </row>
    <row r="171">
      <c r="BB171" s="412">
        <f>IF(B171="","",IF(AR171="No",AV171-AZ171,""))</f>
        <v/>
      </c>
      <c r="BC171" s="412">
        <f>IF(B171="","",IF(AR171="Yes",AS171-BA171,""))</f>
        <v/>
      </c>
      <c r="GX171" s="137" t="n"/>
      <c r="GY171" s="538" t="n"/>
      <c r="GZ171" s="137" t="n"/>
      <c r="HA171" s="542" t="n"/>
      <c r="HB171" s="543" t="n"/>
      <c r="HC171" s="489" t="n"/>
      <c r="HD171" s="137" t="n"/>
      <c r="HE171" s="272" t="n"/>
    </row>
    <row r="172">
      <c r="BB172" s="412">
        <f>IF(B172="","",IF(AR172="No",AV172-AZ172,""))</f>
        <v/>
      </c>
      <c r="BC172" s="412">
        <f>IF(B172="","",IF(AR172="Yes",AS172-BA172,""))</f>
        <v/>
      </c>
      <c r="GX172" s="137" t="n"/>
      <c r="GY172" s="538" t="n"/>
      <c r="GZ172" s="137" t="n"/>
      <c r="HA172" s="542" t="n"/>
      <c r="HB172" s="543" t="n"/>
      <c r="HC172" s="489" t="n"/>
      <c r="HD172" s="137" t="n"/>
      <c r="HE172" s="272" t="n"/>
    </row>
    <row r="173">
      <c r="BB173" s="412">
        <f>IF(B173="","",IF(AR173="No",AV173-AZ173,""))</f>
        <v/>
      </c>
      <c r="BC173" s="412">
        <f>IF(B173="","",IF(AR173="Yes",AS173-BA173,""))</f>
        <v/>
      </c>
      <c r="GX173" s="137" t="n"/>
      <c r="GY173" s="538" t="n"/>
      <c r="GZ173" s="137" t="n"/>
      <c r="HA173" s="542" t="n"/>
      <c r="HB173" s="543" t="n"/>
      <c r="HC173" s="489" t="n"/>
      <c r="HD173" s="137" t="n"/>
      <c r="HE173" s="272" t="n"/>
    </row>
    <row r="174">
      <c r="BB174" s="412">
        <f>IF(B174="","",IF(AR174="No",AV174-AZ174,""))</f>
        <v/>
      </c>
      <c r="BC174" s="412">
        <f>IF(B174="","",IF(AR174="Yes",AS174-BA174,""))</f>
        <v/>
      </c>
      <c r="GX174" s="137" t="n"/>
      <c r="GY174" s="538" t="n"/>
      <c r="GZ174" s="137" t="n"/>
      <c r="HA174" s="542" t="n"/>
      <c r="HB174" s="543" t="n"/>
      <c r="HC174" s="489" t="n"/>
      <c r="HD174" s="137" t="n"/>
      <c r="HE174" s="272" t="n"/>
    </row>
    <row r="175">
      <c r="BB175" s="412">
        <f>IF(B175="","",IF(AR175="No",AV175-AZ175,""))</f>
        <v/>
      </c>
      <c r="BC175" s="412">
        <f>IF(B175="","",IF(AR175="Yes",AS175-BA175,""))</f>
        <v/>
      </c>
      <c r="GX175" s="137" t="n"/>
      <c r="GY175" s="538" t="n"/>
      <c r="GZ175" s="137" t="n"/>
      <c r="HA175" s="542" t="n"/>
      <c r="HB175" s="543" t="n"/>
      <c r="HC175" s="489" t="n"/>
      <c r="HD175" s="137" t="n"/>
      <c r="HE175" s="272" t="n"/>
    </row>
    <row r="176">
      <c r="BB176" s="412">
        <f>IF(B176="","",IF(AR176="No",AV176-AZ176,""))</f>
        <v/>
      </c>
      <c r="BC176" s="412">
        <f>IF(B176="","",IF(AR176="Yes",AS176-BA176,""))</f>
        <v/>
      </c>
      <c r="GX176" s="137" t="n"/>
      <c r="GY176" s="538" t="n"/>
      <c r="GZ176" s="137" t="n"/>
      <c r="HA176" s="542" t="n"/>
      <c r="HB176" s="543" t="n"/>
      <c r="HC176" s="489" t="n"/>
      <c r="HD176" s="137" t="n"/>
      <c r="HE176" s="272" t="n"/>
    </row>
    <row r="177">
      <c r="BB177" s="412">
        <f>IF(B177="","",IF(AR177="No",AV177-AZ177,""))</f>
        <v/>
      </c>
      <c r="BC177" s="412">
        <f>IF(B177="","",IF(AR177="Yes",AS177-BA177,""))</f>
        <v/>
      </c>
      <c r="GX177" s="137" t="n"/>
      <c r="GY177" s="538" t="n"/>
      <c r="GZ177" s="137" t="n"/>
      <c r="HA177" s="542" t="n"/>
      <c r="HB177" s="543" t="n"/>
      <c r="HC177" s="489" t="n"/>
      <c r="HD177" s="137" t="n"/>
      <c r="HE177" s="272" t="n"/>
    </row>
    <row r="178">
      <c r="BB178" s="412">
        <f>IF(B178="","",IF(AR178="No",AV178-AZ178,""))</f>
        <v/>
      </c>
      <c r="BC178" s="412">
        <f>IF(B178="","",IF(AR178="Yes",AS178-BA178,""))</f>
        <v/>
      </c>
      <c r="GX178" s="137" t="n"/>
      <c r="GY178" s="538" t="n"/>
      <c r="GZ178" s="137" t="n"/>
      <c r="HA178" s="542" t="n"/>
      <c r="HB178" s="543" t="n"/>
      <c r="HC178" s="489" t="n"/>
      <c r="HD178" s="137" t="n"/>
      <c r="HE178" s="272" t="n"/>
    </row>
    <row r="179">
      <c r="BB179" s="412">
        <f>IF(B179="","",IF(AR179="No",AV179-AZ179,""))</f>
        <v/>
      </c>
      <c r="BC179" s="412">
        <f>IF(B179="","",IF(AR179="Yes",AS179-BA179,""))</f>
        <v/>
      </c>
      <c r="GX179" s="137" t="n"/>
      <c r="GY179" s="538" t="n"/>
      <c r="GZ179" s="137" t="n"/>
      <c r="HA179" s="542" t="n"/>
      <c r="HB179" s="543" t="n"/>
      <c r="HC179" s="489" t="n"/>
      <c r="HD179" s="137" t="n"/>
      <c r="HE179" s="272" t="n"/>
    </row>
    <row r="180">
      <c r="BB180" s="412">
        <f>IF(B180="","",IF(AR180="No",AV180-AZ180,""))</f>
        <v/>
      </c>
      <c r="BC180" s="412">
        <f>IF(B180="","",IF(AR180="Yes",AS180-BA180,""))</f>
        <v/>
      </c>
      <c r="GX180" s="137" t="n"/>
      <c r="GY180" s="538" t="n"/>
      <c r="GZ180" s="137" t="n"/>
      <c r="HA180" s="542" t="n"/>
      <c r="HB180" s="543" t="n"/>
      <c r="HC180" s="489" t="n"/>
      <c r="HD180" s="137" t="n"/>
      <c r="HE180" s="272" t="n"/>
    </row>
    <row r="181">
      <c r="BB181" s="412">
        <f>IF(B181="","",IF(AR181="No",AV181-AZ181,""))</f>
        <v/>
      </c>
      <c r="BC181" s="412">
        <f>IF(B181="","",IF(AR181="Yes",AS181-BA181,""))</f>
        <v/>
      </c>
      <c r="GX181" s="137" t="n"/>
      <c r="GY181" s="538" t="n"/>
      <c r="GZ181" s="137" t="n"/>
      <c r="HA181" s="542" t="n"/>
      <c r="HB181" s="543" t="n"/>
      <c r="HC181" s="489" t="n"/>
      <c r="HD181" s="137" t="n"/>
      <c r="HE181" s="272" t="n"/>
    </row>
    <row r="182">
      <c r="BB182" s="412">
        <f>IF(B182="","",IF(AR182="No",AV182-AZ182,""))</f>
        <v/>
      </c>
      <c r="BC182" s="412">
        <f>IF(B182="","",IF(AR182="Yes",AS182-BA182,""))</f>
        <v/>
      </c>
      <c r="GX182" s="137" t="n"/>
      <c r="GY182" s="538" t="n"/>
      <c r="GZ182" s="137" t="n"/>
      <c r="HA182" s="542" t="n"/>
      <c r="HB182" s="543" t="n"/>
      <c r="HC182" s="489" t="n"/>
      <c r="HD182" s="137" t="n"/>
      <c r="HE182" s="272" t="n"/>
    </row>
    <row r="183">
      <c r="BB183" s="412">
        <f>IF(B183="","",IF(AR183="No",AV183-AZ183,""))</f>
        <v/>
      </c>
      <c r="BC183" s="412">
        <f>IF(B183="","",IF(AR183="Yes",AS183-BA183,""))</f>
        <v/>
      </c>
      <c r="GX183" s="137" t="n"/>
      <c r="GY183" s="538" t="n"/>
      <c r="GZ183" s="137" t="n"/>
      <c r="HA183" s="542" t="n"/>
      <c r="HB183" s="543" t="n"/>
      <c r="HC183" s="489" t="n"/>
      <c r="HD183" s="137" t="n"/>
      <c r="HE183" s="272" t="n"/>
    </row>
    <row r="184">
      <c r="BB184" s="412">
        <f>IF(B184="","",IF(AR184="No",AV184-AZ184,""))</f>
        <v/>
      </c>
      <c r="BC184" s="412">
        <f>IF(B184="","",IF(AR184="Yes",AS184-BA184,""))</f>
        <v/>
      </c>
      <c r="GX184" s="137" t="n"/>
      <c r="GY184" s="538" t="n"/>
      <c r="GZ184" s="137" t="n"/>
      <c r="HA184" s="542" t="n"/>
      <c r="HB184" s="543" t="n"/>
      <c r="HC184" s="489" t="n"/>
      <c r="HD184" s="137" t="n"/>
      <c r="HE184" s="272" t="n"/>
    </row>
    <row r="185">
      <c r="BB185" s="412">
        <f>IF(B185="","",IF(AR185="No",AV185-AZ185,""))</f>
        <v/>
      </c>
      <c r="BC185" s="412">
        <f>IF(B185="","",IF(AR185="Yes",AS185-BA185,""))</f>
        <v/>
      </c>
      <c r="GX185" s="137" t="n"/>
      <c r="GY185" s="538" t="n"/>
      <c r="GZ185" s="137" t="n"/>
      <c r="HA185" s="542" t="n"/>
      <c r="HB185" s="543" t="n"/>
      <c r="HC185" s="489" t="n"/>
      <c r="HD185" s="137" t="n"/>
      <c r="HE185" s="272" t="n"/>
    </row>
    <row r="186">
      <c r="BB186" s="412">
        <f>IF(B186="","",IF(AR186="No",AV186-AZ186,""))</f>
        <v/>
      </c>
      <c r="BC186" s="412">
        <f>IF(B186="","",IF(AR186="Yes",AS186-BA186,""))</f>
        <v/>
      </c>
      <c r="GX186" s="137" t="n"/>
      <c r="GY186" s="538" t="n"/>
      <c r="GZ186" s="137" t="n"/>
      <c r="HA186" s="542" t="n"/>
      <c r="HB186" s="543" t="n"/>
      <c r="HC186" s="489" t="n"/>
      <c r="HD186" s="137" t="n"/>
      <c r="HE186" s="272" t="n"/>
    </row>
    <row r="187">
      <c r="BB187" s="412">
        <f>IF(B187="","",IF(AR187="No",AV187-AZ187,""))</f>
        <v/>
      </c>
      <c r="BC187" s="412">
        <f>IF(B187="","",IF(AR187="Yes",AS187-BA187,""))</f>
        <v/>
      </c>
      <c r="GX187" s="137" t="n"/>
      <c r="GY187" s="538" t="n"/>
      <c r="GZ187" s="137" t="n"/>
      <c r="HA187" s="542" t="n"/>
      <c r="HB187" s="543" t="n"/>
      <c r="HC187" s="489" t="n"/>
      <c r="HD187" s="137" t="n"/>
      <c r="HE187" s="272" t="n"/>
    </row>
    <row r="188">
      <c r="BB188" s="412">
        <f>IF(B188="","",IF(AR188="No",AV188-AZ188,""))</f>
        <v/>
      </c>
      <c r="BC188" s="412">
        <f>IF(B188="","",IF(AR188="Yes",AS188-BA188,""))</f>
        <v/>
      </c>
      <c r="GX188" s="137" t="n"/>
      <c r="GY188" s="538" t="n"/>
      <c r="GZ188" s="137" t="n"/>
      <c r="HA188" s="542" t="n"/>
      <c r="HB188" s="543" t="n"/>
      <c r="HC188" s="489" t="n"/>
      <c r="HD188" s="137" t="n"/>
      <c r="HE188" s="272" t="n"/>
    </row>
    <row r="189">
      <c r="BB189" s="412">
        <f>IF(B189="","",IF(AR189="No",AV189-AZ189,""))</f>
        <v/>
      </c>
      <c r="BC189" s="412">
        <f>IF(B189="","",IF(AR189="Yes",AS189-BA189,""))</f>
        <v/>
      </c>
      <c r="GX189" s="137" t="n"/>
      <c r="GY189" s="538" t="n"/>
      <c r="GZ189" s="137" t="n"/>
      <c r="HA189" s="542" t="n"/>
      <c r="HB189" s="543" t="n"/>
      <c r="HC189" s="489" t="n"/>
      <c r="HD189" s="137" t="n"/>
      <c r="HE189" s="272" t="n"/>
    </row>
    <row r="190">
      <c r="BB190" s="412">
        <f>IF(B190="","",IF(AR190="No",AV190-AZ190,""))</f>
        <v/>
      </c>
      <c r="BC190" s="412">
        <f>IF(B190="","",IF(AR190="Yes",AS190-BA190,""))</f>
        <v/>
      </c>
      <c r="GX190" s="137" t="n"/>
      <c r="GY190" s="538" t="n"/>
      <c r="GZ190" s="137" t="n"/>
      <c r="HA190" s="542" t="n"/>
      <c r="HB190" s="543" t="n"/>
      <c r="HC190" s="489" t="n"/>
      <c r="HD190" s="137" t="n"/>
      <c r="HE190" s="272" t="n"/>
    </row>
    <row r="191">
      <c r="BB191" s="412">
        <f>IF(B191="","",IF(AR191="No",AV191-AZ191,""))</f>
        <v/>
      </c>
      <c r="BC191" s="412">
        <f>IF(B191="","",IF(AR191="Yes",AS191-BA191,""))</f>
        <v/>
      </c>
      <c r="GX191" s="137" t="n"/>
      <c r="GY191" s="538" t="n"/>
      <c r="GZ191" s="137" t="n"/>
      <c r="HA191" s="542" t="n"/>
      <c r="HB191" s="543" t="n"/>
      <c r="HC191" s="489" t="n"/>
      <c r="HD191" s="137" t="n"/>
      <c r="HE191" s="272" t="n"/>
    </row>
    <row r="192">
      <c r="BB192" s="412">
        <f>IF(B192="","",IF(AR192="No",AV192-AZ192,""))</f>
        <v/>
      </c>
      <c r="BC192" s="412">
        <f>IF(B192="","",IF(AR192="Yes",AS192-BA192,""))</f>
        <v/>
      </c>
      <c r="GX192" s="137" t="n"/>
      <c r="GY192" s="538" t="n"/>
      <c r="GZ192" s="137" t="n"/>
      <c r="HA192" s="542" t="n"/>
      <c r="HB192" s="543" t="n"/>
      <c r="HC192" s="489" t="n"/>
      <c r="HD192" s="137" t="n"/>
      <c r="HE192" s="272" t="n"/>
    </row>
    <row r="193">
      <c r="BB193" s="412">
        <f>IF(B193="","",IF(AR193="No",AV193-AZ193,""))</f>
        <v/>
      </c>
      <c r="BC193" s="412">
        <f>IF(B193="","",IF(AR193="Yes",AS193-BA193,""))</f>
        <v/>
      </c>
      <c r="GX193" s="137" t="n"/>
      <c r="GY193" s="538" t="n"/>
      <c r="GZ193" s="137" t="n"/>
      <c r="HA193" s="542" t="n"/>
      <c r="HB193" s="543" t="n"/>
      <c r="HC193" s="489" t="n"/>
      <c r="HD193" s="137" t="n"/>
      <c r="HE193" s="272" t="n"/>
    </row>
    <row r="194">
      <c r="BB194" s="412">
        <f>IF(B194="","",IF(AR194="No",AV194-AZ194,""))</f>
        <v/>
      </c>
      <c r="BC194" s="412">
        <f>IF(B194="","",IF(AR194="Yes",AS194-BA194,""))</f>
        <v/>
      </c>
      <c r="GX194" s="137" t="n"/>
      <c r="GY194" s="538" t="n"/>
      <c r="GZ194" s="137" t="n"/>
      <c r="HA194" s="542" t="n"/>
      <c r="HB194" s="543" t="n"/>
      <c r="HC194" s="489" t="n"/>
      <c r="HD194" s="137" t="n"/>
      <c r="HE194" s="272" t="n"/>
    </row>
    <row r="195">
      <c r="BB195" s="412">
        <f>IF(B195="","",IF(AR195="No",AV195-AZ195,""))</f>
        <v/>
      </c>
      <c r="BC195" s="412">
        <f>IF(B195="","",IF(AR195="Yes",AS195-BA195,""))</f>
        <v/>
      </c>
      <c r="GX195" s="137" t="n"/>
      <c r="GY195" s="538" t="n"/>
      <c r="GZ195" s="137" t="n"/>
      <c r="HA195" s="542" t="n"/>
      <c r="HB195" s="543" t="n"/>
      <c r="HC195" s="489" t="n"/>
      <c r="HD195" s="137" t="n"/>
      <c r="HE195" s="272" t="n"/>
    </row>
    <row r="196">
      <c r="BB196" s="412">
        <f>IF(B196="","",IF(AR196="No",AV196-AZ196,""))</f>
        <v/>
      </c>
      <c r="BC196" s="412">
        <f>IF(B196="","",IF(AR196="Yes",AS196-BA196,""))</f>
        <v/>
      </c>
      <c r="GX196" s="137" t="n"/>
      <c r="GY196" s="538" t="n"/>
      <c r="GZ196" s="137" t="n"/>
      <c r="HA196" s="542" t="n"/>
      <c r="HB196" s="543" t="n"/>
      <c r="HC196" s="489" t="n"/>
      <c r="HD196" s="137" t="n"/>
      <c r="HE196" s="272" t="n"/>
    </row>
    <row r="197">
      <c r="BB197" s="412">
        <f>IF(B197="","",IF(AR197="No",AV197-AZ197,""))</f>
        <v/>
      </c>
      <c r="BC197" s="412">
        <f>IF(B197="","",IF(AR197="Yes",AS197-BA197,""))</f>
        <v/>
      </c>
      <c r="GX197" s="137" t="n"/>
      <c r="GY197" s="538" t="n"/>
      <c r="GZ197" s="137" t="n"/>
      <c r="HA197" s="542" t="n"/>
      <c r="HB197" s="543" t="n"/>
      <c r="HC197" s="489" t="n"/>
      <c r="HD197" s="137" t="n"/>
      <c r="HE197" s="272" t="n"/>
    </row>
    <row r="198">
      <c r="BB198" s="412">
        <f>IF(B198="","",IF(AR198="No",AV198-AZ198,""))</f>
        <v/>
      </c>
      <c r="BC198" s="412">
        <f>IF(B198="","",IF(AR198="Yes",AS198-BA198,""))</f>
        <v/>
      </c>
      <c r="GX198" s="137" t="n"/>
      <c r="GY198" s="538" t="n"/>
      <c r="GZ198" s="137" t="n"/>
      <c r="HA198" s="542" t="n"/>
      <c r="HB198" s="543" t="n"/>
      <c r="HC198" s="489" t="n"/>
      <c r="HD198" s="137" t="n"/>
      <c r="HE198" s="272" t="n"/>
    </row>
    <row r="199">
      <c r="BB199" s="412">
        <f>IF(B199="","",IF(AR199="No",AV199-AZ199,""))</f>
        <v/>
      </c>
      <c r="BC199" s="412">
        <f>IF(B199="","",IF(AR199="Yes",AS199-BA199,""))</f>
        <v/>
      </c>
      <c r="GX199" s="137" t="n"/>
      <c r="GY199" s="538" t="n"/>
      <c r="GZ199" s="137" t="n"/>
      <c r="HA199" s="542" t="n"/>
      <c r="HB199" s="543" t="n"/>
      <c r="HC199" s="489" t="n"/>
      <c r="HD199" s="137" t="n"/>
      <c r="HE199" s="272" t="n"/>
    </row>
    <row r="200">
      <c r="BB200" s="412">
        <f>IF(B200="","",IF(AR200="No",AV200-AZ200,""))</f>
        <v/>
      </c>
      <c r="BC200" s="412">
        <f>IF(B200="","",IF(AR200="Yes",AS200-BA200,""))</f>
        <v/>
      </c>
      <c r="GX200" s="137" t="n"/>
      <c r="GY200" s="538" t="n"/>
      <c r="GZ200" s="137" t="n"/>
      <c r="HA200" s="542" t="n"/>
      <c r="HB200" s="543" t="n"/>
      <c r="HC200" s="489" t="n"/>
      <c r="HD200" s="137" t="n"/>
      <c r="HE200" s="272" t="n"/>
    </row>
    <row r="201">
      <c r="BB201" s="412">
        <f>IF(B201="","",IF(AR201="No",AV201-AZ201,""))</f>
        <v/>
      </c>
      <c r="BC201" s="412">
        <f>IF(B201="","",IF(AR201="Yes",AS201-BA201,""))</f>
        <v/>
      </c>
      <c r="GX201" s="137" t="n"/>
      <c r="GY201" s="538" t="n"/>
      <c r="GZ201" s="137" t="n"/>
      <c r="HA201" s="542" t="n"/>
      <c r="HB201" s="543" t="n"/>
      <c r="HC201" s="489" t="n"/>
      <c r="HD201" s="137" t="n"/>
      <c r="HE201" s="272" t="n"/>
    </row>
    <row r="202">
      <c r="BB202" s="412">
        <f>IF(B202="","",IF(AR202="No",AV202-AZ202,""))</f>
        <v/>
      </c>
      <c r="BC202" s="412">
        <f>IF(B202="","",IF(AR202="Yes",AS202-BA202,""))</f>
        <v/>
      </c>
      <c r="GX202" s="137" t="n"/>
      <c r="GY202" s="538" t="n"/>
      <c r="GZ202" s="137" t="n"/>
      <c r="HA202" s="542" t="n"/>
      <c r="HB202" s="543" t="n"/>
      <c r="HC202" s="489" t="n"/>
      <c r="HD202" s="137" t="n"/>
      <c r="HE202" s="272" t="n"/>
    </row>
    <row r="203">
      <c r="BB203" s="412">
        <f>IF(B203="","",IF(AR203="No",AV203-AZ203,""))</f>
        <v/>
      </c>
      <c r="BC203" s="412">
        <f>IF(B203="","",IF(AR203="Yes",AS203-BA203,""))</f>
        <v/>
      </c>
      <c r="GX203" s="137" t="n"/>
      <c r="GY203" s="538" t="n"/>
      <c r="GZ203" s="137" t="n"/>
      <c r="HA203" s="542" t="n"/>
      <c r="HB203" s="543" t="n"/>
      <c r="HC203" s="489" t="n"/>
      <c r="HD203" s="137" t="n"/>
      <c r="HE203" s="272" t="n"/>
    </row>
    <row r="204">
      <c r="BB204" s="412">
        <f>IF(B204="","",IF(AR204="No",AV204-AZ204,""))</f>
        <v/>
      </c>
      <c r="BC204" s="412">
        <f>IF(B204="","",IF(AR204="Yes",AS204-BA204,""))</f>
        <v/>
      </c>
      <c r="GX204" s="137" t="n"/>
      <c r="GY204" s="538" t="n"/>
      <c r="GZ204" s="137" t="n"/>
      <c r="HA204" s="542" t="n"/>
      <c r="HB204" s="543" t="n"/>
      <c r="HC204" s="489" t="n"/>
      <c r="HD204" s="137" t="n"/>
      <c r="HE204" s="272" t="n"/>
    </row>
    <row r="205">
      <c r="BB205" s="412">
        <f>IF(B205="","",IF(AR205="No",AV205-AZ205,""))</f>
        <v/>
      </c>
      <c r="BC205" s="412">
        <f>IF(B205="","",IF(AR205="Yes",AS205-BA205,""))</f>
        <v/>
      </c>
      <c r="GX205" s="137" t="n"/>
      <c r="GY205" s="538" t="n"/>
      <c r="GZ205" s="137" t="n"/>
      <c r="HA205" s="542" t="n"/>
      <c r="HB205" s="543" t="n"/>
      <c r="HC205" s="489" t="n"/>
      <c r="HD205" s="137" t="n"/>
      <c r="HE205" s="272" t="n"/>
    </row>
    <row r="206">
      <c r="BB206" s="412">
        <f>IF(B206="","",IF(AR206="No",AV206-AZ206,""))</f>
        <v/>
      </c>
      <c r="BC206" s="412">
        <f>IF(B206="","",IF(AR206="Yes",AS206-BA206,""))</f>
        <v/>
      </c>
      <c r="GX206" s="137" t="n"/>
      <c r="GY206" s="538" t="n"/>
      <c r="GZ206" s="137" t="n"/>
      <c r="HA206" s="542" t="n"/>
      <c r="HB206" s="543" t="n"/>
      <c r="HC206" s="489" t="n"/>
      <c r="HD206" s="137" t="n"/>
      <c r="HE206" s="272" t="n"/>
    </row>
    <row r="207">
      <c r="BB207" s="412">
        <f>IF(B207="","",IF(AR207="No",AV207-AZ207,""))</f>
        <v/>
      </c>
      <c r="BC207" s="412">
        <f>IF(B207="","",IF(AR207="Yes",AS207-BA207,""))</f>
        <v/>
      </c>
      <c r="GX207" s="137" t="n"/>
      <c r="GY207" s="538" t="n"/>
      <c r="GZ207" s="137" t="n"/>
      <c r="HA207" s="542" t="n"/>
      <c r="HB207" s="543" t="n"/>
      <c r="HC207" s="489" t="n"/>
      <c r="HD207" s="137" t="n"/>
      <c r="HE207" s="272" t="n"/>
    </row>
    <row r="208">
      <c r="BB208" s="412">
        <f>IF(B208="","",IF(AR208="No",AV208-AZ208,""))</f>
        <v/>
      </c>
      <c r="BC208" s="412">
        <f>IF(B208="","",IF(AR208="Yes",AS208-BA208,""))</f>
        <v/>
      </c>
      <c r="GX208" s="137" t="n"/>
      <c r="GY208" s="538" t="n"/>
      <c r="GZ208" s="137" t="n"/>
      <c r="HA208" s="542" t="n"/>
      <c r="HB208" s="543" t="n"/>
      <c r="HC208" s="489" t="n"/>
      <c r="HD208" s="137" t="n"/>
      <c r="HE208" s="272" t="n"/>
    </row>
    <row r="209">
      <c r="BB209" s="412">
        <f>IF(B209="","",IF(AR209="No",AV209-AZ209,""))</f>
        <v/>
      </c>
      <c r="BC209" s="412">
        <f>IF(B209="","",IF(AR209="Yes",AS209-BA209,""))</f>
        <v/>
      </c>
      <c r="GX209" s="137" t="n"/>
      <c r="GY209" s="538" t="n"/>
      <c r="GZ209" s="137" t="n"/>
      <c r="HA209" s="542" t="n"/>
      <c r="HB209" s="543" t="n"/>
      <c r="HC209" s="489" t="n"/>
      <c r="HD209" s="137" t="n"/>
      <c r="HE209" s="272" t="n"/>
    </row>
    <row r="210">
      <c r="BB210" s="412">
        <f>IF(B210="","",IF(AR210="No",AV210-AZ210,""))</f>
        <v/>
      </c>
      <c r="BC210" s="412">
        <f>IF(B210="","",IF(AR210="Yes",AS210-BA210,""))</f>
        <v/>
      </c>
      <c r="GX210" s="137" t="n"/>
      <c r="GY210" s="538" t="n"/>
      <c r="GZ210" s="137" t="n"/>
      <c r="HA210" s="542" t="n"/>
      <c r="HB210" s="543" t="n"/>
      <c r="HC210" s="489" t="n"/>
      <c r="HD210" s="137" t="n"/>
      <c r="HE210" s="272" t="n"/>
    </row>
    <row r="211">
      <c r="BB211" s="412">
        <f>IF(B211="","",IF(AR211="No",AV211-AZ211,""))</f>
        <v/>
      </c>
      <c r="BC211" s="412">
        <f>IF(B211="","",IF(AR211="Yes",AS211-BA211,""))</f>
        <v/>
      </c>
      <c r="GX211" s="137" t="n"/>
      <c r="GY211" s="538" t="n"/>
      <c r="GZ211" s="137" t="n"/>
      <c r="HA211" s="542" t="n"/>
      <c r="HB211" s="543" t="n"/>
      <c r="HC211" s="489" t="n"/>
      <c r="HD211" s="137" t="n"/>
      <c r="HE211" s="272" t="n"/>
    </row>
    <row r="212">
      <c r="BB212" s="412">
        <f>IF(B212="","",IF(AR212="No",AV212-AZ212,""))</f>
        <v/>
      </c>
      <c r="BC212" s="412">
        <f>IF(B212="","",IF(AR212="Yes",AS212-BA212,""))</f>
        <v/>
      </c>
      <c r="GX212" s="137" t="n"/>
      <c r="GY212" s="538" t="n"/>
      <c r="GZ212" s="137" t="n"/>
      <c r="HA212" s="542" t="n"/>
      <c r="HB212" s="543" t="n"/>
      <c r="HC212" s="489" t="n"/>
      <c r="HD212" s="137" t="n"/>
      <c r="HE212" s="272" t="n"/>
    </row>
    <row r="213">
      <c r="BB213" s="412">
        <f>IF(B213="","",IF(AR213="No",AV213-AZ213,""))</f>
        <v/>
      </c>
      <c r="BC213" s="412">
        <f>IF(B213="","",IF(AR213="Yes",AS213-BA213,""))</f>
        <v/>
      </c>
      <c r="GX213" s="137" t="n"/>
      <c r="GY213" s="538" t="n"/>
      <c r="GZ213" s="137" t="n"/>
      <c r="HA213" s="542" t="n"/>
      <c r="HB213" s="543" t="n"/>
      <c r="HC213" s="489" t="n"/>
      <c r="HD213" s="137" t="n"/>
      <c r="HE213" s="272" t="n"/>
    </row>
    <row r="214">
      <c r="BB214" s="412">
        <f>IF(B214="","",IF(AR214="No",AV214-AZ214,""))</f>
        <v/>
      </c>
      <c r="BC214" s="412">
        <f>IF(B214="","",IF(AR214="Yes",AS214-BA214,""))</f>
        <v/>
      </c>
      <c r="GX214" s="137" t="n"/>
      <c r="GY214" s="538" t="n"/>
      <c r="GZ214" s="137" t="n"/>
      <c r="HA214" s="542" t="n"/>
      <c r="HB214" s="543" t="n"/>
      <c r="HC214" s="489" t="n"/>
      <c r="HD214" s="137" t="n"/>
      <c r="HE214" s="272" t="n"/>
    </row>
    <row r="215">
      <c r="BB215" s="412">
        <f>IF(B215="","",IF(AR215="No",AV215-AZ215,""))</f>
        <v/>
      </c>
      <c r="BC215" s="412">
        <f>IF(B215="","",IF(AR215="Yes",AS215-BA215,""))</f>
        <v/>
      </c>
      <c r="GX215" s="137" t="n"/>
      <c r="GY215" s="538" t="n"/>
      <c r="GZ215" s="137" t="n"/>
      <c r="HA215" s="542" t="n"/>
      <c r="HB215" s="543" t="n"/>
      <c r="HC215" s="489" t="n"/>
      <c r="HD215" s="137" t="n"/>
      <c r="HE215" s="272" t="n"/>
    </row>
    <row r="216">
      <c r="BB216" s="412">
        <f>IF(B216="","",IF(AR216="No",AV216-AZ216,""))</f>
        <v/>
      </c>
      <c r="BC216" s="412">
        <f>IF(B216="","",IF(AR216="Yes",AS216-BA216,""))</f>
        <v/>
      </c>
      <c r="GX216" s="137" t="n"/>
      <c r="GY216" s="538" t="n"/>
      <c r="GZ216" s="137" t="n"/>
      <c r="HA216" s="542" t="n"/>
      <c r="HB216" s="543" t="n"/>
      <c r="HC216" s="489" t="n"/>
      <c r="HD216" s="137" t="n"/>
      <c r="HE216" s="272" t="n"/>
    </row>
    <row r="217">
      <c r="BB217" s="412">
        <f>IF(B217="","",IF(AR217="No",AV217-AZ217,""))</f>
        <v/>
      </c>
      <c r="BC217" s="412">
        <f>IF(B217="","",IF(AR217="Yes",AS217-BA217,""))</f>
        <v/>
      </c>
      <c r="GX217" s="137" t="n"/>
      <c r="GY217" s="538" t="n"/>
      <c r="GZ217" s="137" t="n"/>
      <c r="HA217" s="542" t="n"/>
      <c r="HB217" s="543" t="n"/>
      <c r="HC217" s="489" t="n"/>
      <c r="HD217" s="137" t="n"/>
      <c r="HE217" s="272" t="n"/>
    </row>
    <row r="218">
      <c r="BB218" s="412">
        <f>IF(B218="","",IF(AR218="No",AV218-AZ218,""))</f>
        <v/>
      </c>
      <c r="BC218" s="412">
        <f>IF(B218="","",IF(AR218="Yes",AS218-BA218,""))</f>
        <v/>
      </c>
      <c r="GX218" s="137" t="n"/>
      <c r="GY218" s="538" t="n"/>
      <c r="GZ218" s="137" t="n"/>
      <c r="HA218" s="542" t="n"/>
      <c r="HB218" s="543" t="n"/>
      <c r="HC218" s="489" t="n"/>
      <c r="HD218" s="137" t="n"/>
      <c r="HE218" s="272" t="n"/>
    </row>
    <row r="219">
      <c r="BB219" s="412">
        <f>IF(B219="","",IF(AR219="No",AV219-AZ219,""))</f>
        <v/>
      </c>
      <c r="BC219" s="412">
        <f>IF(B219="","",IF(AR219="Yes",AS219-BA219,""))</f>
        <v/>
      </c>
      <c r="GX219" s="137" t="n"/>
      <c r="GY219" s="538" t="n"/>
      <c r="GZ219" s="137" t="n"/>
      <c r="HA219" s="542" t="n"/>
      <c r="HB219" s="543" t="n"/>
      <c r="HC219" s="489" t="n"/>
      <c r="HD219" s="137" t="n"/>
      <c r="HE219" s="272" t="n"/>
    </row>
    <row r="220">
      <c r="BB220" s="412">
        <f>IF(B220="","",IF(AR220="No",AV220-AZ220,""))</f>
        <v/>
      </c>
      <c r="BC220" s="412">
        <f>IF(B220="","",IF(AR220="Yes",AS220-BA220,""))</f>
        <v/>
      </c>
      <c r="GX220" s="137" t="n"/>
      <c r="GY220" s="538" t="n"/>
      <c r="GZ220" s="137" t="n"/>
      <c r="HA220" s="542" t="n"/>
      <c r="HB220" s="543" t="n"/>
      <c r="HC220" s="489" t="n"/>
      <c r="HD220" s="137" t="n"/>
      <c r="HE220" s="272" t="n"/>
    </row>
    <row r="221">
      <c r="BB221" s="412">
        <f>IF(B221="","",IF(AR221="No",AV221-AZ221,""))</f>
        <v/>
      </c>
      <c r="BC221" s="412">
        <f>IF(B221="","",IF(AR221="Yes",AS221-BA221,""))</f>
        <v/>
      </c>
      <c r="GX221" s="137" t="n"/>
      <c r="GY221" s="538" t="n"/>
      <c r="GZ221" s="137" t="n"/>
      <c r="HA221" s="542" t="n"/>
      <c r="HB221" s="543" t="n"/>
      <c r="HC221" s="489" t="n"/>
      <c r="HD221" s="137" t="n"/>
      <c r="HE221" s="272" t="n"/>
    </row>
    <row r="222">
      <c r="BB222" s="412">
        <f>IF(B222="","",IF(AR222="No",AV222-AZ222,""))</f>
        <v/>
      </c>
      <c r="BC222" s="412">
        <f>IF(B222="","",IF(AR222="Yes",AS222-BA222,""))</f>
        <v/>
      </c>
      <c r="GX222" s="137" t="n"/>
      <c r="GY222" s="538" t="n"/>
      <c r="GZ222" s="137" t="n"/>
      <c r="HA222" s="542" t="n"/>
      <c r="HB222" s="543" t="n"/>
      <c r="HC222" s="489" t="n"/>
      <c r="HD222" s="137" t="n"/>
      <c r="HE222" s="272" t="n"/>
    </row>
    <row r="223">
      <c r="BB223" s="412">
        <f>IF(B223="","",IF(AR223="No",AV223-AZ223,""))</f>
        <v/>
      </c>
      <c r="BC223" s="412">
        <f>IF(B223="","",IF(AR223="Yes",AS223-BA223,""))</f>
        <v/>
      </c>
      <c r="GX223" s="137" t="n"/>
      <c r="GY223" s="538" t="n"/>
      <c r="GZ223" s="137" t="n"/>
      <c r="HA223" s="542" t="n"/>
      <c r="HB223" s="543" t="n"/>
      <c r="HC223" s="489" t="n"/>
      <c r="HD223" s="137" t="n"/>
      <c r="HE223" s="272" t="n"/>
    </row>
    <row r="224">
      <c r="BB224" s="412">
        <f>IF(B224="","",IF(AR224="No",AV224-AZ224,""))</f>
        <v/>
      </c>
      <c r="BC224" s="412">
        <f>IF(B224="","",IF(AR224="Yes",AS224-BA224,""))</f>
        <v/>
      </c>
      <c r="GX224" s="137" t="n"/>
      <c r="GY224" s="538" t="n"/>
      <c r="GZ224" s="137" t="n"/>
      <c r="HA224" s="542" t="n"/>
      <c r="HB224" s="543" t="n"/>
      <c r="HC224" s="489" t="n"/>
      <c r="HD224" s="137" t="n"/>
      <c r="HE224" s="272" t="n"/>
    </row>
    <row r="225">
      <c r="BB225" s="412">
        <f>IF(B225="","",IF(AR225="No",AV225-AZ225,""))</f>
        <v/>
      </c>
      <c r="BC225" s="412">
        <f>IF(B225="","",IF(AR225="Yes",AS225-BA225,""))</f>
        <v/>
      </c>
      <c r="GX225" s="137" t="n"/>
      <c r="GY225" s="538" t="n"/>
      <c r="GZ225" s="137" t="n"/>
      <c r="HA225" s="542" t="n"/>
      <c r="HB225" s="543" t="n"/>
      <c r="HC225" s="489" t="n"/>
      <c r="HD225" s="137" t="n"/>
      <c r="HE225" s="272" t="n"/>
    </row>
    <row r="226">
      <c r="BB226" s="412">
        <f>IF(B226="","",IF(AR226="No",AV226-AZ226,""))</f>
        <v/>
      </c>
      <c r="BC226" s="412">
        <f>IF(B226="","",IF(AR226="Yes",AS226-BA226,""))</f>
        <v/>
      </c>
      <c r="GX226" s="137" t="n"/>
      <c r="GY226" s="538" t="n"/>
      <c r="GZ226" s="137" t="n"/>
      <c r="HA226" s="542" t="n"/>
      <c r="HB226" s="543" t="n"/>
      <c r="HC226" s="489" t="n"/>
      <c r="HD226" s="137" t="n"/>
      <c r="HE226" s="272" t="n"/>
    </row>
    <row r="227">
      <c r="BB227" s="412">
        <f>IF(B227="","",IF(AR227="No",AV227-AZ227,""))</f>
        <v/>
      </c>
      <c r="BC227" s="412">
        <f>IF(B227="","",IF(AR227="Yes",AS227-BA227,""))</f>
        <v/>
      </c>
      <c r="GX227" s="137" t="n"/>
      <c r="GY227" s="538" t="n"/>
      <c r="GZ227" s="137" t="n"/>
      <c r="HA227" s="542" t="n"/>
      <c r="HB227" s="543" t="n"/>
      <c r="HC227" s="489" t="n"/>
      <c r="HD227" s="137" t="n"/>
      <c r="HE227" s="272" t="n"/>
    </row>
    <row r="228">
      <c r="BB228" s="412">
        <f>IF(B228="","",IF(AR228="No",AV228-AZ228,""))</f>
        <v/>
      </c>
      <c r="BC228" s="412">
        <f>IF(B228="","",IF(AR228="Yes",AS228-BA228,""))</f>
        <v/>
      </c>
      <c r="GX228" s="137" t="n"/>
      <c r="GY228" s="538" t="n"/>
      <c r="GZ228" s="137" t="n"/>
      <c r="HA228" s="542" t="n"/>
      <c r="HB228" s="543" t="n"/>
      <c r="HC228" s="489" t="n"/>
      <c r="HD228" s="137" t="n"/>
      <c r="HE228" s="272" t="n"/>
    </row>
    <row r="229">
      <c r="BB229" s="412">
        <f>IF(B229="","",IF(AR229="No",AV229-AZ229,""))</f>
        <v/>
      </c>
      <c r="BC229" s="412">
        <f>IF(B229="","",IF(AR229="Yes",AS229-BA229,""))</f>
        <v/>
      </c>
      <c r="GX229" s="137" t="n"/>
      <c r="GY229" s="538" t="n"/>
      <c r="GZ229" s="137" t="n"/>
      <c r="HA229" s="542" t="n"/>
      <c r="HB229" s="543" t="n"/>
      <c r="HC229" s="489" t="n"/>
      <c r="HD229" s="137" t="n"/>
      <c r="HE229" s="272" t="n"/>
    </row>
    <row r="230">
      <c r="BB230" s="412">
        <f>IF(B230="","",IF(AR230="No",AV230-AZ230,""))</f>
        <v/>
      </c>
      <c r="BC230" s="412">
        <f>IF(B230="","",IF(AR230="Yes",AS230-BA230,""))</f>
        <v/>
      </c>
      <c r="GX230" s="137" t="n"/>
      <c r="GY230" s="538" t="n"/>
      <c r="GZ230" s="137" t="n"/>
      <c r="HA230" s="542" t="n"/>
      <c r="HB230" s="543" t="n"/>
      <c r="HC230" s="489" t="n"/>
      <c r="HD230" s="137" t="n"/>
      <c r="HE230" s="272" t="n"/>
    </row>
    <row r="231">
      <c r="BB231" s="412">
        <f>IF(B231="","",IF(AR231="No",AV231-AZ231,""))</f>
        <v/>
      </c>
      <c r="BC231" s="412">
        <f>IF(B231="","",IF(AR231="Yes",AS231-BA231,""))</f>
        <v/>
      </c>
      <c r="GX231" s="137" t="n"/>
      <c r="GY231" s="538" t="n"/>
      <c r="GZ231" s="137" t="n"/>
      <c r="HA231" s="542" t="n"/>
      <c r="HB231" s="543" t="n"/>
      <c r="HC231" s="489" t="n"/>
      <c r="HD231" s="137" t="n"/>
      <c r="HE231" s="272" t="n"/>
    </row>
    <row r="232">
      <c r="BB232" s="412">
        <f>IF(B232="","",IF(AR232="No",AV232-AZ232,""))</f>
        <v/>
      </c>
      <c r="BC232" s="412">
        <f>IF(B232="","",IF(AR232="Yes",AS232-BA232,""))</f>
        <v/>
      </c>
      <c r="GX232" s="137" t="n"/>
      <c r="GY232" s="538" t="n"/>
      <c r="GZ232" s="137" t="n"/>
      <c r="HA232" s="542" t="n"/>
      <c r="HB232" s="543" t="n"/>
      <c r="HC232" s="489" t="n"/>
      <c r="HD232" s="137" t="n"/>
      <c r="HE232" s="272" t="n"/>
    </row>
    <row r="233">
      <c r="BB233" s="412">
        <f>IF(B233="","",IF(AR233="No",AV233-AZ233,""))</f>
        <v/>
      </c>
      <c r="BC233" s="412">
        <f>IF(B233="","",IF(AR233="Yes",AS233-BA233,""))</f>
        <v/>
      </c>
      <c r="GX233" s="137" t="n"/>
      <c r="GY233" s="538" t="n"/>
      <c r="GZ233" s="137" t="n"/>
      <c r="HA233" s="542" t="n"/>
      <c r="HB233" s="543" t="n"/>
      <c r="HC233" s="489" t="n"/>
      <c r="HD233" s="137" t="n"/>
      <c r="HE233" s="272" t="n"/>
    </row>
    <row r="234">
      <c r="BB234" s="412">
        <f>IF(B234="","",IF(AR234="No",AV234-AZ234,""))</f>
        <v/>
      </c>
      <c r="BC234" s="412">
        <f>IF(B234="","",IF(AR234="Yes",AS234-BA234,""))</f>
        <v/>
      </c>
      <c r="GX234" s="137" t="n"/>
      <c r="GY234" s="538" t="n"/>
      <c r="GZ234" s="137" t="n"/>
      <c r="HA234" s="542" t="n"/>
      <c r="HB234" s="543" t="n"/>
      <c r="HC234" s="489" t="n"/>
      <c r="HD234" s="137" t="n"/>
      <c r="HE234" s="272" t="n"/>
    </row>
    <row r="235">
      <c r="BB235" s="412">
        <f>IF(B235="","",IF(AR235="No",AV235-AZ235,""))</f>
        <v/>
      </c>
      <c r="BC235" s="412">
        <f>IF(B235="","",IF(AR235="Yes",AS235-BA235,""))</f>
        <v/>
      </c>
      <c r="GX235" s="137" t="n"/>
      <c r="GY235" s="538" t="n"/>
      <c r="GZ235" s="137" t="n"/>
      <c r="HA235" s="542" t="n"/>
      <c r="HB235" s="543" t="n"/>
      <c r="HC235" s="489" t="n"/>
      <c r="HD235" s="137" t="n"/>
      <c r="HE235" s="272" t="n"/>
    </row>
    <row r="236">
      <c r="BB236" s="412">
        <f>IF(B236="","",IF(AR236="No",AV236-AZ236,""))</f>
        <v/>
      </c>
      <c r="BC236" s="412">
        <f>IF(B236="","",IF(AR236="Yes",AS236-BA236,""))</f>
        <v/>
      </c>
      <c r="GX236" s="137" t="n"/>
      <c r="GY236" s="538" t="n"/>
      <c r="GZ236" s="137" t="n"/>
      <c r="HA236" s="542" t="n"/>
      <c r="HB236" s="543" t="n"/>
      <c r="HC236" s="489" t="n"/>
      <c r="HD236" s="137" t="n"/>
      <c r="HE236" s="272" t="n"/>
    </row>
    <row r="237">
      <c r="BB237" s="412">
        <f>IF(B237="","",IF(AR237="No",AV237-AZ237,""))</f>
        <v/>
      </c>
      <c r="BC237" s="412">
        <f>IF(B237="","",IF(AR237="Yes",AS237-BA237,""))</f>
        <v/>
      </c>
      <c r="GX237" s="137" t="n"/>
      <c r="GY237" s="538" t="n"/>
      <c r="GZ237" s="137" t="n"/>
      <c r="HA237" s="542" t="n"/>
      <c r="HB237" s="543" t="n"/>
      <c r="HC237" s="489" t="n"/>
      <c r="HD237" s="137" t="n"/>
      <c r="HE237" s="272" t="n"/>
    </row>
    <row r="238">
      <c r="BB238" s="412">
        <f>IF(B238="","",IF(AR238="No",AV238-AZ238,""))</f>
        <v/>
      </c>
      <c r="BC238" s="412">
        <f>IF(B238="","",IF(AR238="Yes",AS238-BA238,""))</f>
        <v/>
      </c>
      <c r="GX238" s="137" t="n"/>
      <c r="GY238" s="538" t="n"/>
      <c r="GZ238" s="137" t="n"/>
      <c r="HA238" s="542" t="n"/>
      <c r="HB238" s="543" t="n"/>
      <c r="HC238" s="489" t="n"/>
      <c r="HD238" s="137" t="n"/>
      <c r="HE238" s="272" t="n"/>
    </row>
    <row r="239">
      <c r="BB239" s="412">
        <f>IF(B239="","",IF(AR239="No",AV239-AZ239,""))</f>
        <v/>
      </c>
      <c r="BC239" s="412">
        <f>IF(B239="","",IF(AR239="Yes",AS239-BA239,""))</f>
        <v/>
      </c>
      <c r="GX239" s="137" t="n"/>
      <c r="GY239" s="538" t="n"/>
      <c r="GZ239" s="137" t="n"/>
      <c r="HA239" s="542" t="n"/>
      <c r="HB239" s="543" t="n"/>
      <c r="HC239" s="489" t="n"/>
      <c r="HD239" s="137" t="n"/>
      <c r="HE239" s="272" t="n"/>
    </row>
    <row r="240">
      <c r="BB240" s="412">
        <f>IF(B240="","",IF(AR240="No",AV240-AZ240,""))</f>
        <v/>
      </c>
      <c r="BC240" s="412">
        <f>IF(B240="","",IF(AR240="Yes",AS240-BA240,""))</f>
        <v/>
      </c>
      <c r="GX240" s="137" t="n"/>
      <c r="GY240" s="538" t="n"/>
      <c r="GZ240" s="137" t="n"/>
      <c r="HA240" s="542" t="n"/>
      <c r="HB240" s="543" t="n"/>
      <c r="HC240" s="489" t="n"/>
      <c r="HD240" s="137" t="n"/>
      <c r="HE240" s="272" t="n"/>
    </row>
    <row r="241">
      <c r="BB241" s="412">
        <f>IF(B241="","",IF(AR241="No",AV241-AZ241,""))</f>
        <v/>
      </c>
      <c r="BC241" s="412">
        <f>IF(B241="","",IF(AR241="Yes",AS241-BA241,""))</f>
        <v/>
      </c>
      <c r="GX241" s="137" t="n"/>
      <c r="GY241" s="538" t="n"/>
      <c r="GZ241" s="137" t="n"/>
      <c r="HA241" s="542" t="n"/>
      <c r="HB241" s="543" t="n"/>
      <c r="HC241" s="489" t="n"/>
      <c r="HD241" s="137" t="n"/>
      <c r="HE241" s="272" t="n"/>
    </row>
    <row r="242">
      <c r="BB242" s="412">
        <f>IF(B242="","",IF(AR242="No",AV242-AZ242,""))</f>
        <v/>
      </c>
      <c r="BC242" s="412">
        <f>IF(B242="","",IF(AR242="Yes",AS242-BA242,""))</f>
        <v/>
      </c>
      <c r="GX242" s="137" t="n"/>
      <c r="GY242" s="538" t="n"/>
      <c r="GZ242" s="137" t="n"/>
      <c r="HA242" s="542" t="n"/>
      <c r="HB242" s="543" t="n"/>
      <c r="HC242" s="489" t="n"/>
      <c r="HD242" s="137" t="n"/>
      <c r="HE242" s="272" t="n"/>
    </row>
    <row r="243">
      <c r="BB243" s="412">
        <f>IF(B243="","",IF(AR243="No",AV243-AZ243,""))</f>
        <v/>
      </c>
      <c r="BC243" s="412">
        <f>IF(B243="","",IF(AR243="Yes",AS243-BA243,""))</f>
        <v/>
      </c>
      <c r="GX243" s="137" t="n"/>
      <c r="GY243" s="538" t="n"/>
      <c r="GZ243" s="137" t="n"/>
      <c r="HA243" s="542" t="n"/>
      <c r="HB243" s="543" t="n"/>
      <c r="HC243" s="489" t="n"/>
      <c r="HD243" s="137" t="n"/>
      <c r="HE243" s="272" t="n"/>
    </row>
    <row r="244">
      <c r="BB244" s="412">
        <f>IF(B244="","",IF(AR244="No",AV244-AZ244,""))</f>
        <v/>
      </c>
      <c r="BC244" s="412">
        <f>IF(B244="","",IF(AR244="Yes",AS244-BA244,""))</f>
        <v/>
      </c>
      <c r="GX244" s="137" t="n"/>
      <c r="GY244" s="538" t="n"/>
      <c r="GZ244" s="137" t="n"/>
      <c r="HA244" s="542" t="n"/>
      <c r="HB244" s="543" t="n"/>
      <c r="HC244" s="489" t="n"/>
      <c r="HD244" s="137" t="n"/>
      <c r="HE244" s="272" t="n"/>
    </row>
    <row r="245">
      <c r="BB245" s="412">
        <f>IF(B245="","",IF(AR245="No",AV245-AZ245,""))</f>
        <v/>
      </c>
      <c r="BC245" s="412">
        <f>IF(B245="","",IF(AR245="Yes",AS245-BA245,""))</f>
        <v/>
      </c>
      <c r="GX245" s="137" t="n"/>
      <c r="GY245" s="538" t="n"/>
      <c r="GZ245" s="137" t="n"/>
      <c r="HA245" s="542" t="n"/>
      <c r="HB245" s="543" t="n"/>
      <c r="HC245" s="489" t="n"/>
      <c r="HD245" s="137" t="n"/>
      <c r="HE245" s="272" t="n"/>
    </row>
    <row r="246">
      <c r="BB246" s="412">
        <f>IF(B246="","",IF(AR246="No",AV246-AZ246,""))</f>
        <v/>
      </c>
      <c r="BC246" s="412">
        <f>IF(B246="","",IF(AR246="Yes",AS246-BA246,""))</f>
        <v/>
      </c>
      <c r="GX246" s="137" t="n"/>
      <c r="GY246" s="538" t="n"/>
      <c r="GZ246" s="137" t="n"/>
      <c r="HA246" s="542" t="n"/>
      <c r="HB246" s="543" t="n"/>
      <c r="HC246" s="489" t="n"/>
      <c r="HD246" s="137" t="n"/>
      <c r="HE246" s="272" t="n"/>
    </row>
    <row r="247">
      <c r="BB247" s="412">
        <f>IF(B247="","",IF(AR247="No",AV247-AZ247,""))</f>
        <v/>
      </c>
      <c r="BC247" s="412">
        <f>IF(B247="","",IF(AR247="Yes",AS247-BA247,""))</f>
        <v/>
      </c>
      <c r="GX247" s="137" t="n"/>
      <c r="GY247" s="538" t="n"/>
      <c r="GZ247" s="137" t="n"/>
      <c r="HA247" s="542" t="n"/>
      <c r="HB247" s="543" t="n"/>
      <c r="HC247" s="489" t="n"/>
      <c r="HD247" s="137" t="n"/>
      <c r="HE247" s="272" t="n"/>
    </row>
    <row r="248">
      <c r="BB248" s="412">
        <f>IF(B248="","",IF(AR248="No",AV248-AZ248,""))</f>
        <v/>
      </c>
      <c r="BC248" s="412">
        <f>IF(B248="","",IF(AR248="Yes",AS248-BA248,""))</f>
        <v/>
      </c>
      <c r="GX248" s="137" t="n"/>
      <c r="GY248" s="538" t="n"/>
      <c r="GZ248" s="137" t="n"/>
      <c r="HA248" s="542" t="n"/>
      <c r="HB248" s="543" t="n"/>
      <c r="HC248" s="489" t="n"/>
      <c r="HD248" s="137" t="n"/>
      <c r="HE248" s="272" t="n"/>
    </row>
    <row r="249">
      <c r="BB249" s="412">
        <f>IF(B249="","",IF(AR249="No",AV249-AZ249,""))</f>
        <v/>
      </c>
      <c r="BC249" s="412">
        <f>IF(B249="","",IF(AR249="Yes",AS249-BA249,""))</f>
        <v/>
      </c>
      <c r="GX249" s="137" t="n"/>
      <c r="GY249" s="538" t="n"/>
      <c r="GZ249" s="137" t="n"/>
      <c r="HA249" s="542" t="n"/>
      <c r="HB249" s="543" t="n"/>
      <c r="HC249" s="489" t="n"/>
      <c r="HD249" s="137" t="n"/>
      <c r="HE249" s="272" t="n"/>
    </row>
    <row r="250">
      <c r="BB250" s="412">
        <f>IF(B250="","",IF(AR250="No",AV250-AZ250,""))</f>
        <v/>
      </c>
      <c r="BC250" s="412">
        <f>IF(B250="","",IF(AR250="Yes",AS250-BA250,""))</f>
        <v/>
      </c>
      <c r="GX250" s="137" t="n"/>
      <c r="GY250" s="538" t="n"/>
      <c r="GZ250" s="137" t="n"/>
      <c r="HA250" s="542" t="n"/>
      <c r="HB250" s="543" t="n"/>
      <c r="HC250" s="489" t="n"/>
      <c r="HD250" s="137" t="n"/>
      <c r="HE250" s="272" t="n"/>
    </row>
    <row r="251">
      <c r="BB251" s="412">
        <f>IF(B251="","",IF(AR251="No",AV251-AZ251,""))</f>
        <v/>
      </c>
      <c r="BC251" s="412">
        <f>IF(B251="","",IF(AR251="Yes",AS251-BA251,""))</f>
        <v/>
      </c>
      <c r="GX251" s="137" t="n"/>
      <c r="GY251" s="538" t="n"/>
      <c r="GZ251" s="137" t="n"/>
      <c r="HA251" s="542" t="n"/>
      <c r="HB251" s="543" t="n"/>
      <c r="HC251" s="489" t="n"/>
      <c r="HD251" s="137" t="n"/>
      <c r="HE251" s="272" t="n"/>
    </row>
    <row r="252">
      <c r="BB252" s="412">
        <f>IF(B252="","",IF(AR252="No",AV252-AZ252,""))</f>
        <v/>
      </c>
      <c r="BC252" s="412">
        <f>IF(B252="","",IF(AR252="Yes",AS252-BA252,""))</f>
        <v/>
      </c>
      <c r="GX252" s="137" t="n"/>
      <c r="GY252" s="538" t="n"/>
      <c r="GZ252" s="137" t="n"/>
      <c r="HA252" s="542" t="n"/>
      <c r="HB252" s="543" t="n"/>
      <c r="HC252" s="489" t="n"/>
      <c r="HD252" s="137" t="n"/>
      <c r="HE252" s="272" t="n"/>
    </row>
    <row r="253">
      <c r="BB253" s="412">
        <f>IF(B253="","",IF(AR253="No",AV253-AZ253,""))</f>
        <v/>
      </c>
      <c r="BC253" s="412">
        <f>IF(B253="","",IF(AR253="Yes",AS253-BA253,""))</f>
        <v/>
      </c>
      <c r="GX253" s="137" t="n"/>
      <c r="GY253" s="538" t="n"/>
      <c r="GZ253" s="137" t="n"/>
      <c r="HA253" s="542" t="n"/>
      <c r="HB253" s="543" t="n"/>
      <c r="HC253" s="489" t="n"/>
      <c r="HD253" s="137" t="n"/>
      <c r="HE253" s="272" t="n"/>
    </row>
    <row r="254">
      <c r="BB254" s="412">
        <f>IF(B254="","",IF(AR254="No",AV254-AZ254,""))</f>
        <v/>
      </c>
      <c r="BC254" s="412">
        <f>IF(B254="","",IF(AR254="Yes",AS254-BA254,""))</f>
        <v/>
      </c>
      <c r="GX254" s="137" t="n"/>
      <c r="GY254" s="538" t="n"/>
      <c r="GZ254" s="137" t="n"/>
      <c r="HA254" s="542" t="n"/>
      <c r="HB254" s="543" t="n"/>
      <c r="HC254" s="489" t="n"/>
      <c r="HD254" s="137" t="n"/>
      <c r="HE254" s="272" t="n"/>
    </row>
    <row r="255">
      <c r="BB255" s="412">
        <f>IF(B255="","",IF(AR255="No",AV255-AZ255,""))</f>
        <v/>
      </c>
      <c r="BC255" s="412">
        <f>IF(B255="","",IF(AR255="Yes",AS255-BA255,""))</f>
        <v/>
      </c>
      <c r="GX255" s="137" t="n"/>
      <c r="GY255" s="538" t="n"/>
      <c r="GZ255" s="137" t="n"/>
      <c r="HA255" s="542" t="n"/>
      <c r="HB255" s="543" t="n"/>
      <c r="HC255" s="489" t="n"/>
      <c r="HD255" s="137" t="n"/>
      <c r="HE255" s="272" t="n"/>
    </row>
    <row r="256">
      <c r="BB256" s="412">
        <f>IF(B256="","",IF(AR256="No",AV256-AZ256,""))</f>
        <v/>
      </c>
      <c r="BC256" s="412">
        <f>IF(B256="","",IF(AR256="Yes",AS256-BA256,""))</f>
        <v/>
      </c>
      <c r="GX256" s="137" t="n"/>
      <c r="GY256" s="538" t="n"/>
      <c r="GZ256" s="137" t="n"/>
      <c r="HA256" s="542" t="n"/>
      <c r="HB256" s="543" t="n"/>
      <c r="HC256" s="489" t="n"/>
      <c r="HD256" s="137" t="n"/>
      <c r="HE256" s="272" t="n"/>
    </row>
    <row r="257">
      <c r="BB257" s="412">
        <f>IF(B257="","",IF(AR257="No",AV257-AZ257,""))</f>
        <v/>
      </c>
      <c r="BC257" s="412">
        <f>IF(B257="","",IF(AR257="Yes",AS257-BA257,""))</f>
        <v/>
      </c>
      <c r="GX257" s="137" t="n"/>
      <c r="GY257" s="538" t="n"/>
      <c r="GZ257" s="137" t="n"/>
      <c r="HA257" s="542" t="n"/>
      <c r="HB257" s="543" t="n"/>
      <c r="HC257" s="489" t="n"/>
      <c r="HD257" s="137" t="n"/>
      <c r="HE257" s="272" t="n"/>
    </row>
    <row r="258">
      <c r="BB258" s="412">
        <f>IF(B258="","",IF(AR258="No",AV258-AZ258,""))</f>
        <v/>
      </c>
      <c r="BC258" s="412">
        <f>IF(B258="","",IF(AR258="Yes",AS258-BA258,""))</f>
        <v/>
      </c>
      <c r="GX258" s="137" t="n"/>
      <c r="GY258" s="538" t="n"/>
      <c r="GZ258" s="137" t="n"/>
      <c r="HA258" s="542" t="n"/>
      <c r="HB258" s="543" t="n"/>
      <c r="HC258" s="489" t="n"/>
      <c r="HD258" s="137" t="n"/>
      <c r="HE258" s="272" t="n"/>
    </row>
    <row r="259">
      <c r="BB259" s="412">
        <f>IF(B259="","",IF(AR259="No",AV259-AZ259,""))</f>
        <v/>
      </c>
      <c r="BC259" s="412">
        <f>IF(B259="","",IF(AR259="Yes",AS259-BA259,""))</f>
        <v/>
      </c>
      <c r="GX259" s="137" t="n"/>
      <c r="GY259" s="538" t="n"/>
      <c r="GZ259" s="137" t="n"/>
      <c r="HA259" s="542" t="n"/>
      <c r="HB259" s="543" t="n"/>
      <c r="HC259" s="489" t="n"/>
      <c r="HD259" s="137" t="n"/>
      <c r="HE259" s="272" t="n"/>
    </row>
    <row r="260">
      <c r="BB260" s="412">
        <f>IF(B260="","",IF(AR260="No",AV260-AZ260,""))</f>
        <v/>
      </c>
      <c r="BC260" s="412">
        <f>IF(B260="","",IF(AR260="Yes",AS260-BA260,""))</f>
        <v/>
      </c>
      <c r="GX260" s="137" t="n"/>
      <c r="GY260" s="538" t="n"/>
      <c r="GZ260" s="137" t="n"/>
      <c r="HA260" s="542" t="n"/>
      <c r="HB260" s="543" t="n"/>
      <c r="HC260" s="489" t="n"/>
      <c r="HD260" s="137" t="n"/>
      <c r="HE260" s="272" t="n"/>
    </row>
    <row r="261">
      <c r="BB261" s="412">
        <f>IF(B261="","",IF(AR261="No",AV261-AZ261,""))</f>
        <v/>
      </c>
      <c r="BC261" s="412">
        <f>IF(B261="","",IF(AR261="Yes",AS261-BA261,""))</f>
        <v/>
      </c>
      <c r="GX261" s="137" t="n"/>
      <c r="GY261" s="538" t="n"/>
      <c r="GZ261" s="137" t="n"/>
      <c r="HA261" s="542" t="n"/>
      <c r="HB261" s="543" t="n"/>
      <c r="HC261" s="489" t="n"/>
      <c r="HD261" s="137" t="n"/>
      <c r="HE261" s="272" t="n"/>
    </row>
    <row r="262">
      <c r="BB262" s="412">
        <f>IF(B262="","",IF(AR262="No",AV262-AZ262,""))</f>
        <v/>
      </c>
      <c r="BC262" s="412">
        <f>IF(B262="","",IF(AR262="Yes",AS262-BA262,""))</f>
        <v/>
      </c>
      <c r="GX262" s="137" t="n"/>
      <c r="GY262" s="538" t="n"/>
      <c r="GZ262" s="137" t="n"/>
      <c r="HA262" s="542" t="n"/>
      <c r="HB262" s="543" t="n"/>
      <c r="HC262" s="489" t="n"/>
      <c r="HD262" s="137" t="n"/>
      <c r="HE262" s="272" t="n"/>
    </row>
    <row r="263">
      <c r="BB263" s="412">
        <f>IF(B263="","",IF(AR263="No",AV263-AZ263,""))</f>
        <v/>
      </c>
      <c r="BC263" s="412">
        <f>IF(B263="","",IF(AR263="Yes",AS263-BA263,""))</f>
        <v/>
      </c>
      <c r="GX263" s="137" t="n"/>
      <c r="GY263" s="538" t="n"/>
      <c r="GZ263" s="137" t="n"/>
      <c r="HA263" s="542" t="n"/>
      <c r="HB263" s="543" t="n"/>
      <c r="HC263" s="489" t="n"/>
      <c r="HD263" s="137" t="n"/>
      <c r="HE263" s="272" t="n"/>
    </row>
    <row r="264">
      <c r="BB264" s="412">
        <f>IF(B264="","",IF(AR264="No",AV264-AZ264,""))</f>
        <v/>
      </c>
      <c r="BC264" s="412">
        <f>IF(B264="","",IF(AR264="Yes",AS264-BA264,""))</f>
        <v/>
      </c>
      <c r="GX264" s="137" t="n"/>
      <c r="GY264" s="538" t="n"/>
      <c r="GZ264" s="137" t="n"/>
      <c r="HA264" s="542" t="n"/>
      <c r="HB264" s="543" t="n"/>
      <c r="HC264" s="489" t="n"/>
      <c r="HD264" s="137" t="n"/>
      <c r="HE264" s="272" t="n"/>
    </row>
    <row r="265">
      <c r="BB265" s="412">
        <f>IF(B265="","",IF(AR265="No",AV265-AZ265,""))</f>
        <v/>
      </c>
      <c r="BC265" s="412">
        <f>IF(B265="","",IF(AR265="Yes",AS265-BA265,""))</f>
        <v/>
      </c>
      <c r="GX265" s="137" t="n"/>
      <c r="GY265" s="538" t="n"/>
      <c r="GZ265" s="137" t="n"/>
      <c r="HA265" s="542" t="n"/>
      <c r="HB265" s="543" t="n"/>
      <c r="HC265" s="489" t="n"/>
      <c r="HD265" s="137" t="n"/>
      <c r="HE265" s="272" t="n"/>
    </row>
    <row r="266">
      <c r="BB266" s="412">
        <f>IF(B266="","",IF(AR266="No",AV266-AZ266,""))</f>
        <v/>
      </c>
      <c r="BC266" s="412">
        <f>IF(B266="","",IF(AR266="Yes",AS266-BA266,""))</f>
        <v/>
      </c>
      <c r="GX266" s="137" t="n"/>
      <c r="GY266" s="538" t="n"/>
      <c r="GZ266" s="137" t="n"/>
      <c r="HA266" s="542" t="n"/>
      <c r="HB266" s="543" t="n"/>
      <c r="HC266" s="489" t="n"/>
      <c r="HD266" s="137" t="n"/>
      <c r="HE266" s="272" t="n"/>
    </row>
    <row r="267">
      <c r="BB267" s="412">
        <f>IF(B267="","",IF(AR267="No",AV267-AZ267,""))</f>
        <v/>
      </c>
      <c r="BC267" s="412">
        <f>IF(B267="","",IF(AR267="Yes",AS267-BA267,""))</f>
        <v/>
      </c>
      <c r="GX267" s="137" t="n"/>
      <c r="GY267" s="538" t="n"/>
      <c r="GZ267" s="137" t="n"/>
      <c r="HA267" s="542" t="n"/>
      <c r="HB267" s="543" t="n"/>
      <c r="HC267" s="489" t="n"/>
      <c r="HD267" s="137" t="n"/>
      <c r="HE267" s="272" t="n"/>
    </row>
    <row r="268">
      <c r="BB268" s="412">
        <f>IF(B268="","",IF(AR268="No",AV268-AZ268,""))</f>
        <v/>
      </c>
      <c r="BC268" s="412">
        <f>IF(B268="","",IF(AR268="Yes",AS268-BA268,""))</f>
        <v/>
      </c>
      <c r="GX268" s="137" t="n"/>
      <c r="GY268" s="538" t="n"/>
      <c r="GZ268" s="137" t="n"/>
      <c r="HA268" s="542" t="n"/>
      <c r="HB268" s="543" t="n"/>
      <c r="HC268" s="489" t="n"/>
      <c r="HD268" s="137" t="n"/>
      <c r="HE268" s="272" t="n"/>
    </row>
    <row r="269">
      <c r="BB269" s="412">
        <f>IF(B269="","",IF(AR269="No",AV269-AZ269,""))</f>
        <v/>
      </c>
      <c r="BC269" s="412">
        <f>IF(B269="","",IF(AR269="Yes",AS269-BA269,""))</f>
        <v/>
      </c>
      <c r="GX269" s="137" t="n"/>
      <c r="GY269" s="538" t="n"/>
      <c r="GZ269" s="137" t="n"/>
      <c r="HA269" s="542" t="n"/>
      <c r="HB269" s="543" t="n"/>
      <c r="HC269" s="489" t="n"/>
      <c r="HD269" s="137" t="n"/>
      <c r="HE269" s="272" t="n"/>
    </row>
    <row r="270">
      <c r="BB270" s="412">
        <f>IF(B270="","",IF(AR270="No",AV270-AZ270,""))</f>
        <v/>
      </c>
      <c r="BC270" s="412">
        <f>IF(B270="","",IF(AR270="Yes",AS270-BA270,""))</f>
        <v/>
      </c>
      <c r="GX270" s="137" t="n"/>
      <c r="GY270" s="538" t="n"/>
      <c r="GZ270" s="137" t="n"/>
      <c r="HA270" s="542" t="n"/>
      <c r="HB270" s="543" t="n"/>
      <c r="HC270" s="489" t="n"/>
      <c r="HD270" s="137" t="n"/>
      <c r="HE270" s="272" t="n"/>
    </row>
    <row r="271">
      <c r="BB271" s="412">
        <f>IF(B271="","",IF(AR271="No",AV271-AZ271,""))</f>
        <v/>
      </c>
      <c r="BC271" s="412">
        <f>IF(B271="","",IF(AR271="Yes",AS271-BA271,""))</f>
        <v/>
      </c>
      <c r="GX271" s="137" t="n"/>
      <c r="GY271" s="538" t="n"/>
      <c r="GZ271" s="137" t="n"/>
      <c r="HA271" s="542" t="n"/>
      <c r="HB271" s="543" t="n"/>
      <c r="HC271" s="489" t="n"/>
      <c r="HD271" s="137" t="n"/>
      <c r="HE271" s="272" t="n"/>
    </row>
    <row r="272">
      <c r="BB272" s="412">
        <f>IF(B272="","",IF(AR272="No",AV272-AZ272,""))</f>
        <v/>
      </c>
      <c r="BC272" s="412">
        <f>IF(B272="","",IF(AR272="Yes",AS272-BA272,""))</f>
        <v/>
      </c>
      <c r="GX272" s="137" t="n"/>
      <c r="GY272" s="538" t="n"/>
      <c r="GZ272" s="137" t="n"/>
      <c r="HA272" s="542" t="n"/>
      <c r="HB272" s="543" t="n"/>
      <c r="HC272" s="489" t="n"/>
      <c r="HD272" s="137" t="n"/>
      <c r="HE272" s="272" t="n"/>
    </row>
    <row r="273">
      <c r="BB273" s="412">
        <f>IF(B273="","",IF(AR273="No",AV273-AZ273,""))</f>
        <v/>
      </c>
      <c r="BC273" s="412">
        <f>IF(B273="","",IF(AR273="Yes",AS273-BA273,""))</f>
        <v/>
      </c>
      <c r="GX273" s="137" t="n"/>
      <c r="GY273" s="538" t="n"/>
      <c r="GZ273" s="137" t="n"/>
      <c r="HA273" s="542" t="n"/>
      <c r="HB273" s="543" t="n"/>
      <c r="HC273" s="489" t="n"/>
      <c r="HD273" s="137" t="n"/>
      <c r="HE273" s="272" t="n"/>
    </row>
    <row r="274">
      <c r="BB274" s="412">
        <f>IF(B274="","",IF(AR274="No",AV274-AZ274,""))</f>
        <v/>
      </c>
      <c r="BC274" s="412">
        <f>IF(B274="","",IF(AR274="Yes",AS274-BA274,""))</f>
        <v/>
      </c>
      <c r="GX274" s="137" t="n"/>
      <c r="GY274" s="538" t="n"/>
      <c r="GZ274" s="137" t="n"/>
      <c r="HA274" s="542" t="n"/>
      <c r="HB274" s="543" t="n"/>
      <c r="HC274" s="489" t="n"/>
      <c r="HD274" s="137" t="n"/>
      <c r="HE274" s="272" t="n"/>
    </row>
    <row r="275">
      <c r="BB275" s="412">
        <f>IF(B275="","",IF(AR275="No",AV275-AZ275,""))</f>
        <v/>
      </c>
      <c r="BC275" s="412">
        <f>IF(B275="","",IF(AR275="Yes",AS275-BA275,""))</f>
        <v/>
      </c>
      <c r="GX275" s="137" t="n"/>
      <c r="GY275" s="538" t="n"/>
      <c r="GZ275" s="137" t="n"/>
      <c r="HA275" s="542" t="n"/>
      <c r="HB275" s="543" t="n"/>
      <c r="HC275" s="489" t="n"/>
      <c r="HD275" s="137" t="n"/>
      <c r="HE275" s="272" t="n"/>
    </row>
    <row r="276">
      <c r="BB276" s="412">
        <f>IF(B276="","",IF(AR276="No",AV276-AZ276,""))</f>
        <v/>
      </c>
      <c r="BC276" s="412">
        <f>IF(B276="","",IF(AR276="Yes",AS276-BA276,""))</f>
        <v/>
      </c>
      <c r="GX276" s="137" t="n"/>
      <c r="GY276" s="538" t="n"/>
      <c r="GZ276" s="137" t="n"/>
      <c r="HA276" s="542" t="n"/>
      <c r="HB276" s="543" t="n"/>
      <c r="HC276" s="489" t="n"/>
      <c r="HD276" s="137" t="n"/>
      <c r="HE276" s="272" t="n"/>
    </row>
    <row r="277">
      <c r="BB277" s="412">
        <f>IF(B277="","",IF(AR277="No",AV277-AZ277,""))</f>
        <v/>
      </c>
      <c r="BC277" s="412">
        <f>IF(B277="","",IF(AR277="Yes",AS277-BA277,""))</f>
        <v/>
      </c>
      <c r="GX277" s="137" t="n"/>
      <c r="GY277" s="538" t="n"/>
      <c r="GZ277" s="137" t="n"/>
      <c r="HA277" s="542" t="n"/>
      <c r="HB277" s="543" t="n"/>
      <c r="HC277" s="489" t="n"/>
      <c r="HD277" s="137" t="n"/>
      <c r="HE277" s="272" t="n"/>
    </row>
    <row r="278">
      <c r="BB278" s="412">
        <f>IF(B278="","",IF(AR278="No",AV278-AZ278,""))</f>
        <v/>
      </c>
      <c r="BC278" s="412">
        <f>IF(B278="","",IF(AR278="Yes",AS278-BA278,""))</f>
        <v/>
      </c>
      <c r="GX278" s="137" t="n"/>
      <c r="GY278" s="538" t="n"/>
      <c r="GZ278" s="137" t="n"/>
      <c r="HA278" s="542" t="n"/>
      <c r="HB278" s="543" t="n"/>
      <c r="HC278" s="489" t="n"/>
      <c r="HD278" s="137" t="n"/>
      <c r="HE278" s="272" t="n"/>
    </row>
    <row r="279">
      <c r="BB279" s="412">
        <f>IF(B279="","",IF(AR279="No",AV279-AZ279,""))</f>
        <v/>
      </c>
      <c r="BC279" s="412">
        <f>IF(B279="","",IF(AR279="Yes",AS279-BA279,""))</f>
        <v/>
      </c>
      <c r="GX279" s="137" t="n"/>
      <c r="GY279" s="538" t="n"/>
      <c r="GZ279" s="137" t="n"/>
      <c r="HA279" s="542" t="n"/>
      <c r="HB279" s="543" t="n"/>
      <c r="HC279" s="489" t="n"/>
      <c r="HD279" s="137" t="n"/>
      <c r="HE279" s="272" t="n"/>
    </row>
    <row r="280">
      <c r="BB280" s="412">
        <f>IF(B280="","",IF(AR280="No",AV280-AZ280,""))</f>
        <v/>
      </c>
      <c r="BC280" s="412">
        <f>IF(B280="","",IF(AR280="Yes",AS280-BA280,""))</f>
        <v/>
      </c>
      <c r="GX280" s="137" t="n"/>
      <c r="GY280" s="538" t="n"/>
      <c r="GZ280" s="137" t="n"/>
      <c r="HA280" s="542" t="n"/>
      <c r="HB280" s="543" t="n"/>
      <c r="HC280" s="489" t="n"/>
      <c r="HD280" s="137" t="n"/>
      <c r="HE280" s="272" t="n"/>
    </row>
    <row r="281">
      <c r="BB281" s="412">
        <f>IF(B281="","",IF(AR281="No",AV281-AZ281,""))</f>
        <v/>
      </c>
      <c r="BC281" s="412">
        <f>IF(B281="","",IF(AR281="Yes",AS281-BA281,""))</f>
        <v/>
      </c>
      <c r="GX281" s="137" t="n"/>
      <c r="GY281" s="538" t="n"/>
      <c r="GZ281" s="137" t="n"/>
      <c r="HA281" s="542" t="n"/>
      <c r="HB281" s="543" t="n"/>
      <c r="HC281" s="489" t="n"/>
      <c r="HD281" s="137" t="n"/>
      <c r="HE281" s="272" t="n"/>
    </row>
    <row r="282">
      <c r="BB282" s="412">
        <f>IF(B282="","",IF(AR282="No",AV282-AZ282,""))</f>
        <v/>
      </c>
      <c r="BC282" s="412">
        <f>IF(B282="","",IF(AR282="Yes",AS282-BA282,""))</f>
        <v/>
      </c>
      <c r="GX282" s="137" t="n"/>
      <c r="GY282" s="538" t="n"/>
      <c r="GZ282" s="137" t="n"/>
      <c r="HA282" s="542" t="n"/>
      <c r="HB282" s="543" t="n"/>
      <c r="HC282" s="489" t="n"/>
      <c r="HD282" s="137" t="n"/>
      <c r="HE282" s="272" t="n"/>
    </row>
    <row r="283">
      <c r="BB283" s="412">
        <f>IF(B283="","",IF(AR283="No",AV283-AZ283,""))</f>
        <v/>
      </c>
      <c r="BC283" s="412">
        <f>IF(B283="","",IF(AR283="Yes",AS283-BA283,""))</f>
        <v/>
      </c>
      <c r="GX283" s="137" t="n"/>
      <c r="GY283" s="538" t="n"/>
      <c r="GZ283" s="137" t="n"/>
      <c r="HA283" s="542" t="n"/>
      <c r="HB283" s="543" t="n"/>
      <c r="HC283" s="489" t="n"/>
      <c r="HD283" s="137" t="n"/>
      <c r="HE283" s="272" t="n"/>
    </row>
    <row r="284">
      <c r="BB284" s="412">
        <f>IF(B284="","",IF(AR284="No",AV284-AZ284,""))</f>
        <v/>
      </c>
      <c r="BC284" s="412">
        <f>IF(B284="","",IF(AR284="Yes",AS284-BA284,""))</f>
        <v/>
      </c>
      <c r="GX284" s="137" t="n"/>
      <c r="GY284" s="538" t="n"/>
      <c r="GZ284" s="137" t="n"/>
      <c r="HA284" s="542" t="n"/>
      <c r="HB284" s="543" t="n"/>
      <c r="HC284" s="489" t="n"/>
      <c r="HD284" s="137" t="n"/>
      <c r="HE284" s="272" t="n"/>
    </row>
    <row r="285">
      <c r="BB285" s="412">
        <f>IF(B285="","",IF(AR285="No",AV285-AZ285,""))</f>
        <v/>
      </c>
      <c r="BC285" s="412">
        <f>IF(B285="","",IF(AR285="Yes",AS285-BA285,""))</f>
        <v/>
      </c>
      <c r="GX285" s="137" t="n"/>
      <c r="GY285" s="538" t="n"/>
      <c r="GZ285" s="137" t="n"/>
      <c r="HA285" s="542" t="n"/>
      <c r="HB285" s="543" t="n"/>
      <c r="HC285" s="489" t="n"/>
      <c r="HD285" s="137" t="n"/>
      <c r="HE285" s="272" t="n"/>
    </row>
    <row r="286">
      <c r="BB286" s="412">
        <f>IF(B286="","",IF(AR286="No",AV286-AZ286,""))</f>
        <v/>
      </c>
      <c r="BC286" s="412">
        <f>IF(B286="","",IF(AR286="Yes",AS286-BA286,""))</f>
        <v/>
      </c>
      <c r="GX286" s="137" t="n"/>
      <c r="GY286" s="538" t="n"/>
      <c r="GZ286" s="137" t="n"/>
      <c r="HA286" s="542" t="n"/>
      <c r="HB286" s="543" t="n"/>
      <c r="HC286" s="489" t="n"/>
      <c r="HD286" s="137" t="n"/>
      <c r="HE286" s="272" t="n"/>
    </row>
    <row r="287">
      <c r="BB287" s="412">
        <f>IF(B287="","",IF(AR287="No",AV287-AZ287,""))</f>
        <v/>
      </c>
      <c r="BC287" s="412">
        <f>IF(B287="","",IF(AR287="Yes",AS287-BA287,""))</f>
        <v/>
      </c>
      <c r="GX287" s="137" t="n"/>
      <c r="GY287" s="538" t="n"/>
      <c r="GZ287" s="137" t="n"/>
      <c r="HA287" s="542" t="n"/>
      <c r="HB287" s="543" t="n"/>
      <c r="HC287" s="489" t="n"/>
      <c r="HD287" s="137" t="n"/>
      <c r="HE287" s="272" t="n"/>
    </row>
    <row r="288">
      <c r="BB288" s="412">
        <f>IF(B288="","",IF(AR288="No",AV288-AZ288,""))</f>
        <v/>
      </c>
      <c r="BC288" s="412">
        <f>IF(B288="","",IF(AR288="Yes",AS288-BA288,""))</f>
        <v/>
      </c>
      <c r="GX288" s="137" t="n"/>
      <c r="GY288" s="538" t="n"/>
      <c r="GZ288" s="137" t="n"/>
      <c r="HA288" s="542" t="n"/>
      <c r="HB288" s="543" t="n"/>
      <c r="HC288" s="489" t="n"/>
      <c r="HD288" s="137" t="n"/>
      <c r="HE288" s="272" t="n"/>
    </row>
    <row r="289">
      <c r="BB289" s="412">
        <f>IF(B289="","",IF(AR289="No",AV289-AZ289,""))</f>
        <v/>
      </c>
      <c r="BC289" s="412">
        <f>IF(B289="","",IF(AR289="Yes",AS289-BA289,""))</f>
        <v/>
      </c>
      <c r="GX289" s="137" t="n"/>
      <c r="GY289" s="538" t="n"/>
      <c r="GZ289" s="137" t="n"/>
      <c r="HA289" s="542" t="n"/>
      <c r="HB289" s="543" t="n"/>
      <c r="HC289" s="489" t="n"/>
      <c r="HD289" s="137" t="n"/>
      <c r="HE289" s="272" t="n"/>
    </row>
    <row r="290">
      <c r="BB290" s="412">
        <f>IF(B290="","",IF(AR290="No",AV290-AZ290,""))</f>
        <v/>
      </c>
      <c r="BC290" s="412">
        <f>IF(B290="","",IF(AR290="Yes",AS290-BA290,""))</f>
        <v/>
      </c>
      <c r="GX290" s="137" t="n"/>
      <c r="GY290" s="538" t="n"/>
      <c r="GZ290" s="137" t="n"/>
      <c r="HA290" s="542" t="n"/>
      <c r="HB290" s="543" t="n"/>
      <c r="HC290" s="489" t="n"/>
      <c r="HD290" s="137" t="n"/>
      <c r="HE290" s="272" t="n"/>
    </row>
    <row r="291">
      <c r="BB291" s="412">
        <f>IF(B291="","",IF(AR291="No",AV291-AZ291,""))</f>
        <v/>
      </c>
      <c r="BC291" s="412">
        <f>IF(B291="","",IF(AR291="Yes",AS291-BA291,""))</f>
        <v/>
      </c>
      <c r="GX291" s="137" t="n"/>
      <c r="GY291" s="538" t="n"/>
      <c r="GZ291" s="137" t="n"/>
      <c r="HA291" s="542" t="n"/>
      <c r="HB291" s="543" t="n"/>
      <c r="HC291" s="489" t="n"/>
      <c r="HD291" s="137" t="n"/>
      <c r="HE291" s="272" t="n"/>
    </row>
    <row r="292">
      <c r="BB292" s="412">
        <f>IF(B292="","",IF(AR292="No",AV292-AZ292,""))</f>
        <v/>
      </c>
      <c r="BC292" s="412">
        <f>IF(B292="","",IF(AR292="Yes",AS292-BA292,""))</f>
        <v/>
      </c>
      <c r="GX292" s="137" t="n"/>
      <c r="GY292" s="538" t="n"/>
      <c r="GZ292" s="137" t="n"/>
      <c r="HA292" s="542" t="n"/>
      <c r="HB292" s="543" t="n"/>
      <c r="HC292" s="489" t="n"/>
      <c r="HD292" s="137" t="n"/>
      <c r="HE292" s="272" t="n"/>
    </row>
    <row r="293">
      <c r="BB293" s="412">
        <f>IF(B293="","",IF(AR293="No",AV293-AZ293,""))</f>
        <v/>
      </c>
      <c r="BC293" s="412">
        <f>IF(B293="","",IF(AR293="Yes",AS293-BA293,""))</f>
        <v/>
      </c>
      <c r="GX293" s="137" t="n"/>
      <c r="GY293" s="538" t="n"/>
      <c r="GZ293" s="137" t="n"/>
      <c r="HA293" s="542" t="n"/>
      <c r="HB293" s="543" t="n"/>
      <c r="HC293" s="489" t="n"/>
      <c r="HD293" s="137" t="n"/>
      <c r="HE293" s="272" t="n"/>
    </row>
    <row r="294">
      <c r="BB294" s="412">
        <f>IF(B294="","",IF(AR294="No",AV294-AZ294,""))</f>
        <v/>
      </c>
      <c r="BC294" s="412">
        <f>IF(B294="","",IF(AR294="Yes",AS294-BA294,""))</f>
        <v/>
      </c>
      <c r="GX294" s="137" t="n"/>
      <c r="GY294" s="538" t="n"/>
      <c r="GZ294" s="137" t="n"/>
      <c r="HA294" s="542" t="n"/>
      <c r="HB294" s="543" t="n"/>
      <c r="HC294" s="489" t="n"/>
      <c r="HD294" s="137" t="n"/>
      <c r="HE294" s="272" t="n"/>
    </row>
    <row r="295">
      <c r="BB295" s="412">
        <f>IF(B295="","",IF(AR295="No",AV295-AZ295,""))</f>
        <v/>
      </c>
      <c r="BC295" s="412">
        <f>IF(B295="","",IF(AR295="Yes",AS295-BA295,""))</f>
        <v/>
      </c>
      <c r="GX295" s="137" t="n"/>
      <c r="GY295" s="538" t="n"/>
      <c r="GZ295" s="137" t="n"/>
      <c r="HA295" s="542" t="n"/>
      <c r="HB295" s="543" t="n"/>
      <c r="HC295" s="489" t="n"/>
      <c r="HD295" s="137" t="n"/>
      <c r="HE295" s="272" t="n"/>
    </row>
    <row r="296">
      <c r="BB296" s="412">
        <f>IF(B296="","",IF(AR296="No",AV296-AZ296,""))</f>
        <v/>
      </c>
      <c r="BC296" s="412">
        <f>IF(B296="","",IF(AR296="Yes",AS296-BA296,""))</f>
        <v/>
      </c>
      <c r="GX296" s="137" t="n"/>
      <c r="GY296" s="538" t="n"/>
      <c r="GZ296" s="137" t="n"/>
      <c r="HA296" s="542" t="n"/>
      <c r="HB296" s="543" t="n"/>
      <c r="HC296" s="489" t="n"/>
      <c r="HD296" s="137" t="n"/>
      <c r="HE296" s="272" t="n"/>
    </row>
    <row r="297">
      <c r="BB297" s="412">
        <f>IF(B297="","",IF(AR297="No",AV297-AZ297,""))</f>
        <v/>
      </c>
      <c r="BC297" s="412">
        <f>IF(B297="","",IF(AR297="Yes",AS297-BA297,""))</f>
        <v/>
      </c>
      <c r="GX297" s="137" t="n"/>
      <c r="GY297" s="538" t="n"/>
      <c r="GZ297" s="137" t="n"/>
      <c r="HA297" s="542" t="n"/>
      <c r="HB297" s="543" t="n"/>
      <c r="HC297" s="489" t="n"/>
      <c r="HD297" s="137" t="n"/>
      <c r="HE297" s="272" t="n"/>
    </row>
    <row r="298">
      <c r="BB298" s="412">
        <f>IF(B298="","",IF(AR298="No",AV298-AZ298,""))</f>
        <v/>
      </c>
      <c r="BC298" s="412">
        <f>IF(B298="","",IF(AR298="Yes",AS298-BA298,""))</f>
        <v/>
      </c>
      <c r="GX298" s="137" t="n"/>
      <c r="GY298" s="538" t="n"/>
      <c r="GZ298" s="137" t="n"/>
      <c r="HA298" s="542" t="n"/>
      <c r="HB298" s="543" t="n"/>
      <c r="HC298" s="489" t="n"/>
      <c r="HD298" s="137" t="n"/>
      <c r="HE298" s="272" t="n"/>
    </row>
    <row r="299">
      <c r="BB299" s="412">
        <f>IF(B299="","",IF(AR299="No",AV299-AZ299,""))</f>
        <v/>
      </c>
      <c r="BC299" s="412">
        <f>IF(B299="","",IF(AR299="Yes",AS299-BA299,""))</f>
        <v/>
      </c>
      <c r="GX299" s="137" t="n"/>
      <c r="GY299" s="538" t="n"/>
      <c r="GZ299" s="137" t="n"/>
      <c r="HA299" s="542" t="n"/>
      <c r="HB299" s="543" t="n"/>
      <c r="HC299" s="489" t="n"/>
      <c r="HD299" s="137" t="n"/>
      <c r="HE299" s="272" t="n"/>
    </row>
    <row r="300">
      <c r="BB300" s="412">
        <f>IF(B300="","",IF(AR300="No",AV300-AZ300,""))</f>
        <v/>
      </c>
      <c r="BC300" s="412">
        <f>IF(B300="","",IF(AR300="Yes",AS300-BA300,""))</f>
        <v/>
      </c>
      <c r="GX300" s="137" t="n"/>
      <c r="GY300" s="538" t="n"/>
      <c r="GZ300" s="137" t="n"/>
      <c r="HA300" s="542" t="n"/>
      <c r="HB300" s="543" t="n"/>
      <c r="HC300" s="489" t="n"/>
      <c r="HD300" s="137" t="n"/>
      <c r="HE300" s="272" t="n"/>
    </row>
    <row r="301">
      <c r="BB301" s="412">
        <f>IF(B301="","",IF(AR301="No",AV301-AZ301,""))</f>
        <v/>
      </c>
      <c r="BC301" s="412">
        <f>IF(B301="","",IF(AR301="Yes",AS301-BA301,""))</f>
        <v/>
      </c>
      <c r="GX301" s="137" t="n"/>
      <c r="GY301" s="538" t="n"/>
      <c r="GZ301" s="137" t="n"/>
      <c r="HA301" s="542" t="n"/>
      <c r="HB301" s="543" t="n"/>
      <c r="HC301" s="489" t="n"/>
      <c r="HD301" s="137" t="n"/>
      <c r="HE301" s="272" t="n"/>
    </row>
    <row r="302">
      <c r="BB302" s="412">
        <f>IF(B302="","",IF(AR302="No",AV302-AZ302,""))</f>
        <v/>
      </c>
      <c r="BC302" s="412">
        <f>IF(B302="","",IF(AR302="Yes",AS302-BA302,""))</f>
        <v/>
      </c>
      <c r="GX302" s="137" t="n"/>
      <c r="GY302" s="538" t="n"/>
      <c r="GZ302" s="137" t="n"/>
      <c r="HA302" s="542" t="n"/>
      <c r="HB302" s="543" t="n"/>
      <c r="HC302" s="489" t="n"/>
      <c r="HD302" s="137" t="n"/>
      <c r="HE302" s="272" t="n"/>
    </row>
    <row r="303">
      <c r="BB303" s="412">
        <f>IF(B303="","",IF(AR303="No",AV303-AZ303,""))</f>
        <v/>
      </c>
      <c r="BC303" s="412">
        <f>IF(B303="","",IF(AR303="Yes",AS303-BA303,""))</f>
        <v/>
      </c>
      <c r="GX303" s="137" t="n"/>
      <c r="GY303" s="538" t="n"/>
      <c r="GZ303" s="137" t="n"/>
      <c r="HA303" s="542" t="n"/>
      <c r="HB303" s="543" t="n"/>
      <c r="HC303" s="489" t="n"/>
      <c r="HD303" s="137" t="n"/>
      <c r="HE303" s="272" t="n"/>
    </row>
    <row r="304">
      <c r="BB304" s="412">
        <f>IF(B304="","",IF(AR304="No",AV304-AZ304,""))</f>
        <v/>
      </c>
      <c r="BC304" s="412">
        <f>IF(B304="","",IF(AR304="Yes",AS304-BA304,""))</f>
        <v/>
      </c>
      <c r="GX304" s="137" t="n"/>
      <c r="GY304" s="538" t="n"/>
      <c r="GZ304" s="137" t="n"/>
      <c r="HA304" s="542" t="n"/>
      <c r="HB304" s="543" t="n"/>
      <c r="HC304" s="489" t="n"/>
      <c r="HD304" s="137" t="n"/>
      <c r="HE304" s="272" t="n"/>
    </row>
    <row r="305">
      <c r="BB305" s="412">
        <f>IF(B305="","",IF(AR305="No",AV305-AZ305,""))</f>
        <v/>
      </c>
      <c r="BC305" s="412">
        <f>IF(B305="","",IF(AR305="Yes",AS305-BA305,""))</f>
        <v/>
      </c>
      <c r="GX305" s="137" t="n"/>
      <c r="GY305" s="538" t="n"/>
      <c r="GZ305" s="137" t="n"/>
      <c r="HA305" s="542" t="n"/>
      <c r="HB305" s="543" t="n"/>
      <c r="HC305" s="489" t="n"/>
      <c r="HD305" s="137" t="n"/>
      <c r="HE305" s="272" t="n"/>
    </row>
    <row r="306">
      <c r="BB306" s="412">
        <f>IF(B306="","",IF(AR306="No",AV306-AZ306,""))</f>
        <v/>
      </c>
      <c r="BC306" s="412">
        <f>IF(B306="","",IF(AR306="Yes",AS306-BA306,""))</f>
        <v/>
      </c>
      <c r="GX306" s="137" t="n"/>
      <c r="GY306" s="538" t="n"/>
      <c r="GZ306" s="137" t="n"/>
      <c r="HA306" s="542" t="n"/>
      <c r="HB306" s="543" t="n"/>
      <c r="HC306" s="489" t="n"/>
      <c r="HD306" s="137" t="n"/>
      <c r="HE306" s="272" t="n"/>
    </row>
    <row r="307">
      <c r="BB307" s="412">
        <f>IF(B307="","",IF(AR307="No",AV307-AZ307,""))</f>
        <v/>
      </c>
      <c r="BC307" s="412">
        <f>IF(B307="","",IF(AR307="Yes",AS307-BA307,""))</f>
        <v/>
      </c>
      <c r="GX307" s="137" t="n"/>
      <c r="GY307" s="538" t="n"/>
      <c r="GZ307" s="137" t="n"/>
      <c r="HA307" s="542" t="n"/>
      <c r="HB307" s="543" t="n"/>
      <c r="HC307" s="489" t="n"/>
      <c r="HD307" s="137" t="n"/>
      <c r="HE307" s="272" t="n"/>
    </row>
    <row r="308">
      <c r="BB308" s="412">
        <f>IF(B308="","",IF(AR308="No",AV308-AZ308,""))</f>
        <v/>
      </c>
      <c r="BC308" s="412">
        <f>IF(B308="","",IF(AR308="Yes",AS308-BA308,""))</f>
        <v/>
      </c>
      <c r="GX308" s="137" t="n"/>
      <c r="GY308" s="538" t="n"/>
      <c r="GZ308" s="137" t="n"/>
      <c r="HA308" s="542" t="n"/>
      <c r="HB308" s="543" t="n"/>
      <c r="HC308" s="489" t="n"/>
      <c r="HD308" s="137" t="n"/>
      <c r="HE308" s="272" t="n"/>
    </row>
    <row r="309">
      <c r="BB309" s="412">
        <f>IF(B309="","",IF(AR309="No",AV309-AZ309,""))</f>
        <v/>
      </c>
      <c r="BC309" s="412">
        <f>IF(B309="","",IF(AR309="Yes",AS309-BA309,""))</f>
        <v/>
      </c>
      <c r="GX309" s="137" t="n"/>
      <c r="GY309" s="538" t="n"/>
      <c r="GZ309" s="137" t="n"/>
      <c r="HA309" s="542" t="n"/>
      <c r="HB309" s="543" t="n"/>
      <c r="HC309" s="489" t="n"/>
      <c r="HD309" s="137" t="n"/>
      <c r="HE309" s="272" t="n"/>
    </row>
    <row r="310">
      <c r="BB310" s="412">
        <f>IF(B310="","",IF(AR310="No",AV310-AZ310,""))</f>
        <v/>
      </c>
      <c r="BC310" s="412">
        <f>IF(B310="","",IF(AR310="Yes",AS310-BA310,""))</f>
        <v/>
      </c>
      <c r="GX310" s="137" t="n"/>
      <c r="GY310" s="538" t="n"/>
      <c r="GZ310" s="137" t="n"/>
      <c r="HA310" s="542" t="n"/>
      <c r="HB310" s="543" t="n"/>
      <c r="HC310" s="489" t="n"/>
      <c r="HD310" s="137" t="n"/>
      <c r="HE310" s="272" t="n"/>
    </row>
    <row r="311">
      <c r="BB311" s="412">
        <f>IF(B311="","",IF(AR311="No",AV311-AZ311,""))</f>
        <v/>
      </c>
      <c r="BC311" s="412">
        <f>IF(B311="","",IF(AR311="Yes",AS311-BA311,""))</f>
        <v/>
      </c>
      <c r="GX311" s="137" t="n"/>
      <c r="GY311" s="538" t="n"/>
      <c r="GZ311" s="137" t="n"/>
      <c r="HA311" s="542" t="n"/>
      <c r="HB311" s="543" t="n"/>
      <c r="HC311" s="489" t="n"/>
      <c r="HD311" s="137" t="n"/>
      <c r="HE311" s="272" t="n"/>
    </row>
    <row r="312">
      <c r="BB312" s="412">
        <f>IF(B312="","",IF(AR312="No",AV312-AZ312,""))</f>
        <v/>
      </c>
      <c r="BC312" s="412">
        <f>IF(B312="","",IF(AR312="Yes",AS312-BA312,""))</f>
        <v/>
      </c>
      <c r="GX312" s="137" t="n"/>
      <c r="GY312" s="538" t="n"/>
      <c r="GZ312" s="137" t="n"/>
      <c r="HA312" s="542" t="n"/>
      <c r="HB312" s="543" t="n"/>
      <c r="HC312" s="489" t="n"/>
      <c r="HD312" s="137" t="n"/>
      <c r="HE312" s="272" t="n"/>
    </row>
    <row r="313">
      <c r="BB313" s="412">
        <f>IF(B313="","",IF(AR313="No",AV313-AZ313,""))</f>
        <v/>
      </c>
      <c r="BC313" s="412">
        <f>IF(B313="","",IF(AR313="Yes",AS313-BA313,""))</f>
        <v/>
      </c>
      <c r="GX313" s="137" t="n"/>
      <c r="GY313" s="538" t="n"/>
      <c r="GZ313" s="137" t="n"/>
      <c r="HA313" s="542" t="n"/>
      <c r="HB313" s="543" t="n"/>
      <c r="HC313" s="489" t="n"/>
      <c r="HD313" s="137" t="n"/>
      <c r="HE313" s="272" t="n"/>
    </row>
    <row r="314">
      <c r="BB314" s="412">
        <f>IF(B314="","",IF(AR314="No",AV314-AZ314,""))</f>
        <v/>
      </c>
      <c r="BC314" s="412">
        <f>IF(B314="","",IF(AR314="Yes",AS314-BA314,""))</f>
        <v/>
      </c>
      <c r="GX314" s="137" t="n"/>
      <c r="GY314" s="538" t="n"/>
      <c r="GZ314" s="137" t="n"/>
      <c r="HA314" s="542" t="n"/>
      <c r="HB314" s="543" t="n"/>
      <c r="HC314" s="489" t="n"/>
      <c r="HD314" s="137" t="n"/>
      <c r="HE314" s="272" t="n"/>
    </row>
    <row r="315">
      <c r="BB315" s="412">
        <f>IF(B315="","",IF(AR315="No",AV315-AZ315,""))</f>
        <v/>
      </c>
      <c r="BC315" s="412">
        <f>IF(B315="","",IF(AR315="Yes",AS315-BA315,""))</f>
        <v/>
      </c>
      <c r="GX315" s="137" t="n"/>
      <c r="GY315" s="538" t="n"/>
      <c r="GZ315" s="137" t="n"/>
      <c r="HA315" s="542" t="n"/>
      <c r="HB315" s="543" t="n"/>
      <c r="HC315" s="489" t="n"/>
      <c r="HD315" s="137" t="n"/>
      <c r="HE315" s="272" t="n"/>
    </row>
    <row r="316">
      <c r="BB316" s="412">
        <f>IF(B316="","",IF(AR316="No",AV316-AZ316,""))</f>
        <v/>
      </c>
      <c r="BC316" s="412">
        <f>IF(B316="","",IF(AR316="Yes",AS316-BA316,""))</f>
        <v/>
      </c>
      <c r="GX316" s="137" t="n"/>
      <c r="GY316" s="538" t="n"/>
      <c r="GZ316" s="137" t="n"/>
      <c r="HA316" s="542" t="n"/>
      <c r="HB316" s="543" t="n"/>
      <c r="HC316" s="489" t="n"/>
      <c r="HD316" s="137" t="n"/>
      <c r="HE316" s="272" t="n"/>
    </row>
    <row r="317">
      <c r="BB317" s="412">
        <f>IF(B317="","",IF(AR317="No",AV317-AZ317,""))</f>
        <v/>
      </c>
      <c r="BC317" s="412">
        <f>IF(B317="","",IF(AR317="Yes",AS317-BA317,""))</f>
        <v/>
      </c>
      <c r="GX317" s="137" t="n"/>
      <c r="GY317" s="538" t="n"/>
      <c r="GZ317" s="137" t="n"/>
      <c r="HA317" s="542" t="n"/>
      <c r="HB317" s="543" t="n"/>
      <c r="HC317" s="489" t="n"/>
      <c r="HD317" s="137" t="n"/>
      <c r="HE317" s="272" t="n"/>
    </row>
    <row r="318">
      <c r="BB318" s="412">
        <f>IF(B318="","",IF(AR318="No",AV318-AZ318,""))</f>
        <v/>
      </c>
      <c r="BC318" s="412">
        <f>IF(B318="","",IF(AR318="Yes",AS318-BA318,""))</f>
        <v/>
      </c>
      <c r="GX318" s="137" t="n"/>
      <c r="GY318" s="538" t="n"/>
      <c r="GZ318" s="137" t="n"/>
      <c r="HA318" s="542" t="n"/>
      <c r="HB318" s="543" t="n"/>
      <c r="HC318" s="489" t="n"/>
      <c r="HD318" s="137" t="n"/>
      <c r="HE318" s="272" t="n"/>
    </row>
    <row r="319">
      <c r="BB319" s="412">
        <f>IF(B319="","",IF(AR319="No",AV319-AZ319,""))</f>
        <v/>
      </c>
      <c r="BC319" s="412">
        <f>IF(B319="","",IF(AR319="Yes",AS319-BA319,""))</f>
        <v/>
      </c>
      <c r="GX319" s="137" t="n"/>
      <c r="GY319" s="538" t="n"/>
      <c r="GZ319" s="137" t="n"/>
      <c r="HA319" s="542" t="n"/>
      <c r="HB319" s="543" t="n"/>
      <c r="HC319" s="489" t="n"/>
      <c r="HD319" s="137" t="n"/>
      <c r="HE319" s="272" t="n"/>
    </row>
    <row r="320">
      <c r="BB320" s="412">
        <f>IF(B320="","",IF(AR320="No",AV320-AZ320,""))</f>
        <v/>
      </c>
      <c r="BC320" s="412">
        <f>IF(B320="","",IF(AR320="Yes",AS320-BA320,""))</f>
        <v/>
      </c>
      <c r="GX320" s="137" t="n"/>
      <c r="GY320" s="538" t="n"/>
      <c r="GZ320" s="137" t="n"/>
      <c r="HA320" s="542" t="n"/>
      <c r="HB320" s="543" t="n"/>
      <c r="HC320" s="489" t="n"/>
      <c r="HD320" s="137" t="n"/>
      <c r="HE320" s="272" t="n"/>
    </row>
    <row r="321">
      <c r="BB321" s="412">
        <f>IF(B321="","",IF(AR321="No",AV321-AZ321,""))</f>
        <v/>
      </c>
      <c r="BC321" s="412">
        <f>IF(B321="","",IF(AR321="Yes",AS321-BA321,""))</f>
        <v/>
      </c>
      <c r="GX321" s="137" t="n"/>
      <c r="GY321" s="538" t="n"/>
      <c r="GZ321" s="137" t="n"/>
      <c r="HA321" s="542" t="n"/>
      <c r="HB321" s="543" t="n"/>
      <c r="HC321" s="489" t="n"/>
      <c r="HD321" s="137" t="n"/>
      <c r="HE321" s="272" t="n"/>
    </row>
    <row r="322">
      <c r="BB322" s="412">
        <f>IF(B322="","",IF(AR322="No",AV322-AZ322,""))</f>
        <v/>
      </c>
      <c r="BC322" s="412">
        <f>IF(B322="","",IF(AR322="Yes",AS322-BA322,""))</f>
        <v/>
      </c>
      <c r="GX322" s="137" t="n"/>
      <c r="GY322" s="538" t="n"/>
      <c r="GZ322" s="137" t="n"/>
      <c r="HA322" s="542" t="n"/>
      <c r="HB322" s="543" t="n"/>
      <c r="HC322" s="489" t="n"/>
      <c r="HD322" s="137" t="n"/>
      <c r="HE322" s="272" t="n"/>
    </row>
    <row r="323">
      <c r="BB323" s="412">
        <f>IF(B323="","",IF(AR323="No",AV323-AZ323,""))</f>
        <v/>
      </c>
      <c r="BC323" s="412">
        <f>IF(B323="","",IF(AR323="Yes",AS323-BA323,""))</f>
        <v/>
      </c>
      <c r="GX323" s="137" t="n"/>
      <c r="GY323" s="538" t="n"/>
      <c r="GZ323" s="137" t="n"/>
      <c r="HA323" s="542" t="n"/>
      <c r="HB323" s="543" t="n"/>
      <c r="HC323" s="489" t="n"/>
      <c r="HD323" s="137" t="n"/>
      <c r="HE323" s="272" t="n"/>
    </row>
    <row r="324">
      <c r="BB324" s="412">
        <f>IF(B324="","",IF(AR324="No",AV324-AZ324,""))</f>
        <v/>
      </c>
      <c r="BC324" s="412">
        <f>IF(B324="","",IF(AR324="Yes",AS324-BA324,""))</f>
        <v/>
      </c>
      <c r="GX324" s="137" t="n"/>
      <c r="GY324" s="538" t="n"/>
      <c r="GZ324" s="137" t="n"/>
      <c r="HA324" s="542" t="n"/>
      <c r="HB324" s="543" t="n"/>
      <c r="HC324" s="489" t="n"/>
      <c r="HD324" s="137" t="n"/>
      <c r="HE324" s="272" t="n"/>
    </row>
    <row r="325">
      <c r="BB325" s="412">
        <f>IF(B325="","",IF(AR325="No",AV325-AZ325,""))</f>
        <v/>
      </c>
      <c r="BC325" s="412">
        <f>IF(B325="","",IF(AR325="Yes",AS325-BA325,""))</f>
        <v/>
      </c>
      <c r="GX325" s="137" t="n"/>
      <c r="GY325" s="538" t="n"/>
      <c r="GZ325" s="137" t="n"/>
      <c r="HA325" s="542" t="n"/>
      <c r="HB325" s="543" t="n"/>
      <c r="HC325" s="489" t="n"/>
      <c r="HD325" s="137" t="n"/>
      <c r="HE325" s="272" t="n"/>
    </row>
    <row r="326">
      <c r="BB326" s="412">
        <f>IF(B326="","",IF(AR326="No",AV326-AZ326,""))</f>
        <v/>
      </c>
      <c r="BC326" s="412">
        <f>IF(B326="","",IF(AR326="Yes",AS326-BA326,""))</f>
        <v/>
      </c>
      <c r="GX326" s="137" t="n"/>
      <c r="GY326" s="538" t="n"/>
      <c r="GZ326" s="137" t="n"/>
      <c r="HA326" s="542" t="n"/>
      <c r="HB326" s="543" t="n"/>
      <c r="HC326" s="489" t="n"/>
      <c r="HD326" s="137" t="n"/>
      <c r="HE326" s="272" t="n"/>
    </row>
    <row r="327">
      <c r="BB327" s="412">
        <f>IF(B327="","",IF(AR327="No",AV327-AZ327,""))</f>
        <v/>
      </c>
      <c r="BC327" s="412">
        <f>IF(B327="","",IF(AR327="Yes",AS327-BA327,""))</f>
        <v/>
      </c>
      <c r="GX327" s="137" t="n"/>
      <c r="GY327" s="538" t="n"/>
      <c r="GZ327" s="137" t="n"/>
      <c r="HA327" s="542" t="n"/>
      <c r="HB327" s="543" t="n"/>
      <c r="HC327" s="489" t="n"/>
      <c r="HD327" s="137" t="n"/>
      <c r="HE327" s="272" t="n"/>
    </row>
    <row r="328">
      <c r="BB328" s="412">
        <f>IF(B328="","",IF(AR328="No",AV328-AZ328,""))</f>
        <v/>
      </c>
      <c r="BC328" s="412">
        <f>IF(B328="","",IF(AR328="Yes",AS328-BA328,""))</f>
        <v/>
      </c>
      <c r="GX328" s="137" t="n"/>
      <c r="GY328" s="538" t="n"/>
      <c r="GZ328" s="137" t="n"/>
      <c r="HA328" s="542" t="n"/>
      <c r="HB328" s="543" t="n"/>
      <c r="HC328" s="489" t="n"/>
      <c r="HD328" s="137" t="n"/>
      <c r="HE328" s="272" t="n"/>
    </row>
    <row r="329">
      <c r="BB329" s="412">
        <f>IF(B329="","",IF(AR329="No",AV329-AZ329,""))</f>
        <v/>
      </c>
      <c r="BC329" s="412">
        <f>IF(B329="","",IF(AR329="Yes",AS329-BA329,""))</f>
        <v/>
      </c>
      <c r="GX329" s="137" t="n"/>
      <c r="GY329" s="538" t="n"/>
      <c r="GZ329" s="137" t="n"/>
      <c r="HA329" s="542" t="n"/>
      <c r="HB329" s="543" t="n"/>
      <c r="HC329" s="489" t="n"/>
      <c r="HD329" s="137" t="n"/>
      <c r="HE329" s="272" t="n"/>
    </row>
    <row r="330">
      <c r="BB330" s="412">
        <f>IF(B330="","",IF(AR330="No",AV330-AZ330,""))</f>
        <v/>
      </c>
      <c r="BC330" s="412">
        <f>IF(B330="","",IF(AR330="Yes",AS330-BA330,""))</f>
        <v/>
      </c>
      <c r="GX330" s="137" t="n"/>
      <c r="GY330" s="538" t="n"/>
      <c r="GZ330" s="137" t="n"/>
      <c r="HA330" s="542" t="n"/>
      <c r="HB330" s="543" t="n"/>
      <c r="HC330" s="489" t="n"/>
      <c r="HD330" s="137" t="n"/>
      <c r="HE330" s="272" t="n"/>
    </row>
    <row r="331">
      <c r="BB331" s="412">
        <f>IF(B331="","",IF(AR331="No",AV331-AZ331,""))</f>
        <v/>
      </c>
      <c r="BC331" s="412">
        <f>IF(B331="","",IF(AR331="Yes",AS331-BA331,""))</f>
        <v/>
      </c>
      <c r="GX331" s="137" t="n"/>
      <c r="GY331" s="538" t="n"/>
      <c r="GZ331" s="137" t="n"/>
      <c r="HA331" s="542" t="n"/>
      <c r="HB331" s="543" t="n"/>
      <c r="HC331" s="489" t="n"/>
      <c r="HD331" s="137" t="n"/>
      <c r="HE331" s="272" t="n"/>
    </row>
    <row r="332">
      <c r="BB332" s="412">
        <f>IF(B332="","",IF(AR332="No",AV332-AZ332,""))</f>
        <v/>
      </c>
      <c r="BC332" s="412">
        <f>IF(B332="","",IF(AR332="Yes",AS332-BA332,""))</f>
        <v/>
      </c>
      <c r="GX332" s="137" t="n"/>
      <c r="GY332" s="538" t="n"/>
      <c r="GZ332" s="137" t="n"/>
      <c r="HA332" s="542" t="n"/>
      <c r="HB332" s="543" t="n"/>
      <c r="HC332" s="489" t="n"/>
      <c r="HD332" s="137" t="n"/>
      <c r="HE332" s="272" t="n"/>
    </row>
    <row r="333">
      <c r="BB333" s="412">
        <f>IF(B333="","",IF(AR333="No",AV333-AZ333,""))</f>
        <v/>
      </c>
      <c r="BC333" s="412">
        <f>IF(B333="","",IF(AR333="Yes",AS333-BA333,""))</f>
        <v/>
      </c>
      <c r="GX333" s="137" t="n"/>
      <c r="GY333" s="538" t="n"/>
      <c r="GZ333" s="137" t="n"/>
      <c r="HA333" s="542" t="n"/>
      <c r="HB333" s="543" t="n"/>
      <c r="HC333" s="489" t="n"/>
      <c r="HD333" s="137" t="n"/>
      <c r="HE333" s="272" t="n"/>
    </row>
    <row r="334">
      <c r="BB334" s="412">
        <f>IF(B334="","",IF(AR334="No",AV334-AZ334,""))</f>
        <v/>
      </c>
      <c r="BC334" s="412">
        <f>IF(B334="","",IF(AR334="Yes",AS334-BA334,""))</f>
        <v/>
      </c>
      <c r="GX334" s="137" t="n"/>
      <c r="GY334" s="538" t="n"/>
      <c r="GZ334" s="137" t="n"/>
      <c r="HA334" s="542" t="n"/>
      <c r="HB334" s="543" t="n"/>
      <c r="HC334" s="489" t="n"/>
      <c r="HD334" s="137" t="n"/>
      <c r="HE334" s="272" t="n"/>
    </row>
    <row r="335">
      <c r="BB335" s="412">
        <f>IF(B335="","",IF(AR335="No",AV335-AZ335,""))</f>
        <v/>
      </c>
      <c r="BC335" s="412">
        <f>IF(B335="","",IF(AR335="Yes",AS335-BA335,""))</f>
        <v/>
      </c>
      <c r="GX335" s="137" t="n"/>
      <c r="GY335" s="538" t="n"/>
      <c r="GZ335" s="137" t="n"/>
      <c r="HA335" s="542" t="n"/>
      <c r="HB335" s="543" t="n"/>
      <c r="HC335" s="489" t="n"/>
      <c r="HD335" s="137" t="n"/>
      <c r="HE335" s="272" t="n"/>
    </row>
    <row r="336">
      <c r="BB336" s="412">
        <f>IF(B336="","",IF(AR336="No",AV336-AZ336,""))</f>
        <v/>
      </c>
      <c r="BC336" s="412">
        <f>IF(B336="","",IF(AR336="Yes",AS336-BA336,""))</f>
        <v/>
      </c>
      <c r="GX336" s="137" t="n"/>
      <c r="GY336" s="538" t="n"/>
      <c r="GZ336" s="137" t="n"/>
      <c r="HA336" s="542" t="n"/>
      <c r="HB336" s="543" t="n"/>
      <c r="HC336" s="489" t="n"/>
      <c r="HD336" s="137" t="n"/>
      <c r="HE336" s="272" t="n"/>
    </row>
    <row r="337">
      <c r="BB337" s="412">
        <f>IF(B337="","",IF(AR337="No",AV337-AZ337,""))</f>
        <v/>
      </c>
      <c r="BC337" s="412">
        <f>IF(B337="","",IF(AR337="Yes",AS337-BA337,""))</f>
        <v/>
      </c>
      <c r="GX337" s="137" t="n"/>
      <c r="GY337" s="538" t="n"/>
      <c r="GZ337" s="137" t="n"/>
      <c r="HA337" s="542" t="n"/>
      <c r="HB337" s="543" t="n"/>
      <c r="HC337" s="489" t="n"/>
      <c r="HD337" s="137" t="n"/>
      <c r="HE337" s="272" t="n"/>
    </row>
    <row r="338">
      <c r="BB338" s="412">
        <f>IF(B338="","",IF(AR338="No",AV338-AZ338,""))</f>
        <v/>
      </c>
      <c r="BC338" s="412">
        <f>IF(B338="","",IF(AR338="Yes",AS338-BA338,""))</f>
        <v/>
      </c>
      <c r="GX338" s="137" t="n"/>
      <c r="GY338" s="538" t="n"/>
      <c r="GZ338" s="137" t="n"/>
      <c r="HA338" s="542" t="n"/>
      <c r="HB338" s="543" t="n"/>
      <c r="HC338" s="489" t="n"/>
      <c r="HD338" s="137" t="n"/>
      <c r="HE338" s="272" t="n"/>
    </row>
    <row r="339">
      <c r="BB339" s="412">
        <f>IF(B339="","",IF(AR339="No",AV339-AZ339,""))</f>
        <v/>
      </c>
      <c r="BC339" s="412">
        <f>IF(B339="","",IF(AR339="Yes",AS339-BA339,""))</f>
        <v/>
      </c>
      <c r="GX339" s="137" t="n"/>
      <c r="GY339" s="538" t="n"/>
      <c r="GZ339" s="137" t="n"/>
      <c r="HA339" s="542" t="n"/>
      <c r="HB339" s="543" t="n"/>
      <c r="HC339" s="489" t="n"/>
      <c r="HD339" s="137" t="n"/>
      <c r="HE339" s="272" t="n"/>
    </row>
    <row r="340">
      <c r="BB340" s="412">
        <f>IF(B340="","",IF(AR340="No",AV340-AZ340,""))</f>
        <v/>
      </c>
      <c r="BC340" s="412">
        <f>IF(B340="","",IF(AR340="Yes",AS340-BA340,""))</f>
        <v/>
      </c>
      <c r="GX340" s="137" t="n"/>
      <c r="GY340" s="538" t="n"/>
      <c r="GZ340" s="137" t="n"/>
      <c r="HA340" s="542" t="n"/>
      <c r="HB340" s="543" t="n"/>
      <c r="HC340" s="489" t="n"/>
      <c r="HD340" s="137" t="n"/>
      <c r="HE340" s="272" t="n"/>
    </row>
    <row r="341">
      <c r="BB341" s="412">
        <f>IF(B341="","",IF(AR341="No",AV341-AZ341,""))</f>
        <v/>
      </c>
      <c r="BC341" s="412">
        <f>IF(B341="","",IF(AR341="Yes",AS341-BA341,""))</f>
        <v/>
      </c>
      <c r="GX341" s="137" t="n"/>
      <c r="GY341" s="538" t="n"/>
      <c r="GZ341" s="137" t="n"/>
      <c r="HA341" s="542" t="n"/>
      <c r="HB341" s="543" t="n"/>
      <c r="HC341" s="489" t="n"/>
      <c r="HD341" s="137" t="n"/>
      <c r="HE341" s="272" t="n"/>
    </row>
    <row r="342">
      <c r="BB342" s="412">
        <f>IF(B342="","",IF(AR342="No",AV342-AZ342,""))</f>
        <v/>
      </c>
      <c r="BC342" s="412">
        <f>IF(B342="","",IF(AR342="Yes",AS342-BA342,""))</f>
        <v/>
      </c>
      <c r="GX342" s="137" t="n"/>
      <c r="GY342" s="538" t="n"/>
      <c r="GZ342" s="137" t="n"/>
      <c r="HA342" s="542" t="n"/>
      <c r="HB342" s="543" t="n"/>
      <c r="HC342" s="489" t="n"/>
      <c r="HD342" s="137" t="n"/>
      <c r="HE342" s="272" t="n"/>
    </row>
    <row r="343">
      <c r="BB343" s="412">
        <f>IF(B343="","",IF(AR343="No",AV343-AZ343,""))</f>
        <v/>
      </c>
      <c r="BC343" s="412">
        <f>IF(B343="","",IF(AR343="Yes",AS343-BA343,""))</f>
        <v/>
      </c>
      <c r="GX343" s="137" t="n"/>
      <c r="GY343" s="538" t="n"/>
      <c r="GZ343" s="137" t="n"/>
      <c r="HA343" s="542" t="n"/>
      <c r="HB343" s="543" t="n"/>
      <c r="HC343" s="489" t="n"/>
      <c r="HD343" s="137" t="n"/>
      <c r="HE343" s="272" t="n"/>
    </row>
    <row r="344">
      <c r="BB344" s="412">
        <f>IF(B344="","",IF(AR344="No",AV344-AZ344,""))</f>
        <v/>
      </c>
      <c r="BC344" s="412">
        <f>IF(B344="","",IF(AR344="Yes",AS344-BA344,""))</f>
        <v/>
      </c>
      <c r="GX344" s="137" t="n"/>
      <c r="GY344" s="538" t="n"/>
      <c r="GZ344" s="137" t="n"/>
      <c r="HA344" s="542" t="n"/>
      <c r="HB344" s="543" t="n"/>
      <c r="HC344" s="489" t="n"/>
      <c r="HD344" s="137" t="n"/>
      <c r="HE344" s="272" t="n"/>
    </row>
    <row r="345">
      <c r="BB345" s="412">
        <f>IF(B345="","",IF(AR345="No",AV345-AZ345,""))</f>
        <v/>
      </c>
      <c r="BC345" s="412">
        <f>IF(B345="","",IF(AR345="Yes",AS345-BA345,""))</f>
        <v/>
      </c>
      <c r="GX345" s="137" t="n"/>
      <c r="GY345" s="538" t="n"/>
      <c r="GZ345" s="137" t="n"/>
      <c r="HA345" s="542" t="n"/>
      <c r="HB345" s="543" t="n"/>
      <c r="HC345" s="489" t="n"/>
      <c r="HD345" s="137" t="n"/>
      <c r="HE345" s="272" t="n"/>
    </row>
    <row r="346">
      <c r="BB346" s="412">
        <f>IF(B346="","",IF(AR346="No",AV346-AZ346,""))</f>
        <v/>
      </c>
      <c r="BC346" s="412">
        <f>IF(B346="","",IF(AR346="Yes",AS346-BA346,""))</f>
        <v/>
      </c>
      <c r="GX346" s="137" t="n"/>
      <c r="GY346" s="538" t="n"/>
      <c r="GZ346" s="137" t="n"/>
      <c r="HA346" s="542" t="n"/>
      <c r="HB346" s="543" t="n"/>
      <c r="HC346" s="489" t="n"/>
      <c r="HD346" s="137" t="n"/>
      <c r="HE346" s="272" t="n"/>
    </row>
    <row r="347">
      <c r="BB347" s="412">
        <f>IF(B347="","",IF(AR347="No",AV347-AZ347,""))</f>
        <v/>
      </c>
      <c r="BC347" s="412">
        <f>IF(B347="","",IF(AR347="Yes",AS347-BA347,""))</f>
        <v/>
      </c>
      <c r="GX347" s="137" t="n"/>
      <c r="GY347" s="538" t="n"/>
      <c r="GZ347" s="137" t="n"/>
      <c r="HA347" s="542" t="n"/>
      <c r="HB347" s="543" t="n"/>
      <c r="HC347" s="489" t="n"/>
      <c r="HD347" s="137" t="n"/>
      <c r="HE347" s="272" t="n"/>
    </row>
    <row r="348">
      <c r="BB348" s="412">
        <f>IF(B348="","",IF(AR348="No",AV348-AZ348,""))</f>
        <v/>
      </c>
      <c r="BC348" s="412">
        <f>IF(B348="","",IF(AR348="Yes",AS348-BA348,""))</f>
        <v/>
      </c>
      <c r="GX348" s="137" t="n"/>
      <c r="GY348" s="538" t="n"/>
      <c r="GZ348" s="137" t="n"/>
      <c r="HA348" s="542" t="n"/>
      <c r="HB348" s="543" t="n"/>
      <c r="HC348" s="489" t="n"/>
      <c r="HD348" s="137" t="n"/>
      <c r="HE348" s="272" t="n"/>
    </row>
    <row r="349">
      <c r="BB349" s="412">
        <f>IF(B349="","",IF(AR349="No",AV349-AZ349,""))</f>
        <v/>
      </c>
      <c r="BC349" s="412">
        <f>IF(B349="","",IF(AR349="Yes",AS349-BA349,""))</f>
        <v/>
      </c>
      <c r="GX349" s="137" t="n"/>
      <c r="GY349" s="538" t="n"/>
      <c r="GZ349" s="137" t="n"/>
      <c r="HA349" s="542" t="n"/>
      <c r="HB349" s="543" t="n"/>
      <c r="HC349" s="489" t="n"/>
      <c r="HD349" s="137" t="n"/>
      <c r="HE349" s="272" t="n"/>
    </row>
    <row r="350">
      <c r="BB350" s="412">
        <f>IF(B350="","",IF(AR350="No",AV350-AZ350,""))</f>
        <v/>
      </c>
      <c r="BC350" s="412">
        <f>IF(B350="","",IF(AR350="Yes",AS350-BA350,""))</f>
        <v/>
      </c>
      <c r="GX350" s="137" t="n"/>
      <c r="GY350" s="538" t="n"/>
      <c r="GZ350" s="137" t="n"/>
      <c r="HA350" s="542" t="n"/>
      <c r="HB350" s="543" t="n"/>
      <c r="HC350" s="489" t="n"/>
      <c r="HD350" s="137" t="n"/>
      <c r="HE350" s="272" t="n"/>
    </row>
    <row r="351">
      <c r="BB351" s="412">
        <f>IF(B351="","",IF(AR351="No",AV351-AZ351,""))</f>
        <v/>
      </c>
      <c r="BC351" s="412">
        <f>IF(B351="","",IF(AR351="Yes",AS351-BA351,""))</f>
        <v/>
      </c>
      <c r="GX351" s="137" t="n"/>
      <c r="GY351" s="538" t="n"/>
      <c r="GZ351" s="137" t="n"/>
      <c r="HA351" s="542" t="n"/>
      <c r="HB351" s="543" t="n"/>
      <c r="HC351" s="489" t="n"/>
      <c r="HD351" s="137" t="n"/>
      <c r="HE351" s="272" t="n"/>
    </row>
    <row r="352">
      <c r="BB352" s="412">
        <f>IF(B352="","",IF(AR352="No",AV352-AZ352,""))</f>
        <v/>
      </c>
      <c r="BC352" s="412">
        <f>IF(B352="","",IF(AR352="Yes",AS352-BA352,""))</f>
        <v/>
      </c>
      <c r="GX352" s="137" t="n"/>
      <c r="GY352" s="538" t="n"/>
      <c r="GZ352" s="137" t="n"/>
      <c r="HA352" s="542" t="n"/>
      <c r="HB352" s="543" t="n"/>
      <c r="HC352" s="489" t="n"/>
      <c r="HD352" s="137" t="n"/>
      <c r="HE352" s="272" t="n"/>
    </row>
    <row r="353">
      <c r="BB353" s="412">
        <f>IF(B353="","",IF(AR353="No",AV353-AZ353,""))</f>
        <v/>
      </c>
      <c r="BC353" s="412">
        <f>IF(B353="","",IF(AR353="Yes",AS353-BA353,""))</f>
        <v/>
      </c>
      <c r="GX353" s="137" t="n"/>
      <c r="GY353" s="538" t="n"/>
      <c r="GZ353" s="137" t="n"/>
      <c r="HA353" s="542" t="n"/>
      <c r="HB353" s="543" t="n"/>
      <c r="HC353" s="489" t="n"/>
      <c r="HD353" s="137" t="n"/>
      <c r="HE353" s="272" t="n"/>
    </row>
    <row r="354">
      <c r="BB354" s="412">
        <f>IF(B354="","",IF(AR354="No",AV354-AZ354,""))</f>
        <v/>
      </c>
      <c r="BC354" s="412">
        <f>IF(B354="","",IF(AR354="Yes",AS354-BA354,""))</f>
        <v/>
      </c>
      <c r="GX354" s="137" t="n"/>
      <c r="GY354" s="538" t="n"/>
      <c r="GZ354" s="137" t="n"/>
      <c r="HA354" s="542" t="n"/>
      <c r="HB354" s="543" t="n"/>
      <c r="HC354" s="489" t="n"/>
      <c r="HD354" s="137" t="n"/>
      <c r="HE354" s="272" t="n"/>
    </row>
    <row r="355">
      <c r="BB355" s="412">
        <f>IF(B355="","",IF(AR355="No",AV355-AZ355,""))</f>
        <v/>
      </c>
      <c r="BC355" s="412">
        <f>IF(B355="","",IF(AR355="Yes",AS355-BA355,""))</f>
        <v/>
      </c>
      <c r="GX355" s="137" t="n"/>
      <c r="GY355" s="538" t="n"/>
      <c r="GZ355" s="137" t="n"/>
      <c r="HA355" s="542" t="n"/>
      <c r="HB355" s="543" t="n"/>
      <c r="HC355" s="489" t="n"/>
      <c r="HD355" s="137" t="n"/>
      <c r="HE355" s="272" t="n"/>
    </row>
    <row r="356">
      <c r="BB356" s="412">
        <f>IF(B356="","",IF(AR356="No",AV356-AZ356,""))</f>
        <v/>
      </c>
      <c r="BC356" s="412">
        <f>IF(B356="","",IF(AR356="Yes",AS356-BA356,""))</f>
        <v/>
      </c>
      <c r="GX356" s="137" t="n"/>
      <c r="GY356" s="538" t="n"/>
      <c r="GZ356" s="137" t="n"/>
      <c r="HA356" s="542" t="n"/>
      <c r="HB356" s="543" t="n"/>
      <c r="HC356" s="489" t="n"/>
      <c r="HD356" s="137" t="n"/>
      <c r="HE356" s="272" t="n"/>
    </row>
    <row r="357">
      <c r="BB357" s="412">
        <f>IF(B357="","",IF(AR357="No",AV357-AZ357,""))</f>
        <v/>
      </c>
      <c r="BC357" s="412">
        <f>IF(B357="","",IF(AR357="Yes",AS357-BA357,""))</f>
        <v/>
      </c>
      <c r="GX357" s="137" t="n"/>
      <c r="GY357" s="538" t="n"/>
      <c r="GZ357" s="137" t="n"/>
      <c r="HA357" s="542" t="n"/>
      <c r="HB357" s="543" t="n"/>
      <c r="HC357" s="489" t="n"/>
      <c r="HD357" s="137" t="n"/>
      <c r="HE357" s="272" t="n"/>
    </row>
    <row r="358">
      <c r="BB358" s="412">
        <f>IF(B358="","",IF(AR358="No",AV358-AZ358,""))</f>
        <v/>
      </c>
      <c r="BC358" s="412">
        <f>IF(B358="","",IF(AR358="Yes",AS358-BA358,""))</f>
        <v/>
      </c>
      <c r="GX358" s="137" t="n"/>
      <c r="GY358" s="538" t="n"/>
      <c r="GZ358" s="137" t="n"/>
      <c r="HA358" s="542" t="n"/>
      <c r="HB358" s="543" t="n"/>
      <c r="HC358" s="489" t="n"/>
      <c r="HD358" s="137" t="n"/>
      <c r="HE358" s="272" t="n"/>
    </row>
    <row r="359">
      <c r="BB359" s="412">
        <f>IF(B359="","",IF(AR359="No",AV359-AZ359,""))</f>
        <v/>
      </c>
      <c r="BC359" s="412">
        <f>IF(B359="","",IF(AR359="Yes",AS359-BA359,""))</f>
        <v/>
      </c>
      <c r="GX359" s="137" t="n"/>
      <c r="GY359" s="538" t="n"/>
      <c r="GZ359" s="137" t="n"/>
      <c r="HA359" s="542" t="n"/>
      <c r="HB359" s="543" t="n"/>
      <c r="HC359" s="489" t="n"/>
      <c r="HD359" s="137" t="n"/>
      <c r="HE359" s="272" t="n"/>
    </row>
    <row r="360">
      <c r="BB360" s="412">
        <f>IF(B360="","",IF(AR360="No",AV360-AZ360,""))</f>
        <v/>
      </c>
      <c r="BC360" s="412">
        <f>IF(B360="","",IF(AR360="Yes",AS360-BA360,""))</f>
        <v/>
      </c>
      <c r="GX360" s="137" t="n"/>
      <c r="GY360" s="538" t="n"/>
      <c r="GZ360" s="137" t="n"/>
      <c r="HA360" s="542" t="n"/>
      <c r="HB360" s="543" t="n"/>
      <c r="HC360" s="489" t="n"/>
      <c r="HD360" s="137" t="n"/>
      <c r="HE360" s="272" t="n"/>
    </row>
    <row r="361">
      <c r="BB361" s="412">
        <f>IF(B361="","",IF(AR361="No",AV361-AZ361,""))</f>
        <v/>
      </c>
      <c r="BC361" s="412">
        <f>IF(B361="","",IF(AR361="Yes",AS361-BA361,""))</f>
        <v/>
      </c>
      <c r="GX361" s="137" t="n"/>
      <c r="GY361" s="538" t="n"/>
      <c r="GZ361" s="137" t="n"/>
      <c r="HA361" s="542" t="n"/>
      <c r="HB361" s="543" t="n"/>
      <c r="HC361" s="489" t="n"/>
      <c r="HD361" s="137" t="n"/>
      <c r="HE361" s="272" t="n"/>
    </row>
    <row r="362">
      <c r="BB362" s="412">
        <f>IF(B362="","",IF(AR362="No",AV362-AZ362,""))</f>
        <v/>
      </c>
      <c r="BC362" s="412">
        <f>IF(B362="","",IF(AR362="Yes",AS362-BA362,""))</f>
        <v/>
      </c>
      <c r="GX362" s="137" t="n"/>
      <c r="GY362" s="538" t="n"/>
      <c r="GZ362" s="137" t="n"/>
      <c r="HA362" s="542" t="n"/>
      <c r="HB362" s="543" t="n"/>
      <c r="HC362" s="489" t="n"/>
      <c r="HD362" s="137" t="n"/>
      <c r="HE362" s="272" t="n"/>
    </row>
    <row r="363">
      <c r="BB363" s="412">
        <f>IF(B363="","",IF(AR363="No",AV363-AZ363,""))</f>
        <v/>
      </c>
      <c r="BC363" s="412">
        <f>IF(B363="","",IF(AR363="Yes",AS363-BA363,""))</f>
        <v/>
      </c>
      <c r="GX363" s="137" t="n"/>
      <c r="GY363" s="538" t="n"/>
      <c r="GZ363" s="137" t="n"/>
      <c r="HA363" s="542" t="n"/>
      <c r="HB363" s="543" t="n"/>
      <c r="HC363" s="489" t="n"/>
      <c r="HD363" s="137" t="n"/>
      <c r="HE363" s="272" t="n"/>
    </row>
    <row r="364">
      <c r="BB364" s="412">
        <f>IF(B364="","",IF(AR364="No",AV364-AZ364,""))</f>
        <v/>
      </c>
      <c r="BC364" s="412">
        <f>IF(B364="","",IF(AR364="Yes",AS364-BA364,""))</f>
        <v/>
      </c>
      <c r="GX364" s="137" t="n"/>
      <c r="GY364" s="538" t="n"/>
      <c r="GZ364" s="137" t="n"/>
      <c r="HA364" s="542" t="n"/>
      <c r="HB364" s="543" t="n"/>
      <c r="HC364" s="489" t="n"/>
      <c r="HD364" s="137" t="n"/>
      <c r="HE364" s="272" t="n"/>
    </row>
    <row r="365">
      <c r="BB365" s="412">
        <f>IF(B365="","",IF(AR365="No",AV365-AZ365,""))</f>
        <v/>
      </c>
      <c r="BC365" s="412">
        <f>IF(B365="","",IF(AR365="Yes",AS365-BA365,""))</f>
        <v/>
      </c>
      <c r="GX365" s="137" t="n"/>
      <c r="GY365" s="538" t="n"/>
      <c r="GZ365" s="137" t="n"/>
      <c r="HA365" s="542" t="n"/>
      <c r="HB365" s="543" t="n"/>
      <c r="HC365" s="489" t="n"/>
      <c r="HD365" s="137" t="n"/>
      <c r="HE365" s="272" t="n"/>
    </row>
    <row r="366">
      <c r="BB366" s="412">
        <f>IF(B366="","",IF(AR366="No",AV366-AZ366,""))</f>
        <v/>
      </c>
      <c r="BC366" s="412">
        <f>IF(B366="","",IF(AR366="Yes",AS366-BA366,""))</f>
        <v/>
      </c>
      <c r="GX366" s="137" t="n"/>
      <c r="GY366" s="538" t="n"/>
      <c r="GZ366" s="137" t="n"/>
      <c r="HA366" s="542" t="n"/>
      <c r="HB366" s="543" t="n"/>
      <c r="HC366" s="489" t="n"/>
      <c r="HD366" s="137" t="n"/>
      <c r="HE366" s="272" t="n"/>
    </row>
    <row r="367">
      <c r="BB367" s="412">
        <f>IF(B367="","",IF(AR367="No",AV367-AZ367,""))</f>
        <v/>
      </c>
      <c r="BC367" s="412">
        <f>IF(B367="","",IF(AR367="Yes",AS367-BA367,""))</f>
        <v/>
      </c>
      <c r="GX367" s="137" t="n"/>
      <c r="GY367" s="538" t="n"/>
      <c r="GZ367" s="137" t="n"/>
      <c r="HA367" s="542" t="n"/>
      <c r="HB367" s="543" t="n"/>
      <c r="HC367" s="489" t="n"/>
      <c r="HD367" s="137" t="n"/>
      <c r="HE367" s="272" t="n"/>
    </row>
    <row r="368">
      <c r="BB368" s="412">
        <f>IF(B368="","",IF(AR368="No",AV368-AZ368,""))</f>
        <v/>
      </c>
      <c r="BC368" s="412">
        <f>IF(B368="","",IF(AR368="Yes",AS368-BA368,""))</f>
        <v/>
      </c>
      <c r="GX368" s="137" t="n"/>
      <c r="GY368" s="538" t="n"/>
      <c r="GZ368" s="137" t="n"/>
      <c r="HA368" s="542" t="n"/>
      <c r="HB368" s="543" t="n"/>
      <c r="HC368" s="489" t="n"/>
      <c r="HD368" s="137" t="n"/>
      <c r="HE368" s="272" t="n"/>
    </row>
    <row r="369">
      <c r="BB369" s="412">
        <f>IF(B369="","",IF(AR369="No",AV369-AZ369,""))</f>
        <v/>
      </c>
      <c r="BC369" s="412">
        <f>IF(B369="","",IF(AR369="Yes",AS369-BA369,""))</f>
        <v/>
      </c>
      <c r="GX369" s="137" t="n"/>
      <c r="GY369" s="538" t="n"/>
      <c r="GZ369" s="137" t="n"/>
      <c r="HA369" s="542" t="n"/>
      <c r="HB369" s="543" t="n"/>
      <c r="HC369" s="489" t="n"/>
      <c r="HD369" s="137" t="n"/>
      <c r="HE369" s="272" t="n"/>
    </row>
    <row r="370">
      <c r="BB370" s="412">
        <f>IF(B370="","",IF(AR370="No",AV370-AZ370,""))</f>
        <v/>
      </c>
      <c r="BC370" s="412">
        <f>IF(B370="","",IF(AR370="Yes",AS370-BA370,""))</f>
        <v/>
      </c>
      <c r="GX370" s="137" t="n"/>
      <c r="GY370" s="538" t="n"/>
      <c r="GZ370" s="137" t="n"/>
      <c r="HA370" s="542" t="n"/>
      <c r="HB370" s="543" t="n"/>
      <c r="HC370" s="489" t="n"/>
      <c r="HD370" s="137" t="n"/>
      <c r="HE370" s="272" t="n"/>
    </row>
    <row r="371">
      <c r="BB371" s="412">
        <f>IF(B371="","",IF(AR371="No",AV371-AZ371,""))</f>
        <v/>
      </c>
      <c r="BC371" s="412">
        <f>IF(B371="","",IF(AR371="Yes",AS371-BA371,""))</f>
        <v/>
      </c>
      <c r="GX371" s="137" t="n"/>
      <c r="GY371" s="538" t="n"/>
      <c r="GZ371" s="137" t="n"/>
      <c r="HA371" s="542" t="n"/>
      <c r="HB371" s="543" t="n"/>
      <c r="HC371" s="489" t="n"/>
      <c r="HD371" s="137" t="n"/>
      <c r="HE371" s="272" t="n"/>
    </row>
    <row r="372">
      <c r="BB372" s="412">
        <f>IF(B372="","",IF(AR372="No",AV372-AZ372,""))</f>
        <v/>
      </c>
      <c r="BC372" s="412">
        <f>IF(B372="","",IF(AR372="Yes",AS372-BA372,""))</f>
        <v/>
      </c>
      <c r="GX372" s="137" t="n"/>
      <c r="GY372" s="538" t="n"/>
      <c r="GZ372" s="137" t="n"/>
      <c r="HA372" s="542" t="n"/>
      <c r="HB372" s="543" t="n"/>
      <c r="HC372" s="489" t="n"/>
      <c r="HD372" s="137" t="n"/>
      <c r="HE372" s="272" t="n"/>
    </row>
    <row r="373">
      <c r="BB373" s="412">
        <f>IF(B373="","",IF(AR373="No",AV373-AZ373,""))</f>
        <v/>
      </c>
      <c r="BC373" s="412">
        <f>IF(B373="","",IF(AR373="Yes",AS373-BA373,""))</f>
        <v/>
      </c>
      <c r="GX373" s="137" t="n"/>
      <c r="GY373" s="538" t="n"/>
      <c r="GZ373" s="137" t="n"/>
      <c r="HA373" s="542" t="n"/>
      <c r="HB373" s="543" t="n"/>
      <c r="HC373" s="489" t="n"/>
      <c r="HD373" s="137" t="n"/>
      <c r="HE373" s="272" t="n"/>
    </row>
    <row r="374">
      <c r="BB374" s="412">
        <f>IF(B374="","",IF(AR374="No",AV374-AZ374,""))</f>
        <v/>
      </c>
      <c r="BC374" s="412">
        <f>IF(B374="","",IF(AR374="Yes",AS374-BA374,""))</f>
        <v/>
      </c>
      <c r="GX374" s="137" t="n"/>
      <c r="GY374" s="538" t="n"/>
      <c r="GZ374" s="137" t="n"/>
      <c r="HA374" s="542" t="n"/>
      <c r="HB374" s="543" t="n"/>
      <c r="HC374" s="489" t="n"/>
      <c r="HD374" s="137" t="n"/>
      <c r="HE374" s="272" t="n"/>
    </row>
    <row r="375">
      <c r="BB375" s="412">
        <f>IF(B375="","",IF(AR375="No",AV375-AZ375,""))</f>
        <v/>
      </c>
      <c r="BC375" s="412">
        <f>IF(B375="","",IF(AR375="Yes",AS375-BA375,""))</f>
        <v/>
      </c>
      <c r="GX375" s="137" t="n"/>
      <c r="GY375" s="538" t="n"/>
      <c r="GZ375" s="137" t="n"/>
      <c r="HA375" s="542" t="n"/>
      <c r="HB375" s="543" t="n"/>
      <c r="HC375" s="489" t="n"/>
      <c r="HD375" s="137" t="n"/>
      <c r="HE375" s="272" t="n"/>
    </row>
    <row r="376">
      <c r="BB376" s="412">
        <f>IF(B376="","",IF(AR376="No",AV376-AZ376,""))</f>
        <v/>
      </c>
      <c r="BC376" s="412">
        <f>IF(B376="","",IF(AR376="Yes",AS376-BA376,""))</f>
        <v/>
      </c>
      <c r="GX376" s="137" t="n"/>
      <c r="GY376" s="538" t="n"/>
      <c r="GZ376" s="137" t="n"/>
      <c r="HA376" s="542" t="n"/>
      <c r="HB376" s="543" t="n"/>
      <c r="HC376" s="489" t="n"/>
      <c r="HD376" s="137" t="n"/>
      <c r="HE376" s="272" t="n"/>
    </row>
    <row r="377">
      <c r="BB377" s="412">
        <f>IF(B377="","",IF(AR377="No",AV377-AZ377,""))</f>
        <v/>
      </c>
      <c r="BC377" s="412">
        <f>IF(B377="","",IF(AR377="Yes",AS377-BA377,""))</f>
        <v/>
      </c>
      <c r="GX377" s="137" t="n"/>
      <c r="GY377" s="538" t="n"/>
      <c r="GZ377" s="137" t="n"/>
      <c r="HA377" s="542" t="n"/>
      <c r="HB377" s="543" t="n"/>
      <c r="HC377" s="489" t="n"/>
      <c r="HD377" s="137" t="n"/>
      <c r="HE377" s="272" t="n"/>
    </row>
    <row r="378">
      <c r="BB378" s="412">
        <f>IF(B378="","",IF(AR378="No",AV378-AZ378,""))</f>
        <v/>
      </c>
      <c r="BC378" s="412">
        <f>IF(B378="","",IF(AR378="Yes",AS378-BA378,""))</f>
        <v/>
      </c>
      <c r="GX378" s="137" t="n"/>
      <c r="GY378" s="538" t="n"/>
      <c r="GZ378" s="137" t="n"/>
      <c r="HA378" s="542" t="n"/>
      <c r="HB378" s="543" t="n"/>
      <c r="HC378" s="489" t="n"/>
      <c r="HD378" s="137" t="n"/>
      <c r="HE378" s="272" t="n"/>
    </row>
    <row r="379">
      <c r="BB379" s="412">
        <f>IF(B379="","",IF(AR379="No",AV379-AZ379,""))</f>
        <v/>
      </c>
      <c r="BC379" s="412">
        <f>IF(B379="","",IF(AR379="Yes",AS379-BA379,""))</f>
        <v/>
      </c>
      <c r="GX379" s="137" t="n"/>
      <c r="GY379" s="538" t="n"/>
      <c r="GZ379" s="137" t="n"/>
      <c r="HA379" s="542" t="n"/>
      <c r="HB379" s="543" t="n"/>
      <c r="HC379" s="489" t="n"/>
      <c r="HD379" s="137" t="n"/>
      <c r="HE379" s="272" t="n"/>
    </row>
    <row r="380">
      <c r="BB380" s="412">
        <f>IF(B380="","",IF(AR380="No",AV380-AZ380,""))</f>
        <v/>
      </c>
      <c r="BC380" s="412">
        <f>IF(B380="","",IF(AR380="Yes",AS380-BA380,""))</f>
        <v/>
      </c>
      <c r="GX380" s="137" t="n"/>
      <c r="GY380" s="538" t="n"/>
      <c r="GZ380" s="137" t="n"/>
      <c r="HA380" s="542" t="n"/>
      <c r="HB380" s="543" t="n"/>
      <c r="HC380" s="489" t="n"/>
      <c r="HD380" s="137" t="n"/>
      <c r="HE380" s="272" t="n"/>
    </row>
    <row r="381">
      <c r="BB381" s="412">
        <f>IF(B381="","",IF(AR381="No",AV381-AZ381,""))</f>
        <v/>
      </c>
      <c r="BC381" s="412">
        <f>IF(B381="","",IF(AR381="Yes",AS381-BA381,""))</f>
        <v/>
      </c>
      <c r="GX381" s="137" t="n"/>
      <c r="GY381" s="538" t="n"/>
      <c r="GZ381" s="137" t="n"/>
      <c r="HA381" s="542" t="n"/>
      <c r="HB381" s="543" t="n"/>
      <c r="HC381" s="489" t="n"/>
      <c r="HD381" s="137" t="n"/>
      <c r="HE381" s="272" t="n"/>
    </row>
    <row r="382">
      <c r="BB382" s="412">
        <f>IF(B382="","",IF(AR382="No",AV382-AZ382,""))</f>
        <v/>
      </c>
      <c r="BC382" s="412">
        <f>IF(B382="","",IF(AR382="Yes",AS382-BA382,""))</f>
        <v/>
      </c>
      <c r="GX382" s="137" t="n"/>
      <c r="GY382" s="538" t="n"/>
      <c r="GZ382" s="137" t="n"/>
      <c r="HA382" s="542" t="n"/>
      <c r="HB382" s="543" t="n"/>
      <c r="HC382" s="489" t="n"/>
      <c r="HD382" s="137" t="n"/>
      <c r="HE382" s="272" t="n"/>
    </row>
    <row r="383">
      <c r="BB383" s="412">
        <f>IF(B383="","",IF(AR383="No",AV383-AZ383,""))</f>
        <v/>
      </c>
      <c r="BC383" s="412">
        <f>IF(B383="","",IF(AR383="Yes",AS383-BA383,""))</f>
        <v/>
      </c>
      <c r="GX383" s="137" t="n"/>
      <c r="GY383" s="538" t="n"/>
      <c r="GZ383" s="137" t="n"/>
      <c r="HA383" s="542" t="n"/>
      <c r="HB383" s="543" t="n"/>
      <c r="HC383" s="489" t="n"/>
      <c r="HD383" s="137" t="n"/>
      <c r="HE383" s="272" t="n"/>
    </row>
    <row r="384">
      <c r="BB384" s="412">
        <f>IF(B384="","",IF(AR384="No",AV384-AZ384,""))</f>
        <v/>
      </c>
      <c r="BC384" s="412">
        <f>IF(B384="","",IF(AR384="Yes",AS384-BA384,""))</f>
        <v/>
      </c>
      <c r="GX384" s="137" t="n"/>
      <c r="GY384" s="538" t="n"/>
      <c r="GZ384" s="137" t="n"/>
      <c r="HA384" s="542" t="n"/>
      <c r="HB384" s="543" t="n"/>
      <c r="HC384" s="489" t="n"/>
      <c r="HD384" s="137" t="n"/>
      <c r="HE384" s="272" t="n"/>
    </row>
    <row r="385">
      <c r="BB385" s="412">
        <f>IF(B385="","",IF(AR385="No",AV385-AZ385,""))</f>
        <v/>
      </c>
      <c r="BC385" s="412">
        <f>IF(B385="","",IF(AR385="Yes",AS385-BA385,""))</f>
        <v/>
      </c>
      <c r="GX385" s="137" t="n"/>
      <c r="GY385" s="538" t="n"/>
      <c r="GZ385" s="137" t="n"/>
      <c r="HA385" s="542" t="n"/>
      <c r="HB385" s="543" t="n"/>
      <c r="HC385" s="489" t="n"/>
      <c r="HD385" s="137" t="n"/>
      <c r="HE385" s="272" t="n"/>
    </row>
    <row r="386">
      <c r="BB386" s="412">
        <f>IF(B386="","",IF(AR386="No",AV386-AZ386,""))</f>
        <v/>
      </c>
      <c r="BC386" s="412">
        <f>IF(B386="","",IF(AR386="Yes",AS386-BA386,""))</f>
        <v/>
      </c>
      <c r="GX386" s="137" t="n"/>
      <c r="GY386" s="538" t="n"/>
      <c r="GZ386" s="137" t="n"/>
      <c r="HA386" s="542" t="n"/>
      <c r="HB386" s="543" t="n"/>
      <c r="HC386" s="489" t="n"/>
      <c r="HD386" s="137" t="n"/>
      <c r="HE386" s="272" t="n"/>
    </row>
    <row r="387">
      <c r="BB387" s="412">
        <f>IF(B387="","",IF(AR387="No",AV387-AZ387,""))</f>
        <v/>
      </c>
      <c r="BC387" s="412">
        <f>IF(B387="","",IF(AR387="Yes",AS387-BA387,""))</f>
        <v/>
      </c>
      <c r="GX387" s="137" t="n"/>
      <c r="GY387" s="538" t="n"/>
      <c r="GZ387" s="137" t="n"/>
      <c r="HA387" s="542" t="n"/>
      <c r="HB387" s="543" t="n"/>
      <c r="HC387" s="489" t="n"/>
      <c r="HD387" s="137" t="n"/>
      <c r="HE387" s="272" t="n"/>
    </row>
    <row r="388">
      <c r="BB388" s="412">
        <f>IF(B388="","",IF(AR388="No",AV388-AZ388,""))</f>
        <v/>
      </c>
      <c r="BC388" s="412">
        <f>IF(B388="","",IF(AR388="Yes",AS388-BA388,""))</f>
        <v/>
      </c>
      <c r="GX388" s="137" t="n"/>
      <c r="GY388" s="538" t="n"/>
      <c r="GZ388" s="137" t="n"/>
      <c r="HA388" s="542" t="n"/>
      <c r="HB388" s="543" t="n"/>
      <c r="HC388" s="489" t="n"/>
      <c r="HD388" s="137" t="n"/>
      <c r="HE388" s="272" t="n"/>
    </row>
    <row r="389">
      <c r="BB389" s="412">
        <f>IF(B389="","",IF(AR389="No",AV389-AZ389,""))</f>
        <v/>
      </c>
      <c r="BC389" s="412">
        <f>IF(B389="","",IF(AR389="Yes",AS389-BA389,""))</f>
        <v/>
      </c>
      <c r="GX389" s="137" t="n"/>
      <c r="GY389" s="538" t="n"/>
      <c r="GZ389" s="137" t="n"/>
      <c r="HA389" s="542" t="n"/>
      <c r="HB389" s="543" t="n"/>
      <c r="HC389" s="489" t="n"/>
      <c r="HD389" s="137" t="n"/>
      <c r="HE389" s="272" t="n"/>
    </row>
    <row r="390">
      <c r="BB390" s="412">
        <f>IF(B390="","",IF(AR390="No",AV390-AZ390,""))</f>
        <v/>
      </c>
      <c r="BC390" s="412">
        <f>IF(B390="","",IF(AR390="Yes",AS390-BA390,""))</f>
        <v/>
      </c>
      <c r="GX390" s="137" t="n"/>
      <c r="GY390" s="538" t="n"/>
      <c r="GZ390" s="137" t="n"/>
      <c r="HA390" s="542" t="n"/>
      <c r="HB390" s="543" t="n"/>
      <c r="HC390" s="489" t="n"/>
      <c r="HD390" s="137" t="n"/>
      <c r="HE390" s="272" t="n"/>
    </row>
    <row r="391">
      <c r="BB391" s="412">
        <f>IF(B391="","",IF(AR391="No",AV391-AZ391,""))</f>
        <v/>
      </c>
      <c r="BC391" s="412">
        <f>IF(B391="","",IF(AR391="Yes",AS391-BA391,""))</f>
        <v/>
      </c>
      <c r="GX391" s="137" t="n"/>
      <c r="GY391" s="538" t="n"/>
      <c r="GZ391" s="137" t="n"/>
      <c r="HA391" s="542" t="n"/>
      <c r="HB391" s="543" t="n"/>
      <c r="HC391" s="489" t="n"/>
      <c r="HD391" s="137" t="n"/>
      <c r="HE391" s="272" t="n"/>
    </row>
    <row r="392">
      <c r="BB392" s="412">
        <f>IF(B392="","",IF(AR392="No",AV392-AZ392,""))</f>
        <v/>
      </c>
      <c r="BC392" s="412">
        <f>IF(B392="","",IF(AR392="Yes",AS392-BA392,""))</f>
        <v/>
      </c>
      <c r="GX392" s="137" t="n"/>
      <c r="GY392" s="538" t="n"/>
      <c r="GZ392" s="137" t="n"/>
      <c r="HA392" s="542" t="n"/>
      <c r="HB392" s="543" t="n"/>
      <c r="HC392" s="489" t="n"/>
      <c r="HD392" s="137" t="n"/>
      <c r="HE392" s="272" t="n"/>
    </row>
    <row r="393">
      <c r="BB393" s="412">
        <f>IF(B393="","",IF(AR393="No",AV393-AZ393,""))</f>
        <v/>
      </c>
      <c r="BC393" s="412">
        <f>IF(B393="","",IF(AR393="Yes",AS393-BA393,""))</f>
        <v/>
      </c>
      <c r="GX393" s="137" t="n"/>
      <c r="GY393" s="538" t="n"/>
      <c r="GZ393" s="137" t="n"/>
      <c r="HA393" s="542" t="n"/>
      <c r="HB393" s="543" t="n"/>
      <c r="HC393" s="489" t="n"/>
      <c r="HD393" s="137" t="n"/>
      <c r="HE393" s="272" t="n"/>
    </row>
    <row r="394">
      <c r="BB394" s="412">
        <f>IF(B394="","",IF(AR394="No",AV394-AZ394,""))</f>
        <v/>
      </c>
      <c r="BC394" s="412">
        <f>IF(B394="","",IF(AR394="Yes",AS394-BA394,""))</f>
        <v/>
      </c>
      <c r="GX394" s="137" t="n"/>
      <c r="GY394" s="538" t="n"/>
      <c r="GZ394" s="137" t="n"/>
      <c r="HA394" s="542" t="n"/>
      <c r="HB394" s="543" t="n"/>
      <c r="HC394" s="489" t="n"/>
      <c r="HD394" s="137" t="n"/>
      <c r="HE394" s="272" t="n"/>
    </row>
    <row r="395">
      <c r="BB395" s="412">
        <f>IF(B395="","",IF(AR395="No",AV395-AZ395,""))</f>
        <v/>
      </c>
      <c r="BC395" s="412">
        <f>IF(B395="","",IF(AR395="Yes",AS395-BA395,""))</f>
        <v/>
      </c>
      <c r="GX395" s="137" t="n"/>
      <c r="GY395" s="538" t="n"/>
      <c r="GZ395" s="137" t="n"/>
      <c r="HA395" s="542" t="n"/>
      <c r="HB395" s="543" t="n"/>
      <c r="HC395" s="489" t="n"/>
      <c r="HD395" s="137" t="n"/>
      <c r="HE395" s="272" t="n"/>
    </row>
    <row r="396">
      <c r="BB396" s="412">
        <f>IF(B396="","",IF(AR396="No",AV396-AZ396,""))</f>
        <v/>
      </c>
      <c r="BC396" s="412">
        <f>IF(B396="","",IF(AR396="Yes",AS396-BA396,""))</f>
        <v/>
      </c>
      <c r="GX396" s="137" t="n"/>
      <c r="GY396" s="538" t="n"/>
      <c r="GZ396" s="137" t="n"/>
      <c r="HA396" s="542" t="n"/>
      <c r="HB396" s="543" t="n"/>
      <c r="HC396" s="489" t="n"/>
      <c r="HD396" s="137" t="n"/>
      <c r="HE396" s="272" t="n"/>
    </row>
    <row r="397">
      <c r="BB397" s="412">
        <f>IF(B397="","",IF(AR397="No",AV397-AZ397,""))</f>
        <v/>
      </c>
      <c r="BC397" s="412">
        <f>IF(B397="","",IF(AR397="Yes",AS397-BA397,""))</f>
        <v/>
      </c>
      <c r="GX397" s="137" t="n"/>
      <c r="GY397" s="538" t="n"/>
      <c r="GZ397" s="137" t="n"/>
      <c r="HA397" s="542" t="n"/>
      <c r="HB397" s="543" t="n"/>
      <c r="HC397" s="489" t="n"/>
      <c r="HD397" s="137" t="n"/>
      <c r="HE397" s="272" t="n"/>
    </row>
    <row r="398">
      <c r="BB398" s="412">
        <f>IF(B398="","",IF(AR398="No",AV398-AZ398,""))</f>
        <v/>
      </c>
      <c r="BC398" s="412">
        <f>IF(B398="","",IF(AR398="Yes",AS398-BA398,""))</f>
        <v/>
      </c>
      <c r="GX398" s="137" t="n"/>
      <c r="GY398" s="538" t="n"/>
      <c r="GZ398" s="137" t="n"/>
      <c r="HA398" s="542" t="n"/>
      <c r="HB398" s="543" t="n"/>
      <c r="HC398" s="489" t="n"/>
      <c r="HD398" s="137" t="n"/>
      <c r="HE398" s="272" t="n"/>
    </row>
    <row r="399">
      <c r="BB399" s="412">
        <f>IF(B399="","",IF(AR399="No",AV399-AZ399,""))</f>
        <v/>
      </c>
      <c r="BC399" s="412">
        <f>IF(B399="","",IF(AR399="Yes",AS399-BA399,""))</f>
        <v/>
      </c>
      <c r="GX399" s="137" t="n"/>
      <c r="GY399" s="538" t="n"/>
      <c r="GZ399" s="137" t="n"/>
      <c r="HA399" s="542" t="n"/>
      <c r="HB399" s="543" t="n"/>
      <c r="HC399" s="489" t="n"/>
      <c r="HD399" s="137" t="n"/>
      <c r="HE399" s="272" t="n"/>
    </row>
    <row r="400">
      <c r="BB400" s="412">
        <f>IF(B400="","",IF(AR400="No",AV400-AZ400,""))</f>
        <v/>
      </c>
      <c r="BC400" s="412">
        <f>IF(B400="","",IF(AR400="Yes",AS400-BA400,""))</f>
        <v/>
      </c>
      <c r="GX400" s="137" t="n"/>
      <c r="GY400" s="538" t="n"/>
      <c r="GZ400" s="137" t="n"/>
      <c r="HA400" s="542" t="n"/>
      <c r="HB400" s="543" t="n"/>
      <c r="HC400" s="489" t="n"/>
      <c r="HD400" s="137" t="n"/>
      <c r="HE400" s="272" t="n"/>
    </row>
    <row r="401">
      <c r="BB401" s="412">
        <f>IF(B401="","",IF(AR401="No",AV401-AZ401,""))</f>
        <v/>
      </c>
      <c r="BC401" s="412">
        <f>IF(B401="","",IF(AR401="Yes",AS401-BA401,""))</f>
        <v/>
      </c>
      <c r="GX401" s="137" t="n"/>
      <c r="GY401" s="538" t="n"/>
      <c r="GZ401" s="137" t="n"/>
      <c r="HA401" s="542" t="n"/>
      <c r="HB401" s="543" t="n"/>
      <c r="HC401" s="489" t="n"/>
      <c r="HD401" s="137" t="n"/>
      <c r="HE401" s="272" t="n"/>
    </row>
    <row r="402">
      <c r="BB402" s="412">
        <f>IF(B402="","",IF(AR402="No",AV402-AZ402,""))</f>
        <v/>
      </c>
      <c r="BC402" s="412">
        <f>IF(B402="","",IF(AR402="Yes",AS402-BA402,""))</f>
        <v/>
      </c>
      <c r="GX402" s="137" t="n"/>
      <c r="GY402" s="538" t="n"/>
      <c r="GZ402" s="137" t="n"/>
      <c r="HA402" s="542" t="n"/>
      <c r="HB402" s="543" t="n"/>
      <c r="HC402" s="489" t="n"/>
      <c r="HD402" s="137" t="n"/>
      <c r="HE402" s="272" t="n"/>
    </row>
    <row r="403">
      <c r="BB403" s="412">
        <f>IF(B403="","",IF(AR403="No",AV403-AZ403,""))</f>
        <v/>
      </c>
      <c r="BC403" s="412">
        <f>IF(B403="","",IF(AR403="Yes",AS403-BA403,""))</f>
        <v/>
      </c>
      <c r="GX403" s="137" t="n"/>
      <c r="GY403" s="538" t="n"/>
      <c r="GZ403" s="137" t="n"/>
      <c r="HA403" s="542" t="n"/>
      <c r="HB403" s="543" t="n"/>
      <c r="HC403" s="489" t="n"/>
      <c r="HD403" s="137" t="n"/>
      <c r="HE403" s="272" t="n"/>
    </row>
    <row r="404">
      <c r="BB404" s="412">
        <f>IF(B404="","",IF(AR404="No",AV404-AZ404,""))</f>
        <v/>
      </c>
      <c r="BC404" s="412">
        <f>IF(B404="","",IF(AR404="Yes",AS404-BA404,""))</f>
        <v/>
      </c>
      <c r="GX404" s="137" t="n"/>
      <c r="GY404" s="538" t="n"/>
      <c r="GZ404" s="137" t="n"/>
      <c r="HA404" s="542" t="n"/>
      <c r="HB404" s="543" t="n"/>
      <c r="HC404" s="489" t="n"/>
      <c r="HD404" s="137" t="n"/>
      <c r="HE404" s="272" t="n"/>
    </row>
    <row r="405">
      <c r="BB405" s="412">
        <f>IF(B405="","",IF(AR405="No",AV405-AZ405,""))</f>
        <v/>
      </c>
      <c r="BC405" s="412">
        <f>IF(B405="","",IF(AR405="Yes",AS405-BA405,""))</f>
        <v/>
      </c>
      <c r="GX405" s="137" t="n"/>
      <c r="GY405" s="538" t="n"/>
      <c r="GZ405" s="137" t="n"/>
      <c r="HA405" s="542" t="n"/>
      <c r="HB405" s="543" t="n"/>
      <c r="HC405" s="489" t="n"/>
      <c r="HD405" s="137" t="n"/>
      <c r="HE405" s="272" t="n"/>
    </row>
    <row r="406">
      <c r="BB406" s="412">
        <f>IF(B406="","",IF(AR406="No",AV406-AZ406,""))</f>
        <v/>
      </c>
      <c r="BC406" s="412">
        <f>IF(B406="","",IF(AR406="Yes",AS406-BA406,""))</f>
        <v/>
      </c>
      <c r="GX406" s="137" t="n"/>
      <c r="GY406" s="538" t="n"/>
      <c r="GZ406" s="137" t="n"/>
      <c r="HA406" s="542" t="n"/>
      <c r="HB406" s="543" t="n"/>
      <c r="HC406" s="489" t="n"/>
      <c r="HD406" s="137" t="n"/>
      <c r="HE406" s="272" t="n"/>
    </row>
    <row r="407">
      <c r="GX407" s="420" t="n"/>
      <c r="GY407" s="121" t="n"/>
      <c r="GZ407" s="23" t="n"/>
      <c r="HA407" s="23" t="n"/>
      <c r="HB407" s="23" t="n"/>
      <c r="HC407" s="23" t="n"/>
      <c r="HD407" s="23" t="n"/>
      <c r="HE407" s="23" t="n"/>
    </row>
    <row r="408">
      <c r="GX408" s="137" t="n"/>
    </row>
  </sheetData>
  <autoFilter ref="B9:ID116"/>
  <mergeCells count="7">
    <mergeCell ref="AJ1:AL1"/>
    <mergeCell ref="CZ7:DC7"/>
    <mergeCell ref="AP1:AR1"/>
    <mergeCell ref="AS1:AU1"/>
    <mergeCell ref="HU6:HU7"/>
    <mergeCell ref="AM1:AO1"/>
    <mergeCell ref="AJ6:AS6"/>
  </mergeCells>
  <conditionalFormatting sqref="DP5">
    <cfRule type="cellIs" priority="12" operator="greaterThan" dxfId="0">
      <formula>0</formula>
    </cfRule>
  </conditionalFormatting>
  <conditionalFormatting sqref="DS5">
    <cfRule type="cellIs" priority="11" operator="greaterThan" dxfId="0">
      <formula>0</formula>
    </cfRule>
  </conditionalFormatting>
  <conditionalFormatting sqref="DT6:DT7">
    <cfRule type="cellIs" priority="10" operator="greaterThan" dxfId="0">
      <formula>0</formula>
    </cfRule>
  </conditionalFormatting>
  <conditionalFormatting sqref="DV5">
    <cfRule type="cellIs" priority="25" operator="greaterThan" dxfId="0">
      <formula>0</formula>
    </cfRule>
  </conditionalFormatting>
  <conditionalFormatting sqref="DY5 EB5 EE5 EI7 EL7 EO7 ER7 FA7 FD7 GA5:GE5">
    <cfRule type="cellIs" priority="27" operator="greaterThan" dxfId="0">
      <formula>0</formula>
    </cfRule>
  </conditionalFormatting>
  <conditionalFormatting sqref="DZ5:DZ7">
    <cfRule type="cellIs" priority="8" operator="greaterThan" dxfId="0">
      <formula>0</formula>
    </cfRule>
  </conditionalFormatting>
  <conditionalFormatting sqref="EH5">
    <cfRule type="cellIs" priority="6" operator="greaterThan" dxfId="0">
      <formula>0</formula>
    </cfRule>
  </conditionalFormatting>
  <conditionalFormatting sqref="EK5 EN5 EQ5 ET5 FC5 FU5">
    <cfRule type="cellIs" priority="7" operator="greaterThan" dxfId="0">
      <formula>0</formula>
    </cfRule>
  </conditionalFormatting>
  <conditionalFormatting sqref="EW5">
    <cfRule type="cellIs" priority="3" operator="greaterThan" dxfId="0">
      <formula>0</formula>
    </cfRule>
  </conditionalFormatting>
  <conditionalFormatting sqref="EZ5">
    <cfRule type="cellIs" priority="2" operator="greaterThan" dxfId="0">
      <formula>0</formula>
    </cfRule>
  </conditionalFormatting>
  <conditionalFormatting sqref="FF5">
    <cfRule type="cellIs" priority="5" operator="greaterThan" dxfId="0">
      <formula>0</formula>
    </cfRule>
  </conditionalFormatting>
  <conditionalFormatting sqref="FR5">
    <cfRule type="cellIs" priority="1" operator="greaterThan" dxfId="0">
      <formula>0</formula>
    </cfRule>
  </conditionalFormatting>
  <conditionalFormatting sqref="FX5">
    <cfRule type="cellIs" priority="4" operator="greaterThan" dxfId="0">
      <formula>0</formula>
    </cfRule>
  </conditionalFormatting>
  <conditionalFormatting sqref="GF6:GF7">
    <cfRule type="cellIs" priority="22" operator="greaterThan" dxfId="0">
      <formula>0</formula>
    </cfRule>
  </conditionalFormatting>
  <dataValidations count="8">
    <dataValidation sqref="N83:N116 Q83:Q116 X83:X116" showDropDown="0" showInputMessage="1" showErrorMessage="1" allowBlank="1" error="Yes / No" type="list">
      <formula1>"Yes, No"</formula1>
    </dataValidation>
    <dataValidation sqref="Y83:Y116" showDropDown="0" showInputMessage="1" showErrorMessage="1" allowBlank="1" error="First Lien, Split Lien or Second Lien" type="list">
      <formula1>"First Lien, Split First Lien, Split Lien, Second Lien"</formula1>
    </dataValidation>
    <dataValidation sqref="Z83:Z116" showDropDown="0" showInputMessage="1" showErrorMessage="1" allowBlank="1" type="list">
      <formula1>"Term, Revolver, Delayed Draw"</formula1>
    </dataValidation>
    <dataValidation sqref="BD10:BD116" showDropDown="1" showInputMessage="1" showErrorMessage="1" allowBlank="1" error="Monthly / Quarterly / Semi-Annually" type="list">
      <formula1>"Monthly, Quarterly, Semi-Annually"</formula1>
    </dataValidation>
    <dataValidation sqref="O10:P116" showDropDown="1" showInputMessage="1" showErrorMessage="1" allowBlank="1" error="Yes / No"/>
    <dataValidation sqref="N10:N82 Q10:Q82 X10:X82 AR10:AR116 AT10:AT116 BH10:BH116 BK10:CA116" showDropDown="1" showInputMessage="1" showErrorMessage="1" allowBlank="1" error="Yes / No" type="list">
      <formula1>"Yes, No"</formula1>
    </dataValidation>
    <dataValidation sqref="BF10:BF85" showDropDown="1" showInputMessage="1" showErrorMessage="1" allowBlank="1" error="USD / CAD / AUD / EUR / GBP / Other" type="list">
      <formula1>"USD, CAD, AUD, EUR, GBP, Other"</formula1>
    </dataValidation>
    <dataValidation sqref="Y10:Y82" showDropDown="1" showInputMessage="1" showErrorMessage="1" allowBlank="1" error="First Lien, Split Lien or Second Lien" type="list">
      <formula1>"First Lien, Split Lien, Second Lien"</formula1>
    </dataValidation>
  </dataValidations>
  <pageMargins left="0.5" right="0.5" top="0.5" bottom="0.5" header="0.25" footer="0.25"/>
  <pageSetup orientation="landscape" paperSize="3" scale="1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Serge Moroz</dc:creator>
  <dcterms:created xmlns:dcterms="http://purl.org/dc/terms/" xmlns:xsi="http://www.w3.org/2001/XMLSchema-instance" xsi:type="dcterms:W3CDTF">2021-06-21T18:13:01Z</dcterms:created>
  <dcterms:modified xmlns:dcterms="http://purl.org/dc/terms/" xmlns:xsi="http://www.w3.org/2001/XMLSchema-instance" xsi:type="dcterms:W3CDTF">2026-07-28T12:42:39Z</dcterms:modified>
  <cp:lastModifiedBy>Grant Smith</cp:lastModifiedBy>
  <cp:lastPrinted>2025-08-20T19:38:27Z</cp:lastPrinted>
</cp:coreProperties>
</file>

<file path=docProps/custom.xml><?xml version="1.0" encoding="utf-8"?>
<Properties xmlns="http://schemas.openxmlformats.org/officeDocument/2006/custom-properties">
  <property name="TitusGUID" fmtid="{D5CDD505-2E9C-101B-9397-08002B2CF9AE}" pid="2">
    <vt:lpwstr xmlns:vt="http://schemas.openxmlformats.org/officeDocument/2006/docPropsVTypes">ee145368-57fc-41ff-bb59-3774cd89ea64</vt:lpwstr>
  </property>
  <property name="DataRiskClassification" fmtid="{D5CDD505-2E9C-101B-9397-08002B2CF9AE}" pid="3">
    <vt:lpwstr xmlns:vt="http://schemas.openxmlformats.org/officeDocument/2006/docPropsVTypes">Private</vt:lpwstr>
  </property>
  <property name="ApplyVisualMarkings" fmtid="{D5CDD505-2E9C-101B-9397-08002B2CF9AE}" pid="4">
    <vt:lpwstr xmlns:vt="http://schemas.openxmlformats.org/officeDocument/2006/docPropsVTypes">Yes</vt:lpwstr>
  </property>
</Properties>
</file>